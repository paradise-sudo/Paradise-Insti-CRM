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paradisebiryani-my.sharepoint.com/personal/kumar_ayush_paradisefoodcourt_in/Documents/"/>
    </mc:Choice>
  </mc:AlternateContent>
  <xr:revisionPtr revIDLastSave="8746" documentId="109_{63F9D390-1308-49FD-9B52-79A6039341AB}" xr6:coauthVersionLast="47" xr6:coauthVersionMax="47" xr10:uidLastSave="{6B65430D-D1E0-4F86-9C5D-998870071B7A}"/>
  <bookViews>
    <workbookView xWindow="-110" yWindow="-110" windowWidth="19420" windowHeight="11500" firstSheet="3" activeTab="3" xr2:uid="{8D726313-DC88-4601-B5CE-A65B5C6D16CF}"/>
  </bookViews>
  <sheets>
    <sheet name="Store -Wise Wo Com&amp;MSN (2)" sheetId="9" r:id="rId1"/>
    <sheet name="Sheet3" sheetId="10" r:id="rId2"/>
    <sheet name="Store -Wise Wo Com&amp;MSN" sheetId="8" r:id="rId3"/>
    <sheet name="DCR" sheetId="1" r:id="rId4"/>
    <sheet name="Dashboard" sheetId="4" r:id="rId5"/>
    <sheet name="Sheet2" sheetId="2" state="hidden" r:id="rId6"/>
    <sheet name="Incentive Target MOM" sheetId="6" r:id="rId7"/>
    <sheet name="Target" sheetId="5" r:id="rId8"/>
  </sheets>
  <definedNames>
    <definedName name="_xlnm._FilterDatabase" localSheetId="3" hidden="1">DCR!$A$1:$AE$1374</definedName>
    <definedName name="_xlcn.WorksheetConnection_DCRQW1" hidden="1">DCR!$U:$AB</definedName>
    <definedName name="Dashboardtable">Dashboard!$A$1:$M$94</definedName>
    <definedName name="TargetTable">Sheet2!$A$1:$B$13</definedName>
  </definedNames>
  <calcPr calcId="191028"/>
  <pivotCaches>
    <pivotCache cacheId="0" r:id="rId9"/>
    <pivotCache cacheId="1" r:id="rId10"/>
    <pivotCache cacheId="5" r:id="rId11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DCR!$Q:$W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205" i="1" l="1"/>
  <c r="R1205" i="1"/>
  <c r="AB1204" i="1"/>
  <c r="R1204" i="1"/>
  <c r="AD1203" i="1"/>
  <c r="AD1197" i="1"/>
  <c r="AD1196" i="1"/>
  <c r="AD1195" i="1"/>
  <c r="AD1194" i="1"/>
  <c r="AD1190" i="1"/>
  <c r="AB1189" i="1"/>
  <c r="AB1187" i="1"/>
  <c r="AB1186" i="1"/>
  <c r="AB1185" i="1"/>
  <c r="AB1184" i="1"/>
  <c r="AB1181" i="1"/>
  <c r="AD1180" i="1"/>
  <c r="AD1179" i="1"/>
  <c r="AB1131" i="1"/>
  <c r="AB1188" i="1"/>
  <c r="AB1168" i="1"/>
  <c r="AB1107" i="1"/>
  <c r="R1182" i="1"/>
  <c r="AB1182" i="1"/>
  <c r="R1183" i="1"/>
  <c r="AB1183" i="1"/>
  <c r="AD1162" i="1"/>
  <c r="AB1162" i="1"/>
  <c r="R1162" i="1"/>
  <c r="AD1161" i="1"/>
  <c r="AB1161" i="1"/>
  <c r="R1161" i="1"/>
  <c r="AD1145" i="1"/>
  <c r="AB1145" i="1"/>
  <c r="J50" i="4" s="1"/>
  <c r="AD1144" i="1"/>
  <c r="AB1144" i="1"/>
  <c r="AD1143" i="1"/>
  <c r="AB1143" i="1"/>
  <c r="R1143" i="1"/>
  <c r="AD1142" i="1"/>
  <c r="AB1142" i="1"/>
  <c r="R1142" i="1"/>
  <c r="AD1141" i="1"/>
  <c r="AB1141" i="1"/>
  <c r="R1141" i="1"/>
  <c r="AD1140" i="1"/>
  <c r="AB1140" i="1"/>
  <c r="R1140" i="1"/>
  <c r="AD1139" i="1"/>
  <c r="AB1139" i="1"/>
  <c r="R1139" i="1"/>
  <c r="AD1138" i="1"/>
  <c r="AB1138" i="1"/>
  <c r="R1138" i="1"/>
  <c r="AD1137" i="1"/>
  <c r="AB1137" i="1"/>
  <c r="R1137" i="1"/>
  <c r="AB1136" i="1"/>
  <c r="AB1135" i="1"/>
  <c r="AB1134" i="1"/>
  <c r="R1134" i="1"/>
  <c r="AD891" i="1"/>
  <c r="AB891" i="1"/>
  <c r="R891" i="1"/>
  <c r="AD1118" i="1"/>
  <c r="AB1118" i="1"/>
  <c r="AD1121" i="1"/>
  <c r="AB1121" i="1"/>
  <c r="AD1126" i="1"/>
  <c r="AB1126" i="1"/>
  <c r="R1126" i="1"/>
  <c r="Q1126" i="1"/>
  <c r="AB1108" i="1"/>
  <c r="Q1107" i="1"/>
  <c r="R1107" i="1"/>
  <c r="Q1108" i="1"/>
  <c r="R1108" i="1"/>
  <c r="R1133" i="1"/>
  <c r="Q1133" i="1"/>
  <c r="R1132" i="1"/>
  <c r="Q1132" i="1"/>
  <c r="AD1129" i="1"/>
  <c r="AB1129" i="1"/>
  <c r="R1129" i="1"/>
  <c r="AD1128" i="1"/>
  <c r="AB1128" i="1"/>
  <c r="R1128" i="1"/>
  <c r="R96" i="6"/>
  <c r="Q96" i="6"/>
  <c r="K96" i="6"/>
  <c r="J96" i="6"/>
  <c r="I96" i="6"/>
  <c r="H96" i="6"/>
  <c r="G96" i="6"/>
  <c r="F96" i="6"/>
  <c r="E96" i="6"/>
  <c r="R95" i="6"/>
  <c r="Q95" i="6"/>
  <c r="P95" i="6"/>
  <c r="O95" i="6"/>
  <c r="N95" i="6"/>
  <c r="M95" i="6"/>
  <c r="L95" i="6"/>
  <c r="K95" i="6"/>
  <c r="J95" i="6"/>
  <c r="I95" i="6"/>
  <c r="H95" i="6"/>
  <c r="G95" i="6"/>
  <c r="F95" i="6"/>
  <c r="E95" i="6"/>
  <c r="D95" i="6"/>
  <c r="C95" i="6"/>
  <c r="B95" i="6"/>
  <c r="R94" i="6"/>
  <c r="Q94" i="6"/>
  <c r="P94" i="6"/>
  <c r="O94" i="6"/>
  <c r="N94" i="6"/>
  <c r="M94" i="6"/>
  <c r="L94" i="6"/>
  <c r="K94" i="6"/>
  <c r="J94" i="6"/>
  <c r="I94" i="6"/>
  <c r="H94" i="6"/>
  <c r="G94" i="6"/>
  <c r="F94" i="6"/>
  <c r="E94" i="6"/>
  <c r="D94" i="6"/>
  <c r="C94" i="6"/>
  <c r="B94" i="6"/>
  <c r="R93" i="6"/>
  <c r="Q93" i="6"/>
  <c r="P93" i="6"/>
  <c r="O93" i="6"/>
  <c r="N93" i="6"/>
  <c r="M93" i="6"/>
  <c r="L93" i="6"/>
  <c r="K93" i="6"/>
  <c r="J93" i="6"/>
  <c r="I93" i="6"/>
  <c r="H93" i="6"/>
  <c r="G93" i="6"/>
  <c r="F93" i="6"/>
  <c r="E93" i="6"/>
  <c r="D93" i="6"/>
  <c r="C93" i="6"/>
  <c r="B93" i="6"/>
  <c r="R92" i="6"/>
  <c r="Q92" i="6"/>
  <c r="P92" i="6"/>
  <c r="O92" i="6"/>
  <c r="N92" i="6"/>
  <c r="M92" i="6"/>
  <c r="L92" i="6"/>
  <c r="K92" i="6"/>
  <c r="J92" i="6"/>
  <c r="I92" i="6"/>
  <c r="H92" i="6"/>
  <c r="G92" i="6"/>
  <c r="F92" i="6"/>
  <c r="E92" i="6"/>
  <c r="D92" i="6"/>
  <c r="C92" i="6"/>
  <c r="B92" i="6"/>
  <c r="R91" i="6"/>
  <c r="Q91" i="6"/>
  <c r="P91" i="6"/>
  <c r="O91" i="6"/>
  <c r="N91" i="6"/>
  <c r="M91" i="6"/>
  <c r="L91" i="6"/>
  <c r="K91" i="6"/>
  <c r="J91" i="6"/>
  <c r="I91" i="6"/>
  <c r="H91" i="6"/>
  <c r="G91" i="6"/>
  <c r="F91" i="6"/>
  <c r="E91" i="6"/>
  <c r="D91" i="6"/>
  <c r="C91" i="6"/>
  <c r="B91" i="6"/>
  <c r="R87" i="6"/>
  <c r="Q87" i="6"/>
  <c r="P87" i="6"/>
  <c r="O87" i="6"/>
  <c r="N87" i="6"/>
  <c r="F87" i="6"/>
  <c r="E87" i="6"/>
  <c r="D87" i="6"/>
  <c r="C87" i="6"/>
  <c r="B87" i="6"/>
  <c r="R86" i="6"/>
  <c r="Q86" i="6"/>
  <c r="P86" i="6"/>
  <c r="O86" i="6"/>
  <c r="N86" i="6"/>
  <c r="M86" i="6"/>
  <c r="L86" i="6"/>
  <c r="K86" i="6"/>
  <c r="J86" i="6"/>
  <c r="I86" i="6"/>
  <c r="H86" i="6"/>
  <c r="G86" i="6"/>
  <c r="F86" i="6"/>
  <c r="E86" i="6"/>
  <c r="D86" i="6"/>
  <c r="C86" i="6"/>
  <c r="B86" i="6"/>
  <c r="R85" i="6"/>
  <c r="Q85" i="6"/>
  <c r="P85" i="6"/>
  <c r="O85" i="6"/>
  <c r="N85" i="6"/>
  <c r="M85" i="6"/>
  <c r="L85" i="6"/>
  <c r="K85" i="6"/>
  <c r="J85" i="6"/>
  <c r="I85" i="6"/>
  <c r="H85" i="6"/>
  <c r="G85" i="6"/>
  <c r="F85" i="6"/>
  <c r="E85" i="6"/>
  <c r="D85" i="6"/>
  <c r="C85" i="6"/>
  <c r="B85" i="6"/>
  <c r="R84" i="6"/>
  <c r="Q84" i="6"/>
  <c r="P84" i="6"/>
  <c r="O84" i="6"/>
  <c r="N84" i="6"/>
  <c r="M84" i="6"/>
  <c r="L84" i="6"/>
  <c r="K84" i="6"/>
  <c r="J84" i="6"/>
  <c r="I84" i="6"/>
  <c r="H84" i="6"/>
  <c r="G84" i="6"/>
  <c r="F84" i="6"/>
  <c r="E84" i="6"/>
  <c r="D84" i="6"/>
  <c r="C84" i="6"/>
  <c r="B84" i="6"/>
  <c r="R83" i="6"/>
  <c r="Q83" i="6"/>
  <c r="P83" i="6"/>
  <c r="O83" i="6"/>
  <c r="N83" i="6"/>
  <c r="M83" i="6"/>
  <c r="L83" i="6"/>
  <c r="K83" i="6"/>
  <c r="J83" i="6"/>
  <c r="I83" i="6"/>
  <c r="H83" i="6"/>
  <c r="G83" i="6"/>
  <c r="F83" i="6"/>
  <c r="E83" i="6"/>
  <c r="D83" i="6"/>
  <c r="C83" i="6"/>
  <c r="B83" i="6"/>
  <c r="R82" i="6"/>
  <c r="Q82" i="6"/>
  <c r="P82" i="6"/>
  <c r="O82" i="6"/>
  <c r="N82" i="6"/>
  <c r="M82" i="6"/>
  <c r="L82" i="6"/>
  <c r="K82" i="6"/>
  <c r="J82" i="6"/>
  <c r="I82" i="6"/>
  <c r="H82" i="6"/>
  <c r="G82" i="6"/>
  <c r="F82" i="6"/>
  <c r="E82" i="6"/>
  <c r="D82" i="6"/>
  <c r="C82" i="6"/>
  <c r="B82" i="6"/>
  <c r="R75" i="6"/>
  <c r="Q75" i="6"/>
  <c r="P75" i="6"/>
  <c r="O75" i="6"/>
  <c r="N75" i="6"/>
  <c r="M75" i="6"/>
  <c r="L75" i="6"/>
  <c r="K75" i="6"/>
  <c r="J75" i="6"/>
  <c r="I75" i="6"/>
  <c r="H75" i="6"/>
  <c r="G75" i="6"/>
  <c r="F75" i="6"/>
  <c r="E75" i="6"/>
  <c r="D75" i="6"/>
  <c r="C75" i="6"/>
  <c r="B75" i="6"/>
  <c r="R74" i="6"/>
  <c r="Q74" i="6"/>
  <c r="P74" i="6"/>
  <c r="P96" i="6"/>
  <c r="O74" i="6"/>
  <c r="O96" i="6"/>
  <c r="N74" i="6"/>
  <c r="N96" i="6"/>
  <c r="M74" i="6"/>
  <c r="M96" i="6"/>
  <c r="L74" i="6"/>
  <c r="L87" i="6"/>
  <c r="K74" i="6"/>
  <c r="K87" i="6"/>
  <c r="J74" i="6"/>
  <c r="J87" i="6"/>
  <c r="I74" i="6"/>
  <c r="I87" i="6"/>
  <c r="H74" i="6"/>
  <c r="H87" i="6"/>
  <c r="G74" i="6"/>
  <c r="G87" i="6"/>
  <c r="F74" i="6"/>
  <c r="E74" i="6"/>
  <c r="D74" i="6"/>
  <c r="D96" i="6"/>
  <c r="C74" i="6"/>
  <c r="C96" i="6"/>
  <c r="B74" i="6"/>
  <c r="B96" i="6"/>
  <c r="R8" i="5"/>
  <c r="AJ4" i="5"/>
  <c r="AI4" i="5"/>
  <c r="AG4" i="5"/>
  <c r="AI3" i="5"/>
  <c r="BA3" i="5"/>
  <c r="AG3" i="5"/>
  <c r="AF4" i="5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3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1083" i="1"/>
  <c r="AB883" i="1"/>
  <c r="AB884" i="1"/>
  <c r="AB885" i="1"/>
  <c r="AB886" i="1"/>
  <c r="AB887" i="1"/>
  <c r="AB888" i="1"/>
  <c r="AB889" i="1"/>
  <c r="AB890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9" i="1"/>
  <c r="AB1110" i="1"/>
  <c r="AB1111" i="1"/>
  <c r="AB1112" i="1"/>
  <c r="AB1113" i="1"/>
  <c r="AB1114" i="1"/>
  <c r="AB1115" i="1"/>
  <c r="AB1116" i="1"/>
  <c r="AB1117" i="1"/>
  <c r="AB1119" i="1"/>
  <c r="AB1120" i="1"/>
  <c r="AB1122" i="1"/>
  <c r="AB1123" i="1"/>
  <c r="AB1124" i="1"/>
  <c r="AB1125" i="1"/>
  <c r="AB1127" i="1"/>
  <c r="AB1132" i="1"/>
  <c r="AB1133" i="1"/>
  <c r="AB1146" i="1"/>
  <c r="AD1106" i="1"/>
  <c r="R1106" i="1"/>
  <c r="Q1106" i="1"/>
  <c r="AD1105" i="1"/>
  <c r="R1105" i="1"/>
  <c r="Q1105" i="1"/>
  <c r="AD1066" i="1"/>
  <c r="R1066" i="1"/>
  <c r="Q1066" i="1"/>
  <c r="AD1065" i="1"/>
  <c r="R1065" i="1"/>
  <c r="Q1065" i="1"/>
  <c r="AD1030" i="1"/>
  <c r="R1030" i="1"/>
  <c r="Q1030" i="1"/>
  <c r="AD1029" i="1"/>
  <c r="R1029" i="1"/>
  <c r="Q1029" i="1"/>
  <c r="AD975" i="1"/>
  <c r="R975" i="1"/>
  <c r="Q975" i="1"/>
  <c r="AD974" i="1"/>
  <c r="R974" i="1"/>
  <c r="Q974" i="1"/>
  <c r="AD1101" i="1"/>
  <c r="R1101" i="1"/>
  <c r="AD1100" i="1"/>
  <c r="R1100" i="1"/>
  <c r="AD1077" i="1"/>
  <c r="AD1056" i="1"/>
  <c r="AD1076" i="1"/>
  <c r="AD973" i="1"/>
  <c r="AD972" i="1"/>
  <c r="AD1071" i="1"/>
  <c r="AD1070" i="1"/>
  <c r="R1018" i="1"/>
  <c r="R1017" i="1"/>
  <c r="AD957" i="1"/>
  <c r="R957" i="1"/>
  <c r="AD956" i="1"/>
  <c r="R956" i="1"/>
  <c r="AD955" i="1"/>
  <c r="R955" i="1"/>
  <c r="AD954" i="1"/>
  <c r="R954" i="1"/>
  <c r="AD953" i="1"/>
  <c r="R953" i="1"/>
  <c r="AD952" i="1"/>
  <c r="R952" i="1"/>
  <c r="AD951" i="1"/>
  <c r="R951" i="1"/>
  <c r="AD950" i="1"/>
  <c r="R950" i="1"/>
  <c r="AD949" i="1"/>
  <c r="R949" i="1"/>
  <c r="R946" i="1"/>
  <c r="R961" i="1"/>
  <c r="R960" i="1"/>
  <c r="AD935" i="1"/>
  <c r="R935" i="1"/>
  <c r="R932" i="1"/>
  <c r="Q807" i="1"/>
  <c r="R807" i="1"/>
  <c r="AD807" i="1"/>
  <c r="Q849" i="1"/>
  <c r="R849" i="1"/>
  <c r="AD849" i="1"/>
  <c r="Q876" i="1"/>
  <c r="R876" i="1"/>
  <c r="AD876" i="1"/>
  <c r="Q918" i="1"/>
  <c r="R918" i="1"/>
  <c r="AD918" i="1"/>
  <c r="Q806" i="1"/>
  <c r="R806" i="1"/>
  <c r="AD806" i="1"/>
  <c r="Q848" i="1"/>
  <c r="R848" i="1"/>
  <c r="AD848" i="1"/>
  <c r="Q875" i="1"/>
  <c r="R875" i="1"/>
  <c r="AD875" i="1"/>
  <c r="Q917" i="1"/>
  <c r="R917" i="1"/>
  <c r="AD917" i="1"/>
  <c r="AD914" i="1"/>
  <c r="R914" i="1"/>
  <c r="AD913" i="1"/>
  <c r="R913" i="1"/>
  <c r="R868" i="1"/>
  <c r="R867" i="1"/>
  <c r="AD833" i="1"/>
  <c r="AD840" i="1"/>
  <c r="R840" i="1"/>
  <c r="AD824" i="1"/>
  <c r="R824" i="1"/>
  <c r="R823" i="1"/>
  <c r="AD805" i="1"/>
  <c r="R805" i="1"/>
  <c r="AD838" i="1"/>
  <c r="R838" i="1"/>
  <c r="AD847" i="1"/>
  <c r="R847" i="1"/>
  <c r="AD814" i="1"/>
  <c r="R814" i="1"/>
  <c r="AD804" i="1"/>
  <c r="R804" i="1"/>
  <c r="AD795" i="1"/>
  <c r="R795" i="1"/>
  <c r="J12" i="5"/>
  <c r="R845" i="1"/>
  <c r="R844" i="1"/>
  <c r="AD830" i="1"/>
  <c r="AD828" i="1"/>
  <c r="AD827" i="1"/>
  <c r="AD801" i="1"/>
  <c r="R801" i="1"/>
  <c r="Q801" i="1"/>
  <c r="AD783" i="1"/>
  <c r="R783" i="1"/>
  <c r="Q783" i="1"/>
  <c r="R782" i="1"/>
  <c r="R781" i="1"/>
  <c r="R780" i="1"/>
  <c r="R779" i="1"/>
  <c r="R778" i="1"/>
  <c r="R777" i="1"/>
  <c r="R776" i="1"/>
  <c r="R775" i="1"/>
  <c r="R774" i="1"/>
  <c r="R773" i="1"/>
  <c r="R798" i="1"/>
  <c r="R797" i="1"/>
  <c r="Q746" i="1"/>
  <c r="R746" i="1"/>
  <c r="AD746" i="1"/>
  <c r="AD704" i="1"/>
  <c r="R704" i="1"/>
  <c r="Q704" i="1"/>
  <c r="AD767" i="1"/>
  <c r="R767" i="1"/>
  <c r="Q767" i="1"/>
  <c r="AD765" i="1"/>
  <c r="R765" i="1"/>
  <c r="Q765" i="1"/>
  <c r="AD797" i="1"/>
  <c r="AD798" i="1"/>
  <c r="R757" i="1"/>
  <c r="Q757" i="1"/>
  <c r="L3" i="4"/>
  <c r="J8" i="4"/>
  <c r="J7" i="4"/>
  <c r="BD7" i="5"/>
  <c r="BC7" i="5"/>
  <c r="BB7" i="5"/>
  <c r="BA7" i="5"/>
  <c r="AZ7" i="5"/>
  <c r="AY7" i="5"/>
  <c r="AX7" i="5"/>
  <c r="AW7" i="5"/>
  <c r="AV7" i="5"/>
  <c r="AU7" i="5"/>
  <c r="AT7" i="5"/>
  <c r="AS7" i="5"/>
  <c r="BD6" i="5"/>
  <c r="BC6" i="5"/>
  <c r="BB6" i="5"/>
  <c r="BA6" i="5"/>
  <c r="AZ6" i="5"/>
  <c r="AY6" i="5"/>
  <c r="AX6" i="5"/>
  <c r="AW6" i="5"/>
  <c r="AV6" i="5"/>
  <c r="AU6" i="5"/>
  <c r="AT6" i="5"/>
  <c r="AS6" i="5"/>
  <c r="BD5" i="5"/>
  <c r="BC5" i="5"/>
  <c r="BB5" i="5"/>
  <c r="BA5" i="5"/>
  <c r="AZ5" i="5"/>
  <c r="AY5" i="5"/>
  <c r="AX5" i="5"/>
  <c r="AW5" i="5"/>
  <c r="AV5" i="5"/>
  <c r="AU5" i="5"/>
  <c r="AT5" i="5"/>
  <c r="AS5" i="5"/>
  <c r="BA4" i="5"/>
  <c r="AY4" i="5"/>
  <c r="AX4" i="5"/>
  <c r="AW4" i="5"/>
  <c r="AV4" i="5"/>
  <c r="AU4" i="5"/>
  <c r="AT4" i="5"/>
  <c r="AS4" i="5"/>
  <c r="BD3" i="5"/>
  <c r="BC3" i="5"/>
  <c r="BB3" i="5"/>
  <c r="AX3" i="5"/>
  <c r="AW3" i="5"/>
  <c r="AV3" i="5"/>
  <c r="AU3" i="5"/>
  <c r="AT3" i="5"/>
  <c r="AK7" i="5"/>
  <c r="AJ7" i="5"/>
  <c r="AI7" i="5"/>
  <c r="AH7" i="5"/>
  <c r="AG7" i="5"/>
  <c r="AF7" i="5"/>
  <c r="AE7" i="5"/>
  <c r="AD7" i="5"/>
  <c r="AC7" i="5"/>
  <c r="AB7" i="5"/>
  <c r="AA7" i="5"/>
  <c r="Z7" i="5"/>
  <c r="AK6" i="5"/>
  <c r="AJ6" i="5"/>
  <c r="AI6" i="5"/>
  <c r="AH6" i="5"/>
  <c r="AG6" i="5"/>
  <c r="AF6" i="5"/>
  <c r="AE6" i="5"/>
  <c r="AD6" i="5"/>
  <c r="AC6" i="5"/>
  <c r="AB6" i="5"/>
  <c r="AA6" i="5"/>
  <c r="Z6" i="5"/>
  <c r="AK5" i="5"/>
  <c r="AJ5" i="5"/>
  <c r="AI5" i="5"/>
  <c r="AH5" i="5"/>
  <c r="AG5" i="5"/>
  <c r="AF5" i="5"/>
  <c r="AE5" i="5"/>
  <c r="AD5" i="5"/>
  <c r="AC5" i="5"/>
  <c r="AB5" i="5"/>
  <c r="AA5" i="5"/>
  <c r="Z5" i="5"/>
  <c r="AH4" i="5"/>
  <c r="AE4" i="5"/>
  <c r="AD4" i="5"/>
  <c r="AC4" i="5"/>
  <c r="AB4" i="5"/>
  <c r="AA4" i="5"/>
  <c r="Z4" i="5"/>
  <c r="AK3" i="5"/>
  <c r="AJ3" i="5"/>
  <c r="AE3" i="5"/>
  <c r="AD3" i="5"/>
  <c r="AC3" i="5"/>
  <c r="AB3" i="5"/>
  <c r="AA3" i="5"/>
  <c r="O8" i="5"/>
  <c r="L8" i="5"/>
  <c r="K8" i="5"/>
  <c r="J8" i="5"/>
  <c r="I8" i="5"/>
  <c r="H8" i="5"/>
  <c r="G8" i="5"/>
  <c r="F8" i="5"/>
  <c r="E8" i="5"/>
  <c r="D8" i="5"/>
  <c r="C8" i="5"/>
  <c r="B8" i="5"/>
  <c r="S7" i="5"/>
  <c r="R756" i="1"/>
  <c r="Q756" i="1"/>
  <c r="R760" i="1"/>
  <c r="Q760" i="1"/>
  <c r="R700" i="1"/>
  <c r="Q700" i="1"/>
  <c r="AD1266" i="1"/>
  <c r="R495" i="1"/>
  <c r="AD1265" i="1"/>
  <c r="R721" i="1"/>
  <c r="AD1264" i="1"/>
  <c r="R738" i="1"/>
  <c r="AD1263" i="1"/>
  <c r="R737" i="1"/>
  <c r="AD1262" i="1"/>
  <c r="R729" i="1"/>
  <c r="AD1261" i="1"/>
  <c r="R720" i="1"/>
  <c r="AD1260" i="1"/>
  <c r="R710" i="1"/>
  <c r="AD1259" i="1"/>
  <c r="R759" i="1"/>
  <c r="AD1258" i="1"/>
  <c r="R750" i="1"/>
  <c r="R736" i="1"/>
  <c r="Q736" i="1"/>
  <c r="R754" i="1"/>
  <c r="R753" i="1"/>
  <c r="R718" i="1"/>
  <c r="Q718" i="1"/>
  <c r="R717" i="1"/>
  <c r="Q717" i="1"/>
  <c r="R683" i="1"/>
  <c r="Q683" i="1"/>
  <c r="R682" i="1"/>
  <c r="Q682" i="1"/>
  <c r="Q627" i="1"/>
  <c r="R627" i="1"/>
  <c r="Q628" i="1"/>
  <c r="R628" i="1"/>
  <c r="Q567" i="1"/>
  <c r="R567" i="1"/>
  <c r="Q568" i="1"/>
  <c r="R568" i="1"/>
  <c r="R733" i="1"/>
  <c r="Q733" i="1"/>
  <c r="R732" i="1"/>
  <c r="Q732" i="1"/>
  <c r="R723" i="1"/>
  <c r="Q723" i="1"/>
  <c r="R714" i="1"/>
  <c r="R713" i="1"/>
  <c r="R711" i="1"/>
  <c r="Q711" i="1"/>
  <c r="R705" i="1"/>
  <c r="Q705" i="1"/>
  <c r="R697" i="1"/>
  <c r="Q697" i="1"/>
  <c r="R691" i="1"/>
  <c r="Q691" i="1"/>
  <c r="AD693" i="1"/>
  <c r="R693" i="1"/>
  <c r="AD689" i="1"/>
  <c r="R689" i="1"/>
  <c r="AD681" i="1"/>
  <c r="R681" i="1"/>
  <c r="AD688" i="1"/>
  <c r="R688" i="1"/>
  <c r="Q688" i="1"/>
  <c r="AD696" i="1"/>
  <c r="R696" i="1"/>
  <c r="AD680" i="1"/>
  <c r="R680" i="1"/>
  <c r="AD687" i="1"/>
  <c r="R687" i="1"/>
  <c r="R675" i="1"/>
  <c r="Q675" i="1"/>
  <c r="R672" i="1"/>
  <c r="R671" i="1"/>
  <c r="R667" i="1"/>
  <c r="Q667" i="1"/>
  <c r="R658" i="1"/>
  <c r="Q658" i="1"/>
  <c r="R657" i="1"/>
  <c r="Q657" i="1"/>
  <c r="R654" i="1"/>
  <c r="Q654" i="1"/>
  <c r="R655" i="1"/>
  <c r="Q655" i="1"/>
  <c r="R653" i="1"/>
  <c r="Q653" i="1"/>
  <c r="R645" i="1"/>
  <c r="Q645" i="1"/>
  <c r="AD648" i="1"/>
  <c r="R648" i="1"/>
  <c r="AD646" i="1"/>
  <c r="R646" i="1"/>
  <c r="R647" i="1"/>
  <c r="Q647" i="1"/>
  <c r="AD585" i="1"/>
  <c r="R585" i="1"/>
  <c r="AD622" i="1"/>
  <c r="R622" i="1"/>
  <c r="R634" i="1"/>
  <c r="Q634" i="1"/>
  <c r="R633" i="1"/>
  <c r="Q633" i="1"/>
  <c r="R630" i="1"/>
  <c r="R629" i="1"/>
  <c r="Q620" i="1"/>
  <c r="R620" i="1"/>
  <c r="Q621" i="1"/>
  <c r="R621" i="1"/>
  <c r="AD550" i="1"/>
  <c r="R550" i="1"/>
  <c r="Q550" i="1"/>
  <c r="R615" i="1"/>
  <c r="Q615" i="1"/>
  <c r="R614" i="1"/>
  <c r="Q614" i="1"/>
  <c r="R586" i="1"/>
  <c r="Q586" i="1"/>
  <c r="R584" i="1"/>
  <c r="Q584" i="1"/>
  <c r="R583" i="1"/>
  <c r="Q583" i="1"/>
  <c r="AD582" i="1"/>
  <c r="R582" i="1"/>
  <c r="AD581" i="1"/>
  <c r="R581" i="1"/>
  <c r="AD580" i="1"/>
  <c r="R580" i="1"/>
  <c r="AD579" i="1"/>
  <c r="R579" i="1"/>
  <c r="AD578" i="1"/>
  <c r="R578" i="1"/>
  <c r="AD577" i="1"/>
  <c r="R577" i="1"/>
  <c r="AD576" i="1"/>
  <c r="R576" i="1"/>
  <c r="AD575" i="1"/>
  <c r="R575" i="1"/>
  <c r="AD574" i="1"/>
  <c r="R574" i="1"/>
  <c r="AD573" i="1"/>
  <c r="R573" i="1"/>
  <c r="AD572" i="1"/>
  <c r="R572" i="1"/>
  <c r="AD606" i="1"/>
  <c r="R606" i="1"/>
  <c r="AD597" i="1"/>
  <c r="R597" i="1"/>
  <c r="Q597" i="1"/>
  <c r="AD596" i="1"/>
  <c r="R596" i="1"/>
  <c r="AD595" i="1"/>
  <c r="R595" i="1"/>
  <c r="AD594" i="1"/>
  <c r="R594" i="1"/>
  <c r="Q594" i="1"/>
  <c r="AD588" i="1"/>
  <c r="R588" i="1"/>
  <c r="AD587" i="1"/>
  <c r="R587" i="1"/>
  <c r="A3" i="4"/>
  <c r="AD566" i="1"/>
  <c r="R566" i="1"/>
  <c r="AD565" i="1"/>
  <c r="R565" i="1"/>
  <c r="AD563" i="1"/>
  <c r="R563" i="1"/>
  <c r="AD562" i="1"/>
  <c r="R562" i="1"/>
  <c r="AD559" i="1"/>
  <c r="R559" i="1"/>
  <c r="AD560" i="1"/>
  <c r="R560" i="1"/>
  <c r="Q560" i="1"/>
  <c r="AD554" i="1"/>
  <c r="R554" i="1"/>
  <c r="R200" i="1"/>
  <c r="Q200" i="1"/>
  <c r="AD546" i="1"/>
  <c r="R546" i="1"/>
  <c r="Q546" i="1"/>
  <c r="Q524" i="1"/>
  <c r="R524" i="1"/>
  <c r="Q525" i="1"/>
  <c r="R525" i="1"/>
  <c r="R502" i="1"/>
  <c r="Q502" i="1"/>
  <c r="R473" i="1"/>
  <c r="Q473" i="1"/>
  <c r="R431" i="1"/>
  <c r="Q431" i="1"/>
  <c r="AD545" i="1"/>
  <c r="R545" i="1"/>
  <c r="Q545" i="1"/>
  <c r="R335" i="1"/>
  <c r="Q335" i="1"/>
  <c r="R269" i="1"/>
  <c r="Q269" i="1"/>
  <c r="R268" i="1"/>
  <c r="Q268" i="1"/>
  <c r="R334" i="1"/>
  <c r="Q334" i="1"/>
  <c r="AD535" i="1"/>
  <c r="R535" i="1"/>
  <c r="AD528" i="1"/>
  <c r="R528" i="1"/>
  <c r="AD527" i="1"/>
  <c r="R527" i="1"/>
  <c r="AD526" i="1"/>
  <c r="R526" i="1"/>
  <c r="AD513" i="1"/>
  <c r="R513" i="1"/>
  <c r="AD512" i="1"/>
  <c r="R512" i="1"/>
  <c r="AD511" i="1"/>
  <c r="R511" i="1"/>
  <c r="AD430" i="1"/>
  <c r="R430" i="1"/>
  <c r="Q430" i="1"/>
  <c r="AD472" i="1"/>
  <c r="R472" i="1"/>
  <c r="Q472" i="1"/>
  <c r="AD501" i="1"/>
  <c r="R501" i="1"/>
  <c r="Q501" i="1"/>
  <c r="AD506" i="1"/>
  <c r="R506" i="1"/>
  <c r="AD500" i="1"/>
  <c r="R500" i="1"/>
  <c r="AD499" i="1"/>
  <c r="R499" i="1"/>
  <c r="AD498" i="1"/>
  <c r="R498" i="1"/>
  <c r="AD483" i="1"/>
  <c r="R483" i="1"/>
  <c r="Q483" i="1"/>
  <c r="AD485" i="1"/>
  <c r="AD479" i="1"/>
  <c r="R479" i="1"/>
  <c r="AD478" i="1"/>
  <c r="AD471" i="1"/>
  <c r="R471" i="1"/>
  <c r="AD470" i="1"/>
  <c r="AD464" i="1"/>
  <c r="R464" i="1"/>
  <c r="AD463" i="1"/>
  <c r="R463" i="1"/>
  <c r="Q463" i="1"/>
  <c r="AD462" i="1"/>
  <c r="R462" i="1"/>
  <c r="AD461" i="1"/>
  <c r="R461" i="1"/>
  <c r="AD457" i="1"/>
  <c r="AD446" i="1"/>
  <c r="J49" i="4"/>
  <c r="AD434" i="1"/>
  <c r="R424" i="1"/>
  <c r="AD423" i="1"/>
  <c r="R423" i="1"/>
  <c r="AD422" i="1"/>
  <c r="R422" i="1"/>
  <c r="AD421" i="1"/>
  <c r="R421" i="1"/>
  <c r="AD420" i="1"/>
  <c r="R420" i="1"/>
  <c r="AD419" i="1"/>
  <c r="R419" i="1"/>
  <c r="AD418" i="1"/>
  <c r="R418" i="1"/>
  <c r="Q418" i="1"/>
  <c r="AD415" i="1"/>
  <c r="R415" i="1"/>
  <c r="AD410" i="1"/>
  <c r="R410" i="1"/>
  <c r="AD409" i="1"/>
  <c r="R409" i="1"/>
  <c r="Q409" i="1"/>
  <c r="X4" i="4"/>
  <c r="AD401" i="1"/>
  <c r="R401" i="1"/>
  <c r="AD400" i="1"/>
  <c r="R400" i="1"/>
  <c r="AD399" i="1"/>
  <c r="R399" i="1"/>
  <c r="AD398" i="1"/>
  <c r="R398" i="1"/>
  <c r="AD397" i="1"/>
  <c r="R397" i="1"/>
  <c r="AD396" i="1"/>
  <c r="R396" i="1"/>
  <c r="AD395" i="1"/>
  <c r="R395" i="1"/>
  <c r="AD394" i="1"/>
  <c r="R394" i="1"/>
  <c r="AD393" i="1"/>
  <c r="R393" i="1"/>
  <c r="AD392" i="1"/>
  <c r="R392" i="1"/>
  <c r="AD391" i="1"/>
  <c r="R391" i="1"/>
  <c r="AD390" i="1"/>
  <c r="R390" i="1"/>
  <c r="AD389" i="1"/>
  <c r="R389" i="1"/>
  <c r="Q389" i="1"/>
  <c r="Q386" i="1"/>
  <c r="R386" i="1"/>
  <c r="AD384" i="1"/>
  <c r="R384" i="1"/>
  <c r="Q384" i="1"/>
  <c r="AD383" i="1"/>
  <c r="R383" i="1"/>
  <c r="Q383" i="1"/>
  <c r="AD382" i="1"/>
  <c r="R382" i="1"/>
  <c r="Q382" i="1"/>
  <c r="AD333" i="1"/>
  <c r="R333" i="1"/>
  <c r="Q333" i="1"/>
  <c r="AD323" i="1"/>
  <c r="AD376" i="1"/>
  <c r="R376" i="1"/>
  <c r="Q376" i="1"/>
  <c r="AD375" i="1"/>
  <c r="R375" i="1"/>
  <c r="Q375" i="1"/>
  <c r="AD374" i="1"/>
  <c r="R374" i="1"/>
  <c r="Q374" i="1"/>
  <c r="AD373" i="1"/>
  <c r="R373" i="1"/>
  <c r="Q373" i="1"/>
  <c r="AD372" i="1"/>
  <c r="R372" i="1"/>
  <c r="Q372" i="1"/>
  <c r="AD371" i="1"/>
  <c r="R371" i="1"/>
  <c r="Q371" i="1"/>
  <c r="AD369" i="1"/>
  <c r="R369" i="1"/>
  <c r="Q369" i="1"/>
  <c r="AD364" i="1"/>
  <c r="R364" i="1"/>
  <c r="Q364" i="1"/>
  <c r="AD362" i="1"/>
  <c r="R362" i="1"/>
  <c r="Q362" i="1"/>
  <c r="AD361" i="1"/>
  <c r="R361" i="1"/>
  <c r="Q361" i="1"/>
  <c r="AD357" i="1"/>
  <c r="R357" i="1"/>
  <c r="Q357" i="1"/>
  <c r="AD356" i="1"/>
  <c r="R356" i="1"/>
  <c r="Q356" i="1"/>
  <c r="AD344" i="1"/>
  <c r="R344" i="1"/>
  <c r="Q344" i="1"/>
  <c r="AD355" i="1"/>
  <c r="R355" i="1"/>
  <c r="Q355" i="1"/>
  <c r="S5" i="5"/>
  <c r="S6" i="5"/>
  <c r="W9" i="5"/>
  <c r="AB9" i="5"/>
  <c r="W10" i="5"/>
  <c r="AW8" i="5"/>
  <c r="AS3" i="5"/>
  <c r="AE8" i="5"/>
  <c r="AC8" i="5"/>
  <c r="Z3" i="5"/>
  <c r="AD350" i="1"/>
  <c r="R350" i="1"/>
  <c r="Q350" i="1"/>
  <c r="AD349" i="1"/>
  <c r="R349" i="1"/>
  <c r="Q349" i="1"/>
  <c r="R343" i="1"/>
  <c r="Q343" i="1"/>
  <c r="AD342" i="1"/>
  <c r="R342" i="1"/>
  <c r="AD341" i="1"/>
  <c r="R341" i="1"/>
  <c r="Q341" i="1"/>
  <c r="AD336" i="1"/>
  <c r="AD327" i="1"/>
  <c r="R327" i="1"/>
  <c r="Q327" i="1"/>
  <c r="AD326" i="1"/>
  <c r="R326" i="1"/>
  <c r="Q326" i="1"/>
  <c r="AD325" i="1"/>
  <c r="R325" i="1"/>
  <c r="Q325" i="1"/>
  <c r="Q323" i="1"/>
  <c r="Q322" i="1"/>
  <c r="Q321" i="1"/>
  <c r="Q320" i="1"/>
  <c r="R323" i="1"/>
  <c r="AD322" i="1"/>
  <c r="R322" i="1"/>
  <c r="AD321" i="1"/>
  <c r="R321" i="1"/>
  <c r="R313" i="1"/>
  <c r="Q313" i="1"/>
  <c r="AD304" i="1"/>
  <c r="R304" i="1"/>
  <c r="Q304" i="1"/>
  <c r="AD306" i="1"/>
  <c r="R306" i="1"/>
  <c r="Q306" i="1"/>
  <c r="AD302" i="1"/>
  <c r="R302" i="1"/>
  <c r="Q302" i="1"/>
  <c r="AD294" i="1"/>
  <c r="R294" i="1"/>
  <c r="Q294" i="1"/>
  <c r="C21" i="4"/>
  <c r="R179" i="1"/>
  <c r="R800" i="1"/>
  <c r="R761" i="1"/>
  <c r="R684" i="1"/>
  <c r="R670" i="1"/>
  <c r="R664" i="1"/>
  <c r="R719" i="1"/>
  <c r="R758" i="1"/>
  <c r="R709" i="1"/>
  <c r="R749" i="1"/>
  <c r="R748" i="1"/>
  <c r="R745" i="1"/>
  <c r="R747" i="1"/>
  <c r="R744" i="1"/>
  <c r="R743" i="1"/>
  <c r="R742" i="1"/>
  <c r="R741" i="1"/>
  <c r="R740" i="1"/>
  <c r="R739" i="1"/>
  <c r="R735" i="1"/>
  <c r="R734" i="1"/>
  <c r="R728" i="1"/>
  <c r="R725" i="1"/>
  <c r="R722" i="1"/>
  <c r="R716" i="1"/>
  <c r="R715" i="1"/>
  <c r="R703" i="1"/>
  <c r="R702" i="1"/>
  <c r="R701" i="1"/>
  <c r="R699" i="1"/>
  <c r="R663" i="1"/>
  <c r="R662" i="1"/>
  <c r="R686" i="1"/>
  <c r="R685" i="1"/>
  <c r="R679" i="1"/>
  <c r="R678" i="1"/>
  <c r="R661" i="1"/>
  <c r="R660" i="1"/>
  <c r="R659" i="1"/>
  <c r="R652" i="1"/>
  <c r="R651" i="1"/>
  <c r="R644" i="1"/>
  <c r="R643" i="1"/>
  <c r="R637" i="1"/>
  <c r="R636" i="1"/>
  <c r="R626" i="1"/>
  <c r="R625" i="1"/>
  <c r="R617" i="1"/>
  <c r="R616" i="1"/>
  <c r="R624" i="1"/>
  <c r="R623" i="1"/>
  <c r="R639" i="1"/>
  <c r="R638" i="1"/>
  <c r="R635" i="1"/>
  <c r="R632" i="1"/>
  <c r="R619" i="1"/>
  <c r="R618" i="1"/>
  <c r="R613" i="1"/>
  <c r="R612" i="1"/>
  <c r="R611" i="1"/>
  <c r="R610" i="1"/>
  <c r="R608" i="1"/>
  <c r="R607" i="1"/>
  <c r="R589" i="1"/>
  <c r="R571" i="1"/>
  <c r="R570" i="1"/>
  <c r="R569" i="1"/>
  <c r="R564" i="1"/>
  <c r="R561" i="1"/>
  <c r="R553" i="1"/>
  <c r="R552" i="1"/>
  <c r="R551" i="1"/>
  <c r="R549" i="1"/>
  <c r="R548" i="1"/>
  <c r="R547" i="1"/>
  <c r="R543" i="1"/>
  <c r="R542" i="1"/>
  <c r="R541" i="1"/>
  <c r="R540" i="1"/>
  <c r="R534" i="1"/>
  <c r="R519" i="1"/>
  <c r="R518" i="1"/>
  <c r="R517" i="1"/>
  <c r="R516" i="1"/>
  <c r="R515" i="1"/>
  <c r="R514" i="1"/>
  <c r="R510" i="1"/>
  <c r="R509" i="1"/>
  <c r="R508" i="1"/>
  <c r="R507" i="1"/>
  <c r="R505" i="1"/>
  <c r="R504" i="1"/>
  <c r="R503" i="1"/>
  <c r="R497" i="1"/>
  <c r="R496" i="1"/>
  <c r="R494" i="1"/>
  <c r="R493" i="1"/>
  <c r="R492" i="1"/>
  <c r="R491" i="1"/>
  <c r="R490" i="1"/>
  <c r="R489" i="1"/>
  <c r="R488" i="1"/>
  <c r="R486" i="1"/>
  <c r="R480" i="1"/>
  <c r="R477" i="1"/>
  <c r="R476" i="1"/>
  <c r="R475" i="1"/>
  <c r="R474" i="1"/>
  <c r="R469" i="1"/>
  <c r="R468" i="1"/>
  <c r="R467" i="1"/>
  <c r="R466" i="1"/>
  <c r="R465" i="1"/>
  <c r="R460" i="1"/>
  <c r="R458" i="1"/>
  <c r="R455" i="1"/>
  <c r="R454" i="1"/>
  <c r="R453" i="1"/>
  <c r="R452" i="1"/>
  <c r="R451" i="1"/>
  <c r="R450" i="1"/>
  <c r="R445" i="1"/>
  <c r="R444" i="1"/>
  <c r="R443" i="1"/>
  <c r="R442" i="1"/>
  <c r="R441" i="1"/>
  <c r="R440" i="1"/>
  <c r="R429" i="1"/>
  <c r="R428" i="1"/>
  <c r="R438" i="1"/>
  <c r="R437" i="1"/>
  <c r="R436" i="1"/>
  <c r="R435" i="1"/>
  <c r="R433" i="1"/>
  <c r="R432" i="1"/>
  <c r="R426" i="1"/>
  <c r="R414" i="1"/>
  <c r="R417" i="1"/>
  <c r="R416" i="1"/>
  <c r="R407" i="1"/>
  <c r="R406" i="1"/>
  <c r="R405" i="1"/>
  <c r="R404" i="1"/>
  <c r="R403" i="1"/>
  <c r="R402" i="1"/>
  <c r="R388" i="1"/>
  <c r="R385" i="1"/>
  <c r="R381" i="1"/>
  <c r="R380" i="1"/>
  <c r="R379" i="1"/>
  <c r="R378" i="1"/>
  <c r="R377" i="1"/>
  <c r="R370" i="1"/>
  <c r="R368" i="1"/>
  <c r="R367" i="1"/>
  <c r="R366" i="1"/>
  <c r="R365" i="1"/>
  <c r="R359" i="1"/>
  <c r="R358" i="1"/>
  <c r="R351" i="1"/>
  <c r="R348" i="1"/>
  <c r="R347" i="1"/>
  <c r="R346" i="1"/>
  <c r="R345" i="1"/>
  <c r="R340" i="1"/>
  <c r="R339" i="1"/>
  <c r="R338" i="1"/>
  <c r="R337" i="1"/>
  <c r="R332" i="1"/>
  <c r="R329" i="1"/>
  <c r="R328" i="1"/>
  <c r="R311" i="1"/>
  <c r="R320" i="1"/>
  <c r="R319" i="1"/>
  <c r="R318" i="1"/>
  <c r="R317" i="1"/>
  <c r="R316" i="1"/>
  <c r="R315" i="1"/>
  <c r="R314" i="1"/>
  <c r="R310" i="1"/>
  <c r="R309" i="1"/>
  <c r="R308" i="1"/>
  <c r="R307" i="1"/>
  <c r="R301" i="1"/>
  <c r="R300" i="1"/>
  <c r="R299" i="1"/>
  <c r="R298" i="1"/>
  <c r="R297" i="1"/>
  <c r="R296" i="1"/>
  <c r="R295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7" i="1"/>
  <c r="R266" i="1"/>
  <c r="R265" i="1"/>
  <c r="R264" i="1"/>
  <c r="R263" i="1"/>
  <c r="R262" i="1"/>
  <c r="R261" i="1"/>
  <c r="R260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29" i="1"/>
  <c r="R233" i="1"/>
  <c r="R232" i="1"/>
  <c r="R215" i="1"/>
  <c r="R228" i="1"/>
  <c r="R227" i="1"/>
  <c r="R226" i="1"/>
  <c r="R225" i="1"/>
  <c r="R224" i="1"/>
  <c r="R223" i="1"/>
  <c r="R222" i="1"/>
  <c r="R221" i="1"/>
  <c r="R231" i="1"/>
  <c r="R230" i="1"/>
  <c r="R214" i="1"/>
  <c r="R220" i="1"/>
  <c r="R219" i="1"/>
  <c r="R218" i="1"/>
  <c r="R217" i="1"/>
  <c r="R216" i="1"/>
  <c r="R213" i="1"/>
  <c r="R199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1" i="1"/>
  <c r="R181" i="1"/>
  <c r="R180" i="1"/>
  <c r="R178" i="1"/>
  <c r="R156" i="1"/>
  <c r="R155" i="1"/>
  <c r="R154" i="1"/>
  <c r="R153" i="1"/>
  <c r="R150" i="1"/>
  <c r="R149" i="1"/>
  <c r="R148" i="1"/>
  <c r="R146" i="1"/>
  <c r="R145" i="1"/>
  <c r="R144" i="1"/>
  <c r="R143" i="1"/>
  <c r="R139" i="1"/>
  <c r="R138" i="1"/>
  <c r="R135" i="1"/>
  <c r="R134" i="1"/>
  <c r="R133" i="1"/>
  <c r="R132" i="1"/>
  <c r="R147" i="1"/>
  <c r="R142" i="1"/>
  <c r="R141" i="1"/>
  <c r="R140" i="1"/>
  <c r="R137" i="1"/>
  <c r="R136" i="1"/>
  <c r="R131" i="1"/>
  <c r="R129" i="1"/>
  <c r="R126" i="1"/>
  <c r="R125" i="1"/>
  <c r="R121" i="1"/>
  <c r="R120" i="1"/>
  <c r="R119" i="1"/>
  <c r="R112" i="1"/>
  <c r="R103" i="1"/>
  <c r="R100" i="1"/>
  <c r="R94" i="1"/>
  <c r="R90" i="1"/>
  <c r="R89" i="1"/>
  <c r="R88" i="1"/>
  <c r="R87" i="1"/>
  <c r="R82" i="1"/>
  <c r="R81" i="1"/>
  <c r="R80" i="1"/>
  <c r="R77" i="1"/>
  <c r="R76" i="1"/>
  <c r="R70" i="1"/>
  <c r="R66" i="1"/>
  <c r="R65" i="1"/>
  <c r="R64" i="1"/>
  <c r="R60" i="1"/>
  <c r="R59" i="1"/>
  <c r="R54" i="1"/>
  <c r="R53" i="1"/>
  <c r="R52" i="1"/>
  <c r="R51" i="1"/>
  <c r="R50" i="1"/>
  <c r="R49" i="1"/>
  <c r="R48" i="1"/>
  <c r="R44" i="1"/>
  <c r="R43" i="1"/>
  <c r="R42" i="1"/>
  <c r="R39" i="1"/>
  <c r="R38" i="1"/>
  <c r="R35" i="1"/>
  <c r="R32" i="1"/>
  <c r="R31" i="1"/>
  <c r="R25" i="1"/>
  <c r="R24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130" i="1"/>
  <c r="R128" i="1"/>
  <c r="R127" i="1"/>
  <c r="R124" i="1"/>
  <c r="R123" i="1"/>
  <c r="R122" i="1"/>
  <c r="R118" i="1"/>
  <c r="R117" i="1"/>
  <c r="R116" i="1"/>
  <c r="R115" i="1"/>
  <c r="R114" i="1"/>
  <c r="R113" i="1"/>
  <c r="R111" i="1"/>
  <c r="R110" i="1"/>
  <c r="R109" i="1"/>
  <c r="R108" i="1"/>
  <c r="R107" i="1"/>
  <c r="R105" i="1"/>
  <c r="R104" i="1"/>
  <c r="R102" i="1"/>
  <c r="R99" i="1"/>
  <c r="R98" i="1"/>
  <c r="R97" i="1"/>
  <c r="R96" i="1"/>
  <c r="R95" i="1"/>
  <c r="R93" i="1"/>
  <c r="R92" i="1"/>
  <c r="R91" i="1"/>
  <c r="R86" i="1"/>
  <c r="R85" i="1"/>
  <c r="R84" i="1"/>
  <c r="R83" i="1"/>
  <c r="R79" i="1"/>
  <c r="R78" i="1"/>
  <c r="R75" i="1"/>
  <c r="R74" i="1"/>
  <c r="R73" i="1"/>
  <c r="R71" i="1"/>
  <c r="R69" i="1"/>
  <c r="R68" i="1"/>
  <c r="R67" i="1"/>
  <c r="R63" i="1"/>
  <c r="R62" i="1"/>
  <c r="R61" i="1"/>
  <c r="R58" i="1"/>
  <c r="R57" i="1"/>
  <c r="R56" i="1"/>
  <c r="R55" i="1"/>
  <c r="R47" i="1"/>
  <c r="R46" i="1"/>
  <c r="R45" i="1"/>
  <c r="R41" i="1"/>
  <c r="R40" i="1"/>
  <c r="R37" i="1"/>
  <c r="R36" i="1"/>
  <c r="R34" i="1"/>
  <c r="R33" i="1"/>
  <c r="R30" i="1"/>
  <c r="R29" i="1"/>
  <c r="R28" i="1"/>
  <c r="R27" i="1"/>
  <c r="R26" i="1"/>
  <c r="R23" i="1"/>
  <c r="R22" i="1"/>
  <c r="R21" i="1"/>
  <c r="R6" i="1"/>
  <c r="R5" i="1"/>
  <c r="R4" i="1"/>
  <c r="R3" i="1"/>
  <c r="R2" i="1"/>
  <c r="Q800" i="1"/>
  <c r="Q761" i="1"/>
  <c r="Q684" i="1"/>
  <c r="Q670" i="1"/>
  <c r="Q664" i="1"/>
  <c r="Q719" i="1"/>
  <c r="Q758" i="1"/>
  <c r="Q709" i="1"/>
  <c r="Q749" i="1"/>
  <c r="Q748" i="1"/>
  <c r="Q745" i="1"/>
  <c r="Q747" i="1"/>
  <c r="Q744" i="1"/>
  <c r="Q743" i="1"/>
  <c r="Q742" i="1"/>
  <c r="Q741" i="1"/>
  <c r="Q740" i="1"/>
  <c r="Q739" i="1"/>
  <c r="Q735" i="1"/>
  <c r="Q734" i="1"/>
  <c r="Q728" i="1"/>
  <c r="Q725" i="1"/>
  <c r="Q722" i="1"/>
  <c r="Q716" i="1"/>
  <c r="Q715" i="1"/>
  <c r="Q703" i="1"/>
  <c r="Q702" i="1"/>
  <c r="Q701" i="1"/>
  <c r="Q699" i="1"/>
  <c r="Q663" i="1"/>
  <c r="Q662" i="1"/>
  <c r="Q686" i="1"/>
  <c r="Q685" i="1"/>
  <c r="Q679" i="1"/>
  <c r="Q678" i="1"/>
  <c r="Q661" i="1"/>
  <c r="Q660" i="1"/>
  <c r="Q659" i="1"/>
  <c r="Q652" i="1"/>
  <c r="Q651" i="1"/>
  <c r="Q644" i="1"/>
  <c r="Q643" i="1"/>
  <c r="Q637" i="1"/>
  <c r="Q636" i="1"/>
  <c r="Q626" i="1"/>
  <c r="Q625" i="1"/>
  <c r="Q617" i="1"/>
  <c r="Q624" i="1"/>
  <c r="Q623" i="1"/>
  <c r="Q639" i="1"/>
  <c r="Q638" i="1"/>
  <c r="Q635" i="1"/>
  <c r="Q632" i="1"/>
  <c r="Q619" i="1"/>
  <c r="Q618" i="1"/>
  <c r="Q613" i="1"/>
  <c r="Q612" i="1"/>
  <c r="Q611" i="1"/>
  <c r="Q610" i="1"/>
  <c r="Q608" i="1"/>
  <c r="Q607" i="1"/>
  <c r="Q589" i="1"/>
  <c r="Q571" i="1"/>
  <c r="Q570" i="1"/>
  <c r="Q569" i="1"/>
  <c r="Q564" i="1"/>
  <c r="Q561" i="1"/>
  <c r="Q553" i="1"/>
  <c r="Q552" i="1"/>
  <c r="Q551" i="1"/>
  <c r="Q549" i="1"/>
  <c r="Q548" i="1"/>
  <c r="Q547" i="1"/>
  <c r="Q543" i="1"/>
  <c r="Q542" i="1"/>
  <c r="Q541" i="1"/>
  <c r="Q540" i="1"/>
  <c r="Q534" i="1"/>
  <c r="Q519" i="1"/>
  <c r="Q518" i="1"/>
  <c r="Q517" i="1"/>
  <c r="Q516" i="1"/>
  <c r="Q515" i="1"/>
  <c r="Q514" i="1"/>
  <c r="Q510" i="1"/>
  <c r="Q509" i="1"/>
  <c r="Q508" i="1"/>
  <c r="Q507" i="1"/>
  <c r="Q505" i="1"/>
  <c r="Q504" i="1"/>
  <c r="Q503" i="1"/>
  <c r="Q497" i="1"/>
  <c r="Q496" i="1"/>
  <c r="Q494" i="1"/>
  <c r="Q493" i="1"/>
  <c r="Q492" i="1"/>
  <c r="Q491" i="1"/>
  <c r="Q490" i="1"/>
  <c r="Q489" i="1"/>
  <c r="Q488" i="1"/>
  <c r="Q486" i="1"/>
  <c r="Q480" i="1"/>
  <c r="Q477" i="1"/>
  <c r="Q476" i="1"/>
  <c r="Q475" i="1"/>
  <c r="Q474" i="1"/>
  <c r="Q469" i="1"/>
  <c r="Q468" i="1"/>
  <c r="Q467" i="1"/>
  <c r="Q466" i="1"/>
  <c r="Q465" i="1"/>
  <c r="Q460" i="1"/>
  <c r="Q458" i="1"/>
  <c r="Q455" i="1"/>
  <c r="Q454" i="1"/>
  <c r="Q453" i="1"/>
  <c r="Q452" i="1"/>
  <c r="Q451" i="1"/>
  <c r="Q450" i="1"/>
  <c r="Q445" i="1"/>
  <c r="Q444" i="1"/>
  <c r="Q443" i="1"/>
  <c r="Q442" i="1"/>
  <c r="Q441" i="1"/>
  <c r="Q429" i="1"/>
  <c r="Q428" i="1"/>
  <c r="Q438" i="1"/>
  <c r="Q437" i="1"/>
  <c r="Q436" i="1"/>
  <c r="Q435" i="1"/>
  <c r="Q433" i="1"/>
  <c r="Q432" i="1"/>
  <c r="Q426" i="1"/>
  <c r="Q414" i="1"/>
  <c r="Q417" i="1"/>
  <c r="Q416" i="1"/>
  <c r="Q407" i="1"/>
  <c r="Q406" i="1"/>
  <c r="Q405" i="1"/>
  <c r="Q404" i="1"/>
  <c r="Q403" i="1"/>
  <c r="Q402" i="1"/>
  <c r="Q388" i="1"/>
  <c r="Q385" i="1"/>
  <c r="Q381" i="1"/>
  <c r="Q380" i="1"/>
  <c r="Q379" i="1"/>
  <c r="Q378" i="1"/>
  <c r="Q377" i="1"/>
  <c r="Q370" i="1"/>
  <c r="Q368" i="1"/>
  <c r="Q367" i="1"/>
  <c r="Q366" i="1"/>
  <c r="Q365" i="1"/>
  <c r="Q359" i="1"/>
  <c r="Q358" i="1"/>
  <c r="Q346" i="1"/>
  <c r="Q345" i="1"/>
  <c r="Q340" i="1"/>
  <c r="Q339" i="1"/>
  <c r="Q338" i="1"/>
  <c r="Q337" i="1"/>
  <c r="Q332" i="1"/>
  <c r="Q329" i="1"/>
  <c r="Q319" i="1"/>
  <c r="Q318" i="1"/>
  <c r="Q317" i="1"/>
  <c r="Q316" i="1"/>
  <c r="Q315" i="1"/>
  <c r="Q314" i="1"/>
  <c r="Q310" i="1"/>
  <c r="Q309" i="1"/>
  <c r="Q308" i="1"/>
  <c r="Q301" i="1"/>
  <c r="Q300" i="1"/>
  <c r="Q299" i="1"/>
  <c r="Q298" i="1"/>
  <c r="Q297" i="1"/>
  <c r="Q296" i="1"/>
  <c r="Q295" i="1"/>
  <c r="Q293" i="1"/>
  <c r="Q292" i="1"/>
  <c r="Q291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7" i="1"/>
  <c r="Q266" i="1"/>
  <c r="Q265" i="1"/>
  <c r="Q264" i="1"/>
  <c r="Q263" i="1"/>
  <c r="Q262" i="1"/>
  <c r="Q261" i="1"/>
  <c r="Q260" i="1"/>
  <c r="Q258" i="1"/>
  <c r="Q257" i="1"/>
  <c r="Q256" i="1"/>
  <c r="Q255" i="1"/>
  <c r="Q254" i="1"/>
  <c r="Q253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29" i="1"/>
  <c r="Q233" i="1"/>
  <c r="Q232" i="1"/>
  <c r="Q215" i="1"/>
  <c r="Q228" i="1"/>
  <c r="Q227" i="1"/>
  <c r="Q226" i="1"/>
  <c r="Q225" i="1"/>
  <c r="Q224" i="1"/>
  <c r="Q223" i="1"/>
  <c r="Q222" i="1"/>
  <c r="Q221" i="1"/>
  <c r="Q231" i="1"/>
  <c r="Q230" i="1"/>
  <c r="Q214" i="1"/>
  <c r="Q220" i="1"/>
  <c r="Q219" i="1"/>
  <c r="Q218" i="1"/>
  <c r="Q217" i="1"/>
  <c r="Q216" i="1"/>
  <c r="Q213" i="1"/>
  <c r="Q199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198" i="1"/>
  <c r="Q197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51" i="1"/>
  <c r="Q181" i="1"/>
  <c r="Q180" i="1"/>
  <c r="Q179" i="1"/>
  <c r="Q178" i="1"/>
  <c r="Q156" i="1"/>
  <c r="Q155" i="1"/>
  <c r="Q154" i="1"/>
  <c r="Q153" i="1"/>
  <c r="Q152" i="1"/>
  <c r="Q150" i="1"/>
  <c r="Q149" i="1"/>
  <c r="Q148" i="1"/>
  <c r="Q146" i="1"/>
  <c r="Q145" i="1"/>
  <c r="Q144" i="1"/>
  <c r="Q143" i="1"/>
  <c r="Q139" i="1"/>
  <c r="Q138" i="1"/>
  <c r="Q135" i="1"/>
  <c r="Q134" i="1"/>
  <c r="Q133" i="1"/>
  <c r="Q132" i="1"/>
  <c r="Q147" i="1"/>
  <c r="Q142" i="1"/>
  <c r="Q141" i="1"/>
  <c r="Q140" i="1"/>
  <c r="Q137" i="1"/>
  <c r="Q136" i="1"/>
  <c r="Q131" i="1"/>
  <c r="Q129" i="1"/>
  <c r="Q126" i="1"/>
  <c r="Q125" i="1"/>
  <c r="Q121" i="1"/>
  <c r="Q120" i="1"/>
  <c r="Q119" i="1"/>
  <c r="Q112" i="1"/>
  <c r="Q103" i="1"/>
  <c r="Q100" i="1"/>
  <c r="Q94" i="1"/>
  <c r="Q90" i="1"/>
  <c r="Q88" i="1"/>
  <c r="Q87" i="1"/>
  <c r="Q82" i="1"/>
  <c r="Q81" i="1"/>
  <c r="Q80" i="1"/>
  <c r="Q76" i="1"/>
  <c r="Q70" i="1"/>
  <c r="Q66" i="1"/>
  <c r="Q65" i="1"/>
  <c r="Q64" i="1"/>
  <c r="Q60" i="1"/>
  <c r="Q59" i="1"/>
  <c r="Q54" i="1"/>
  <c r="Q53" i="1"/>
  <c r="Q52" i="1"/>
  <c r="Q48" i="1"/>
  <c r="Q44" i="1"/>
  <c r="Q43" i="1"/>
  <c r="Q42" i="1"/>
  <c r="Q39" i="1"/>
  <c r="Q38" i="1"/>
  <c r="Q35" i="1"/>
  <c r="Q32" i="1"/>
  <c r="Q31" i="1"/>
  <c r="Q25" i="1"/>
  <c r="Q24" i="1"/>
  <c r="Q20" i="1"/>
  <c r="Q19" i="1"/>
  <c r="Q18" i="1"/>
  <c r="Q16" i="1"/>
  <c r="Q15" i="1"/>
  <c r="Q14" i="1"/>
  <c r="Q13" i="1"/>
  <c r="Q12" i="1"/>
  <c r="Q11" i="1"/>
  <c r="Q10" i="1"/>
  <c r="Q9" i="1"/>
  <c r="Q8" i="1"/>
  <c r="Q7" i="1"/>
  <c r="Q130" i="1"/>
  <c r="Q128" i="1"/>
  <c r="Q127" i="1"/>
  <c r="Q124" i="1"/>
  <c r="Q123" i="1"/>
  <c r="Q122" i="1"/>
  <c r="Q118" i="1"/>
  <c r="Q117" i="1"/>
  <c r="Q116" i="1"/>
  <c r="Q115" i="1"/>
  <c r="Q114" i="1"/>
  <c r="Q113" i="1"/>
  <c r="Q111" i="1"/>
  <c r="Q110" i="1"/>
  <c r="Q109" i="1"/>
  <c r="Q108" i="1"/>
  <c r="Q107" i="1"/>
  <c r="Q105" i="1"/>
  <c r="Q104" i="1"/>
  <c r="Q102" i="1"/>
  <c r="Q99" i="1"/>
  <c r="Q98" i="1"/>
  <c r="Q97" i="1"/>
  <c r="Q96" i="1"/>
  <c r="Q95" i="1"/>
  <c r="Q93" i="1"/>
  <c r="Q92" i="1"/>
  <c r="Q91" i="1"/>
  <c r="Q86" i="1"/>
  <c r="Q85" i="1"/>
  <c r="Q84" i="1"/>
  <c r="Q83" i="1"/>
  <c r="Q79" i="1"/>
  <c r="Q78" i="1"/>
  <c r="Q75" i="1"/>
  <c r="Q74" i="1"/>
  <c r="Q73" i="1"/>
  <c r="Q71" i="1"/>
  <c r="Q69" i="1"/>
  <c r="Q68" i="1"/>
  <c r="Q67" i="1"/>
  <c r="Q63" i="1"/>
  <c r="Q62" i="1"/>
  <c r="Q61" i="1"/>
  <c r="Q58" i="1"/>
  <c r="Q57" i="1"/>
  <c r="Q56" i="1"/>
  <c r="Q55" i="1"/>
  <c r="Q47" i="1"/>
  <c r="Q46" i="1"/>
  <c r="Q45" i="1"/>
  <c r="Q41" i="1"/>
  <c r="Q40" i="1"/>
  <c r="Q37" i="1"/>
  <c r="Q36" i="1"/>
  <c r="Q34" i="1"/>
  <c r="Q33" i="1"/>
  <c r="Q30" i="1"/>
  <c r="Q29" i="1"/>
  <c r="Q28" i="1"/>
  <c r="Q27" i="1"/>
  <c r="Q26" i="1"/>
  <c r="Q23" i="1"/>
  <c r="Q22" i="1"/>
  <c r="Q21" i="1"/>
  <c r="Q6" i="1"/>
  <c r="Q5" i="1"/>
  <c r="Q4" i="1"/>
  <c r="Q3" i="1"/>
  <c r="Q2" i="1"/>
  <c r="G55" i="4"/>
  <c r="AD289" i="1"/>
  <c r="AD288" i="1"/>
  <c r="AD271" i="1"/>
  <c r="AD270" i="1"/>
  <c r="AD267" i="1"/>
  <c r="AD253" i="1"/>
  <c r="AD251" i="1"/>
  <c r="AD221" i="1"/>
  <c r="AD231" i="1"/>
  <c r="AD230" i="1"/>
  <c r="AD214" i="1"/>
  <c r="B21" i="4"/>
  <c r="K1" i="2"/>
  <c r="G36" i="4"/>
  <c r="H12" i="4"/>
  <c r="H21" i="4" s="1"/>
  <c r="C12" i="4"/>
  <c r="B12" i="4"/>
  <c r="X13" i="4"/>
  <c r="X12" i="4"/>
  <c r="X11" i="4"/>
  <c r="X10" i="4"/>
  <c r="X9" i="4"/>
  <c r="X8" i="4"/>
  <c r="X7" i="4"/>
  <c r="X6" i="4"/>
  <c r="X5" i="4"/>
  <c r="X3" i="4"/>
  <c r="X2" i="4"/>
  <c r="AD103" i="1"/>
  <c r="F28" i="5"/>
  <c r="E28" i="5"/>
  <c r="D28" i="5"/>
  <c r="C28" i="5"/>
  <c r="B28" i="5"/>
  <c r="AD1257" i="1"/>
  <c r="AD1256" i="1"/>
  <c r="AD1255" i="1"/>
  <c r="AD1254" i="1"/>
  <c r="AD1253" i="1"/>
  <c r="AD1252" i="1"/>
  <c r="AD1251" i="1"/>
  <c r="AD1250" i="1"/>
  <c r="AD1249" i="1"/>
  <c r="AD1248" i="1"/>
  <c r="AD1247" i="1"/>
  <c r="AD1246" i="1"/>
  <c r="AD1245" i="1"/>
  <c r="AD1244" i="1"/>
  <c r="AD1243" i="1"/>
  <c r="AD1242" i="1"/>
  <c r="AD1241" i="1"/>
  <c r="AD1240" i="1"/>
  <c r="AD1239" i="1"/>
  <c r="AD1238" i="1"/>
  <c r="AD1237" i="1"/>
  <c r="AD1236" i="1"/>
  <c r="AD1235" i="1"/>
  <c r="AD1234" i="1"/>
  <c r="AD1233" i="1"/>
  <c r="AD1232" i="1"/>
  <c r="AD1231" i="1"/>
  <c r="AD1230" i="1"/>
  <c r="AD1229" i="1"/>
  <c r="AD1228" i="1"/>
  <c r="AD1227" i="1"/>
  <c r="AD1226" i="1"/>
  <c r="AD1225" i="1"/>
  <c r="AD1224" i="1"/>
  <c r="AD1223" i="1"/>
  <c r="AD1222" i="1"/>
  <c r="AD1221" i="1"/>
  <c r="AD1220" i="1"/>
  <c r="AD1219" i="1"/>
  <c r="AD1218" i="1"/>
  <c r="AD1217" i="1"/>
  <c r="AD1216" i="1"/>
  <c r="AD1215" i="1"/>
  <c r="AD1214" i="1"/>
  <c r="AD1213" i="1"/>
  <c r="AD1212" i="1"/>
  <c r="AD1211" i="1"/>
  <c r="AD1210" i="1"/>
  <c r="AD1209" i="1"/>
  <c r="AD1208" i="1"/>
  <c r="AD1207" i="1"/>
  <c r="AD1206" i="1"/>
  <c r="AD1205" i="1"/>
  <c r="AD1204" i="1"/>
  <c r="AD1201" i="1"/>
  <c r="AD1193" i="1"/>
  <c r="AD1192" i="1"/>
  <c r="AD1191" i="1"/>
  <c r="AD1183" i="1"/>
  <c r="AD1182" i="1"/>
  <c r="AD1178" i="1"/>
  <c r="AD1175" i="1"/>
  <c r="AD1172" i="1"/>
  <c r="AD1171" i="1"/>
  <c r="AD1170" i="1"/>
  <c r="AD1169" i="1"/>
  <c r="AD1168" i="1"/>
  <c r="AD1165" i="1"/>
  <c r="AD1163" i="1"/>
  <c r="AD1152" i="1"/>
  <c r="AD1151" i="1"/>
  <c r="AD1150" i="1"/>
  <c r="AD1149" i="1"/>
  <c r="AD1146" i="1"/>
  <c r="AD1133" i="1"/>
  <c r="AD1132" i="1"/>
  <c r="AD1131" i="1"/>
  <c r="AD1130" i="1"/>
  <c r="AD1127" i="1"/>
  <c r="AD1125" i="1"/>
  <c r="AD1124" i="1"/>
  <c r="AD1123" i="1"/>
  <c r="AD1117" i="1"/>
  <c r="AD1104" i="1"/>
  <c r="AD1099" i="1"/>
  <c r="AD1098" i="1"/>
  <c r="AD1094" i="1"/>
  <c r="AD1093" i="1"/>
  <c r="AD1082" i="1"/>
  <c r="AD1074" i="1"/>
  <c r="AD1064" i="1"/>
  <c r="AD1058" i="1"/>
  <c r="AD1057" i="1"/>
  <c r="AD1042" i="1"/>
  <c r="AD1081" i="1"/>
  <c r="AD1041" i="1"/>
  <c r="AD1036" i="1"/>
  <c r="AD1035" i="1"/>
  <c r="AD1028" i="1"/>
  <c r="AD1027" i="1"/>
  <c r="AD1016" i="1"/>
  <c r="AD1015" i="1"/>
  <c r="AD1008" i="1"/>
  <c r="AD1007" i="1"/>
  <c r="AD1116" i="1"/>
  <c r="AD1113" i="1"/>
  <c r="AD1112" i="1"/>
  <c r="AD1111" i="1"/>
  <c r="AD1103" i="1"/>
  <c r="AD1102" i="1"/>
  <c r="AD1091" i="1"/>
  <c r="AD1090" i="1"/>
  <c r="AD1089" i="1"/>
  <c r="AD1088" i="1"/>
  <c r="AD1085" i="1"/>
  <c r="AD1084" i="1"/>
  <c r="AD1026" i="1"/>
  <c r="AD1025" i="1"/>
  <c r="AD1014" i="1"/>
  <c r="AD1075" i="1"/>
  <c r="AD1024" i="1"/>
  <c r="AD1073" i="1"/>
  <c r="AD1072" i="1"/>
  <c r="AD1069" i="1"/>
  <c r="AD1063" i="1"/>
  <c r="AD1067" i="1"/>
  <c r="AD1062" i="1"/>
  <c r="AD1061" i="1"/>
  <c r="AD1060" i="1"/>
  <c r="AD1059" i="1"/>
  <c r="AD1055" i="1"/>
  <c r="AD1054" i="1"/>
  <c r="AD1053" i="1"/>
  <c r="AD1052" i="1"/>
  <c r="AD1051" i="1"/>
  <c r="AD1050" i="1"/>
  <c r="AD1049" i="1"/>
  <c r="AD1048" i="1"/>
  <c r="AD1047" i="1"/>
  <c r="AD1046" i="1"/>
  <c r="AD1045" i="1"/>
  <c r="AD1044" i="1"/>
  <c r="AD1040" i="1"/>
  <c r="AD1039" i="1"/>
  <c r="AD1038" i="1"/>
  <c r="AD1037" i="1"/>
  <c r="AD1034" i="1"/>
  <c r="AD1033" i="1"/>
  <c r="AD1032" i="1"/>
  <c r="AD1031" i="1"/>
  <c r="AD1023" i="1"/>
  <c r="AD1022" i="1"/>
  <c r="AD1021" i="1"/>
  <c r="AD1020" i="1"/>
  <c r="AD1019" i="1"/>
  <c r="AD1018" i="1"/>
  <c r="AD1017" i="1"/>
  <c r="AD1010" i="1"/>
  <c r="AD1009" i="1"/>
  <c r="AD1006" i="1"/>
  <c r="AD1005" i="1"/>
  <c r="AD1004" i="1"/>
  <c r="AD1003" i="1"/>
  <c r="AD942" i="1"/>
  <c r="AD992" i="1"/>
  <c r="AD984" i="1"/>
  <c r="AD971" i="1"/>
  <c r="AD970" i="1"/>
  <c r="AD959" i="1"/>
  <c r="AD958" i="1"/>
  <c r="AD1002" i="1"/>
  <c r="AD969" i="1"/>
  <c r="AD1001" i="1"/>
  <c r="AD1000" i="1"/>
  <c r="AD999" i="1"/>
  <c r="AD998" i="1"/>
  <c r="AD996" i="1"/>
  <c r="AD994" i="1"/>
  <c r="AD993" i="1"/>
  <c r="AD989" i="1"/>
  <c r="AD988" i="1"/>
  <c r="AD986" i="1"/>
  <c r="AD985" i="1"/>
  <c r="AD981" i="1"/>
  <c r="AD980" i="1"/>
  <c r="AD977" i="1"/>
  <c r="AD976" i="1"/>
  <c r="AD966" i="1"/>
  <c r="AD965" i="1"/>
  <c r="AD963" i="1"/>
  <c r="AD962" i="1"/>
  <c r="AD961" i="1"/>
  <c r="AD960" i="1"/>
  <c r="AD943" i="1"/>
  <c r="AD941" i="1"/>
  <c r="AD940" i="1"/>
  <c r="AD939" i="1"/>
  <c r="AD938" i="1"/>
  <c r="AD929" i="1"/>
  <c r="AD928" i="1"/>
  <c r="AD923" i="1"/>
  <c r="AD920" i="1"/>
  <c r="AD911" i="1"/>
  <c r="AD910" i="1"/>
  <c r="AD904" i="1"/>
  <c r="AD903" i="1"/>
  <c r="AD895" i="1"/>
  <c r="AD894" i="1"/>
  <c r="AD889" i="1"/>
  <c r="AD890" i="1"/>
  <c r="AD888" i="1"/>
  <c r="AD892" i="1"/>
  <c r="AD885" i="1"/>
  <c r="AD884" i="1"/>
  <c r="AD883" i="1"/>
  <c r="AD881" i="1"/>
  <c r="AD880" i="1"/>
  <c r="AD879" i="1"/>
  <c r="AD878" i="1"/>
  <c r="AD877" i="1"/>
  <c r="AD874" i="1"/>
  <c r="AD866" i="1"/>
  <c r="AD862" i="1"/>
  <c r="AD858" i="1"/>
  <c r="AD873" i="1"/>
  <c r="AD872" i="1"/>
  <c r="AD871" i="1"/>
  <c r="AD868" i="1"/>
  <c r="AD867" i="1"/>
  <c r="AD857" i="1"/>
  <c r="AD856" i="1"/>
  <c r="AD855" i="1"/>
  <c r="AD854" i="1"/>
  <c r="AD853" i="1"/>
  <c r="AD846" i="1"/>
  <c r="AD845" i="1"/>
  <c r="AD844" i="1"/>
  <c r="AD843" i="1"/>
  <c r="AD842" i="1"/>
  <c r="AD841" i="1"/>
  <c r="AD822" i="1"/>
  <c r="AD834" i="1"/>
  <c r="AD794" i="1"/>
  <c r="AD821" i="1"/>
  <c r="AD813" i="1"/>
  <c r="AD812" i="1"/>
  <c r="AD803" i="1"/>
  <c r="AD793" i="1"/>
  <c r="AD788" i="1"/>
  <c r="AD832" i="1"/>
  <c r="AD831" i="1"/>
  <c r="AD829" i="1"/>
  <c r="AD825" i="1"/>
  <c r="AD820" i="1"/>
  <c r="AD819" i="1"/>
  <c r="AD818" i="1"/>
  <c r="AD815" i="1"/>
  <c r="AD782" i="1"/>
  <c r="AD781" i="1"/>
  <c r="AD780" i="1"/>
  <c r="AD779" i="1"/>
  <c r="AD778" i="1"/>
  <c r="AD777" i="1"/>
  <c r="AD776" i="1"/>
  <c r="AD775" i="1"/>
  <c r="AD774" i="1"/>
  <c r="AD800" i="1"/>
  <c r="AD756" i="1"/>
  <c r="AD760" i="1"/>
  <c r="AD730" i="1"/>
  <c r="AD495" i="1"/>
  <c r="AD721" i="1"/>
  <c r="AD738" i="1"/>
  <c r="AD737" i="1"/>
  <c r="AD729" i="1"/>
  <c r="AD720" i="1"/>
  <c r="AD710" i="1"/>
  <c r="AD759" i="1"/>
  <c r="AD750" i="1"/>
  <c r="AD684" i="1"/>
  <c r="AD670" i="1"/>
  <c r="AD664" i="1"/>
  <c r="AD719" i="1"/>
  <c r="AD758" i="1"/>
  <c r="AD736" i="1"/>
  <c r="AD709" i="1"/>
  <c r="AD754" i="1"/>
  <c r="AD753" i="1"/>
  <c r="AD749" i="1"/>
  <c r="AD748" i="1"/>
  <c r="AD745" i="1"/>
  <c r="AD747" i="1"/>
  <c r="AD744" i="1"/>
  <c r="AD743" i="1"/>
  <c r="AD742" i="1"/>
  <c r="AD741" i="1"/>
  <c r="AD740" i="1"/>
  <c r="AD739" i="1"/>
  <c r="AD735" i="1"/>
  <c r="AD734" i="1"/>
  <c r="AD733" i="1"/>
  <c r="AD732" i="1"/>
  <c r="AD728" i="1"/>
  <c r="AD725" i="1"/>
  <c r="AD723" i="1"/>
  <c r="AD722" i="1"/>
  <c r="AD716" i="1"/>
  <c r="AD715" i="1"/>
  <c r="AD714" i="1"/>
  <c r="AD713" i="1"/>
  <c r="AD711" i="1"/>
  <c r="AD705" i="1"/>
  <c r="AD703" i="1"/>
  <c r="AD702" i="1"/>
  <c r="AD701" i="1"/>
  <c r="AD699" i="1"/>
  <c r="AD697" i="1"/>
  <c r="AD663" i="1"/>
  <c r="AD662" i="1"/>
  <c r="AD686" i="1"/>
  <c r="AD685" i="1"/>
  <c r="AD679" i="1"/>
  <c r="AD678" i="1"/>
  <c r="AD675" i="1"/>
  <c r="AD672" i="1"/>
  <c r="AD671" i="1"/>
  <c r="AD667" i="1"/>
  <c r="AD661" i="1"/>
  <c r="AD660" i="1"/>
  <c r="AD659" i="1"/>
  <c r="AD658" i="1"/>
  <c r="AD657" i="1"/>
  <c r="AD655" i="1"/>
  <c r="AD653" i="1"/>
  <c r="AD652" i="1"/>
  <c r="AD651" i="1"/>
  <c r="AD644" i="1"/>
  <c r="AD643" i="1"/>
  <c r="AD637" i="1"/>
  <c r="AD636" i="1"/>
  <c r="AD626" i="1"/>
  <c r="AD625" i="1"/>
  <c r="AD617" i="1"/>
  <c r="AD616" i="1"/>
  <c r="AD624" i="1"/>
  <c r="AD623" i="1"/>
  <c r="AD647" i="1"/>
  <c r="AD640" i="1"/>
  <c r="AD639" i="1"/>
  <c r="AD638" i="1"/>
  <c r="AD635" i="1"/>
  <c r="AD634" i="1"/>
  <c r="AD633" i="1"/>
  <c r="AD632" i="1"/>
  <c r="AD630" i="1"/>
  <c r="AD629" i="1"/>
  <c r="AD621" i="1"/>
  <c r="AD620" i="1"/>
  <c r="AD619" i="1"/>
  <c r="AD618" i="1"/>
  <c r="AD615" i="1"/>
  <c r="AD614" i="1"/>
  <c r="AD613" i="1"/>
  <c r="AD612" i="1"/>
  <c r="AD611" i="1"/>
  <c r="AD610" i="1"/>
  <c r="AD608" i="1"/>
  <c r="AD607" i="1"/>
  <c r="AD589" i="1"/>
  <c r="AD571" i="1"/>
  <c r="AD570" i="1"/>
  <c r="AD569" i="1"/>
  <c r="AD564" i="1"/>
  <c r="AD561" i="1"/>
  <c r="AD553" i="1"/>
  <c r="AD552" i="1"/>
  <c r="AD551" i="1"/>
  <c r="AD549" i="1"/>
  <c r="AD548" i="1"/>
  <c r="AD547" i="1"/>
  <c r="AD543" i="1"/>
  <c r="AD542" i="1"/>
  <c r="AD541" i="1"/>
  <c r="AD540" i="1"/>
  <c r="AD534" i="1"/>
  <c r="AD519" i="1"/>
  <c r="AD518" i="1"/>
  <c r="AD517" i="1"/>
  <c r="AD516" i="1"/>
  <c r="AD515" i="1"/>
  <c r="AD514" i="1"/>
  <c r="AD510" i="1"/>
  <c r="AD509" i="1"/>
  <c r="AD508" i="1"/>
  <c r="AD507" i="1"/>
  <c r="AD505" i="1"/>
  <c r="AD504" i="1"/>
  <c r="AD503" i="1"/>
  <c r="AD497" i="1"/>
  <c r="AD496" i="1"/>
  <c r="AD494" i="1"/>
  <c r="AD493" i="1"/>
  <c r="AD492" i="1"/>
  <c r="AD491" i="1"/>
  <c r="AD490" i="1"/>
  <c r="AD489" i="1"/>
  <c r="AD488" i="1"/>
  <c r="AD486" i="1"/>
  <c r="AD480" i="1"/>
  <c r="AD477" i="1"/>
  <c r="AD476" i="1"/>
  <c r="AD475" i="1"/>
  <c r="AD474" i="1"/>
  <c r="AD469" i="1"/>
  <c r="AD468" i="1"/>
  <c r="AD467" i="1"/>
  <c r="AD466" i="1"/>
  <c r="AD465" i="1"/>
  <c r="AD460" i="1"/>
  <c r="AD458" i="1"/>
  <c r="AD455" i="1"/>
  <c r="AD454" i="1"/>
  <c r="AD453" i="1"/>
  <c r="AD452" i="1"/>
  <c r="AD451" i="1"/>
  <c r="AD450" i="1"/>
  <c r="AD445" i="1"/>
  <c r="AD444" i="1"/>
  <c r="AD443" i="1"/>
  <c r="AD442" i="1"/>
  <c r="AD441" i="1"/>
  <c r="AD440" i="1"/>
  <c r="AD439" i="1"/>
  <c r="AD429" i="1"/>
  <c r="AD428" i="1"/>
  <c r="AD438" i="1"/>
  <c r="AD437" i="1"/>
  <c r="AD436" i="1"/>
  <c r="AD435" i="1"/>
  <c r="AD433" i="1"/>
  <c r="AD432" i="1"/>
  <c r="AD426" i="1"/>
  <c r="AD425" i="1"/>
  <c r="AD424" i="1"/>
  <c r="AD414" i="1"/>
  <c r="AD417" i="1"/>
  <c r="AD416" i="1"/>
  <c r="AD408" i="1"/>
  <c r="AD407" i="1"/>
  <c r="AD406" i="1"/>
  <c r="AD405" i="1"/>
  <c r="AD404" i="1"/>
  <c r="AD403" i="1"/>
  <c r="AD402" i="1"/>
  <c r="AD388" i="1"/>
  <c r="AD386" i="1"/>
  <c r="AD385" i="1"/>
  <c r="AD381" i="1"/>
  <c r="AD380" i="1"/>
  <c r="AD379" i="1"/>
  <c r="AD378" i="1"/>
  <c r="AD377" i="1"/>
  <c r="AD370" i="1"/>
  <c r="AD368" i="1"/>
  <c r="AD367" i="1"/>
  <c r="AD366" i="1"/>
  <c r="AD365" i="1"/>
  <c r="AD359" i="1"/>
  <c r="AD358" i="1"/>
  <c r="AD351" i="1"/>
  <c r="AD348" i="1"/>
  <c r="AD347" i="1"/>
  <c r="AD346" i="1"/>
  <c r="AD345" i="1"/>
  <c r="AD343" i="1"/>
  <c r="AD340" i="1"/>
  <c r="AD339" i="1"/>
  <c r="AD338" i="1"/>
  <c r="AD337" i="1"/>
  <c r="AD332" i="1"/>
  <c r="AD329" i="1"/>
  <c r="AD328" i="1"/>
  <c r="AD311" i="1"/>
  <c r="AD320" i="1"/>
  <c r="AD319" i="1"/>
  <c r="AD318" i="1"/>
  <c r="AD317" i="1"/>
  <c r="AD316" i="1"/>
  <c r="AD315" i="1"/>
  <c r="AD314" i="1"/>
  <c r="AD313" i="1"/>
  <c r="AD310" i="1"/>
  <c r="AD309" i="1"/>
  <c r="AD308" i="1"/>
  <c r="AD307" i="1"/>
  <c r="AD301" i="1"/>
  <c r="AD300" i="1"/>
  <c r="AD299" i="1"/>
  <c r="AD298" i="1"/>
  <c r="AD297" i="1"/>
  <c r="AD296" i="1"/>
  <c r="AD295" i="1"/>
  <c r="AD293" i="1"/>
  <c r="AD292" i="1"/>
  <c r="AD291" i="1"/>
  <c r="AD290" i="1"/>
  <c r="AD287" i="1"/>
  <c r="AD286" i="1"/>
  <c r="AD285" i="1"/>
  <c r="AD284" i="1"/>
  <c r="AD283" i="1"/>
  <c r="AD282" i="1"/>
  <c r="AD281" i="1"/>
  <c r="AD280" i="1"/>
  <c r="AD279" i="1"/>
  <c r="AD278" i="1"/>
  <c r="AD277" i="1"/>
  <c r="AD276" i="1"/>
  <c r="AD275" i="1"/>
  <c r="AD274" i="1"/>
  <c r="AD273" i="1"/>
  <c r="AD272" i="1"/>
  <c r="AD266" i="1"/>
  <c r="AD265" i="1"/>
  <c r="AD264" i="1"/>
  <c r="AD263" i="1"/>
  <c r="AD262" i="1"/>
  <c r="AD261" i="1"/>
  <c r="AD260" i="1"/>
  <c r="AD258" i="1"/>
  <c r="AD257" i="1"/>
  <c r="AD256" i="1"/>
  <c r="AD255" i="1"/>
  <c r="AD254" i="1"/>
  <c r="AD252" i="1"/>
  <c r="AD250" i="1"/>
  <c r="AD249" i="1"/>
  <c r="AD248" i="1"/>
  <c r="AD247" i="1"/>
  <c r="AD246" i="1"/>
  <c r="AD245" i="1"/>
  <c r="AD244" i="1"/>
  <c r="AD243" i="1"/>
  <c r="AD242" i="1"/>
  <c r="AD241" i="1"/>
  <c r="AD240" i="1"/>
  <c r="AD239" i="1"/>
  <c r="AD238" i="1"/>
  <c r="AD237" i="1"/>
  <c r="AD236" i="1"/>
  <c r="AD235" i="1"/>
  <c r="AD234" i="1"/>
  <c r="AD229" i="1"/>
  <c r="AD233" i="1"/>
  <c r="AD232" i="1"/>
  <c r="AD215" i="1"/>
  <c r="AD228" i="1"/>
  <c r="AD227" i="1"/>
  <c r="AD226" i="1"/>
  <c r="AD225" i="1"/>
  <c r="AD224" i="1"/>
  <c r="AD223" i="1"/>
  <c r="AD222" i="1"/>
  <c r="AD220" i="1"/>
  <c r="AD219" i="1"/>
  <c r="AD218" i="1"/>
  <c r="AD217" i="1"/>
  <c r="AD216" i="1"/>
  <c r="AD213" i="1"/>
  <c r="AD199" i="1"/>
  <c r="AD212" i="1"/>
  <c r="AD211" i="1"/>
  <c r="AD210" i="1"/>
  <c r="AD209" i="1"/>
  <c r="AD208" i="1"/>
  <c r="AD207" i="1"/>
  <c r="AD206" i="1"/>
  <c r="AD205" i="1"/>
  <c r="AD204" i="1"/>
  <c r="AD203" i="1"/>
  <c r="AD202" i="1"/>
  <c r="AD201" i="1"/>
  <c r="AD198" i="1"/>
  <c r="AD197" i="1"/>
  <c r="AD196" i="1"/>
  <c r="AD195" i="1"/>
  <c r="AD194" i="1"/>
  <c r="AD193" i="1"/>
  <c r="AD192" i="1"/>
  <c r="AD191" i="1"/>
  <c r="AD190" i="1"/>
  <c r="AD189" i="1"/>
  <c r="AD188" i="1"/>
  <c r="AD187" i="1"/>
  <c r="AD186" i="1"/>
  <c r="AD185" i="1"/>
  <c r="AD184" i="1"/>
  <c r="AD183" i="1"/>
  <c r="AD182" i="1"/>
  <c r="AD177" i="1"/>
  <c r="AD176" i="1"/>
  <c r="AD175" i="1"/>
  <c r="AD174" i="1"/>
  <c r="AD173" i="1"/>
  <c r="AD172" i="1"/>
  <c r="AD171" i="1"/>
  <c r="AD170" i="1"/>
  <c r="AD169" i="1"/>
  <c r="AD168" i="1"/>
  <c r="AD167" i="1"/>
  <c r="AD166" i="1"/>
  <c r="AD165" i="1"/>
  <c r="AD164" i="1"/>
  <c r="AD163" i="1"/>
  <c r="AD162" i="1"/>
  <c r="AD161" i="1"/>
  <c r="AD160" i="1"/>
  <c r="AD159" i="1"/>
  <c r="AD158" i="1"/>
  <c r="AD157" i="1"/>
  <c r="AD181" i="1"/>
  <c r="AD180" i="1"/>
  <c r="AD179" i="1"/>
  <c r="AD178" i="1"/>
  <c r="AD156" i="1"/>
  <c r="AD155" i="1"/>
  <c r="AD154" i="1"/>
  <c r="AD153" i="1"/>
  <c r="AD152" i="1"/>
  <c r="AD150" i="1"/>
  <c r="AD149" i="1"/>
  <c r="AD148" i="1"/>
  <c r="AD146" i="1"/>
  <c r="AD145" i="1"/>
  <c r="AD144" i="1"/>
  <c r="AD143" i="1"/>
  <c r="AD139" i="1"/>
  <c r="AD138" i="1"/>
  <c r="AD135" i="1"/>
  <c r="AD134" i="1"/>
  <c r="AD133" i="1"/>
  <c r="AD132" i="1"/>
  <c r="AD142" i="1"/>
  <c r="AD137" i="1"/>
  <c r="AD126" i="1"/>
  <c r="AD121" i="1"/>
  <c r="AD112" i="1"/>
  <c r="AD94" i="1"/>
  <c r="AD90" i="1"/>
  <c r="AD82" i="1"/>
  <c r="AD136" i="1"/>
  <c r="AD100" i="1"/>
  <c r="AD120" i="1"/>
  <c r="AD129" i="1"/>
  <c r="AD141" i="1"/>
  <c r="AD119" i="1"/>
  <c r="AD20" i="1"/>
  <c r="AD125" i="1"/>
  <c r="AD131" i="1"/>
  <c r="AD147" i="1"/>
  <c r="AD140" i="1"/>
  <c r="AD89" i="1"/>
  <c r="AD88" i="1"/>
  <c r="AD87" i="1"/>
  <c r="AD81" i="1"/>
  <c r="AD80" i="1"/>
  <c r="AD77" i="1"/>
  <c r="AD76" i="1"/>
  <c r="AD70" i="1"/>
  <c r="AD66" i="1"/>
  <c r="AD65" i="1"/>
  <c r="AD64" i="1"/>
  <c r="AD60" i="1"/>
  <c r="AD59" i="1"/>
  <c r="AD54" i="1"/>
  <c r="AD53" i="1"/>
  <c r="AD52" i="1"/>
  <c r="AD51" i="1"/>
  <c r="AD50" i="1"/>
  <c r="AD49" i="1"/>
  <c r="AD48" i="1"/>
  <c r="AD44" i="1"/>
  <c r="AD43" i="1"/>
  <c r="AD42" i="1"/>
  <c r="AD39" i="1"/>
  <c r="AD38" i="1"/>
  <c r="AD35" i="1"/>
  <c r="AD32" i="1"/>
  <c r="AD31" i="1"/>
  <c r="AD25" i="1"/>
  <c r="AD24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AD7" i="1"/>
  <c r="AD130" i="1"/>
  <c r="AD128" i="1"/>
  <c r="AD127" i="1"/>
  <c r="AD124" i="1"/>
  <c r="AD123" i="1"/>
  <c r="AD122" i="1"/>
  <c r="AD118" i="1"/>
  <c r="AD117" i="1"/>
  <c r="AD116" i="1"/>
  <c r="AD115" i="1"/>
  <c r="AD114" i="1"/>
  <c r="AD113" i="1"/>
  <c r="AD111" i="1"/>
  <c r="AD110" i="1"/>
  <c r="AD109" i="1"/>
  <c r="AD108" i="1"/>
  <c r="AD107" i="1"/>
  <c r="AD105" i="1"/>
  <c r="AD104" i="1"/>
  <c r="AD102" i="1"/>
  <c r="AD99" i="1"/>
  <c r="AD98" i="1"/>
  <c r="AD97" i="1"/>
  <c r="AD96" i="1"/>
  <c r="AD95" i="1"/>
  <c r="AD93" i="1"/>
  <c r="AD92" i="1"/>
  <c r="AD91" i="1"/>
  <c r="AD86" i="1"/>
  <c r="AD85" i="1"/>
  <c r="AD84" i="1"/>
  <c r="AD83" i="1"/>
  <c r="AD79" i="1"/>
  <c r="AD78" i="1"/>
  <c r="AD75" i="1"/>
  <c r="AD74" i="1"/>
  <c r="AD73" i="1"/>
  <c r="AD71" i="1"/>
  <c r="AD69" i="1"/>
  <c r="AD68" i="1"/>
  <c r="AD67" i="1"/>
  <c r="AD63" i="1"/>
  <c r="AD62" i="1"/>
  <c r="AD61" i="1"/>
  <c r="AD58" i="1"/>
  <c r="AD57" i="1"/>
  <c r="AD56" i="1"/>
  <c r="AD55" i="1"/>
  <c r="AD47" i="1"/>
  <c r="AD46" i="1"/>
  <c r="AD45" i="1"/>
  <c r="AD41" i="1"/>
  <c r="AD40" i="1"/>
  <c r="AD37" i="1"/>
  <c r="AD36" i="1"/>
  <c r="AD34" i="1"/>
  <c r="AD33" i="1"/>
  <c r="AD30" i="1"/>
  <c r="AD29" i="1"/>
  <c r="AD28" i="1"/>
  <c r="AD27" i="1"/>
  <c r="AD23" i="1"/>
  <c r="AD22" i="1"/>
  <c r="AD21" i="1"/>
  <c r="AD6" i="1"/>
  <c r="AD5" i="1"/>
  <c r="AD4" i="1"/>
  <c r="AD3" i="1"/>
  <c r="AD2" i="1"/>
  <c r="AD26" i="1"/>
  <c r="F18" i="5"/>
  <c r="E18" i="5"/>
  <c r="D18" i="5"/>
  <c r="C18" i="5"/>
  <c r="B18" i="5"/>
  <c r="AB8" i="5"/>
  <c r="AT8" i="5"/>
  <c r="AD8" i="5"/>
  <c r="AX8" i="5"/>
  <c r="AU8" i="5"/>
  <c r="AB10" i="5"/>
  <c r="AV8" i="5"/>
  <c r="Z8" i="5"/>
  <c r="AS8" i="5"/>
  <c r="AA8" i="5"/>
  <c r="AJ8" i="5"/>
  <c r="M87" i="6"/>
  <c r="L96" i="6"/>
  <c r="AI8" i="5"/>
  <c r="P8" i="5"/>
  <c r="Q8" i="5"/>
  <c r="BB4" i="5"/>
  <c r="BB8" i="5"/>
  <c r="S4" i="5"/>
  <c r="AZ4" i="5"/>
  <c r="BC4" i="5"/>
  <c r="BC8" i="5"/>
  <c r="AG8" i="5"/>
  <c r="BD4" i="5"/>
  <c r="BD8" i="5"/>
  <c r="BA8" i="5"/>
  <c r="AK8" i="5"/>
  <c r="AK4" i="5"/>
  <c r="N8" i="5"/>
  <c r="AH3" i="5"/>
  <c r="AH8" i="5"/>
  <c r="AZ3" i="5"/>
  <c r="B16" i="4" a="1"/>
  <c r="B16" i="4" s="1"/>
  <c r="B15" i="4" a="1"/>
  <c r="B15" i="4" s="1"/>
  <c r="B14" i="4" s="1" a="1"/>
  <c r="B14" i="4" s="1"/>
  <c r="AY3" i="5"/>
  <c r="AY8" i="5"/>
  <c r="B24" i="4" a="1"/>
  <c r="B24" i="4" s="1"/>
  <c r="B23" i="4" s="1" a="1"/>
  <c r="B23" i="4" s="1"/>
  <c r="AF3" i="5"/>
  <c r="AF8" i="5"/>
  <c r="B25" i="4" a="1"/>
  <c r="B25" i="4" s="1"/>
  <c r="S3" i="5"/>
  <c r="M8" i="5"/>
  <c r="AZ8" i="5"/>
  <c r="S8" i="5"/>
  <c r="S9" i="5"/>
  <c r="B26" i="4" a="1"/>
  <c r="B26" i="4" s="1"/>
  <c r="B17" i="4" a="1"/>
  <c r="B17" i="4" s="1"/>
  <c r="M20" i="2" l="1"/>
  <c r="I51" i="4"/>
  <c r="O14" i="5"/>
  <c r="R25" i="5"/>
  <c r="N14" i="5"/>
  <c r="M14" i="5"/>
  <c r="Q23" i="5"/>
  <c r="N16" i="5"/>
  <c r="K13" i="5"/>
  <c r="M9" i="2"/>
  <c r="M7" i="2"/>
  <c r="L16" i="2"/>
  <c r="M22" i="2"/>
  <c r="L20" i="2"/>
  <c r="M16" i="2"/>
  <c r="B37" i="4"/>
  <c r="I12" i="4"/>
  <c r="L22" i="2"/>
  <c r="B22" i="4" a="1"/>
  <c r="B22" i="4" s="1"/>
  <c r="B27" i="4" s="1"/>
  <c r="B13" i="4" a="1"/>
  <c r="B13" i="4" s="1"/>
  <c r="B18" i="4" s="1"/>
  <c r="L13" i="2"/>
  <c r="L12" i="2"/>
  <c r="J52" i="4"/>
  <c r="J48" i="4"/>
  <c r="H26" i="5"/>
  <c r="D60" i="4"/>
  <c r="I17" i="5"/>
  <c r="Q13" i="5"/>
  <c r="L18" i="2"/>
  <c r="I50" i="4"/>
  <c r="K50" i="4"/>
  <c r="M14" i="2"/>
  <c r="K48" i="4"/>
  <c r="L21" i="2"/>
  <c r="M22" i="5"/>
  <c r="M8" i="2"/>
  <c r="N22" i="5"/>
  <c r="P25" i="5"/>
  <c r="R14" i="5"/>
  <c r="K22" i="5"/>
  <c r="I52" i="4"/>
  <c r="J24" i="5"/>
  <c r="I23" i="5"/>
  <c r="M11" i="2"/>
  <c r="G22" i="5"/>
  <c r="K27" i="5"/>
  <c r="M18" i="2"/>
  <c r="J26" i="5"/>
  <c r="G25" i="5"/>
  <c r="L15" i="2"/>
  <c r="L6" i="2"/>
  <c r="G24" i="5"/>
  <c r="B30" i="4"/>
  <c r="E8" i="4"/>
  <c r="M10" i="2"/>
  <c r="L22" i="5"/>
  <c r="M16" i="5"/>
  <c r="N24" i="5"/>
  <c r="I49" i="4"/>
  <c r="I14" i="5"/>
  <c r="R26" i="5"/>
  <c r="L26" i="5"/>
  <c r="K26" i="5"/>
  <c r="P23" i="5"/>
  <c r="E7" i="4"/>
  <c r="R27" i="5"/>
  <c r="P16" i="5"/>
  <c r="L24" i="5"/>
  <c r="K52" i="4"/>
  <c r="J22" i="5"/>
  <c r="L25" i="5"/>
  <c r="K24" i="5"/>
  <c r="J51" i="4"/>
  <c r="M19" i="2"/>
  <c r="M15" i="2"/>
  <c r="M26" i="5"/>
  <c r="M23" i="5"/>
  <c r="K51" i="4"/>
  <c r="L17" i="2"/>
  <c r="L10" i="2"/>
  <c r="L9" i="2"/>
  <c r="M27" i="5"/>
  <c r="I13" i="5"/>
  <c r="L14" i="5"/>
  <c r="I48" i="4"/>
  <c r="B31" i="4"/>
  <c r="L19" i="2"/>
  <c r="L7" i="2"/>
  <c r="M12" i="2"/>
  <c r="M5" i="2"/>
  <c r="O25" i="5"/>
  <c r="P24" i="5"/>
  <c r="G27" i="5"/>
  <c r="D48" i="4"/>
  <c r="Q27" i="5"/>
  <c r="P26" i="5"/>
  <c r="H23" i="5"/>
  <c r="M4" i="2"/>
  <c r="Q25" i="5"/>
  <c r="M13" i="2"/>
  <c r="P22" i="5"/>
  <c r="R24" i="5"/>
  <c r="O15" i="5"/>
  <c r="L4" i="2"/>
  <c r="N15" i="5"/>
  <c r="L16" i="5"/>
  <c r="M17" i="5"/>
  <c r="R13" i="5"/>
  <c r="D61" i="4"/>
  <c r="J17" i="5"/>
  <c r="M21" i="2"/>
  <c r="D52" i="4"/>
  <c r="L60" i="4"/>
  <c r="L27" i="5"/>
  <c r="O16" i="5"/>
  <c r="J16" i="5"/>
  <c r="N27" i="5"/>
  <c r="I15" i="5"/>
  <c r="G15" i="5"/>
  <c r="H25" i="5"/>
  <c r="L11" i="2"/>
  <c r="G23" i="5"/>
  <c r="L58" i="4"/>
  <c r="N13" i="5"/>
  <c r="P13" i="5"/>
  <c r="O17" i="5"/>
  <c r="M15" i="5"/>
  <c r="L8" i="2"/>
  <c r="H24" i="5"/>
  <c r="J23" i="5"/>
  <c r="R23" i="5"/>
  <c r="D51" i="4"/>
  <c r="D58" i="4"/>
  <c r="L15" i="5"/>
  <c r="L57" i="4"/>
  <c r="G26" i="5"/>
  <c r="H15" i="5"/>
  <c r="L5" i="2"/>
  <c r="E51" i="4"/>
  <c r="C50" i="4"/>
  <c r="O23" i="5"/>
  <c r="M6" i="2"/>
  <c r="Q16" i="5"/>
  <c r="E48" i="4"/>
  <c r="K16" i="5"/>
  <c r="C61" i="4"/>
  <c r="L23" i="5"/>
  <c r="R22" i="5"/>
  <c r="K23" i="5"/>
  <c r="N26" i="5"/>
  <c r="C58" i="4"/>
  <c r="Q26" i="5"/>
  <c r="M17" i="2"/>
  <c r="I26" i="5"/>
  <c r="M25" i="5"/>
  <c r="Q24" i="5"/>
  <c r="P27" i="5"/>
  <c r="N23" i="5"/>
  <c r="K49" i="4"/>
  <c r="B32" i="4"/>
  <c r="D57" i="4"/>
  <c r="H16" i="5"/>
  <c r="L56" i="4"/>
  <c r="P15" i="5"/>
  <c r="G16" i="5"/>
  <c r="I27" i="5"/>
  <c r="O24" i="5"/>
  <c r="J14" i="5"/>
  <c r="C60" i="4"/>
  <c r="D49" i="4"/>
  <c r="D59" i="4"/>
  <c r="Q15" i="5"/>
  <c r="I24" i="5"/>
  <c r="Q17" i="5"/>
  <c r="P14" i="5"/>
  <c r="N17" i="5"/>
  <c r="A7" i="4"/>
  <c r="G13" i="5"/>
  <c r="C51" i="4"/>
  <c r="Q22" i="5"/>
  <c r="N25" i="5"/>
  <c r="L14" i="2"/>
  <c r="E31" i="4"/>
  <c r="R15" i="5"/>
  <c r="C57" i="4"/>
  <c r="E34" i="4"/>
  <c r="C59" i="4"/>
  <c r="E49" i="4"/>
  <c r="E30" i="4"/>
  <c r="L61" i="4"/>
  <c r="R16" i="5"/>
  <c r="I16" i="5"/>
  <c r="K30" i="4"/>
  <c r="H30" i="4"/>
  <c r="B57" i="4"/>
  <c r="P17" i="5"/>
  <c r="J15" i="5"/>
  <c r="O22" i="5"/>
  <c r="I7" i="4"/>
  <c r="E52" i="4"/>
  <c r="H34" i="4"/>
  <c r="O13" i="5"/>
  <c r="L59" i="4"/>
  <c r="B60" i="4"/>
  <c r="E50" i="4"/>
  <c r="H22" i="5"/>
  <c r="H33" i="4"/>
  <c r="O26" i="5"/>
  <c r="D50" i="4"/>
  <c r="C49" i="4"/>
  <c r="Q14" i="5"/>
  <c r="B59" i="4"/>
  <c r="K14" i="5"/>
  <c r="G14" i="5"/>
  <c r="J25" i="5"/>
  <c r="B58" i="4"/>
  <c r="R17" i="5"/>
  <c r="K25" i="5"/>
  <c r="C48" i="4"/>
  <c r="K31" i="4"/>
  <c r="H13" i="5"/>
  <c r="C52" i="4"/>
  <c r="H32" i="4"/>
  <c r="H31" i="4"/>
  <c r="L17" i="5"/>
  <c r="I25" i="5"/>
  <c r="C7" i="4"/>
  <c r="O27" i="5"/>
  <c r="H27" i="5"/>
  <c r="K17" i="5"/>
  <c r="M13" i="5"/>
  <c r="J27" i="5"/>
  <c r="K15" i="5"/>
  <c r="B61" i="4"/>
  <c r="H14" i="5"/>
  <c r="J13" i="5"/>
  <c r="L13" i="5"/>
  <c r="H17" i="5"/>
  <c r="I22" i="5"/>
  <c r="M24" i="5"/>
  <c r="A8" i="4"/>
  <c r="G17" i="5"/>
  <c r="I8" i="4"/>
  <c r="H57" i="4"/>
  <c r="I57" i="4" s="1"/>
  <c r="H60" i="4"/>
  <c r="I60" i="4" s="1"/>
  <c r="H58" i="4"/>
  <c r="I58" i="4" s="1"/>
  <c r="H61" i="4"/>
  <c r="I61" i="4" s="1"/>
  <c r="H59" i="4"/>
  <c r="I59" i="4" s="1"/>
  <c r="O18" i="5" l="1"/>
  <c r="R28" i="5"/>
  <c r="M28" i="5"/>
  <c r="I28" i="5"/>
  <c r="Q18" i="5"/>
  <c r="B33" i="4"/>
  <c r="B34" i="4" s="1"/>
  <c r="E61" i="4"/>
  <c r="L50" i="4"/>
  <c r="J53" i="4"/>
  <c r="E33" i="4"/>
  <c r="K53" i="4"/>
  <c r="I53" i="4"/>
  <c r="E58" i="4"/>
  <c r="C37" i="4"/>
  <c r="C39" i="4" s="1" a="1"/>
  <c r="C39" i="4" s="1"/>
  <c r="I21" i="4"/>
  <c r="J12" i="4"/>
  <c r="J14" i="4" s="1" a="1"/>
  <c r="J14" i="4" s="1"/>
  <c r="J28" i="5"/>
  <c r="C16" i="4" a="1"/>
  <c r="C16" i="4" s="1"/>
  <c r="D16" i="4" s="1"/>
  <c r="L48" i="4"/>
  <c r="L51" i="4"/>
  <c r="E59" i="4"/>
  <c r="K18" i="5"/>
  <c r="K28" i="5"/>
  <c r="L28" i="5"/>
  <c r="B62" i="4"/>
  <c r="H28" i="5"/>
  <c r="N28" i="5"/>
  <c r="G28" i="5"/>
  <c r="K34" i="4"/>
  <c r="D62" i="4"/>
  <c r="M23" i="2"/>
  <c r="I18" i="5"/>
  <c r="L52" i="4"/>
  <c r="C24" i="4" a="1"/>
  <c r="C24" i="4" s="1"/>
  <c r="C23" i="4" s="1" a="1"/>
  <c r="C23" i="4" s="1"/>
  <c r="D23" i="4" s="1"/>
  <c r="H16" i="4" a="1"/>
  <c r="H16" i="4" s="1"/>
  <c r="H25" i="4" s="1"/>
  <c r="B42" i="4" a="1"/>
  <c r="B42" i="4" s="1"/>
  <c r="H42" i="4" s="1"/>
  <c r="H14" i="4" a="1"/>
  <c r="H14" i="4" s="1"/>
  <c r="H23" i="4" s="1"/>
  <c r="C25" i="4" a="1"/>
  <c r="C25" i="4" s="1"/>
  <c r="H18" i="5"/>
  <c r="E57" i="4"/>
  <c r="L23" i="2"/>
  <c r="I13" i="4" a="1"/>
  <c r="I13" i="4" s="1"/>
  <c r="I16" i="4" a="1"/>
  <c r="I16" i="4" s="1"/>
  <c r="C15" i="4" a="1"/>
  <c r="C15" i="4" s="1"/>
  <c r="C53" i="4"/>
  <c r="F49" i="4" s="1"/>
  <c r="P18" i="5"/>
  <c r="B38" i="4" a="1"/>
  <c r="B38" i="4" s="1"/>
  <c r="O28" i="5"/>
  <c r="H15" i="4" a="1"/>
  <c r="H15" i="4" s="1"/>
  <c r="H24" i="4" s="1"/>
  <c r="M18" i="5"/>
  <c r="N18" i="5"/>
  <c r="P28" i="5"/>
  <c r="B39" i="4" a="1"/>
  <c r="B39" i="4" s="1"/>
  <c r="H39" i="4" s="1"/>
  <c r="Q28" i="5"/>
  <c r="L49" i="4"/>
  <c r="B43" i="4" a="1"/>
  <c r="B43" i="4" s="1"/>
  <c r="E53" i="4"/>
  <c r="E60" i="4"/>
  <c r="I14" i="4" a="1"/>
  <c r="I14" i="4" s="1"/>
  <c r="C62" i="4"/>
  <c r="I15" i="4" a="1"/>
  <c r="I15" i="4" s="1"/>
  <c r="I24" i="4" s="1"/>
  <c r="G18" i="5"/>
  <c r="R18" i="5"/>
  <c r="B41" i="4" a="1"/>
  <c r="B41" i="4" s="1"/>
  <c r="C8" i="4"/>
  <c r="H13" i="4" a="1"/>
  <c r="H13" i="4" s="1"/>
  <c r="J18" i="5"/>
  <c r="L18" i="5"/>
  <c r="D53" i="4"/>
  <c r="B40" i="4" a="1"/>
  <c r="B40" i="4" s="1"/>
  <c r="H62" i="4"/>
  <c r="I62" i="4" s="1"/>
  <c r="E62" i="4" l="1"/>
  <c r="I23" i="4"/>
  <c r="K23" i="4" s="1"/>
  <c r="F52" i="4"/>
  <c r="J16" i="4" a="1"/>
  <c r="J16" i="4" s="1"/>
  <c r="K16" i="4" s="1"/>
  <c r="J13" i="4" a="1"/>
  <c r="J13" i="4" s="1"/>
  <c r="K13" i="4" s="1"/>
  <c r="F50" i="4"/>
  <c r="C38" i="4" a="1"/>
  <c r="C38" i="4" s="1"/>
  <c r="C42" i="4" a="1"/>
  <c r="C42" i="4" s="1"/>
  <c r="C41" i="4" a="1"/>
  <c r="C41" i="4" s="1"/>
  <c r="C43" i="4" a="1"/>
  <c r="C43" i="4" s="1"/>
  <c r="C40" i="4" a="1"/>
  <c r="C40" i="4" s="1"/>
  <c r="I25" i="4"/>
  <c r="K25" i="4" s="1"/>
  <c r="I22" i="4"/>
  <c r="L53" i="4"/>
  <c r="D37" i="4"/>
  <c r="J21" i="4"/>
  <c r="E24" i="4"/>
  <c r="J15" i="4" a="1"/>
  <c r="J15" i="4" s="1"/>
  <c r="E16" i="4"/>
  <c r="K14" i="4"/>
  <c r="I17" i="4" a="1"/>
  <c r="I17" i="4" s="1"/>
  <c r="I26" i="4" s="1"/>
  <c r="C26" i="4" a="1"/>
  <c r="C26" i="4" s="1"/>
  <c r="E26" i="4" s="1"/>
  <c r="K24" i="4"/>
  <c r="E23" i="4"/>
  <c r="H41" i="4"/>
  <c r="E15" i="4"/>
  <c r="D15" i="4"/>
  <c r="C14" i="4" a="1"/>
  <c r="C14" i="4" s="1"/>
  <c r="H40" i="4"/>
  <c r="E25" i="4"/>
  <c r="D25" i="4"/>
  <c r="D24" i="4"/>
  <c r="F51" i="4"/>
  <c r="J17" i="4" a="1"/>
  <c r="J17" i="4" s="1"/>
  <c r="H22" i="4"/>
  <c r="H18" i="4"/>
  <c r="H27" i="4" s="1"/>
  <c r="G7" i="4" s="1"/>
  <c r="F48" i="4"/>
  <c r="C17" i="4" a="1"/>
  <c r="C17" i="4" s="1"/>
  <c r="H43" i="4"/>
  <c r="B44" i="4"/>
  <c r="H38" i="4"/>
  <c r="H17" i="4" a="1"/>
  <c r="H17" i="4" s="1"/>
  <c r="I18" i="4"/>
  <c r="I27" i="4" s="1"/>
  <c r="C22" i="4" a="1"/>
  <c r="C22" i="4" s="1"/>
  <c r="J22" i="4" l="1"/>
  <c r="J26" i="4"/>
  <c r="J24" i="4"/>
  <c r="J23" i="4"/>
  <c r="J25" i="4"/>
  <c r="C44" i="4"/>
  <c r="K22" i="4"/>
  <c r="J18" i="4"/>
  <c r="J27" i="4" s="1"/>
  <c r="K15" i="4"/>
  <c r="K18" i="4" s="1"/>
  <c r="G8" i="4"/>
  <c r="K17" i="4"/>
  <c r="K26" i="4" s="1"/>
  <c r="D41" i="4" a="1"/>
  <c r="D41" i="4" s="1"/>
  <c r="E41" i="4" s="1"/>
  <c r="D42" i="4" a="1"/>
  <c r="D42" i="4" s="1"/>
  <c r="E42" i="4" s="1"/>
  <c r="D40" i="4" a="1"/>
  <c r="D40" i="4" s="1"/>
  <c r="E40" i="4" s="1"/>
  <c r="D38" i="4" a="1"/>
  <c r="D38" i="4" s="1"/>
  <c r="D43" i="4" a="1"/>
  <c r="D43" i="4" s="1"/>
  <c r="E43" i="4" s="1"/>
  <c r="D39" i="4" a="1"/>
  <c r="D39" i="4" s="1"/>
  <c r="E39" i="4" s="1"/>
  <c r="D26" i="4"/>
  <c r="H26" i="4"/>
  <c r="F53" i="4"/>
  <c r="E22" i="4"/>
  <c r="D22" i="4"/>
  <c r="C27" i="4"/>
  <c r="E14" i="4"/>
  <c r="D14" i="4"/>
  <c r="K27" i="4"/>
  <c r="H44" i="4"/>
  <c r="I38" i="4" s="1"/>
  <c r="E17" i="4"/>
  <c r="D17" i="4"/>
  <c r="C13" i="4" a="1"/>
  <c r="C13" i="4" s="1"/>
  <c r="E38" i="4" l="1"/>
  <c r="E44" i="4" s="1"/>
  <c r="D44" i="4"/>
  <c r="I43" i="4"/>
  <c r="I44" i="4"/>
  <c r="I42" i="4"/>
  <c r="I41" i="4"/>
  <c r="I39" i="4"/>
  <c r="E27" i="4"/>
  <c r="D27" i="4"/>
  <c r="D13" i="4"/>
  <c r="C18" i="4"/>
  <c r="E13" i="4"/>
  <c r="I40" i="4"/>
  <c r="D18" i="4" l="1"/>
  <c r="E18" i="4"/>
  <c r="A4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DCR!$Q:$W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DCRQW1"/>
        </x15:connection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3">
    <metadataType name="XLDAPR" minSupportedVersion="120000" copy="1" pasteAll="1" pasteValues="1" merge="1" splitFirst="1" rowColShift="1" clearFormats="1" clearComments="1" assign="1" coerce="1" cellMeta="1"/>
    <metadataType name="XLMDX" minSupportedVersion="120000" copy="1" pasteAll="1" pasteValues="1" merge="1" splitFirst="1" rowColShift="1" clearFormats="1" clearComments="1" assign="1" coerce="1"/>
    <metadataType name="XLRICHVALUE" minSupportedVersion="120000" copy="1" pasteAll="1" pasteValues="1" merge="1" splitFirst="1" rowColShift="1" clearFormats="1" clearComments="1" assign="1" coerce="1"/>
  </metadataTypes>
  <metadataStrings count="2">
    <s v="ThisWorkbookDataModel"/>
    <s v="{[Range].[Month].&amp;[May-26]}"/>
  </metadataStrings>
  <mdxMetadata count="1">
    <mdx n="0" f="s">
      <ms ns="1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2">
    <bk>
      <rc t="2" v="0"/>
    </bk>
    <bk>
      <rc t="3" v="0"/>
    </bk>
  </valueMetadata>
</metadata>
</file>

<file path=xl/sharedStrings.xml><?xml version="1.0" encoding="utf-8"?>
<sst xmlns="http://schemas.openxmlformats.org/spreadsheetml/2006/main" count="17676" uniqueCount="2041">
  <si>
    <t>A/C Name</t>
  </si>
  <si>
    <t>(Multiple Items)</t>
  </si>
  <si>
    <t>Sum of Actual Closed Business</t>
  </si>
  <si>
    <t>Column Labels</t>
  </si>
  <si>
    <t>Row Labels</t>
  </si>
  <si>
    <t>Apr-26</t>
  </si>
  <si>
    <t>May-26</t>
  </si>
  <si>
    <t>Jun-26</t>
  </si>
  <si>
    <t>Jul-26</t>
  </si>
  <si>
    <t>Grand Total</t>
  </si>
  <si>
    <t>Compass</t>
  </si>
  <si>
    <t>Gokhana</t>
  </si>
  <si>
    <t>Hunger Box</t>
  </si>
  <si>
    <t>Meals &amp; More</t>
  </si>
  <si>
    <t>Pinnacle</t>
  </si>
  <si>
    <t>SmartQ</t>
  </si>
  <si>
    <t>(blank)</t>
  </si>
  <si>
    <t>Name of Aggregator</t>
  </si>
  <si>
    <t>(All)</t>
  </si>
  <si>
    <t>Compass - CPU Hyd</t>
  </si>
  <si>
    <t>MSN</t>
  </si>
  <si>
    <t>MSN Labs</t>
  </si>
  <si>
    <t>Aug-26</t>
  </si>
  <si>
    <t>Sep-26</t>
  </si>
  <si>
    <t>Oct-26</t>
  </si>
  <si>
    <t>Battarahalli</t>
  </si>
  <si>
    <t>Begumpet</t>
  </si>
  <si>
    <t>BHEL</t>
  </si>
  <si>
    <t>Charminar</t>
  </si>
  <si>
    <t>Electronic City</t>
  </si>
  <si>
    <t>Gachibowli</t>
  </si>
  <si>
    <t>Gudimalkapur</t>
  </si>
  <si>
    <t>HAL Diamond District</t>
  </si>
  <si>
    <t>Himayat Nagar</t>
  </si>
  <si>
    <t>Hitech City</t>
  </si>
  <si>
    <t>HSR Layout</t>
  </si>
  <si>
    <t>Imax</t>
  </si>
  <si>
    <t>JP Nagar New</t>
  </si>
  <si>
    <t>Jubilee Hills</t>
  </si>
  <si>
    <t>Kasavanahalli</t>
  </si>
  <si>
    <t>Kattupakkam</t>
  </si>
  <si>
    <t>Kompally</t>
  </si>
  <si>
    <t>Kukatpally</t>
  </si>
  <si>
    <t>LB Road</t>
  </si>
  <si>
    <t>Lingampally</t>
  </si>
  <si>
    <t>Malkajgiri</t>
  </si>
  <si>
    <t>Mall of Asia</t>
  </si>
  <si>
    <t>Marathahalli</t>
  </si>
  <si>
    <t>MasabTank</t>
  </si>
  <si>
    <t>MG Road</t>
  </si>
  <si>
    <t>Muthangi</t>
  </si>
  <si>
    <t>Nexus Mall</t>
  </si>
  <si>
    <t>Padmarao Nagar</t>
  </si>
  <si>
    <t>Pragathi Nagar</t>
  </si>
  <si>
    <t>Rajahmundry</t>
  </si>
  <si>
    <t>Sarath City Capital Mall</t>
  </si>
  <si>
    <t>Secunderabad</t>
  </si>
  <si>
    <t>Shamshabad</t>
  </si>
  <si>
    <t>Suncity</t>
  </si>
  <si>
    <t>T Nagar</t>
  </si>
  <si>
    <t>Uppal</t>
  </si>
  <si>
    <t>Vanasthalipuram</t>
  </si>
  <si>
    <t>Whitefield 2</t>
  </si>
  <si>
    <t>Date of Entry</t>
  </si>
  <si>
    <t>Person Name</t>
  </si>
  <si>
    <t>Region</t>
  </si>
  <si>
    <t>Connect Status</t>
  </si>
  <si>
    <t>Type of account</t>
  </si>
  <si>
    <t>Type of Business</t>
  </si>
  <si>
    <t>Is Repeat</t>
  </si>
  <si>
    <t>Industry</t>
  </si>
  <si>
    <t>SPOC Name</t>
  </si>
  <si>
    <t>SPOC Number</t>
  </si>
  <si>
    <t>Conversation Remarks</t>
  </si>
  <si>
    <t>Ac Status</t>
  </si>
  <si>
    <t>Next Action Date</t>
  </si>
  <si>
    <t>Next Action Type</t>
  </si>
  <si>
    <t>Ageing</t>
  </si>
  <si>
    <t>Overdue Followup</t>
  </si>
  <si>
    <t>Lead Status</t>
  </si>
  <si>
    <t>Expected Business</t>
  </si>
  <si>
    <t>Actual Closed Business</t>
  </si>
  <si>
    <t>Date of Order</t>
  </si>
  <si>
    <t>Invoice Number</t>
  </si>
  <si>
    <t>Store where order placed</t>
  </si>
  <si>
    <t>Received at HO</t>
  </si>
  <si>
    <t xml:space="preserve">Actual Payment Received </t>
  </si>
  <si>
    <t>Payment Date</t>
  </si>
  <si>
    <t>Month</t>
  </si>
  <si>
    <t>Finance Status</t>
  </si>
  <si>
    <t>Incentive</t>
  </si>
  <si>
    <t>Order Place in Dine In/Takeaway</t>
  </si>
  <si>
    <t>Sameer</t>
  </si>
  <si>
    <t>Hyderabad</t>
  </si>
  <si>
    <t>Accenture HDC2 (Hungerbox)</t>
  </si>
  <si>
    <t>Call</t>
  </si>
  <si>
    <t>Aggregator</t>
  </si>
  <si>
    <t>Popup Counter</t>
  </si>
  <si>
    <t>Repeat</t>
  </si>
  <si>
    <t>F&amp;B Aggregator</t>
  </si>
  <si>
    <t>Praveen</t>
  </si>
  <si>
    <t>Haleem popup  1-04-2026 Gudimalkapur</t>
  </si>
  <si>
    <t>Closed(C4)</t>
  </si>
  <si>
    <t>Hot</t>
  </si>
  <si>
    <t>Yes</t>
  </si>
  <si>
    <t>Deloitte Towers (Hungerbox)</t>
  </si>
  <si>
    <t>F2F</t>
  </si>
  <si>
    <t>Rajender</t>
  </si>
  <si>
    <t>Popup from BHEL on 01-4-2026</t>
  </si>
  <si>
    <t>Cognizant GAR ( Smart Q )</t>
  </si>
  <si>
    <t>Samruddhi</t>
  </si>
  <si>
    <t>Popup on 1-4-2026 gachibowli</t>
  </si>
  <si>
    <t>00GCBTA000287033</t>
  </si>
  <si>
    <t>Bangalore</t>
  </si>
  <si>
    <t>Delivery at SEBLR Banglore (Compass)</t>
  </si>
  <si>
    <t>Bulk Order</t>
  </si>
  <si>
    <t>F&amp;B Agrigator</t>
  </si>
  <si>
    <t>Saad</t>
  </si>
  <si>
    <t>Delivery on 1-4-2026 from HSR</t>
  </si>
  <si>
    <t>00HSA06000002828</t>
  </si>
  <si>
    <t>BMS (Compass)</t>
  </si>
  <si>
    <t>New</t>
  </si>
  <si>
    <t>Suman</t>
  </si>
  <si>
    <t>CB , VB on 1-4-2026 from Hitec</t>
  </si>
  <si>
    <t>00HCA05000015649</t>
  </si>
  <si>
    <t>Bashab</t>
  </si>
  <si>
    <t>Taranjot</t>
  </si>
  <si>
    <t>Following for corporate pop-up and bulkorders</t>
  </si>
  <si>
    <t>Introduction( C0 )</t>
  </si>
  <si>
    <t>Warm</t>
  </si>
  <si>
    <t>Follow-up( C1 )</t>
  </si>
  <si>
    <t>Satyam</t>
  </si>
  <si>
    <t>Got some negative feedback from the organizers, currently on Hold</t>
  </si>
  <si>
    <t>Cold</t>
  </si>
  <si>
    <t>KPMG</t>
  </si>
  <si>
    <t>Corporate</t>
  </si>
  <si>
    <t>Banking Finance &amp; Insurance</t>
  </si>
  <si>
    <t>Santosh</t>
  </si>
  <si>
    <t>Follow Up</t>
  </si>
  <si>
    <t>DP World</t>
  </si>
  <si>
    <t>Ajay</t>
  </si>
  <si>
    <t>HungerBox</t>
  </si>
  <si>
    <t>Palna</t>
  </si>
  <si>
    <t>Chennai</t>
  </si>
  <si>
    <t>Saurabh</t>
  </si>
  <si>
    <t>Trying to push our brand, expecting some business from Jan 2nd Half</t>
  </si>
  <si>
    <t>Wipro</t>
  </si>
  <si>
    <t>It</t>
  </si>
  <si>
    <t>Vishwanath</t>
  </si>
  <si>
    <t>Follow-up</t>
  </si>
  <si>
    <t>Morgan Stanley</t>
  </si>
  <si>
    <t>Gopal</t>
  </si>
  <si>
    <t>Proposed for Corporate events, Bulk Orders</t>
  </si>
  <si>
    <t>Events</t>
  </si>
  <si>
    <t>Ashutosh</t>
  </si>
  <si>
    <t>Event date is from 4th to 6th HiTex</t>
  </si>
  <si>
    <t>Confirmed( C3 )</t>
  </si>
  <si>
    <t>Emerson</t>
  </si>
  <si>
    <t>Sashi</t>
  </si>
  <si>
    <t>Business Closed</t>
  </si>
  <si>
    <t>00ENA01000003840</t>
  </si>
  <si>
    <t>Received at Store</t>
  </si>
  <si>
    <t>Amazon BLR13 (Taurus 1)</t>
  </si>
  <si>
    <t>Pop Up Counter</t>
  </si>
  <si>
    <t>James</t>
  </si>
  <si>
    <t>7 Eleven Global Solution Center</t>
  </si>
  <si>
    <t>Retail</t>
  </si>
  <si>
    <t>Mohammed</t>
  </si>
  <si>
    <t xml:space="preserve">Popup from BHEL on 02-4-2026  </t>
  </si>
  <si>
    <t>Popup on 2-4-2026 Gachibowli</t>
  </si>
  <si>
    <t xml:space="preserve">	
00GCBTA000287036</t>
  </si>
  <si>
    <t>Haleem popup  2-04-2026 Gudimalkapur</t>
  </si>
  <si>
    <t>BPL</t>
  </si>
  <si>
    <t>Joshi</t>
  </si>
  <si>
    <t>00JNC01000016878</t>
  </si>
  <si>
    <t>Amazon BLR14 (Taurus 2)</t>
  </si>
  <si>
    <t>Vinod</t>
  </si>
  <si>
    <t>Maruti NEXA</t>
  </si>
  <si>
    <t>Automobile</t>
  </si>
  <si>
    <t>Balajirao</t>
  </si>
  <si>
    <t>Shared details of Advance booking vouchers at Nexus Mall</t>
  </si>
  <si>
    <t>Cancelled</t>
  </si>
  <si>
    <t>Accenture HDC4 (Smart Q)</t>
  </si>
  <si>
    <t>Priyansh</t>
  </si>
  <si>
    <t>popup  3-04-2026 Gachibowli</t>
  </si>
  <si>
    <t>00GCBTA000287037</t>
  </si>
  <si>
    <t>Accenture HDC5 (Smart Q)</t>
  </si>
  <si>
    <t>Popup 3-4-2026 Sarat City 4th Floor</t>
  </si>
  <si>
    <t xml:space="preserve">Popup from BHEL on 03-4-2026  </t>
  </si>
  <si>
    <t>Haleem popup  3-04-2026 Gudimalkapur</t>
  </si>
  <si>
    <t>Shell</t>
  </si>
  <si>
    <t>Monty</t>
  </si>
  <si>
    <t>00JNC01000016924</t>
  </si>
  <si>
    <t>We Work</t>
  </si>
  <si>
    <t>Sunitha</t>
  </si>
  <si>
    <t>00WFC01000026256</t>
  </si>
  <si>
    <t>Medical Expo Hitex (Pinnacle)</t>
  </si>
  <si>
    <t>Pharma</t>
  </si>
  <si>
    <t>Nawsad</t>
  </si>
  <si>
    <t>Popup at Hitex on 4-4-2026 Hitec City</t>
  </si>
  <si>
    <t>Amgen (Compass)</t>
  </si>
  <si>
    <t>Bibekananda</t>
  </si>
  <si>
    <t>Delivery of CB from Gachibowli 4-4-2026</t>
  </si>
  <si>
    <t>00GCBTA000287089</t>
  </si>
  <si>
    <t>Medicall Hyd 2026</t>
  </si>
  <si>
    <t>Delivery at Gachibowli</t>
  </si>
  <si>
    <t>Sunita Bomma</t>
  </si>
  <si>
    <t>Delivery of MB Gachibowli</t>
  </si>
  <si>
    <t>Popup at Hitex on 5-4-2026 Hitec City</t>
  </si>
  <si>
    <t>Dailyrounds</t>
  </si>
  <si>
    <t>Navya</t>
  </si>
  <si>
    <t>Popup at Hitex on 6-4-2026 Hitec City</t>
  </si>
  <si>
    <t xml:space="preserve">Popup from BHEL on 06-4-2026  </t>
  </si>
  <si>
    <t>TCS</t>
  </si>
  <si>
    <t>Arpit</t>
  </si>
  <si>
    <t>00ENA01000003980</t>
  </si>
  <si>
    <t>Infosys</t>
  </si>
  <si>
    <t>Savita</t>
  </si>
  <si>
    <t>00ENA01000003990</t>
  </si>
  <si>
    <t>popup  7-04-2026 Gachibowli</t>
  </si>
  <si>
    <t xml:space="preserve">	
00GCBTA000287324</t>
  </si>
  <si>
    <t>Popup 7-4-2026 Sarat City 4th Floor</t>
  </si>
  <si>
    <t xml:space="preserve">Popup from BHEL on 07-4-2026  </t>
  </si>
  <si>
    <t>Amazon BLR22 (Taurus 3)</t>
  </si>
  <si>
    <t>Mueenudheen</t>
  </si>
  <si>
    <t>RenewX Chennai</t>
  </si>
  <si>
    <t>ODC</t>
  </si>
  <si>
    <t>Devendar</t>
  </si>
  <si>
    <t>Business Confirmed</t>
  </si>
  <si>
    <t>Sarvesh</t>
  </si>
  <si>
    <t>SmartQ - Popup</t>
  </si>
  <si>
    <t>Harish</t>
  </si>
  <si>
    <t>Sunit</t>
  </si>
  <si>
    <t>00ENA01000004004</t>
  </si>
  <si>
    <t>HAL</t>
  </si>
  <si>
    <t>Sukumar</t>
  </si>
  <si>
    <t>00WFC01000026325</t>
  </si>
  <si>
    <t>00HSA06000002819</t>
  </si>
  <si>
    <t>popup  8-04-2026 Gachibowli</t>
  </si>
  <si>
    <t xml:space="preserve">00GCBTA000287325
</t>
  </si>
  <si>
    <t>Popup 8-4-2026 Sarat City 4th Floor</t>
  </si>
  <si>
    <t xml:space="preserve">Popup from BHEL on 08-4-2026  </t>
  </si>
  <si>
    <t>Delivery on 8-4-2026 from HSR</t>
  </si>
  <si>
    <t>Chargepoint</t>
  </si>
  <si>
    <t>Rajiv</t>
  </si>
  <si>
    <t>00MRA01000003738</t>
  </si>
  <si>
    <t>Accenture BDC 7C</t>
  </si>
  <si>
    <t>popup  9-04-2026 Gachibowli</t>
  </si>
  <si>
    <t>Popup 9-4-2026 Sarat City 4th Floor</t>
  </si>
  <si>
    <t xml:space="preserve">Popup from BHEL on 09-4-2026  </t>
  </si>
  <si>
    <t>JP Morgan</t>
  </si>
  <si>
    <t>Kishore</t>
  </si>
  <si>
    <t>00DDC01000021507</t>
  </si>
  <si>
    <t>Blackline</t>
  </si>
  <si>
    <t>Sadashiv</t>
  </si>
  <si>
    <t>Amazon BLR18 (Aquila)</t>
  </si>
  <si>
    <t>Srinivas</t>
  </si>
  <si>
    <t>popup  10-04-2026 Gachibowli</t>
  </si>
  <si>
    <t>Popup 10-4-2026 Sarat City 4th Floor</t>
  </si>
  <si>
    <t xml:space="preserve">Popup from BHEL on 10-4-2026  </t>
  </si>
  <si>
    <t>Accenture BDC 7A</t>
  </si>
  <si>
    <t>Delivery at BHEL</t>
  </si>
  <si>
    <t>Family Group</t>
  </si>
  <si>
    <t>Sunita</t>
  </si>
  <si>
    <t>Delivery of CB 12-04-2026 BHEL</t>
  </si>
  <si>
    <t>Govind Holidays</t>
  </si>
  <si>
    <t>Tourism</t>
  </si>
  <si>
    <t>Arjith</t>
  </si>
  <si>
    <t>Closed Bulk Order</t>
  </si>
  <si>
    <t>00SGA03000031323</t>
  </si>
  <si>
    <t>Takeaway-Bulk-Insti</t>
  </si>
  <si>
    <t>Take away from Gachibowli</t>
  </si>
  <si>
    <t>Hari Prasad</t>
  </si>
  <si>
    <t>Delivery of CB 13-4-2026 Gachibowli</t>
  </si>
  <si>
    <t>popup  13-04-2026 Gachibowli</t>
  </si>
  <si>
    <t>Popup 13-4-2026 Sarat City 4th Floor</t>
  </si>
  <si>
    <t>Adithya</t>
  </si>
  <si>
    <t>Plumbex 2026 BIEC</t>
  </si>
  <si>
    <t>popup  14-04-2026 Gachibowli</t>
  </si>
  <si>
    <t>Popup 14-4-2026 Sarat City 4th Floor</t>
  </si>
  <si>
    <t>Manisha</t>
  </si>
  <si>
    <t>Hemanth</t>
  </si>
  <si>
    <t>00MRA01000003878</t>
  </si>
  <si>
    <t>Accenture HDC3 (Hungerbox)</t>
  </si>
  <si>
    <t>Pawan</t>
  </si>
  <si>
    <t>Haleem popup  15-04-2026 BHEL</t>
  </si>
  <si>
    <t>popup  15-04-2026 Gachibowli</t>
  </si>
  <si>
    <t>Popup 15-4-2026 Sarat City 4th Floor</t>
  </si>
  <si>
    <t>Delivery on 15-4-2026 from HSR</t>
  </si>
  <si>
    <t>00HSA06000002860</t>
  </si>
  <si>
    <t>Roof India</t>
  </si>
  <si>
    <t>Haleem popup  16-04-2026 BHEL</t>
  </si>
  <si>
    <t>popup  16-04-2026 Gachibowli</t>
  </si>
  <si>
    <t>Popup 16-4-2026 Sarat City 4th Floor</t>
  </si>
  <si>
    <t>Vishal Computers</t>
  </si>
  <si>
    <t>Maanya</t>
  </si>
  <si>
    <t>Deliverd  vouchers from Nexus Mall 17-4-2026</t>
  </si>
  <si>
    <t>Kims Hospital (Zenith Holidays)</t>
  </si>
  <si>
    <t>Arijit</t>
  </si>
  <si>
    <t>Kims Hospital Begumpet 17-04-2026</t>
  </si>
  <si>
    <t>Haleem popup  17-04-2026 BHEL</t>
  </si>
  <si>
    <t>popup  17-04-2026 Gachibowli</t>
  </si>
  <si>
    <t>Popup 17-4-2026 from Lingampally</t>
  </si>
  <si>
    <t>00SGA14000013461</t>
  </si>
  <si>
    <t>Tssifira Tours &amp; Travels</t>
  </si>
  <si>
    <t>Rupanta</t>
  </si>
  <si>
    <t>Dine in at gachibowli on 18-4-2026</t>
  </si>
  <si>
    <t>popup  20-04-2026 Gachibowli</t>
  </si>
  <si>
    <t>Popup 20-04-2026 from Lingampally</t>
  </si>
  <si>
    <t>00SGA14000013527</t>
  </si>
  <si>
    <t>CB &amp; VB fron gachibowli on 20-04-2026</t>
  </si>
  <si>
    <t>popup  21-04-2026 Gachibowli</t>
  </si>
  <si>
    <t>Popup 21-04-2026 from Lingampally</t>
  </si>
  <si>
    <t>Popup on 21-4-2026 from BHEL</t>
  </si>
  <si>
    <t>IDFC First Bank</t>
  </si>
  <si>
    <t>Banking Fiinance &amp; Insurance</t>
  </si>
  <si>
    <t>Chitra</t>
  </si>
  <si>
    <t>Delivery of CB from Hitec on 21-04-2026</t>
  </si>
  <si>
    <t>popup  22-04-2026 Gachibowli</t>
  </si>
  <si>
    <t>00GCBTA000288244</t>
  </si>
  <si>
    <t>Popup 22-04-2026 from Lingampally</t>
  </si>
  <si>
    <t>IT</t>
  </si>
  <si>
    <t>Popup on 22-4-2026 from BHEL</t>
  </si>
  <si>
    <t>NVIDIA (Compass)</t>
  </si>
  <si>
    <t>Dinesh</t>
  </si>
  <si>
    <t>Biryani on 22-04-2026 from Kukatpally</t>
  </si>
  <si>
    <t>00KKPTB000482825</t>
  </si>
  <si>
    <t>TJX (Compass)</t>
  </si>
  <si>
    <t>Sireesh</t>
  </si>
  <si>
    <t>Haleem from kukatpally on 22-04-2026</t>
  </si>
  <si>
    <t>Delivery on 22-4-2026 from HSR</t>
  </si>
  <si>
    <t>00HSA06000002879</t>
  </si>
  <si>
    <t>popup  23-04-2026 Gachibowli</t>
  </si>
  <si>
    <t>00GCBTA000288245</t>
  </si>
  <si>
    <t>Popup 23-04-2026 from Lingampally</t>
  </si>
  <si>
    <t>Popup on 23-4-2026 from BHEL</t>
  </si>
  <si>
    <t>popup  24-04-2026 Muthangi</t>
  </si>
  <si>
    <t>Popup 24-04-2026 from Lingampally</t>
  </si>
  <si>
    <t>Take away from Begumbet</t>
  </si>
  <si>
    <t>Sattar</t>
  </si>
  <si>
    <t>Take away CB from Begumpet 25-04-2026</t>
  </si>
  <si>
    <t>Take away from Secundrabad</t>
  </si>
  <si>
    <t>Jyothi</t>
  </si>
  <si>
    <t>Take away supreme CB from secundrabad 27-4-2026</t>
  </si>
  <si>
    <t>popup  27-04-2026 Muthangi</t>
  </si>
  <si>
    <t>Popup 27-07-2026 from Lingampally</t>
  </si>
  <si>
    <t>Medtronics</t>
  </si>
  <si>
    <t>Asad</t>
  </si>
  <si>
    <t>Delivery of CB at Hospital in May</t>
  </si>
  <si>
    <t>popup  28-04-2026 Muthangi</t>
  </si>
  <si>
    <t>Popup 28-07-2026 from Lingampally</t>
  </si>
  <si>
    <t>OOKTA03000005742</t>
  </si>
  <si>
    <t>00HSA06000002920</t>
  </si>
  <si>
    <t>popup  29-04-2026 Muthangi</t>
  </si>
  <si>
    <t>Popup 29-07-2026 from Lingampally</t>
  </si>
  <si>
    <t>Military Hospital</t>
  </si>
  <si>
    <t>Healthcare</t>
  </si>
  <si>
    <t>Sridhar</t>
  </si>
  <si>
    <t>Takeaway secundrabad CB 29-04-2026</t>
  </si>
  <si>
    <t>Delivery on 29-4-2026 from HSR</t>
  </si>
  <si>
    <t>Zak Fenestration India Expo</t>
  </si>
  <si>
    <t>Rawath</t>
  </si>
  <si>
    <t>popup  30-04-2026 Muthangi</t>
  </si>
  <si>
    <t>Popup 30-07-2026 from Lingampally</t>
  </si>
  <si>
    <t>Vinay Marriage Function</t>
  </si>
  <si>
    <t>Vinay</t>
  </si>
  <si>
    <t>Delivery 1st April at Kapra from Malakjgiri</t>
  </si>
  <si>
    <t>Capco</t>
  </si>
  <si>
    <t>Sunil</t>
  </si>
  <si>
    <t>Business closed</t>
  </si>
  <si>
    <t>Pradeep</t>
  </si>
  <si>
    <t>Ashoak</t>
  </si>
  <si>
    <t>Bulk order cancelled coz of budget issue</t>
  </si>
  <si>
    <t>Oyo Hotels</t>
  </si>
  <si>
    <t>Hotel</t>
  </si>
  <si>
    <t>Abhinay Reddy</t>
  </si>
  <si>
    <t xml:space="preserve">Bulk order requirement </t>
  </si>
  <si>
    <t>Qube Highways</t>
  </si>
  <si>
    <t>Transport</t>
  </si>
  <si>
    <t>Sai Kiran</t>
  </si>
  <si>
    <t>Bulk order for 40 pax</t>
  </si>
  <si>
    <t>Aurobindo Pharma</t>
  </si>
  <si>
    <t>Bapi Raju</t>
  </si>
  <si>
    <t xml:space="preserve">Discussed for team lunch </t>
  </si>
  <si>
    <t>Sekhar</t>
  </si>
  <si>
    <t>Popup counter on 4-05-2026 from Gachibowli</t>
  </si>
  <si>
    <t>00GCBTA000288805</t>
  </si>
  <si>
    <t>Real Dimond Designs</t>
  </si>
  <si>
    <t>Exhibition</t>
  </si>
  <si>
    <t>Confirmed the event.</t>
  </si>
  <si>
    <t>Popup Confirmed</t>
  </si>
  <si>
    <t>ITC Green Centre</t>
  </si>
  <si>
    <t>Capgemini DV A5</t>
  </si>
  <si>
    <t>Capgemini DV B4</t>
  </si>
  <si>
    <t>Capgemini Ecospace 6B</t>
  </si>
  <si>
    <t>Capgemini PTP</t>
  </si>
  <si>
    <t>Accenture BDC 6</t>
  </si>
  <si>
    <t>Agarbatti &amp; Perfume Expo 2026</t>
  </si>
  <si>
    <t>event confirmed from 9th to 11th May</t>
  </si>
  <si>
    <t>ELASIA 2026</t>
  </si>
  <si>
    <t>event confirmed from 14th to 17th May</t>
  </si>
  <si>
    <t xml:space="preserve">Diamond  expo Hitex </t>
  </si>
  <si>
    <t>Nawsad khan</t>
  </si>
  <si>
    <t>had  event from 08th to 10th may  in fallowup with client</t>
  </si>
  <si>
    <t>Thaman Live Music Event</t>
  </si>
  <si>
    <t>Abhirami</t>
  </si>
  <si>
    <t>event on 6th june in fallow up with client</t>
  </si>
  <si>
    <t>Family Event</t>
  </si>
  <si>
    <t>Bulk order  for 50 pax</t>
  </si>
  <si>
    <t>Anthea Pharma</t>
  </si>
  <si>
    <t>Shravan</t>
  </si>
  <si>
    <t>Discussed for Regular Purchases and team lunch bulk bookings</t>
  </si>
  <si>
    <t>KPIT</t>
  </si>
  <si>
    <t>Kamal</t>
  </si>
  <si>
    <t>Discussed on the requirement for catering and bulk order deliveries.</t>
  </si>
  <si>
    <t>Flyjac</t>
  </si>
  <si>
    <t>Others</t>
  </si>
  <si>
    <t>Daniel</t>
  </si>
  <si>
    <t>Discussed on the bulk order requirement</t>
  </si>
  <si>
    <t>Follow-up for the upcoming requirement</t>
  </si>
  <si>
    <t>Popup counter on 5-05-2026 from Gachibowli</t>
  </si>
  <si>
    <t>00GCBTA000288806</t>
  </si>
  <si>
    <t>Gifting</t>
  </si>
  <si>
    <t>Sandeep</t>
  </si>
  <si>
    <t>Discussion about Next PO and follow up for Payment</t>
  </si>
  <si>
    <t>Novartis</t>
  </si>
  <si>
    <t>Srikanth</t>
  </si>
  <si>
    <t>Pop up  event on 14th &amp; 15th May</t>
  </si>
  <si>
    <t>Accenture HDC3</t>
  </si>
  <si>
    <t>pawan</t>
  </si>
  <si>
    <t>event on 14th &amp; 15th may</t>
  </si>
  <si>
    <t>ITW</t>
  </si>
  <si>
    <t>Manufacturing</t>
  </si>
  <si>
    <t>Ravi</t>
  </si>
  <si>
    <t>Has a requirement of bulk booking</t>
  </si>
  <si>
    <t>Prashanti</t>
  </si>
  <si>
    <t xml:space="preserve">Bulk order for 30 pax </t>
  </si>
  <si>
    <t>Power School</t>
  </si>
  <si>
    <t>Education</t>
  </si>
  <si>
    <t>Rajaram</t>
  </si>
  <si>
    <t>Proposed for Bulk order and Pop-up counter</t>
  </si>
  <si>
    <t>Hungerbox</t>
  </si>
  <si>
    <t>Yashi</t>
  </si>
  <si>
    <t>InfinityBox</t>
  </si>
  <si>
    <t>Keshav</t>
  </si>
  <si>
    <t>Pop-up counter business closed</t>
  </si>
  <si>
    <t>Amazon</t>
  </si>
  <si>
    <t>Govardhan</t>
  </si>
  <si>
    <t>Popup counter on 6-05-2026 from Gachibowli</t>
  </si>
  <si>
    <t>00GCBTA000288862</t>
  </si>
  <si>
    <t>Delivery on 6-5-2026 from HSR</t>
  </si>
  <si>
    <t>00HSA06000003012</t>
  </si>
  <si>
    <t>Manohar</t>
  </si>
  <si>
    <t>Sony</t>
  </si>
  <si>
    <t>it</t>
  </si>
  <si>
    <t>Savitha</t>
  </si>
  <si>
    <t>pop up counter on  13/05/2026 in  Embassy tech villge tech park</t>
  </si>
  <si>
    <t>myntra office</t>
  </si>
  <si>
    <t>Mr. Keshav Jha</t>
  </si>
  <si>
    <t>Rakuten Symphony</t>
  </si>
  <si>
    <t>abhilash</t>
  </si>
  <si>
    <t xml:space="preserve">office visit </t>
  </si>
  <si>
    <t>wells fargo</t>
  </si>
  <si>
    <t>Follow-up from 8th to 12th june</t>
  </si>
  <si>
    <t>KLH University</t>
  </si>
  <si>
    <t>Has a requirement of bulk booking , cancellled</t>
  </si>
  <si>
    <t>Scintilla Creations</t>
  </si>
  <si>
    <t>Bhanu</t>
  </si>
  <si>
    <t>Proposed for Bulk order and Gifting</t>
  </si>
  <si>
    <t>Wells Fargo (Smart Q)</t>
  </si>
  <si>
    <t>Popup counter from 8-12 June, cancelled due to client issue with Us</t>
  </si>
  <si>
    <t>Wipro Lighting</t>
  </si>
  <si>
    <t>Nagaraju</t>
  </si>
  <si>
    <t>Proposed gifting vouchers employees</t>
  </si>
  <si>
    <t>NHAI</t>
  </si>
  <si>
    <t>Kiran</t>
  </si>
  <si>
    <t>Buffet lunch in May 1st and 3rd week, Cancelled from client</t>
  </si>
  <si>
    <t>Popup counter till 15-05-2026 from Gachibowli</t>
  </si>
  <si>
    <t>Novartis (Compass)</t>
  </si>
  <si>
    <t>Sneha</t>
  </si>
  <si>
    <t>Haleem popup  on 14 &amp; 15 May</t>
  </si>
  <si>
    <t>Popup counter on 7-05-2026 from Gachibowli</t>
  </si>
  <si>
    <t>00GCBTA000288906</t>
  </si>
  <si>
    <t>clear tax</t>
  </si>
  <si>
    <t>Aman sheety</t>
  </si>
  <si>
    <t>theay are planning for team lunch</t>
  </si>
  <si>
    <t>Capgemini</t>
  </si>
  <si>
    <t>Harsha N</t>
  </si>
  <si>
    <t>introduction</t>
  </si>
  <si>
    <t>Anil Yadav</t>
  </si>
  <si>
    <t>Mphasis</t>
  </si>
  <si>
    <t>Ms. Sudha Prasad</t>
  </si>
  <si>
    <t>Introduction</t>
  </si>
  <si>
    <t>Chaithanya C</t>
  </si>
  <si>
    <t>planning for next week</t>
  </si>
  <si>
    <t>Negotitaion( C2 )</t>
  </si>
  <si>
    <t>Popup Closed</t>
  </si>
  <si>
    <t>00PMTA2000C05756</t>
  </si>
  <si>
    <t>Moveinsync</t>
  </si>
  <si>
    <t>Arjun</t>
  </si>
  <si>
    <t>Dr. Reddys</t>
  </si>
  <si>
    <t>Shiva</t>
  </si>
  <si>
    <t>Clean and Control Technologies Pvt Ltd</t>
  </si>
  <si>
    <t>Uday</t>
  </si>
  <si>
    <t>HDFC Bank</t>
  </si>
  <si>
    <t xml:space="preserve">Has a bulk order requirement 40 people </t>
  </si>
  <si>
    <t>Diamond Expo Hitex</t>
  </si>
  <si>
    <t>ODC on 8th 9th &amp; 10th May from BHEL</t>
  </si>
  <si>
    <t>Popup counter on 8-05-2026 from Gachibowli</t>
  </si>
  <si>
    <t>00GCBTA000289129</t>
  </si>
  <si>
    <t>Accenture Eco space</t>
  </si>
  <si>
    <t>Mahesh</t>
  </si>
  <si>
    <t>for 15 members lunch reqvirment</t>
  </si>
  <si>
    <t>00KVC01000022854</t>
  </si>
  <si>
    <t xml:space="preserve">Biryani on 20-05-2026 </t>
  </si>
  <si>
    <t>qest global</t>
  </si>
  <si>
    <t>sophia</t>
  </si>
  <si>
    <t xml:space="preserve">team lunch for employees plannining </t>
  </si>
  <si>
    <t>vyapar</t>
  </si>
  <si>
    <t>amith</t>
  </si>
  <si>
    <t>every month theay have  4 event and employes are around 500 peoples</t>
  </si>
  <si>
    <t>Lending cart</t>
  </si>
  <si>
    <t>Avinash Kanna</t>
  </si>
  <si>
    <t>still conversation going on</t>
  </si>
  <si>
    <t>KPMG - Ecoworld</t>
  </si>
  <si>
    <t>Naveen</t>
  </si>
  <si>
    <t>Pop-up counter done</t>
  </si>
  <si>
    <t>Marlin Memorial Methodist Church</t>
  </si>
  <si>
    <t>Stallin</t>
  </si>
  <si>
    <t>Has a event on 23rd of may for 150 pax  got postponed</t>
  </si>
  <si>
    <t>Popup counter on 11-05-2026 from Gachibowli</t>
  </si>
  <si>
    <t>Amritha Tool Crafts Pvt Ltd</t>
  </si>
  <si>
    <t>Axiom Energy Conversion Ltd</t>
  </si>
  <si>
    <t>Vanaja</t>
  </si>
  <si>
    <t>Accord Power Digital Products</t>
  </si>
  <si>
    <t>Sainath</t>
  </si>
  <si>
    <t>Fatima</t>
  </si>
  <si>
    <t>Has a requirement of chicken biryani &amp; Haleem for 30 pax</t>
  </si>
  <si>
    <t>Areca Embedded systems pvt ltd</t>
  </si>
  <si>
    <t>Nandita</t>
  </si>
  <si>
    <t>myntra</t>
  </si>
  <si>
    <t>Gagan sagar</t>
  </si>
  <si>
    <t>every month theay need a 1 bulk order it means for 300 peoples</t>
  </si>
  <si>
    <t>zones pvt ltd</t>
  </si>
  <si>
    <t>Shaik ali</t>
  </si>
  <si>
    <t>every 3 month theay have team lunch total employes 180</t>
  </si>
  <si>
    <t>syed</t>
  </si>
  <si>
    <t>its a bpo company every saturday theay want lunch</t>
  </si>
  <si>
    <t>fedex</t>
  </si>
  <si>
    <t>Maryann</t>
  </si>
  <si>
    <t>in future she will give bulk order cureently she dont have reqvirments</t>
  </si>
  <si>
    <t>smart works</t>
  </si>
  <si>
    <t>vinod kumar</t>
  </si>
  <si>
    <t>tommrow he given appointment to meet</t>
  </si>
  <si>
    <t>KPMG - GTP</t>
  </si>
  <si>
    <t>Amazon BLR 37</t>
  </si>
  <si>
    <t>Anand</t>
  </si>
  <si>
    <t>Pop-up counter confirmed</t>
  </si>
  <si>
    <t>Popup counter on 12-05-2026 from Gachibowli</t>
  </si>
  <si>
    <t>00GCBTA000289175</t>
  </si>
  <si>
    <t>Fresenuis Kabi</t>
  </si>
  <si>
    <t>Bulk order requirement for 40 pax</t>
  </si>
  <si>
    <t>Zeenith Holodays</t>
  </si>
  <si>
    <t>Amusement</t>
  </si>
  <si>
    <t>Bulk order requirement for 50 pax</t>
  </si>
  <si>
    <t>Sujil</t>
  </si>
  <si>
    <t>Bulk order requirement for 25 pax</t>
  </si>
  <si>
    <t>Sai kumar</t>
  </si>
  <si>
    <t>Ayub</t>
  </si>
  <si>
    <t>Bulk Order Closed for 50 Pax</t>
  </si>
  <si>
    <t>00HTA05000007033</t>
  </si>
  <si>
    <t>Kingston hospital</t>
  </si>
  <si>
    <t>Imran</t>
  </si>
  <si>
    <t xml:space="preserve">Proposed for Bulk order and Biryani Kits for Gifting </t>
  </si>
  <si>
    <t>Deccan machinery Solutions</t>
  </si>
  <si>
    <t>Proposed for Bulk order and Biryani Kits for Gifting</t>
  </si>
  <si>
    <t>Axiom Ev Products Limited</t>
  </si>
  <si>
    <t>Sai</t>
  </si>
  <si>
    <t>Kumar</t>
  </si>
  <si>
    <t>kumar</t>
  </si>
  <si>
    <t>Has a Bulk order on 14th may for 25 pax</t>
  </si>
  <si>
    <t>Siemens Healthcare</t>
  </si>
  <si>
    <t>pallavi</t>
  </si>
  <si>
    <t>in future she will give bulk meal box order</t>
  </si>
  <si>
    <t>Htc global</t>
  </si>
  <si>
    <t>manjunath</t>
  </si>
  <si>
    <t>if any reqvirments is there means theay will reach out</t>
  </si>
  <si>
    <t>widas</t>
  </si>
  <si>
    <t>Mahammad Rasheed</t>
  </si>
  <si>
    <t>conversation going on call about coming events</t>
  </si>
  <si>
    <t>Delivery in May Month from HSR</t>
  </si>
  <si>
    <t>00HSA06000003006</t>
  </si>
  <si>
    <t>Sujith</t>
  </si>
  <si>
    <t>Bulk order   Business closed</t>
  </si>
  <si>
    <t>OOSGA13000014989</t>
  </si>
  <si>
    <t>Apollo Hospital</t>
  </si>
  <si>
    <t>Nisita</t>
  </si>
  <si>
    <t>Proposed for Bulk order and Biryani Kits for Gifting, intially planning for 25 pax for bulk booking</t>
  </si>
  <si>
    <t>AINU (Asian Institute of Nephrology and Urology)Hospital</t>
  </si>
  <si>
    <t>Bulk order for 25 pax</t>
  </si>
  <si>
    <t>Munesh Kumar</t>
  </si>
  <si>
    <t>Has a Bulk order requirement</t>
  </si>
  <si>
    <t>IIT Hyderabad</t>
  </si>
  <si>
    <t>Abnik</t>
  </si>
  <si>
    <t>Wells fargo</t>
  </si>
  <si>
    <t xml:space="preserve">Has a Bulk order requirement </t>
  </si>
  <si>
    <t xml:space="preserve">Popup counter on 13-05-2026 </t>
  </si>
  <si>
    <t>00GCBTA000289313</t>
  </si>
  <si>
    <t>eco green</t>
  </si>
  <si>
    <t>Mohamad ashif</t>
  </si>
  <si>
    <t>introduction stage</t>
  </si>
  <si>
    <t>unisys</t>
  </si>
  <si>
    <t>Kavitha</t>
  </si>
  <si>
    <t>introduction satge</t>
  </si>
  <si>
    <t>Rohit</t>
  </si>
  <si>
    <t xml:space="preserve">every week theay have team lunch </t>
  </si>
  <si>
    <t>Shashidar Reddy</t>
  </si>
  <si>
    <t>Has a bulk order Requirement</t>
  </si>
  <si>
    <t>Veera Ruchulu</t>
  </si>
  <si>
    <t>Veera</t>
  </si>
  <si>
    <t xml:space="preserve">Has a Bulk order Requirement </t>
  </si>
  <si>
    <t>Bulk Order Business Closed</t>
  </si>
  <si>
    <t>00GCBTA000289271</t>
  </si>
  <si>
    <t>Pavan</t>
  </si>
  <si>
    <t>Novartis Genom Valley (Compass)</t>
  </si>
  <si>
    <t>Cube Highways</t>
  </si>
  <si>
    <t>Had a meeting on price negotitaion</t>
  </si>
  <si>
    <t>00MRA08000005192</t>
  </si>
  <si>
    <t>Accenture BDC 4C</t>
  </si>
  <si>
    <t>Confirmed bulk order</t>
  </si>
  <si>
    <t>Quince</t>
  </si>
  <si>
    <t>Proposed for bulk orders</t>
  </si>
  <si>
    <t>Jaya Hospitals</t>
  </si>
  <si>
    <t>Rama</t>
  </si>
  <si>
    <t>Bulk order closed</t>
  </si>
  <si>
    <t>OORJC01000055090</t>
  </si>
  <si>
    <t>Dine-in</t>
  </si>
  <si>
    <t>ISRO</t>
  </si>
  <si>
    <t>Government</t>
  </si>
  <si>
    <t>Shahider Reddy</t>
  </si>
  <si>
    <t>Bulk order Business Closed</t>
  </si>
  <si>
    <t>OOSTA01000053126</t>
  </si>
  <si>
    <t>Aarya Omini Talk</t>
  </si>
  <si>
    <t>Abishek</t>
  </si>
  <si>
    <t>Atria Convergence Technologies Ltd.</t>
  </si>
  <si>
    <t>Abhilash</t>
  </si>
  <si>
    <t>Talent Sprint</t>
  </si>
  <si>
    <t>Amarnath</t>
  </si>
  <si>
    <t xml:space="preserve">00IMA020000
</t>
  </si>
  <si>
    <t>Shashidar</t>
  </si>
  <si>
    <t>Client took 60 biryani &amp; water bottles separately this is for waterbottles .</t>
  </si>
  <si>
    <t>OOMHA11000342763</t>
  </si>
  <si>
    <t>OOPMTA01000C03266</t>
  </si>
  <si>
    <t>Completed Bulk order</t>
  </si>
  <si>
    <t>S.S Engineering works</t>
  </si>
  <si>
    <t>Suryanaryana</t>
  </si>
  <si>
    <t xml:space="preserve">Ricon Pharma </t>
  </si>
  <si>
    <t>Shailesh</t>
  </si>
  <si>
    <t>Vignesh Nursing Home</t>
  </si>
  <si>
    <t>Onus Robitic Hospitals</t>
  </si>
  <si>
    <t>Manasa</t>
  </si>
  <si>
    <t>Clear Tax</t>
  </si>
  <si>
    <t>Popup Counter on 18-5-2026 from Gachibowli</t>
  </si>
  <si>
    <t>00GCBTA000289580</t>
  </si>
  <si>
    <t>Sunjay</t>
  </si>
  <si>
    <t>Nvidea</t>
  </si>
  <si>
    <t xml:space="preserve">Visited for site Allignment </t>
  </si>
  <si>
    <t>Kaushik Enterprises</t>
  </si>
  <si>
    <t>Suresh</t>
  </si>
  <si>
    <t>Bulk order Requirement</t>
  </si>
  <si>
    <t>Medisys</t>
  </si>
  <si>
    <t>Bharath</t>
  </si>
  <si>
    <t>00GCBTA000289577</t>
  </si>
  <si>
    <t>OOWFC01000027275</t>
  </si>
  <si>
    <t>Amazon BLR37</t>
  </si>
  <si>
    <t>OOPMTA01000C03276</t>
  </si>
  <si>
    <t>Raghu</t>
  </si>
  <si>
    <t>00MRA08000005723</t>
  </si>
  <si>
    <t>HDC-5A</t>
  </si>
  <si>
    <t>Customised Thalli Bulk order Deliverd on 19 &amp; 20 may from Lingampally</t>
  </si>
  <si>
    <t>CIFSPL20052026</t>
  </si>
  <si>
    <t>OOWFC01000027301</t>
  </si>
  <si>
    <t>Capgemini Ecospace</t>
  </si>
  <si>
    <t>00MRA07000008576</t>
  </si>
  <si>
    <t>Asia LabEx 2026</t>
  </si>
  <si>
    <t>Devendra</t>
  </si>
  <si>
    <t>Business confirmed</t>
  </si>
  <si>
    <t>00GCBTA000289687</t>
  </si>
  <si>
    <t>Kishan</t>
  </si>
  <si>
    <t>Paytm</t>
  </si>
  <si>
    <t>Anil</t>
  </si>
  <si>
    <t>NVIDIA</t>
  </si>
  <si>
    <t>Biryani on 20-05-2026 from BHEL</t>
  </si>
  <si>
    <t>00BHLTC000244342</t>
  </si>
  <si>
    <t>00BHLTC000244350</t>
  </si>
  <si>
    <t>00HSA06000003047</t>
  </si>
  <si>
    <t>Bulk order on 20-05-2026</t>
  </si>
  <si>
    <t xml:space="preserve">CUBE HIGHWAYS </t>
  </si>
  <si>
    <t>Realestate</t>
  </si>
  <si>
    <t>Delivery from Shamshabad 5-9 April 2026</t>
  </si>
  <si>
    <t>00SSBTA000150012</t>
  </si>
  <si>
    <t>COKKPTB000485574</t>
  </si>
  <si>
    <t>Mythri Hospitals</t>
  </si>
  <si>
    <t>Azam Khan</t>
  </si>
  <si>
    <t>Apollo Home Services</t>
  </si>
  <si>
    <t>00MRA08000005743</t>
  </si>
  <si>
    <t>00WFC01000027318</t>
  </si>
  <si>
    <t>00GCBTA0002897</t>
  </si>
  <si>
    <t>Myntra</t>
  </si>
  <si>
    <t>Looking for 400+ Biryani next week.</t>
  </si>
  <si>
    <t>00GCBTA000289798</t>
  </si>
  <si>
    <t>Lotus Chocolote company</t>
  </si>
  <si>
    <t>Chari</t>
  </si>
  <si>
    <t>Bulk order for 50 pax</t>
  </si>
  <si>
    <t>Eswar Eye Hospital</t>
  </si>
  <si>
    <t>Reddy</t>
  </si>
  <si>
    <t>Sam</t>
  </si>
  <si>
    <t>00STA02000020177</t>
  </si>
  <si>
    <t>Pallavi</t>
  </si>
  <si>
    <t>Follow-up for requirements.</t>
  </si>
  <si>
    <t>Unisys</t>
  </si>
  <si>
    <t>Rahul</t>
  </si>
  <si>
    <t>Meeting with Head Chef  &amp; team for  Sensory and  then discussed for new Business 2000 Kgs of Chicken Biryani.</t>
  </si>
  <si>
    <t>Canara Bank</t>
  </si>
  <si>
    <t>Harsha</t>
  </si>
  <si>
    <t>Ecogreen</t>
  </si>
  <si>
    <t>Zones pvt ltd</t>
  </si>
  <si>
    <t>Yuva Computers</t>
  </si>
  <si>
    <t>Sri</t>
  </si>
  <si>
    <t>Accenture BDC6</t>
  </si>
  <si>
    <t>Accenture HDC-3 Building No:7(Divyashree)</t>
  </si>
  <si>
    <t>Bulk Delivery at HDC-3 from Lingampally</t>
  </si>
  <si>
    <t>00LPDE1000047157</t>
  </si>
  <si>
    <t>New Requirement apart from 2000 kgs of Chicken Biryani additional 500 Kg required for wednesday order. Senosry done along with our team members cleared their doubts .</t>
  </si>
  <si>
    <t>Blue Dart</t>
  </si>
  <si>
    <t>CIFSPL27052026</t>
  </si>
  <si>
    <t>00HSA06000003072</t>
  </si>
  <si>
    <t>Sanjay Chuwan</t>
  </si>
  <si>
    <t>Delivered 2500 Kgs Chicken biryani order by morning 9 A.m</t>
  </si>
  <si>
    <t>Charu Sheela Events</t>
  </si>
  <si>
    <t>VR Technologies</t>
  </si>
  <si>
    <t>Venkat</t>
  </si>
  <si>
    <t>Vedha Estate</t>
  </si>
  <si>
    <t xml:space="preserve">Venkat </t>
  </si>
  <si>
    <t>00GCBTA000290033</t>
  </si>
  <si>
    <t>00GCBTA000290133</t>
  </si>
  <si>
    <t>Community</t>
  </si>
  <si>
    <t>BUlk order Business Closed</t>
  </si>
  <si>
    <t>00HCA05000020150</t>
  </si>
  <si>
    <t>Dell International</t>
  </si>
  <si>
    <t>Pramodh</t>
  </si>
  <si>
    <t>Comp. BMS</t>
  </si>
  <si>
    <t>Has a Bulk order requirement , and requested for a sensory on wednesday i,e on 03/06/2026 1 veg &amp; 1 Chicken Biryani further order confirm.</t>
  </si>
  <si>
    <t>Adwings Digital Media</t>
  </si>
  <si>
    <t>Entertainment</t>
  </si>
  <si>
    <t>Ravi Kumar</t>
  </si>
  <si>
    <t>Has a bulk order requiremnt for 100 pax</t>
  </si>
  <si>
    <t>Acko Insurance</t>
  </si>
  <si>
    <t>Ram</t>
  </si>
  <si>
    <t>ITC Infotech</t>
  </si>
  <si>
    <t>Subhi</t>
  </si>
  <si>
    <t>Subhadeep/Srinivas</t>
  </si>
  <si>
    <t>Confirmed  for 3000 kgs chicken biryani on wenesday.</t>
  </si>
  <si>
    <t>00KPTB000487540</t>
  </si>
  <si>
    <t>00BHA01000002749</t>
  </si>
  <si>
    <t>00WFC01000027642</t>
  </si>
  <si>
    <t>Father Colombo Institute of medical seciences</t>
  </si>
  <si>
    <t>Renu</t>
  </si>
  <si>
    <t>Bijili Ride</t>
  </si>
  <si>
    <t>Shivam</t>
  </si>
  <si>
    <t>SGMR Pharmaceticals</t>
  </si>
  <si>
    <t>suresh</t>
  </si>
  <si>
    <t>00JNTA1000015680</t>
  </si>
  <si>
    <t>00DDTA1000022461</t>
  </si>
  <si>
    <t>Sanjay</t>
  </si>
  <si>
    <t>BMS</t>
  </si>
  <si>
    <t>Has a Requirement for Bulk order , Sensory done waiting for further update</t>
  </si>
  <si>
    <t>00BHA01000002750</t>
  </si>
  <si>
    <t>00WFC01000027667</t>
  </si>
  <si>
    <t>00KVC01000023338</t>
  </si>
  <si>
    <t>CIFSPL27050616</t>
  </si>
  <si>
    <t>00GCBTA000290500</t>
  </si>
  <si>
    <t>Wipro Ligitings</t>
  </si>
  <si>
    <t>Followup</t>
  </si>
  <si>
    <t>00SGA13000016763</t>
  </si>
  <si>
    <t>Raj</t>
  </si>
  <si>
    <t>BIEC</t>
  </si>
  <si>
    <t>00HSA06000003320</t>
  </si>
  <si>
    <t>Delivery in June Month from HSR</t>
  </si>
  <si>
    <t>00BGA09000031180</t>
  </si>
  <si>
    <t>Vijay Kumar</t>
  </si>
  <si>
    <t>00MALT1000087439</t>
  </si>
  <si>
    <t>00GCBTA000290486</t>
  </si>
  <si>
    <t>Medha Servo</t>
  </si>
  <si>
    <t>Madhu mohan</t>
  </si>
  <si>
    <t>Bulk order requirement for 1200 pax Chicken Biryani</t>
  </si>
  <si>
    <t>Akshara Ventures Solutions</t>
  </si>
  <si>
    <t>Ankur Pharmacy</t>
  </si>
  <si>
    <t>Srishilyam</t>
  </si>
  <si>
    <t>00GCBTA000290486/500</t>
  </si>
  <si>
    <t>4m Technologies</t>
  </si>
  <si>
    <t>Padmini</t>
  </si>
  <si>
    <t>Axiom Energy</t>
  </si>
  <si>
    <t>Bulk order for 1200 pax on 10 june</t>
  </si>
  <si>
    <t>Ahuja Engineering Services</t>
  </si>
  <si>
    <t>2k Technologies</t>
  </si>
  <si>
    <t>VoiceGate Technologies</t>
  </si>
  <si>
    <t>Faridha</t>
  </si>
  <si>
    <t>00GCBTA000290835</t>
  </si>
  <si>
    <t>TCS Adibatla</t>
  </si>
  <si>
    <t>Anil Reddy</t>
  </si>
  <si>
    <t>Infosys pocharm</t>
  </si>
  <si>
    <t>Prasad</t>
  </si>
  <si>
    <t>Master Mind Chengicherla</t>
  </si>
  <si>
    <t>Ardash Reddy</t>
  </si>
  <si>
    <t>Axiom energy conversion Ltd</t>
  </si>
  <si>
    <t>Zin Holidiyas</t>
  </si>
  <si>
    <t>Nishita</t>
  </si>
  <si>
    <t>Bulk order requirement on13th june</t>
  </si>
  <si>
    <t>Bulkorder closed</t>
  </si>
  <si>
    <t>C0KKPTB000487540</t>
  </si>
  <si>
    <t>C0KKPTB000487542</t>
  </si>
  <si>
    <t>Hitex</t>
  </si>
  <si>
    <t>Venu</t>
  </si>
  <si>
    <t>Bulk order on 18th june</t>
  </si>
  <si>
    <t>Shahidhar</t>
  </si>
  <si>
    <t>C0KKFTB000487616</t>
  </si>
  <si>
    <t>00GCBTA000290836</t>
  </si>
  <si>
    <t>V events</t>
  </si>
  <si>
    <t>Giridhar</t>
  </si>
  <si>
    <t xml:space="preserve">Bulk order pop-up on 17th </t>
  </si>
  <si>
    <t>COKKFTB000487615</t>
  </si>
  <si>
    <t>EY</t>
  </si>
  <si>
    <t>00WFC01000027840</t>
  </si>
  <si>
    <t>CIFSPL270616</t>
  </si>
  <si>
    <t>00WFTA1000037740/77</t>
  </si>
  <si>
    <t>00WFC01000037740</t>
  </si>
  <si>
    <t>Shahsi</t>
  </si>
  <si>
    <t>C0KKPTB000487768</t>
  </si>
  <si>
    <t>Getech equipments international Pvt Ltd.</t>
  </si>
  <si>
    <t>Narayana</t>
  </si>
  <si>
    <t>Gem Engineering  industries india pvt ltd</t>
  </si>
  <si>
    <t>Hari</t>
  </si>
  <si>
    <t>subbha Rao</t>
  </si>
  <si>
    <t>Bulk order requirement</t>
  </si>
  <si>
    <t>00GCBTA000290837</t>
  </si>
  <si>
    <t>00HSA06000003251</t>
  </si>
  <si>
    <t>Shasshi</t>
  </si>
  <si>
    <t>C0KKPTB000487854</t>
  </si>
  <si>
    <t>Bristol Mayer Squib</t>
  </si>
  <si>
    <t>Cancelled bcoz of stock not available in Hitechcity for 50 portions of Nizami special Biryani &amp; 40 portions of veg Biryani.</t>
  </si>
  <si>
    <t>Hindustan Univer Liver- HUL</t>
  </si>
  <si>
    <t>Vani</t>
  </si>
  <si>
    <t>00SGA05000011456</t>
  </si>
  <si>
    <t>Sri Krishna Group</t>
  </si>
  <si>
    <t>Bulk order on 12th june</t>
  </si>
  <si>
    <t>00STA02000023545</t>
  </si>
  <si>
    <t>00GCBTA000290849</t>
  </si>
  <si>
    <t>00WFTA1000037837</t>
  </si>
  <si>
    <t>BNP Paribas</t>
  </si>
  <si>
    <t>00LBA02000005967</t>
  </si>
  <si>
    <t xml:space="preserve">Vigan College </t>
  </si>
  <si>
    <t>Scintilla creations</t>
  </si>
  <si>
    <t>Vikas</t>
  </si>
  <si>
    <t>Has a bulk order requirement</t>
  </si>
  <si>
    <t>Astra zenica</t>
  </si>
  <si>
    <t>Vivek jeswal</t>
  </si>
  <si>
    <t>Vijay</t>
  </si>
  <si>
    <t>00GCBTA000290901</t>
  </si>
  <si>
    <t>00BGA09000032343</t>
  </si>
  <si>
    <t>Wework</t>
  </si>
  <si>
    <t>Anujpratap</t>
  </si>
  <si>
    <t>00JNC01000018238</t>
  </si>
  <si>
    <t>Hitex HICC</t>
  </si>
  <si>
    <t>Bulk order on 18,19,20 June</t>
  </si>
  <si>
    <t>Swarop IT Solutions</t>
  </si>
  <si>
    <t>Swaroop</t>
  </si>
  <si>
    <t>Has a bulk order requirement on 19th june</t>
  </si>
  <si>
    <t>Ramesh</t>
  </si>
  <si>
    <t>Has a bulk order requirement on 21st june</t>
  </si>
  <si>
    <t>Spark Infosys</t>
  </si>
  <si>
    <t xml:space="preserve">Kiran </t>
  </si>
  <si>
    <t>Big C Mobiles Pvt Ltd</t>
  </si>
  <si>
    <t>Sruthi Rao</t>
  </si>
  <si>
    <t>Valcan Solar</t>
  </si>
  <si>
    <t>Arif</t>
  </si>
  <si>
    <t>Visaka Industries</t>
  </si>
  <si>
    <t>KPMG - Main 7</t>
  </si>
  <si>
    <t>KIMS Kondapur</t>
  </si>
  <si>
    <t>00SGA02000025219</t>
  </si>
  <si>
    <t>Ankura Hospital, Madeenaguda</t>
  </si>
  <si>
    <t>00PRTA1000054880</t>
  </si>
  <si>
    <t>CIFSPL270617</t>
  </si>
  <si>
    <t>00WFC01000028006</t>
  </si>
  <si>
    <t>00HSA06000003468</t>
  </si>
  <si>
    <t>00HSA06000003467</t>
  </si>
  <si>
    <t>Church Iseral</t>
  </si>
  <si>
    <t>Church</t>
  </si>
  <si>
    <t>Ishea</t>
  </si>
  <si>
    <t>C0KKPTB000488684</t>
  </si>
  <si>
    <t>Global Watches</t>
  </si>
  <si>
    <t>Jasebeer</t>
  </si>
  <si>
    <t>Bulk order Business</t>
  </si>
  <si>
    <t>Deccan Solutions</t>
  </si>
  <si>
    <t>Preethi</t>
  </si>
  <si>
    <t>00WFC01000028021</t>
  </si>
  <si>
    <t>00STA02000024289</t>
  </si>
  <si>
    <t>St. Joseph Degree College</t>
  </si>
  <si>
    <t>Jagan</t>
  </si>
  <si>
    <t>Bulk order Business requirement on Saturday</t>
  </si>
  <si>
    <t>St. Jospeh Church</t>
  </si>
  <si>
    <t>Imanieal</t>
  </si>
  <si>
    <t>Genpact</t>
  </si>
  <si>
    <t>Ravinder</t>
  </si>
  <si>
    <t>Proposed for Bulk Order and Biryani Kits for Gifting</t>
  </si>
  <si>
    <t>00KVC01000023856</t>
  </si>
  <si>
    <t>Electronics Corporation of India Limited (ECIL)</t>
  </si>
  <si>
    <t>Bulk order of Biryani Kits</t>
  </si>
  <si>
    <t>3G Hr Services</t>
  </si>
  <si>
    <t>Kavya</t>
  </si>
  <si>
    <t>Websmart Technologies</t>
  </si>
  <si>
    <t>Nandhini</t>
  </si>
  <si>
    <t xml:space="preserve">I.G.I. Global </t>
  </si>
  <si>
    <t>Dealers &amp; Distributers</t>
  </si>
  <si>
    <t>Shiva Krishna</t>
  </si>
  <si>
    <t>Business Closed Biryani Kits</t>
  </si>
  <si>
    <t>Avis Hospital</t>
  </si>
  <si>
    <t>Jaya</t>
  </si>
  <si>
    <t>Bull Rock Drills Pvt Ltd</t>
  </si>
  <si>
    <t>Karthik</t>
  </si>
  <si>
    <t>Maker's Hive Innovations</t>
  </si>
  <si>
    <t>Sandesh</t>
  </si>
  <si>
    <t>Chinni Industries</t>
  </si>
  <si>
    <t>00HSA06000003509</t>
  </si>
  <si>
    <t>CIFSPL270624</t>
  </si>
  <si>
    <t>00WFTA1000038447</t>
  </si>
  <si>
    <t>ThreeDfy</t>
  </si>
  <si>
    <t>Prakesh</t>
  </si>
  <si>
    <t>Alkaione Life Pvt Ltd</t>
  </si>
  <si>
    <t>Shaliniu</t>
  </si>
  <si>
    <t>C.M. hydro Systems</t>
  </si>
  <si>
    <t>Elmas Magnetics Pvt Ltd</t>
  </si>
  <si>
    <t>Girisha</t>
  </si>
  <si>
    <t>Dabur</t>
  </si>
  <si>
    <t>Durga Prasad</t>
  </si>
  <si>
    <t>Introduction and shared details of next order</t>
  </si>
  <si>
    <t>Hussmann Service</t>
  </si>
  <si>
    <t>Joe</t>
  </si>
  <si>
    <t>Has a Bulk order Requirement</t>
  </si>
  <si>
    <t>OOJNTA1000016600</t>
  </si>
  <si>
    <t>00WFDE1000019173</t>
  </si>
  <si>
    <t>GAR Infobahn</t>
  </si>
  <si>
    <t>Rupa rani</t>
  </si>
  <si>
    <t>Ratna Global Technologies</t>
  </si>
  <si>
    <t>Digilogic Systems Limited</t>
  </si>
  <si>
    <t>Sravya</t>
  </si>
  <si>
    <t>00BGA9000033931</t>
  </si>
  <si>
    <t>G.C Group</t>
  </si>
  <si>
    <t>Gladson</t>
  </si>
  <si>
    <t>00GCBTA000292416</t>
  </si>
  <si>
    <t>FMCG</t>
  </si>
  <si>
    <t>Sana Ullaha Khan</t>
  </si>
  <si>
    <t>00BGA09000034014</t>
  </si>
  <si>
    <t>Honeywell Technologies Solutions</t>
  </si>
  <si>
    <t>Swathi</t>
  </si>
  <si>
    <t>Sain Medicaments Private Limited</t>
  </si>
  <si>
    <t>Nadeem</t>
  </si>
  <si>
    <t>Has a Bulk order Requirement, Negotitaion with client .</t>
  </si>
  <si>
    <t>Bulk Order for Mandi has cancelled coz we dont serve</t>
  </si>
  <si>
    <t>Church Group</t>
  </si>
  <si>
    <t>Sujin</t>
  </si>
  <si>
    <t>00ENLC1000000355</t>
  </si>
  <si>
    <t>00ENLC1000000360</t>
  </si>
  <si>
    <t>Tech Mahindra</t>
  </si>
  <si>
    <t>Priya</t>
  </si>
  <si>
    <t>Proposed for Bulk Order and Biryani Kits for Gifting, in fallowup with client</t>
  </si>
  <si>
    <t>Hitachi Digital Services India Pri</t>
  </si>
  <si>
    <t>Sanjeev Sharma</t>
  </si>
  <si>
    <t>Oracle India</t>
  </si>
  <si>
    <t>Rajesh</t>
  </si>
  <si>
    <t xml:space="preserve">Event at New convention </t>
  </si>
  <si>
    <t>Naushad</t>
  </si>
  <si>
    <t>Has a Bulk order Requirement in July 2nd week</t>
  </si>
  <si>
    <t>Accenture</t>
  </si>
  <si>
    <t>Bhargav</t>
  </si>
  <si>
    <t>Capgemini GAAR</t>
  </si>
  <si>
    <t>Ajesh</t>
  </si>
  <si>
    <t>00GCBTA000292799</t>
  </si>
  <si>
    <t>Capgemini Campus</t>
  </si>
  <si>
    <t>Sandhya</t>
  </si>
  <si>
    <t>00GCBTA000292800</t>
  </si>
  <si>
    <t>00WFTA1000038589</t>
  </si>
  <si>
    <t>Deloitte</t>
  </si>
  <si>
    <t>Mena</t>
  </si>
  <si>
    <t>Bulk order requirement for 1500 pax Biryani &amp; Mulbary Malai</t>
  </si>
  <si>
    <t>Pharma Pro Expo</t>
  </si>
  <si>
    <t>Bulk order requirement  9th to 11th July</t>
  </si>
  <si>
    <t>QualMinds Technologies Pvt Ltd</t>
  </si>
  <si>
    <t>Ruhi</t>
  </si>
  <si>
    <t>Broadcom</t>
  </si>
  <si>
    <t>00WFTA1000038600</t>
  </si>
  <si>
    <t>00KTA02000009552</t>
  </si>
  <si>
    <t>IBM - DLF</t>
  </si>
  <si>
    <t>Nagarajan</t>
  </si>
  <si>
    <t>00TNA01000007020</t>
  </si>
  <si>
    <t>00KVC01000024178</t>
  </si>
  <si>
    <t>Computacenter</t>
  </si>
  <si>
    <t>00JNTA1000016600</t>
  </si>
  <si>
    <t>CIFSPL070626</t>
  </si>
  <si>
    <t>00HSA06000006678</t>
  </si>
  <si>
    <t>Delivery in July Month from HSR</t>
  </si>
  <si>
    <t>Birlasoft</t>
  </si>
  <si>
    <t>Krithi</t>
  </si>
  <si>
    <t>Virtusa Consulting Service Limited</t>
  </si>
  <si>
    <t>The Square, 110 Financial District</t>
  </si>
  <si>
    <t>Sanjana</t>
  </si>
  <si>
    <t>00GCBTA000292881</t>
  </si>
  <si>
    <t>Pending</t>
  </si>
  <si>
    <t>00GCBTA000292882</t>
  </si>
  <si>
    <t>00WFTA1000038664</t>
  </si>
  <si>
    <t>00GCBTA000292883</t>
  </si>
  <si>
    <t>KPMG Tower D</t>
  </si>
  <si>
    <t>00MRA08000006789</t>
  </si>
  <si>
    <t>Ananth Technologies</t>
  </si>
  <si>
    <t>Sindhu</t>
  </si>
  <si>
    <t>Vajra Automation Private Ltd</t>
  </si>
  <si>
    <t>Ravindera</t>
  </si>
  <si>
    <t>Bulk order Business Requirement for 80-100 pax</t>
  </si>
  <si>
    <t>Cye Technologies</t>
  </si>
  <si>
    <t>L1 Technologies Solutions Pvt. Ltd.</t>
  </si>
  <si>
    <t>KPMG Main 7</t>
  </si>
  <si>
    <t>00MRA08000006790</t>
  </si>
  <si>
    <t>Shechem Prayer House</t>
  </si>
  <si>
    <t>Rajeshker</t>
  </si>
  <si>
    <t>C0KKPTB000490686</t>
  </si>
  <si>
    <t>Infosys Gachibowli</t>
  </si>
  <si>
    <t>Popup Counter confirmed from 13 to 24 July</t>
  </si>
  <si>
    <t>ProKarma Softech</t>
  </si>
  <si>
    <t>Shyam</t>
  </si>
  <si>
    <t>Ealkay Consulting Tech And Digital Solutions</t>
  </si>
  <si>
    <t>Sunrise International Labs</t>
  </si>
  <si>
    <t>manasa</t>
  </si>
  <si>
    <t>Infosys Pocharam</t>
  </si>
  <si>
    <t>Pawan Chropa</t>
  </si>
  <si>
    <t>Discussed buffet menu for 3 Day lunch and 1 Dinner with Director</t>
  </si>
  <si>
    <t>Natco Prarma</t>
  </si>
  <si>
    <t>Tanmoy Mondal</t>
  </si>
  <si>
    <t>Team Lunch at begumpet store on 5-07-2026</t>
  </si>
  <si>
    <t>00BGA1000017726</t>
  </si>
  <si>
    <t>00JBC01200067251</t>
  </si>
  <si>
    <t>Bulk Order delivery</t>
  </si>
  <si>
    <t>00JNTA1000016611/12</t>
  </si>
  <si>
    <t>Deloitte Consulting</t>
  </si>
  <si>
    <t>Abhishek</t>
  </si>
  <si>
    <t>Delivery of Biryani and Mulberry Malai</t>
  </si>
  <si>
    <t>00JNTA1000016612</t>
  </si>
  <si>
    <t>Hitex Hyderabad</t>
  </si>
  <si>
    <t>Delivery of CB &amp; VB on 18,19 &amp; 20 July</t>
  </si>
  <si>
    <t>Voicegate Technologies</t>
  </si>
  <si>
    <t>W3SOFTECH INDIA PRIVATE LIMITED</t>
  </si>
  <si>
    <t>Charan</t>
  </si>
  <si>
    <t>Xilontech Solution Pvt Ltd</t>
  </si>
  <si>
    <t>Gaayatri</t>
  </si>
  <si>
    <t>Ganesh</t>
  </si>
  <si>
    <t>Gate Manufacturing Private Limited</t>
  </si>
  <si>
    <t>Soujanya</t>
  </si>
  <si>
    <t>Biryani day popup from Gachibowli</t>
  </si>
  <si>
    <t>00GCBTA000293284</t>
  </si>
  <si>
    <t>00GCBTA000293285</t>
  </si>
  <si>
    <t>Hussmann Services India</t>
  </si>
  <si>
    <t>Jyothirmaya</t>
  </si>
  <si>
    <t>Followup for the new Orders</t>
  </si>
  <si>
    <t>Cerx Dental Pvt Ltd</t>
  </si>
  <si>
    <t>Narendra Prasad</t>
  </si>
  <si>
    <t>Cold call for the Order</t>
  </si>
  <si>
    <t xml:space="preserve">Event at Neo convention center </t>
  </si>
  <si>
    <t>Jerry</t>
  </si>
  <si>
    <t>00GCBTA000293489</t>
  </si>
  <si>
    <t>00GCBTA000293481</t>
  </si>
  <si>
    <t>00WFTA1000038672</t>
  </si>
  <si>
    <t>Carelon Manyata</t>
  </si>
  <si>
    <t>00JNTA1000016613/14</t>
  </si>
  <si>
    <t>Carelon Bagmane</t>
  </si>
  <si>
    <t>00JNTA1000016819</t>
  </si>
  <si>
    <t>Comando Hospital</t>
  </si>
  <si>
    <t>Tharun</t>
  </si>
  <si>
    <t>United Dental Company</t>
  </si>
  <si>
    <t>Murali</t>
  </si>
  <si>
    <t>00HSA06000006705</t>
  </si>
  <si>
    <t>Delivery in July month from HSR</t>
  </si>
  <si>
    <t>CIFSPL0708</t>
  </si>
  <si>
    <t>Cognizant</t>
  </si>
  <si>
    <t>Visharav Singh</t>
  </si>
  <si>
    <t>00HCA05000025457</t>
  </si>
  <si>
    <t>Central Warehousing Corporation</t>
  </si>
  <si>
    <t>00MBTTA000318795</t>
  </si>
  <si>
    <t>00GCBTA000293482</t>
  </si>
  <si>
    <t>PWC</t>
  </si>
  <si>
    <t>Vipin</t>
  </si>
  <si>
    <t>00HSA06000006706</t>
  </si>
  <si>
    <t>I Lab Dental</t>
  </si>
  <si>
    <t>Prasanth</t>
  </si>
  <si>
    <t>karnataka Expo</t>
  </si>
  <si>
    <t>Siddarth</t>
  </si>
  <si>
    <t>Delivery at Hitex</t>
  </si>
  <si>
    <t>Deliverd Biryani at Event on 9-07-2026</t>
  </si>
  <si>
    <t>00STA01000065981</t>
  </si>
  <si>
    <t>Blackboard Events</t>
  </si>
  <si>
    <t>Delivery of biryani on 18,19&amp;20 July</t>
  </si>
  <si>
    <t>Confirmed Buffet menu for dinner on 15-07-2026</t>
  </si>
  <si>
    <t>Pharma Pro &amp; Pack Expo</t>
  </si>
  <si>
    <t>Pop-up counter from 9th july to 11 july</t>
  </si>
  <si>
    <t>00LPTA1000034679</t>
  </si>
  <si>
    <t>Eze Software</t>
  </si>
  <si>
    <t>Getex</t>
  </si>
  <si>
    <t>Aruna</t>
  </si>
  <si>
    <t>NGO</t>
  </si>
  <si>
    <t>Orphanage &amp; NGO</t>
  </si>
  <si>
    <t>Gopalakrishnan</t>
  </si>
  <si>
    <t>Deliverd Biryani at Event on 10-07-2026</t>
  </si>
  <si>
    <t>00KVC01000024848</t>
  </si>
  <si>
    <t>Biryani on 22-07-2026 from Kukatpally</t>
  </si>
  <si>
    <t>Aveva</t>
  </si>
  <si>
    <t>OTSI</t>
  </si>
  <si>
    <t>Renuka</t>
  </si>
  <si>
    <t>Sridhar Murthy</t>
  </si>
  <si>
    <t>Meesho</t>
  </si>
  <si>
    <t>Sharath</t>
  </si>
  <si>
    <t>Delivery at Neo Convention</t>
  </si>
  <si>
    <t>Deliverd Biryani at Event on 11-07-2026</t>
  </si>
  <si>
    <t>00SUTA1000051387</t>
  </si>
  <si>
    <t>12th Pharma Pro &amp; Pack Expo 26</t>
  </si>
  <si>
    <t>00SUC01000050475</t>
  </si>
  <si>
    <t>Satish</t>
  </si>
  <si>
    <t xml:space="preserve">Has a bulk order requirement </t>
  </si>
  <si>
    <t>Vaanyam Holidays</t>
  </si>
  <si>
    <t>Shashank</t>
  </si>
  <si>
    <t>00SSBTA000160599</t>
  </si>
  <si>
    <t>Gopi</t>
  </si>
  <si>
    <t>Popup Counter 13-7-2026</t>
  </si>
  <si>
    <t>00GCBTA000293843</t>
  </si>
  <si>
    <t>bulk order</t>
  </si>
  <si>
    <t>Battry Shop</t>
  </si>
  <si>
    <t>Bose</t>
  </si>
  <si>
    <t>Jyothi Lakshmi</t>
  </si>
  <si>
    <t>Bulk order</t>
  </si>
  <si>
    <t>Chromo Laboratories</t>
  </si>
  <si>
    <t>Lamtuf Plastics Pvt Ltd</t>
  </si>
  <si>
    <t>Popup Counter 14-7-2026</t>
  </si>
  <si>
    <t>00GCBTA000293842</t>
  </si>
  <si>
    <t>VGS and Technologies Private Limited</t>
  </si>
  <si>
    <t>Surendar</t>
  </si>
  <si>
    <t>Jarus Technologies (India) Pvt. Ltd.</t>
  </si>
  <si>
    <t>Karuna</t>
  </si>
  <si>
    <t>Camo</t>
  </si>
  <si>
    <t>Sathish K N</t>
  </si>
  <si>
    <t>CIFSPL270715</t>
  </si>
  <si>
    <t>Pellets Pharma Limited</t>
  </si>
  <si>
    <t>Eficens Software Services Private Limited</t>
  </si>
  <si>
    <t>Suresh verma</t>
  </si>
  <si>
    <t>Popup Counter 15-7-2026</t>
  </si>
  <si>
    <t>00GCBTA000293844</t>
  </si>
  <si>
    <t>Facebook</t>
  </si>
  <si>
    <t>Malli</t>
  </si>
  <si>
    <t>Delivery of MB on 15-07-2026</t>
  </si>
  <si>
    <t>Delivery of CB &amp; VB on 15,16 July from Secundrabad</t>
  </si>
  <si>
    <t>00STA01000068007</t>
  </si>
  <si>
    <t>M Power Infratech (India) Private Limited</t>
  </si>
  <si>
    <t>Prashanth</t>
  </si>
  <si>
    <t>Safran Electrical &amp; Power India Pvt. Ltd.</t>
  </si>
  <si>
    <t>00WFTA1000038930</t>
  </si>
  <si>
    <t>OOPMTA01000C04486</t>
  </si>
  <si>
    <t>00HSA06000007007</t>
  </si>
  <si>
    <t>Bosch</t>
  </si>
  <si>
    <t>Vidya P Shetty</t>
  </si>
  <si>
    <t>C0KKPTB000492293</t>
  </si>
  <si>
    <t>00SSBTA000161528</t>
  </si>
  <si>
    <t>00WFTA1000039060</t>
  </si>
  <si>
    <t>00MRA08000007300</t>
  </si>
  <si>
    <t>Honeywell</t>
  </si>
  <si>
    <t>Saran</t>
  </si>
  <si>
    <t>Novartis  Genom Valley</t>
  </si>
  <si>
    <t>Popup counter on 16 &amp; 17-07-2026 from Kukatpally</t>
  </si>
  <si>
    <t>00KKPTB000492521</t>
  </si>
  <si>
    <t>Popup Counter 17-7-2026</t>
  </si>
  <si>
    <t>00GCBTA000294023</t>
  </si>
  <si>
    <t>Wancura software solutions Pvt.Ltd</t>
  </si>
  <si>
    <t>Gowthami</t>
  </si>
  <si>
    <t>Black Board Restuarent</t>
  </si>
  <si>
    <t>Venugopal</t>
  </si>
  <si>
    <t>Discussed on bulk order requirement</t>
  </si>
  <si>
    <t>Sri Krishna Pharmaceuticals Limited</t>
  </si>
  <si>
    <t>Shirisha</t>
  </si>
  <si>
    <t>00JNTA1000016978/79</t>
  </si>
  <si>
    <t>Popup Counter 20-7-2026</t>
  </si>
  <si>
    <t>00GCBTA000294345</t>
  </si>
  <si>
    <t>Vajra Automation Private Limited</t>
  </si>
  <si>
    <t>Surendra</t>
  </si>
  <si>
    <t>Delivery of Biryani Kits in July Month</t>
  </si>
  <si>
    <t>00STA01000069074</t>
  </si>
  <si>
    <t>Delivery of Biryani Kits in July Month (Received Advance)</t>
  </si>
  <si>
    <t>HCL Tech</t>
  </si>
  <si>
    <t>Suraj</t>
  </si>
  <si>
    <t>Airtel</t>
  </si>
  <si>
    <t>Bulkorder</t>
  </si>
  <si>
    <t>Popup Counter 21-7-2026</t>
  </si>
  <si>
    <t>00GCBTA000294367</t>
  </si>
  <si>
    <t>DBS</t>
  </si>
  <si>
    <t>Discussed on bulk order requirement for 300 pax on 30 or 31st july</t>
  </si>
  <si>
    <t>00PRDE1000030235</t>
  </si>
  <si>
    <t>NSL Arena</t>
  </si>
  <si>
    <t>Honywell Campus 1</t>
  </si>
  <si>
    <t>Sharan</t>
  </si>
  <si>
    <t>Popup counter</t>
  </si>
  <si>
    <t>Popup Counter 22-7-2026</t>
  </si>
  <si>
    <t>00GCBTA000294474</t>
  </si>
  <si>
    <t>KBK Business Solutions</t>
  </si>
  <si>
    <t>CIFSPL270722</t>
  </si>
  <si>
    <t>Team Engineers Advance Technologies</t>
  </si>
  <si>
    <t xml:space="preserve">Bridgera India Pvt Ltd </t>
  </si>
  <si>
    <t>Hema</t>
  </si>
  <si>
    <t>00HSA06000007293</t>
  </si>
  <si>
    <t>State Street</t>
  </si>
  <si>
    <t>Piklu Nath</t>
  </si>
  <si>
    <t>00WFTA1000039560</t>
  </si>
  <si>
    <t>KPMG - EGL</t>
  </si>
  <si>
    <t>00JNTA1000017128</t>
  </si>
  <si>
    <t>Krushi Foundation</t>
  </si>
  <si>
    <t>00PRTA1000056615</t>
  </si>
  <si>
    <t>Popup Counter 23-7-2026</t>
  </si>
  <si>
    <t>00GCBTA000294584</t>
  </si>
  <si>
    <t>Verizon India</t>
  </si>
  <si>
    <t>Varun</t>
  </si>
  <si>
    <t>Protiviti India</t>
  </si>
  <si>
    <t>Sagar</t>
  </si>
  <si>
    <t>Delivery  on 24-07-2026</t>
  </si>
  <si>
    <t>iSpace Software Solutions</t>
  </si>
  <si>
    <t>Vignesh</t>
  </si>
  <si>
    <t>Tech Tree Solutions</t>
  </si>
  <si>
    <t>Accenture HDC (Hungerbox)</t>
  </si>
  <si>
    <t>Popup on 23-07-2026</t>
  </si>
  <si>
    <t>00GCBTA000294589</t>
  </si>
  <si>
    <t>00WFTA1000039597</t>
  </si>
  <si>
    <t>Ad-Mag</t>
  </si>
  <si>
    <t>Ms.Uma</t>
  </si>
  <si>
    <t>Regus</t>
  </si>
  <si>
    <t>Sangeetha</t>
  </si>
  <si>
    <t>Popup on 24-07-2026</t>
  </si>
  <si>
    <t>00GCBTA000294594</t>
  </si>
  <si>
    <t>Popup Counter 24-07-2026</t>
  </si>
  <si>
    <t>00GCBTA000294593</t>
  </si>
  <si>
    <t>iBS Fincorp</t>
  </si>
  <si>
    <t>Symphony Software Pvt. Ltd</t>
  </si>
  <si>
    <t>Sameera</t>
  </si>
  <si>
    <t>Honeywell Campus 2</t>
  </si>
  <si>
    <t>00KVC01000025567</t>
  </si>
  <si>
    <t>Black Board Hitex</t>
  </si>
  <si>
    <t>Proposed for Pop up-counters Business</t>
  </si>
  <si>
    <t>Sreeb Technologies Pvt Ltd</t>
  </si>
  <si>
    <t>Kapil IT Solutions</t>
  </si>
  <si>
    <t>Doctors association Warangal</t>
  </si>
  <si>
    <t>Shaik Nisar</t>
  </si>
  <si>
    <t>New Horizons Cybersoft Ltd</t>
  </si>
  <si>
    <t>Sangeeth</t>
  </si>
  <si>
    <t>Oracle</t>
  </si>
  <si>
    <t>Delivery of food 150 PAX on 30-07-2026</t>
  </si>
  <si>
    <t>00PRTA1000056616</t>
  </si>
  <si>
    <t>Hemanth Kumar</t>
  </si>
  <si>
    <t>GGK Technologies</t>
  </si>
  <si>
    <t>Shravani</t>
  </si>
  <si>
    <t>Zanjoe Pharma</t>
  </si>
  <si>
    <t>Faiz</t>
  </si>
  <si>
    <t>Delivery of Biryani kits</t>
  </si>
  <si>
    <t>Honeywell Campus 1</t>
  </si>
  <si>
    <t>00MRA08000007371</t>
  </si>
  <si>
    <t>00WFTA1000039791</t>
  </si>
  <si>
    <t>A G Bioteck Laboratories</t>
  </si>
  <si>
    <t>Sandeep Reddy</t>
  </si>
  <si>
    <t>Onyx Engineering Construction</t>
  </si>
  <si>
    <t>Aparna Constructions</t>
  </si>
  <si>
    <t>Madhavi</t>
  </si>
  <si>
    <t>00HSA06000007849</t>
  </si>
  <si>
    <t>00MRA08000007594</t>
  </si>
  <si>
    <t>00WFTA1000039796</t>
  </si>
  <si>
    <t>Asian Paints Limited</t>
  </si>
  <si>
    <t>Nithin</t>
  </si>
  <si>
    <t>Bulk order Proposed</t>
  </si>
  <si>
    <t>Graviti Pharmaceuticals Pvt Ltd</t>
  </si>
  <si>
    <t>Geetha</t>
  </si>
  <si>
    <t>Discussed on Bulk Order Requirement</t>
  </si>
  <si>
    <t>00HSA06000007495</t>
  </si>
  <si>
    <t>Indus Ind Bank</t>
  </si>
  <si>
    <t>Bulk Order Closed</t>
  </si>
  <si>
    <t>00STA02000029296</t>
  </si>
  <si>
    <t>00GCBTA000295257</t>
  </si>
  <si>
    <t>Nishanth</t>
  </si>
  <si>
    <t xml:space="preserve">Oracle India </t>
  </si>
  <si>
    <t>Biological E Limited</t>
  </si>
  <si>
    <t>Subash</t>
  </si>
  <si>
    <t>Business follow-up</t>
  </si>
  <si>
    <t>Madhu</t>
  </si>
  <si>
    <t>Discussed on Bulk Order Requirement upcoming event</t>
  </si>
  <si>
    <t>PurpleTalk India Pvt Ltd</t>
  </si>
  <si>
    <t xml:space="preserve">Cognizant Technology </t>
  </si>
  <si>
    <t>Cyient Ltd</t>
  </si>
  <si>
    <t>Sai kiran</t>
  </si>
  <si>
    <t>NT(Northen Trust)</t>
  </si>
  <si>
    <t>Discussed on Bulk order Requirement</t>
  </si>
  <si>
    <t>MOKSHITA CONSTRUCTION PVT LTD</t>
  </si>
  <si>
    <t>Excellencia Jr College</t>
  </si>
  <si>
    <t>Animakia</t>
  </si>
  <si>
    <t>Susheel</t>
  </si>
  <si>
    <t>Perceptive Analytics Pvt. Ltd.</t>
  </si>
  <si>
    <t>Zameel</t>
  </si>
  <si>
    <t>Malur Tubes</t>
  </si>
  <si>
    <t>00WFTA1000039914</t>
  </si>
  <si>
    <t>Pharma Pro Pack</t>
  </si>
  <si>
    <t>Popup Business Closed</t>
  </si>
  <si>
    <t>00BHLTC000247311</t>
  </si>
  <si>
    <t>CIFSPL070805</t>
  </si>
  <si>
    <t>Vimta Labs</t>
  </si>
  <si>
    <t>Shahidar</t>
  </si>
  <si>
    <t>COKKPTBC00495169</t>
  </si>
  <si>
    <t>00MRA08000007678</t>
  </si>
  <si>
    <t>Chemo India Formulation Pvt. Ltd.</t>
  </si>
  <si>
    <t>Sreeja</t>
  </si>
  <si>
    <t>wells Fargo</t>
  </si>
  <si>
    <t>Manohar P</t>
  </si>
  <si>
    <t>00WFTA1000039925</t>
  </si>
  <si>
    <t>00MRA08000007751</t>
  </si>
  <si>
    <t>00HSA06000007694</t>
  </si>
  <si>
    <t>Anushikha</t>
  </si>
  <si>
    <t>Osmania Hospital</t>
  </si>
  <si>
    <t>Executive meal for Doctors on 06-08-2026</t>
  </si>
  <si>
    <t>00HTA05000010030</t>
  </si>
  <si>
    <t>Ark Group</t>
  </si>
  <si>
    <t>Sundaram Home Finance Ltd</t>
  </si>
  <si>
    <t>Nazia</t>
  </si>
  <si>
    <t>Sriram</t>
  </si>
  <si>
    <t>Ernst &amp;Young</t>
  </si>
  <si>
    <t>Lohith Reddy</t>
  </si>
  <si>
    <t>00WFTA1000039931</t>
  </si>
  <si>
    <t xml:space="preserve">School Arnold </t>
  </si>
  <si>
    <t>00UPTA1000059831</t>
  </si>
  <si>
    <t>Marella Softlabs Private Limited</t>
  </si>
  <si>
    <t xml:space="preserve">Sunglare Industrial Training </t>
  </si>
  <si>
    <t>Gaayathri</t>
  </si>
  <si>
    <t>C00KPTB000495438</t>
  </si>
  <si>
    <t>Event exhibitions ground</t>
  </si>
  <si>
    <t xml:space="preserve">Venu </t>
  </si>
  <si>
    <t>00NMC01000019529</t>
  </si>
  <si>
    <t>Pullela Gopichand Badminton Academy</t>
  </si>
  <si>
    <t>Sports</t>
  </si>
  <si>
    <t>00GCBTA000295612</t>
  </si>
  <si>
    <t>OroCare</t>
  </si>
  <si>
    <t>Nagarajan K</t>
  </si>
  <si>
    <t>Gift Expo 2026</t>
  </si>
  <si>
    <t>00KVC01000026452</t>
  </si>
  <si>
    <t>Vivek</t>
  </si>
  <si>
    <t>00STA01000071562</t>
  </si>
  <si>
    <t>Delivery at SR Nagar</t>
  </si>
  <si>
    <t>IMEEPL</t>
  </si>
  <si>
    <t>Delivery of CB</t>
  </si>
  <si>
    <t>00PNTA1000068444</t>
  </si>
  <si>
    <t>00NMC01000019525</t>
  </si>
  <si>
    <t>ADP Private Limited</t>
  </si>
  <si>
    <t>Sharanya</t>
  </si>
  <si>
    <t>BHEL Ltd</t>
  </si>
  <si>
    <t>HCLTech</t>
  </si>
  <si>
    <t>00KKPTB000495912</t>
  </si>
  <si>
    <t>Continental</t>
  </si>
  <si>
    <t>Dynatech Industries Pvt Ltd</t>
  </si>
  <si>
    <t>Raju</t>
  </si>
  <si>
    <t>Optimus Pharma Pvt Ltd</t>
  </si>
  <si>
    <t>COKKPTBC00496098</t>
  </si>
  <si>
    <t>00WFTA1000040210</t>
  </si>
  <si>
    <t>Bani Sangha Alwal - Durga puja-26</t>
  </si>
  <si>
    <t>Patil</t>
  </si>
  <si>
    <t>Pop-up counter working on P &amp; L</t>
  </si>
  <si>
    <t>00PMTA2000010346</t>
  </si>
  <si>
    <t>Arene Life Sciences Limited</t>
  </si>
  <si>
    <t>Suneratech</t>
  </si>
  <si>
    <t>Kumara</t>
  </si>
  <si>
    <t>Sruthi</t>
  </si>
  <si>
    <t>CIFSPL070812</t>
  </si>
  <si>
    <t>Verizon</t>
  </si>
  <si>
    <t>Pranay</t>
  </si>
  <si>
    <t>Confirmed for popup on 18,19,20 August</t>
  </si>
  <si>
    <t>00WFTA1000040222</t>
  </si>
  <si>
    <t>00HSA06000007785</t>
  </si>
  <si>
    <t>NSL SEZ</t>
  </si>
  <si>
    <t>Kiran Kumar</t>
  </si>
  <si>
    <t>Honeyy Group</t>
  </si>
  <si>
    <t>FinacPlus Global Services</t>
  </si>
  <si>
    <t>shalini</t>
  </si>
  <si>
    <t>Milatry Hospital Malkajgiri</t>
  </si>
  <si>
    <t>Delicerd CB on 14 August from secundrabad</t>
  </si>
  <si>
    <t>00STA1000072794</t>
  </si>
  <si>
    <t>Shahi</t>
  </si>
  <si>
    <t>Mamatha</t>
  </si>
  <si>
    <t>Krishna</t>
  </si>
  <si>
    <t xml:space="preserve">Bulk order Cancelled coz of pricing </t>
  </si>
  <si>
    <t>Tech mahindra</t>
  </si>
  <si>
    <t>Naresh</t>
  </si>
  <si>
    <t>Chennai Trade centre Evevts</t>
  </si>
  <si>
    <t>Keshavan</t>
  </si>
  <si>
    <t>Proposal sent for Popup counters  following business</t>
  </si>
  <si>
    <t>WaveRock SEZ</t>
  </si>
  <si>
    <t>Zubair</t>
  </si>
  <si>
    <t>Codebook</t>
  </si>
  <si>
    <t>D-Link</t>
  </si>
  <si>
    <t>Sumaiya Saleem</t>
  </si>
  <si>
    <t>Discussed on Bulk order requirement</t>
  </si>
  <si>
    <t>Basudev</t>
  </si>
  <si>
    <t>Delivery of Biryani</t>
  </si>
  <si>
    <t>Monika</t>
  </si>
  <si>
    <t>Dell</t>
  </si>
  <si>
    <t>Pooja</t>
  </si>
  <si>
    <t>Eblitz Events</t>
  </si>
  <si>
    <t>Amith Melvin</t>
  </si>
  <si>
    <t>CIFSPL070819</t>
  </si>
  <si>
    <t>TriGeo Technologies</t>
  </si>
  <si>
    <t>Saraha</t>
  </si>
  <si>
    <t xml:space="preserve">Vishwa Infrastructures and Services </t>
  </si>
  <si>
    <t>Parth</t>
  </si>
  <si>
    <t>Shared Quote</t>
  </si>
  <si>
    <t>Nazeer</t>
  </si>
  <si>
    <t>Jaya Builders &amp; Developers</t>
  </si>
  <si>
    <t>Crystal Events</t>
  </si>
  <si>
    <t>Sasha</t>
  </si>
  <si>
    <t>00HSA06000008155</t>
  </si>
  <si>
    <t>Elite Luxury Homes</t>
  </si>
  <si>
    <t>Swetha</t>
  </si>
  <si>
    <t>Gift Expo</t>
  </si>
  <si>
    <t>OOJNTA1000017827</t>
  </si>
  <si>
    <t>Pai International</t>
  </si>
  <si>
    <t>Sarath</t>
  </si>
  <si>
    <t>Brilliant Bio Pharma Pvt Ltd</t>
  </si>
  <si>
    <t>Soumaya</t>
  </si>
  <si>
    <t>Honey soft solutions Pvt Ltd.</t>
  </si>
  <si>
    <t>Cyient</t>
  </si>
  <si>
    <t>Chandan</t>
  </si>
  <si>
    <t>Anil constructions group</t>
  </si>
  <si>
    <t>Sathyanarayana Reddy</t>
  </si>
  <si>
    <t>Shelterstock Technologies pvt ltd</t>
  </si>
  <si>
    <t>RAvinder</t>
  </si>
  <si>
    <t>00JBC01200069166</t>
  </si>
  <si>
    <t>Compass - Facebook</t>
  </si>
  <si>
    <t>Subhadeep</t>
  </si>
  <si>
    <t>Mutton biryani from kukatpally on 21-08-2026</t>
  </si>
  <si>
    <t>CIFSPL070821</t>
  </si>
  <si>
    <t>KPMG MAIN 7</t>
  </si>
  <si>
    <t>00MRAO8000008497</t>
  </si>
  <si>
    <t>00MRAO8000010479</t>
  </si>
  <si>
    <t>Its Global Limites</t>
  </si>
  <si>
    <t>00VNDE1000045726</t>
  </si>
  <si>
    <t>00VNTA1000064060</t>
  </si>
  <si>
    <t>Exposent Bengaluru</t>
  </si>
  <si>
    <t>Hanumesh</t>
  </si>
  <si>
    <t>Proposal for Pop Up Counter</t>
  </si>
  <si>
    <t>Shofu</t>
  </si>
  <si>
    <t>Ravinder Reddy</t>
  </si>
  <si>
    <t>Askmeguru Technologies</t>
  </si>
  <si>
    <t>Sara</t>
  </si>
  <si>
    <t>J V P Soft Pvt Ltd</t>
  </si>
  <si>
    <t>Jafar</t>
  </si>
  <si>
    <t>EUREKA IT SOLUTIONS PVT. LTD</t>
  </si>
  <si>
    <t>Foray Software Private Limited</t>
  </si>
  <si>
    <t>Copart</t>
  </si>
  <si>
    <t>Meera</t>
  </si>
  <si>
    <t>COKKFTB000498505</t>
  </si>
  <si>
    <t>Pharmalines</t>
  </si>
  <si>
    <t xml:space="preserve">Rathan </t>
  </si>
  <si>
    <t>Bulkorder requirement</t>
  </si>
  <si>
    <t>One Dental Station</t>
  </si>
  <si>
    <t>NowFloats Technologies Limited</t>
  </si>
  <si>
    <t>OaksPro Software Solutions</t>
  </si>
  <si>
    <t>HAmeed</t>
  </si>
  <si>
    <t>V3 Electronics</t>
  </si>
  <si>
    <t>Gouse</t>
  </si>
  <si>
    <t>3M Oral Care</t>
  </si>
  <si>
    <t>Nagaraj</t>
  </si>
  <si>
    <t>Dentsply</t>
  </si>
  <si>
    <t>Raghu Gowda</t>
  </si>
  <si>
    <t>Sai GAnesh</t>
  </si>
  <si>
    <t>CIFSPL070826</t>
  </si>
  <si>
    <t>MTAR Technologies Limited</t>
  </si>
  <si>
    <t>Defence &amp; Aerospace</t>
  </si>
  <si>
    <t xml:space="preserve">Ravinder </t>
  </si>
  <si>
    <t>Suven Pharmaceuticals Limited</t>
  </si>
  <si>
    <t>Shanmukah</t>
  </si>
  <si>
    <t>00HSA06000008403</t>
  </si>
  <si>
    <t>Harika Hospital</t>
  </si>
  <si>
    <t>Oro Care</t>
  </si>
  <si>
    <t>Sanskriti Experts Academy</t>
  </si>
  <si>
    <t>College</t>
  </si>
  <si>
    <t>PGR JUNIOR COLLEGE</t>
  </si>
  <si>
    <t>GC India</t>
  </si>
  <si>
    <t>TX Hospitals Uppal</t>
  </si>
  <si>
    <t>Popup on 27-08-2026 from Kompally</t>
  </si>
  <si>
    <t>00KPTDE1000001690</t>
  </si>
  <si>
    <t xml:space="preserve">Sia Life Hospital </t>
  </si>
  <si>
    <t>Sundar</t>
  </si>
  <si>
    <t>Popup on 25,26,27 August from Hitec City</t>
  </si>
  <si>
    <t>00HCA05000029410</t>
  </si>
  <si>
    <t>Medika Bazar</t>
  </si>
  <si>
    <t>Smile Dental Surgicals</t>
  </si>
  <si>
    <t>Yokesh</t>
  </si>
  <si>
    <t>KJS India Pvt. Ltd.</t>
  </si>
  <si>
    <t>Jagadish</t>
  </si>
  <si>
    <t>Himalaya Hospitals</t>
  </si>
  <si>
    <t>Hameed</t>
  </si>
  <si>
    <t>00KVC01000026826</t>
  </si>
  <si>
    <t>Lims Hospital</t>
  </si>
  <si>
    <t xml:space="preserve">Sidarth Hospitals </t>
  </si>
  <si>
    <t>Medicover Hospitals</t>
  </si>
  <si>
    <t>Deepthi</t>
  </si>
  <si>
    <t>Vignan Global Gen School</t>
  </si>
  <si>
    <t>Gowtham</t>
  </si>
  <si>
    <t>Chandu</t>
  </si>
  <si>
    <t>KIMS Hospital</t>
  </si>
  <si>
    <t>Sai Life Sciences</t>
  </si>
  <si>
    <t>Rajendra Prasad</t>
  </si>
  <si>
    <t>Hinduja Global Solutions</t>
  </si>
  <si>
    <t>Narasimha B N</t>
  </si>
  <si>
    <t>Lakshmi Narayana</t>
  </si>
  <si>
    <t>Bulk order Closed</t>
  </si>
  <si>
    <t>00STA02000033567</t>
  </si>
  <si>
    <t>Susrutha Hospital</t>
  </si>
  <si>
    <t>Athulitha Laboratories Private Limited</t>
  </si>
  <si>
    <t>Shalini</t>
  </si>
  <si>
    <t>Seven Eleven</t>
  </si>
  <si>
    <t>Saadh</t>
  </si>
  <si>
    <t>Smartq</t>
  </si>
  <si>
    <t>BIEC Events</t>
  </si>
  <si>
    <t>ODC Confirmed</t>
  </si>
  <si>
    <t>Chennai Bulk Order</t>
  </si>
  <si>
    <t>Sarvanan</t>
  </si>
  <si>
    <t>Order Cancelled, will update for future requirements</t>
  </si>
  <si>
    <t>Dell R&amp;D</t>
  </si>
  <si>
    <t>Avesthagen Limited</t>
  </si>
  <si>
    <t>N Sridhar</t>
  </si>
  <si>
    <t>Aveva solutions India LLP</t>
  </si>
  <si>
    <t>Arul Selvam</t>
  </si>
  <si>
    <t>CIFSPL070902</t>
  </si>
  <si>
    <t>Mactechedu Solutions</t>
  </si>
  <si>
    <t>Khoday Industries Pvt Ltd</t>
  </si>
  <si>
    <t>Arshiya</t>
  </si>
  <si>
    <t>Avtrix AI Solutions</t>
  </si>
  <si>
    <t>JANAKI Group of Companies</t>
  </si>
  <si>
    <t>Destination World Holidays</t>
  </si>
  <si>
    <t>Saltanat</t>
  </si>
  <si>
    <t xml:space="preserve">Bulk order </t>
  </si>
  <si>
    <t>Venu Gopal</t>
  </si>
  <si>
    <t>Jeevan</t>
  </si>
  <si>
    <t>Bulk order Delivery</t>
  </si>
  <si>
    <t>00JNTA1000018018</t>
  </si>
  <si>
    <t>BNR Exports</t>
  </si>
  <si>
    <t>Naveen Kumar</t>
  </si>
  <si>
    <t>Brain Box Media Solutions</t>
  </si>
  <si>
    <t>Concert</t>
  </si>
  <si>
    <t>Amadeus</t>
  </si>
  <si>
    <t>Nehal</t>
  </si>
  <si>
    <t>00WFTA1000041457</t>
  </si>
  <si>
    <t>Adhnan</t>
  </si>
  <si>
    <t>00KVC01000027026</t>
  </si>
  <si>
    <t>00HSA06000008698</t>
  </si>
  <si>
    <t>Abhyaas junior college</t>
  </si>
  <si>
    <t>Rajreddy</t>
  </si>
  <si>
    <t>Raghavendra Srikara Hospitals</t>
  </si>
  <si>
    <t>Natco Pharma</t>
  </si>
  <si>
    <t>Tanmoy</t>
  </si>
  <si>
    <t>Astrazenica</t>
  </si>
  <si>
    <t>Keystone International School</t>
  </si>
  <si>
    <t xml:space="preserve">Asian Paints Limited </t>
  </si>
  <si>
    <t>Sasidevi</t>
  </si>
  <si>
    <t>Pop-Up Bulk Order</t>
  </si>
  <si>
    <t>Jaipal</t>
  </si>
  <si>
    <t>Bulk order Take away</t>
  </si>
  <si>
    <t>Capgemini PVT Ltd</t>
  </si>
  <si>
    <t>Venkatakrishnan</t>
  </si>
  <si>
    <t>Dhruva Hospitals</t>
  </si>
  <si>
    <t>Jarus Technologies (India) Pvt</t>
  </si>
  <si>
    <t>Intercity Transport Logistics</t>
  </si>
  <si>
    <t>Mallikarjuna</t>
  </si>
  <si>
    <t>Unisys Global Services India</t>
  </si>
  <si>
    <t>Hyder</t>
  </si>
  <si>
    <t xml:space="preserve">Awaiting for setup </t>
  </si>
  <si>
    <t>Deutsche Bank</t>
  </si>
  <si>
    <t>Sonika Gowda</t>
  </si>
  <si>
    <t>St.Joseph's Jr. College</t>
  </si>
  <si>
    <t>Farmaan</t>
  </si>
  <si>
    <t>00HTA05000011819</t>
  </si>
  <si>
    <t>Manganu</t>
  </si>
  <si>
    <t>Bulk delivery and serving on 5th sept from BHEL</t>
  </si>
  <si>
    <t>00BHLTC000248928</t>
  </si>
  <si>
    <t>vardhaman Engineering College</t>
  </si>
  <si>
    <t>Arun</t>
  </si>
  <si>
    <t xml:space="preserve">Analytics India </t>
  </si>
  <si>
    <t>00MTTA1000034110</t>
  </si>
  <si>
    <t>VenuGopal</t>
  </si>
  <si>
    <t>00MTTA1000069177</t>
  </si>
  <si>
    <t>Azad Engineering</t>
  </si>
  <si>
    <t>Bharat</t>
  </si>
  <si>
    <t>Bulk order for coupons</t>
  </si>
  <si>
    <t>Nims Hospital Panjagutta</t>
  </si>
  <si>
    <t>Rupesh</t>
  </si>
  <si>
    <t>Axix Securities</t>
  </si>
  <si>
    <t>Nilesh</t>
  </si>
  <si>
    <t>India MEd Expo</t>
  </si>
  <si>
    <t>00JNTA1000018031</t>
  </si>
  <si>
    <t>Daily rounds</t>
  </si>
  <si>
    <t>00JNTA1000018029/30</t>
  </si>
  <si>
    <t>Assam Carbon Products Ltd</t>
  </si>
  <si>
    <t>Sharma</t>
  </si>
  <si>
    <t>Creative Multimedia Academy</t>
  </si>
  <si>
    <t>Anitha</t>
  </si>
  <si>
    <t>Netenrich Technologies Pvt. Ltd.</t>
  </si>
  <si>
    <t>Septodent</t>
  </si>
  <si>
    <t>Discussed on bulk order</t>
  </si>
  <si>
    <t xml:space="preserve">Wockhardt </t>
  </si>
  <si>
    <t>Ganesh Hegde</t>
  </si>
  <si>
    <t>Kria Infotech Pvt Ltd</t>
  </si>
  <si>
    <t>Pramod</t>
  </si>
  <si>
    <t>00HTA05000011930</t>
  </si>
  <si>
    <t>00PNTA1000070652</t>
  </si>
  <si>
    <t>Delight Hospital</t>
  </si>
  <si>
    <t>Akhila</t>
  </si>
  <si>
    <t>Avinash College of Commerce</t>
  </si>
  <si>
    <t>Surender</t>
  </si>
  <si>
    <t>S&amp;P Global</t>
  </si>
  <si>
    <t>Sathya</t>
  </si>
  <si>
    <t>Delivery of CB on 18th September</t>
  </si>
  <si>
    <t>Goutham</t>
  </si>
  <si>
    <t>00KVTA1000028545</t>
  </si>
  <si>
    <t>Volvo India Ltd.</t>
  </si>
  <si>
    <t>K. Shiva Kumar</t>
  </si>
  <si>
    <t>Zinnov</t>
  </si>
  <si>
    <t>PremKumar</t>
  </si>
  <si>
    <t>Bulk order Discussion</t>
  </si>
  <si>
    <t>CIFSPL070909</t>
  </si>
  <si>
    <t>Gurunanak Univercity</t>
  </si>
  <si>
    <t>Proposed popup counter</t>
  </si>
  <si>
    <t>Sunfra Biotech</t>
  </si>
  <si>
    <t>Sutherland</t>
  </si>
  <si>
    <t>Surekha Hospital</t>
  </si>
  <si>
    <t>Gandgadher</t>
  </si>
  <si>
    <t>Sri Aadya Junior College</t>
  </si>
  <si>
    <t>Sujatha</t>
  </si>
  <si>
    <t>Dell R &amp; D</t>
  </si>
  <si>
    <t>00PMTA1000C05259</t>
  </si>
  <si>
    <t>Pure Storage</t>
  </si>
  <si>
    <t>00JNTA1000018086</t>
  </si>
  <si>
    <t>Valtech PVT Ltd.</t>
  </si>
  <si>
    <t>Sujini B.H.</t>
  </si>
  <si>
    <t>Tvs</t>
  </si>
  <si>
    <t>B.G.Deshmukh</t>
  </si>
  <si>
    <t>00HSA06000008720</t>
  </si>
  <si>
    <t>PAGE Junior College</t>
  </si>
  <si>
    <t>Sharath kumar</t>
  </si>
  <si>
    <t>Magen Infratech Private Limited</t>
  </si>
  <si>
    <t>Venklat Ramana</t>
  </si>
  <si>
    <t>Brainovision Solutions India Pvt.Ltd</t>
  </si>
  <si>
    <t>Kiranmai</t>
  </si>
  <si>
    <t>CloudAngle IT Solutions Pvt Ltd</t>
  </si>
  <si>
    <t>Titan Industries Ltd</t>
  </si>
  <si>
    <t>Flavy Smrithi Shankar</t>
  </si>
  <si>
    <t>The Bangalore Hospital</t>
  </si>
  <si>
    <t>Bharath Reddy.</t>
  </si>
  <si>
    <t>Stride Organics Pvt. Ltd</t>
  </si>
  <si>
    <t>Shravan Kumar</t>
  </si>
  <si>
    <t>Roots Collegium</t>
  </si>
  <si>
    <t>Shashidar reddy</t>
  </si>
  <si>
    <t>Ozone Hospitals</t>
  </si>
  <si>
    <t>Sowmya</t>
  </si>
  <si>
    <t>Teleradiology Solutions</t>
  </si>
  <si>
    <t>Jibin</t>
  </si>
  <si>
    <t>softtech solutions</t>
  </si>
  <si>
    <t>Pratap</t>
  </si>
  <si>
    <t>Analytica Expo 2026</t>
  </si>
  <si>
    <t>NIMS Hospital</t>
  </si>
  <si>
    <t>Arijith</t>
  </si>
  <si>
    <t>00BGA09000044720</t>
  </si>
  <si>
    <t>Amaze Logistics</t>
  </si>
  <si>
    <t>Khusro</t>
  </si>
  <si>
    <t>Guru translines pvt. Ltd.</t>
  </si>
  <si>
    <t>Proposed for bulk order</t>
  </si>
  <si>
    <t>Hyderabad Travels and Trips</t>
  </si>
  <si>
    <t>Ibrahim</t>
  </si>
  <si>
    <t>New Deccan Travels</t>
  </si>
  <si>
    <t>Syed Ahmed</t>
  </si>
  <si>
    <t>Discussed on bulk order reqirement</t>
  </si>
  <si>
    <t>The Headquarters</t>
  </si>
  <si>
    <t>Manali</t>
  </si>
  <si>
    <t>Discussed for bulk order requirement</t>
  </si>
  <si>
    <t>Student Tribe</t>
  </si>
  <si>
    <t>Nanditha</t>
  </si>
  <si>
    <t>Tavaro Resorts and Events</t>
  </si>
  <si>
    <t>Aatna</t>
  </si>
  <si>
    <t>Proposed for ODC</t>
  </si>
  <si>
    <t>Dgtal Veb Media</t>
  </si>
  <si>
    <t>New Badruka College</t>
  </si>
  <si>
    <t>Anu</t>
  </si>
  <si>
    <t>Jeevan Sai Hospitals</t>
  </si>
  <si>
    <t>Simran</t>
  </si>
  <si>
    <t>Netlync Technologies</t>
  </si>
  <si>
    <t>Sobha Developers</t>
  </si>
  <si>
    <t>Boby C.Augustin</t>
  </si>
  <si>
    <t>Kitchen Crew Food Court</t>
  </si>
  <si>
    <t>Kailash</t>
  </si>
  <si>
    <t>Pop UP Counter</t>
  </si>
  <si>
    <t>Sumanth Industries</t>
  </si>
  <si>
    <t>SUNGLARE TECHNOLOGIES</t>
  </si>
  <si>
    <t>Delfingen India Pvt Ltd</t>
  </si>
  <si>
    <t>Narguna</t>
  </si>
  <si>
    <t>Seasons Hospitals</t>
  </si>
  <si>
    <t>Srujana</t>
  </si>
  <si>
    <t>Electronica</t>
  </si>
  <si>
    <t>00JNTA1000018219</t>
  </si>
  <si>
    <t>00HSA06000008848</t>
  </si>
  <si>
    <t>00HCA5000030137</t>
  </si>
  <si>
    <t>00HCA5000030138</t>
  </si>
  <si>
    <t>Micron - BLR</t>
  </si>
  <si>
    <t>Rathan</t>
  </si>
  <si>
    <t>CIFSPL101016</t>
  </si>
  <si>
    <t>Micron - HYD</t>
  </si>
  <si>
    <t>Ashok</t>
  </si>
  <si>
    <t>CIFSPL1010161</t>
  </si>
  <si>
    <t>Aduri Infra</t>
  </si>
  <si>
    <t>MS Reddy</t>
  </si>
  <si>
    <t>Introduction to Bulk supply</t>
  </si>
  <si>
    <t>VJIET</t>
  </si>
  <si>
    <t>Amaan</t>
  </si>
  <si>
    <t>ODC on 18 &amp;19 September</t>
  </si>
  <si>
    <t>00PRTA1000059902</t>
  </si>
  <si>
    <t>Akash</t>
  </si>
  <si>
    <t>Electronica &amp; Productronica</t>
  </si>
  <si>
    <t>00MRAO8000009711</t>
  </si>
  <si>
    <t>Sri Vasishta Junior College</t>
  </si>
  <si>
    <t>Sravani Hospitals</t>
  </si>
  <si>
    <t>CHROMO LABORATORIES</t>
  </si>
  <si>
    <t>Sourav</t>
  </si>
  <si>
    <t>Springcraft</t>
  </si>
  <si>
    <t>Anurag.</t>
  </si>
  <si>
    <t>Bidula</t>
  </si>
  <si>
    <t>Discussed for order in november</t>
  </si>
  <si>
    <t>00PRTA1000059889</t>
  </si>
  <si>
    <t>Karan</t>
  </si>
  <si>
    <t>00MGA01000007471</t>
  </si>
  <si>
    <t>Global Electronics</t>
  </si>
  <si>
    <t>Randheer reddy</t>
  </si>
  <si>
    <t>VGS and Technologies Private</t>
  </si>
  <si>
    <t>Nvidia</t>
  </si>
  <si>
    <t>Upendhar</t>
  </si>
  <si>
    <t>Buffet lunch on 30-09-2026</t>
  </si>
  <si>
    <t>Popupcounter on 24 &amp; 25 September</t>
  </si>
  <si>
    <t>00BHLTC000250185</t>
  </si>
  <si>
    <t>Star Multi-Speciality Hospitals</t>
  </si>
  <si>
    <t>Manoj</t>
  </si>
  <si>
    <t>LSN Software Services Pvt Ltd</t>
  </si>
  <si>
    <t>Gems Kids</t>
  </si>
  <si>
    <t>Events at 4 locations</t>
  </si>
  <si>
    <t>SLK Software</t>
  </si>
  <si>
    <t>Shudh Health Care Products.</t>
  </si>
  <si>
    <t xml:space="preserve"> Junaid. Khan</t>
  </si>
  <si>
    <t>Innominds Software Pvt. Ltd.</t>
  </si>
  <si>
    <t>Melvault Software Solutions, Pvt Ltd</t>
  </si>
  <si>
    <t>Excellencia Junior College</t>
  </si>
  <si>
    <t>Silver Software pvt ltd.</t>
  </si>
  <si>
    <t>Yogita</t>
  </si>
  <si>
    <t>Shahi Exports Pvt Ltd.</t>
  </si>
  <si>
    <t>Vijay Kumar J.R.</t>
  </si>
  <si>
    <t>CIFSPL070923</t>
  </si>
  <si>
    <t>Zafar</t>
  </si>
  <si>
    <t>00CMTA1000156297</t>
  </si>
  <si>
    <t>00SSBTA000177837</t>
  </si>
  <si>
    <t>Sap India Pvt ltd</t>
  </si>
  <si>
    <t xml:space="preserve"> Vanisha.M</t>
  </si>
  <si>
    <t>00HSA06000009029</t>
  </si>
  <si>
    <t>00HSA06000009072</t>
  </si>
  <si>
    <t>Sri Abhaya Hospitals</t>
  </si>
  <si>
    <t>Durga</t>
  </si>
  <si>
    <t>Shyam Kumar</t>
  </si>
  <si>
    <t>Victory Church</t>
  </si>
  <si>
    <t>Jee</t>
  </si>
  <si>
    <t>Shalom Church</t>
  </si>
  <si>
    <t>P&amp;T Hospitality</t>
  </si>
  <si>
    <t>Raj reddy</t>
  </si>
  <si>
    <t>Sunith</t>
  </si>
  <si>
    <t>Rock Church</t>
  </si>
  <si>
    <t>Jyothi Sampath</t>
  </si>
  <si>
    <t>Ronanki Infotech</t>
  </si>
  <si>
    <t>Pulse Hospital</t>
  </si>
  <si>
    <t>Galaxy Degree &amp; P.G. College</t>
  </si>
  <si>
    <t xml:space="preserve">Imran </t>
  </si>
  <si>
    <t>Benchmark Events &amp; media Consultant</t>
  </si>
  <si>
    <t>Kanthraj</t>
  </si>
  <si>
    <t>00BGA09000046997</t>
  </si>
  <si>
    <t>Axis Securities</t>
  </si>
  <si>
    <t>00BGA04000037378</t>
  </si>
  <si>
    <t>ISTHARA</t>
  </si>
  <si>
    <t>Discussed on bulk order requirement for ODC</t>
  </si>
  <si>
    <t>Durga Pooja at ameerpet</t>
  </si>
  <si>
    <t>Koushq</t>
  </si>
  <si>
    <t>Nihal</t>
  </si>
  <si>
    <t>00MRAO8000010415</t>
  </si>
  <si>
    <t>Dinesh Reddy</t>
  </si>
  <si>
    <t>00MTTA1000034112</t>
  </si>
  <si>
    <t>CIFSPL070930</t>
  </si>
  <si>
    <t>Koushik Enterprise</t>
  </si>
  <si>
    <t>00GCBTA000302737</t>
  </si>
  <si>
    <t>ShadowFX</t>
  </si>
  <si>
    <t>Delivery and serving on 01-10-2026 from kompally</t>
  </si>
  <si>
    <t>00KMDE1000003070</t>
  </si>
  <si>
    <t>00HSA06000009343</t>
  </si>
  <si>
    <t>Smartq Bulk Order</t>
  </si>
  <si>
    <t>EBCA Durga Puja</t>
  </si>
  <si>
    <t>WCA Durga Puja</t>
  </si>
  <si>
    <t>RO AP</t>
  </si>
  <si>
    <t>Comic Con</t>
  </si>
  <si>
    <t>Akshara Pumps</t>
  </si>
  <si>
    <t xml:space="preserve">Discussed on bulk order requirement </t>
  </si>
  <si>
    <t>Adrianse Group Pvt Ltd.</t>
  </si>
  <si>
    <t>Gweny Dias</t>
  </si>
  <si>
    <t>Amway</t>
  </si>
  <si>
    <t>Deepak V</t>
  </si>
  <si>
    <t>Arya Omini Talk</t>
  </si>
  <si>
    <t>Acko</t>
  </si>
  <si>
    <t>Act</t>
  </si>
  <si>
    <t>00GDMTA000036967</t>
  </si>
  <si>
    <t>Adwings</t>
  </si>
  <si>
    <t>Akshara ventures solutions</t>
  </si>
  <si>
    <t>Akshay</t>
  </si>
  <si>
    <t>Hyundai</t>
  </si>
  <si>
    <t>New LifeLine Medicure Hospitals</t>
  </si>
  <si>
    <t>SAHEVA Corporate Pvt. Ltd.</t>
  </si>
  <si>
    <t>MAmatha</t>
  </si>
  <si>
    <t>Pennar Industries Limited</t>
  </si>
  <si>
    <t>priya</t>
  </si>
  <si>
    <t>Yashoda Hospital</t>
  </si>
  <si>
    <t>00STA02000041184</t>
  </si>
  <si>
    <t>Azad Engg.</t>
  </si>
  <si>
    <t>Business confimed</t>
  </si>
  <si>
    <t>00VNTA1000065745</t>
  </si>
  <si>
    <t>British Biologicals pharmacuticals Pvt ltd.</t>
  </si>
  <si>
    <t>SR Prasad</t>
  </si>
  <si>
    <t>Hettich</t>
  </si>
  <si>
    <t>500 pax  food dinner requirement in January dine in at secunderabad</t>
  </si>
  <si>
    <t>Intercity transport</t>
  </si>
  <si>
    <t>Pop-up Business closed delivery on 16th october</t>
  </si>
  <si>
    <t>Poonam</t>
  </si>
  <si>
    <t>00STA02000041852</t>
  </si>
  <si>
    <t>New Deccan Travel</t>
  </si>
  <si>
    <t>Ahmed</t>
  </si>
  <si>
    <t>co karma work spaces</t>
  </si>
  <si>
    <t>Discussed on tie-ups</t>
  </si>
  <si>
    <t>Saraswathi Engineering Works</t>
  </si>
  <si>
    <t>Lakshman</t>
  </si>
  <si>
    <t xml:space="preserve">Thoughtworks Technologies </t>
  </si>
  <si>
    <t>Awfis Lorven Tiara</t>
  </si>
  <si>
    <t>neha</t>
  </si>
  <si>
    <t xml:space="preserve">GlobalLogic Technologies </t>
  </si>
  <si>
    <t>Sai Chndra</t>
  </si>
  <si>
    <t>TBCA Durga Pooja</t>
  </si>
  <si>
    <t>Site visit and visibility planning</t>
  </si>
  <si>
    <t>Bowenpally</t>
  </si>
  <si>
    <t>Durga Pooja- Ameerpet</t>
  </si>
  <si>
    <t>Koushik</t>
  </si>
  <si>
    <t>Intercity Transport</t>
  </si>
  <si>
    <t>MAllikarjuna</t>
  </si>
  <si>
    <t xml:space="preserve">Bulk order delivery dicussion </t>
  </si>
  <si>
    <t>CIFSPL071014</t>
  </si>
  <si>
    <t>Sphoorthy College</t>
  </si>
  <si>
    <t>Discussed on bulk order requirement for thier upcoming evnt</t>
  </si>
  <si>
    <t>Asma</t>
  </si>
  <si>
    <t>Dussehra Lunch -Lingampally</t>
  </si>
  <si>
    <t>Gautam</t>
  </si>
  <si>
    <t>Business Closed On -site planning  at event location for serving</t>
  </si>
  <si>
    <t>PFCPL1126</t>
  </si>
  <si>
    <t>Dussehra Lunch-Balanagar</t>
  </si>
  <si>
    <t>Dussehra Lunch- Bachapally</t>
  </si>
  <si>
    <t>Awfis</t>
  </si>
  <si>
    <t>Umesh</t>
  </si>
  <si>
    <t xml:space="preserve">ODC Business Confirmed </t>
  </si>
  <si>
    <t>Bani Sangha Alwal</t>
  </si>
  <si>
    <t>Ashish Bose</t>
  </si>
  <si>
    <t>Popup on 16-20 October</t>
  </si>
  <si>
    <t xml:space="preserve">Urban Work Raheja </t>
  </si>
  <si>
    <t>Jashwanth Reddy</t>
  </si>
  <si>
    <t>Cube High ways</t>
  </si>
  <si>
    <t>00SSBTA000184456</t>
  </si>
  <si>
    <t>BMC Industries  pvt Ltd</t>
  </si>
  <si>
    <t>Murthy</t>
  </si>
  <si>
    <t>00STA01000084399</t>
  </si>
  <si>
    <t>00SSBTA000185476</t>
  </si>
  <si>
    <t>CIFSPL071028</t>
  </si>
  <si>
    <t>Bulk delivery on 30-09-2026</t>
  </si>
  <si>
    <t xml:space="preserve">Accenture HDC3 </t>
  </si>
  <si>
    <t xml:space="preserve">State Street </t>
  </si>
  <si>
    <t>📅 FILTERS</t>
  </si>
  <si>
    <t>🍚 Paradise Biryani — Institutional Sales Dashboard</t>
  </si>
  <si>
    <t>💰 TOTAL ACTUAL SALES</t>
  </si>
  <si>
    <t>📈 EXPECTED BUSINESS</t>
  </si>
  <si>
    <t>🔥 LEAD STATUS</t>
  </si>
  <si>
    <t>📈 Payment Received Status</t>
  </si>
  <si>
    <t>🔥 Avg Monthly</t>
  </si>
  <si>
    <t>💰 TOTAL YTD ACTUAL SALES</t>
  </si>
  <si>
    <t>🎯 TARGET VS ACTUAL</t>
  </si>
  <si>
    <t>📈 MONTH ON MONTH TREND (Actuals)</t>
  </si>
  <si>
    <t>Sales Person</t>
  </si>
  <si>
    <t>Variance</t>
  </si>
  <si>
    <t>Achieve %</t>
  </si>
  <si>
    <t>Total (3 Mo)</t>
  </si>
  <si>
    <t>🟢 Sameer</t>
  </si>
  <si>
    <t>🟣 Bashab</t>
  </si>
  <si>
    <t>🟠 Vishwanath</t>
  </si>
  <si>
    <t>🔵 Pradeep</t>
  </si>
  <si>
    <t>🟠 Anushikha</t>
  </si>
  <si>
    <t>⭐ AYUSH (Total)</t>
  </si>
  <si>
    <t>🎯 TARGET VS CONFIRMED</t>
  </si>
  <si>
    <t>🎯 Received Payment Status Trend</t>
  </si>
  <si>
    <t>Average (3 Mo)</t>
  </si>
  <si>
    <t>🌍 REGION SPLIT</t>
  </si>
  <si>
    <t>🔄 REPEAT VS NEW</t>
  </si>
  <si>
    <t>📊 SALES BY TYPE</t>
  </si>
  <si>
    <t>📞 CONNECT STATUS</t>
  </si>
  <si>
    <t>Repeat Clients</t>
  </si>
  <si>
    <t>New Clients</t>
  </si>
  <si>
    <t>Email</t>
  </si>
  <si>
    <t>Other Regions</t>
  </si>
  <si>
    <t>Repeat Share %</t>
  </si>
  <si>
    <t>Total</t>
  </si>
  <si>
    <t>New Count</t>
  </si>
  <si>
    <t>📊 AGGREGATOR MONTH ON MONTH</t>
  </si>
  <si>
    <t>Aggregator Name</t>
  </si>
  <si>
    <t>MTD Actual</t>
  </si>
  <si>
    <t>% Share</t>
  </si>
  <si>
    <t>📊 TOTAL</t>
  </si>
  <si>
    <t>🔄 SALES FUNNEL STATUS</t>
  </si>
  <si>
    <t>👤 SALES PERSON FOLLOW-UP DUE</t>
  </si>
  <si>
    <t>Stage</t>
  </si>
  <si>
    <t>Code</t>
  </si>
  <si>
    <t>Count</t>
  </si>
  <si>
    <t>Expected Value</t>
  </si>
  <si>
    <t>Actual Value</t>
  </si>
  <si>
    <t>% of Total</t>
  </si>
  <si>
    <t>Total Due</t>
  </si>
  <si>
    <t>🔵 Introduction</t>
  </si>
  <si>
    <t>C0</t>
  </si>
  <si>
    <t>🟡 Follow-up</t>
  </si>
  <si>
    <t>C1</t>
  </si>
  <si>
    <t>🟠 Negotiation</t>
  </si>
  <si>
    <t>C2</t>
  </si>
  <si>
    <t>🟢 Confirmed</t>
  </si>
  <si>
    <t>C3</t>
  </si>
  <si>
    <t>✅ Closed</t>
  </si>
  <si>
    <t>C4</t>
  </si>
  <si>
    <t>-</t>
  </si>
  <si>
    <t xml:space="preserve">⭐ AYUSH </t>
  </si>
  <si>
    <t>👤 SALES PERSON PERFORMANCE</t>
  </si>
  <si>
    <t>📋 ACCOUNT STATUS</t>
  </si>
  <si>
    <t>Expected</t>
  </si>
  <si>
    <t>Actual</t>
  </si>
  <si>
    <t>Txns</t>
  </si>
  <si>
    <t>Conv %</t>
  </si>
  <si>
    <t>Followup Overdue</t>
  </si>
  <si>
    <t>Followup Overdue%</t>
  </si>
  <si>
    <t xml:space="preserve">🟡 Follow-up </t>
  </si>
  <si>
    <t xml:space="preserve">✅ Closed </t>
  </si>
  <si>
    <t>🔴 Cancelled</t>
  </si>
  <si>
    <t>Target</t>
  </si>
  <si>
    <t>Count of Month</t>
  </si>
  <si>
    <t>Actual Business</t>
  </si>
  <si>
    <t>Count of Order</t>
  </si>
  <si>
    <t>Agritech</t>
  </si>
  <si>
    <t>Rampally</t>
  </si>
  <si>
    <t>Sarath City Mall GF</t>
  </si>
  <si>
    <t>Kurnool</t>
  </si>
  <si>
    <t>Date</t>
  </si>
  <si>
    <t>Share</t>
  </si>
  <si>
    <t>Media &amp; Tv</t>
  </si>
  <si>
    <t>SR Nagar</t>
  </si>
  <si>
    <t>Manikonda</t>
  </si>
  <si>
    <t>Inorbit</t>
  </si>
  <si>
    <t>Dasarahalli</t>
  </si>
  <si>
    <t>Benz Circle</t>
  </si>
  <si>
    <t>Hanamkonda</t>
  </si>
  <si>
    <t>NAD Jn</t>
  </si>
  <si>
    <t>Nellore</t>
  </si>
  <si>
    <t>Tadepalli</t>
  </si>
  <si>
    <t>VIP Road</t>
  </si>
  <si>
    <t>Vizag Beach Rd</t>
  </si>
  <si>
    <t>Warangal</t>
  </si>
  <si>
    <t>Mogappair</t>
  </si>
  <si>
    <t>Sholinganallur</t>
  </si>
  <si>
    <t>Mantri Mall</t>
  </si>
  <si>
    <t>Overall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</si>
  <si>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</si>
  <si>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</si>
  <si>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</si>
  <si>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</si>
  <si>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</si>
  <si>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</si>
  <si>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</si>
  <si>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</si>
  <si>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</si>
  <si>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</si>
  <si>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</si>
  <si>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</si>
  <si>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 xml:space="preserve">Bashab </t>
  </si>
  <si>
    <t>Person 1</t>
  </si>
  <si>
    <t>Person 2</t>
  </si>
  <si>
    <t>Person 3</t>
  </si>
  <si>
    <t>Person 4</t>
  </si>
  <si>
    <t>JCNM Church</t>
  </si>
  <si>
    <t>Azad Engineer</t>
  </si>
  <si>
    <t>Total Target</t>
  </si>
  <si>
    <t>New Order</t>
  </si>
  <si>
    <t>Old Order</t>
  </si>
  <si>
    <t>Case 1</t>
  </si>
  <si>
    <t>Eligible</t>
  </si>
  <si>
    <t>Case 2</t>
  </si>
  <si>
    <t>Not Eligible</t>
  </si>
  <si>
    <t>Case 3</t>
  </si>
  <si>
    <t>Sales Person Name</t>
  </si>
  <si>
    <t>Jan-26</t>
  </si>
  <si>
    <t>Feb-26</t>
  </si>
  <si>
    <t>Mar-26</t>
  </si>
  <si>
    <t>Nov-26</t>
  </si>
  <si>
    <t>Dec-26</t>
  </si>
  <si>
    <t>Jan-27</t>
  </si>
  <si>
    <t>Feb-27</t>
  </si>
  <si>
    <t>Mar-27</t>
  </si>
  <si>
    <t>Ayush</t>
  </si>
  <si>
    <t>New Client</t>
  </si>
  <si>
    <t>Old Client</t>
  </si>
  <si>
    <t>Actuals</t>
  </si>
  <si>
    <t>Payment Term</t>
  </si>
  <si>
    <t>Comission</t>
  </si>
  <si>
    <t>30 Days</t>
  </si>
  <si>
    <t>15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</si>
</sst>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* #,##0.00_ ;_ * \-#,##0.00_ ;_ * &quot;-&quot;??_ ;_ @_ "/>
    <numFmt numFmtId="165" formatCode="_ * #,##0_ ;_ * \-#,##0_ ;_ * &quot;-&quot;??_ ;_ @_ "/>
    <numFmt numFmtId="166" formatCode="\₹#,##0"/>
    <numFmt numFmtId="167" formatCode="_ * #,##0_ ;_ * \-#,##0_ ;_ * &quot;-&quot;?_ ;_ @_ "/>
    <numFmt numFmtId="168" formatCode="_(* #,##0_);_(* \(#,##0\);_(* &quot;-&quot;??_);_(@_)"/>
  </numFmts>
  <fonts count="3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FFFFFF"/>
      <name val="Segoe UI"/>
      <family val="2"/>
    </font>
    <font>
      <b/>
      <sz val="11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rgb="FFFFFFFF"/>
      <name val="Segoe UI"/>
      <family val="2"/>
    </font>
    <font>
      <sz val="11"/>
      <color rgb="FF333333"/>
      <name val="Segoe UI"/>
      <family val="2"/>
    </font>
    <font>
      <sz val="11"/>
      <color rgb="FF333333"/>
      <name val="Aptos Narrow"/>
      <family val="2"/>
      <scheme val="minor"/>
    </font>
    <font>
      <sz val="10"/>
      <color rgb="FF333333"/>
      <name val="Segoe UI"/>
      <family val="2"/>
    </font>
    <font>
      <b/>
      <sz val="11"/>
      <color rgb="FF333333"/>
      <name val="Segoe UI"/>
      <family val="2"/>
    </font>
    <font>
      <b/>
      <sz val="28"/>
      <color rgb="FF333333"/>
      <name val="Segoe UI"/>
      <family val="2"/>
    </font>
    <font>
      <b/>
      <sz val="10"/>
      <color rgb="FF333333"/>
      <name val="Aptos Narrow"/>
      <family val="2"/>
      <scheme val="minor"/>
    </font>
    <font>
      <sz val="10"/>
      <color rgb="FF333333"/>
      <name val="Aptos Narrow"/>
      <family val="2"/>
      <scheme val="minor"/>
    </font>
    <font>
      <b/>
      <sz val="12"/>
      <color rgb="FF333333"/>
      <name val="Aptos Narrow"/>
      <family val="2"/>
      <scheme val="minor"/>
    </font>
    <font>
      <b/>
      <sz val="11"/>
      <color rgb="FF333333"/>
      <name val="Aptos Narrow"/>
      <family val="2"/>
      <scheme val="minor"/>
    </font>
    <font>
      <b/>
      <sz val="16"/>
      <color rgb="FFFFFFFF"/>
      <name val="Segoe UI"/>
      <family val="2"/>
    </font>
    <font>
      <b/>
      <sz val="16"/>
      <color rgb="FF333333"/>
      <name val="Segoe UI"/>
      <family val="2"/>
    </font>
    <font>
      <b/>
      <sz val="12"/>
      <color rgb="FFFFFFFF"/>
      <name val="Segoe UI"/>
      <family val="2"/>
    </font>
    <font>
      <b/>
      <sz val="14"/>
      <color rgb="FFFFFFFF"/>
      <name val="Segoe UI"/>
      <family val="2"/>
    </font>
    <font>
      <b/>
      <sz val="10"/>
      <color rgb="FFFFFFFF"/>
      <name val="Segoe UI"/>
      <family val="2"/>
    </font>
    <font>
      <b/>
      <sz val="18"/>
      <color rgb="FF333333"/>
      <name val="Segoe UI"/>
      <family val="2"/>
    </font>
    <font>
      <sz val="9"/>
      <color rgb="FF333333"/>
      <name val="Segoe UI"/>
      <family val="2"/>
    </font>
    <font>
      <b/>
      <sz val="10"/>
      <color rgb="FF333333"/>
      <name val="Segoe UI"/>
      <family val="2"/>
    </font>
    <font>
      <sz val="1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1"/>
      <color rgb="FFFF000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rgb="FF242424"/>
      <name val="Aptos Display"/>
      <family val="2"/>
      <scheme val="major"/>
    </font>
    <font>
      <b/>
      <sz val="12"/>
      <color theme="0" tint="-4.9989318521683403E-2"/>
      <name val="Segoe UI"/>
      <family val="2"/>
    </font>
    <font>
      <sz val="11"/>
      <color rgb="FF000000"/>
      <name val="Aptos Display"/>
      <family val="2"/>
    </font>
    <font>
      <b/>
      <sz val="14"/>
      <color rgb="FF333333"/>
      <name val="Segoe UI"/>
      <family val="2"/>
    </font>
    <font>
      <sz val="11"/>
      <color theme="0"/>
      <name val="Segoe UI"/>
      <family val="2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4A90D9"/>
        <bgColor indexed="64"/>
      </patternFill>
    </fill>
    <fill>
      <patternFill patternType="solid">
        <fgColor rgb="FF5A9FE8"/>
        <bgColor indexed="64"/>
      </patternFill>
    </fill>
    <fill>
      <patternFill patternType="solid">
        <fgColor rgb="FFE8F4FD"/>
        <bgColor indexed="64"/>
      </patternFill>
    </fill>
    <fill>
      <patternFill patternType="solid">
        <fgColor rgb="FFE8F8E8"/>
        <bgColor indexed="64"/>
      </patternFill>
    </fill>
    <fill>
      <patternFill patternType="solid">
        <fgColor rgb="FF4CAF50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2196F3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91E63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FFF9C4"/>
        <bgColor indexed="64"/>
      </patternFill>
    </fill>
    <fill>
      <patternFill patternType="solid">
        <fgColor rgb="FFFFE0B2"/>
        <bgColor indexed="64"/>
      </patternFill>
    </fill>
    <fill>
      <patternFill patternType="solid">
        <fgColor rgb="FFC8E6C9"/>
        <bgColor indexed="64"/>
      </patternFill>
    </fill>
    <fill>
      <patternFill patternType="solid">
        <fgColor rgb="FFA5D6A7"/>
        <bgColor indexed="64"/>
      </patternFill>
    </fill>
    <fill>
      <patternFill patternType="solid">
        <fgColor rgb="FFFFCDD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00CED1"/>
      </left>
      <right/>
      <top/>
      <bottom style="thin">
        <color rgb="FF374151"/>
      </bottom>
      <diagonal/>
    </border>
    <border>
      <left/>
      <right style="thin">
        <color rgb="FF374151"/>
      </right>
      <top/>
      <bottom style="thin">
        <color rgb="FF374151"/>
      </bottom>
      <diagonal/>
    </border>
    <border>
      <left style="thick">
        <color rgb="FFFFA500"/>
      </left>
      <right/>
      <top/>
      <bottom style="thin">
        <color rgb="FF374151"/>
      </bottom>
      <diagonal/>
    </border>
    <border>
      <left style="thick">
        <color rgb="FFEF4444"/>
      </left>
      <right/>
      <top/>
      <bottom style="thin">
        <color rgb="FF374151"/>
      </bottom>
      <diagonal/>
    </border>
    <border>
      <left style="thick">
        <color rgb="FF8B5CF6"/>
      </left>
      <right/>
      <top/>
      <bottom style="thin">
        <color rgb="FF37415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rgb="FFE0E0E0"/>
      </left>
      <right/>
      <top style="thin">
        <color rgb="FFE0E0E0"/>
      </top>
      <bottom/>
      <diagonal/>
    </border>
    <border>
      <left style="thin">
        <color rgb="FFE0E0E0"/>
      </left>
      <right/>
      <top/>
      <bottom/>
      <diagonal/>
    </border>
    <border>
      <left style="thin">
        <color rgb="FFE0E0E0"/>
      </left>
      <right/>
      <top/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/>
      <diagonal/>
    </border>
    <border>
      <left/>
      <right style="thin">
        <color rgb="FFE0E0E0"/>
      </right>
      <top/>
      <bottom/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/>
      <right/>
      <top/>
      <bottom style="thin">
        <color rgb="FFE0E0E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4" tint="0.39997558519241921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31">
    <xf numFmtId="0" fontId="0" fillId="0" borderId="0" xfId="0"/>
    <xf numFmtId="0" fontId="0" fillId="0" borderId="1" xfId="0" applyBorder="1" applyAlignment="1">
      <alignment vertical="top" wrapText="1"/>
    </xf>
    <xf numFmtId="0" fontId="3" fillId="3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1" applyNumberFormat="1" applyFont="1" applyBorder="1"/>
    <xf numFmtId="0" fontId="3" fillId="3" borderId="8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5" fillId="4" borderId="1" xfId="0" applyFont="1" applyFill="1" applyBorder="1"/>
    <xf numFmtId="17" fontId="0" fillId="0" borderId="1" xfId="0" applyNumberFormat="1" applyBorder="1"/>
    <xf numFmtId="166" fontId="0" fillId="0" borderId="1" xfId="0" applyNumberFormat="1" applyBorder="1"/>
    <xf numFmtId="17" fontId="2" fillId="0" borderId="1" xfId="0" applyNumberFormat="1" applyFont="1" applyBorder="1"/>
    <xf numFmtId="0" fontId="7" fillId="0" borderId="1" xfId="0" applyFont="1" applyBorder="1"/>
    <xf numFmtId="165" fontId="0" fillId="0" borderId="0" xfId="0" applyNumberFormat="1"/>
    <xf numFmtId="0" fontId="2" fillId="5" borderId="1" xfId="0" applyFont="1" applyFill="1" applyBorder="1"/>
    <xf numFmtId="17" fontId="2" fillId="5" borderId="1" xfId="0" applyNumberFormat="1" applyFont="1" applyFill="1" applyBorder="1"/>
    <xf numFmtId="0" fontId="0" fillId="0" borderId="1" xfId="0" applyBorder="1" applyAlignment="1">
      <alignment horizontal="left"/>
    </xf>
    <xf numFmtId="0" fontId="9" fillId="3" borderId="0" xfId="0" applyFont="1" applyFill="1"/>
    <xf numFmtId="0" fontId="10" fillId="3" borderId="0" xfId="0" applyFont="1" applyFill="1"/>
    <xf numFmtId="0" fontId="9" fillId="3" borderId="2" xfId="0" applyFont="1" applyFill="1" applyBorder="1"/>
    <xf numFmtId="0" fontId="9" fillId="3" borderId="3" xfId="0" applyFont="1" applyFill="1" applyBorder="1"/>
    <xf numFmtId="0" fontId="9" fillId="3" borderId="4" xfId="0" applyFont="1" applyFill="1" applyBorder="1"/>
    <xf numFmtId="0" fontId="9" fillId="3" borderId="5" xfId="0" applyFont="1" applyFill="1" applyBorder="1"/>
    <xf numFmtId="0" fontId="9" fillId="3" borderId="6" xfId="0" applyFont="1" applyFill="1" applyBorder="1"/>
    <xf numFmtId="0" fontId="16" fillId="3" borderId="0" xfId="0" applyFont="1" applyFill="1" applyAlignment="1">
      <alignment horizontal="center"/>
    </xf>
    <xf numFmtId="0" fontId="17" fillId="3" borderId="0" xfId="0" applyFont="1" applyFill="1" applyAlignment="1">
      <alignment wrapText="1"/>
    </xf>
    <xf numFmtId="166" fontId="10" fillId="3" borderId="1" xfId="0" applyNumberFormat="1" applyFont="1" applyFill="1" applyBorder="1"/>
    <xf numFmtId="0" fontId="17" fillId="3" borderId="0" xfId="0" applyFont="1" applyFill="1" applyAlignment="1">
      <alignment horizontal="center"/>
    </xf>
    <xf numFmtId="0" fontId="8" fillId="6" borderId="0" xfId="0" applyFont="1" applyFill="1"/>
    <xf numFmtId="0" fontId="9" fillId="8" borderId="0" xfId="0" applyFont="1" applyFill="1"/>
    <xf numFmtId="166" fontId="10" fillId="15" borderId="1" xfId="0" applyNumberFormat="1" applyFont="1" applyFill="1" applyBorder="1"/>
    <xf numFmtId="0" fontId="10" fillId="16" borderId="1" xfId="0" applyFont="1" applyFill="1" applyBorder="1"/>
    <xf numFmtId="166" fontId="10" fillId="16" borderId="1" xfId="0" applyNumberFormat="1" applyFont="1" applyFill="1" applyBorder="1"/>
    <xf numFmtId="0" fontId="10" fillId="17" borderId="1" xfId="0" applyFont="1" applyFill="1" applyBorder="1"/>
    <xf numFmtId="166" fontId="10" fillId="17" borderId="1" xfId="0" applyNumberFormat="1" applyFont="1" applyFill="1" applyBorder="1"/>
    <xf numFmtId="0" fontId="10" fillId="18" borderId="1" xfId="0" applyFont="1" applyFill="1" applyBorder="1"/>
    <xf numFmtId="166" fontId="10" fillId="18" borderId="1" xfId="0" applyNumberFormat="1" applyFont="1" applyFill="1" applyBorder="1"/>
    <xf numFmtId="0" fontId="10" fillId="19" borderId="1" xfId="0" applyFont="1" applyFill="1" applyBorder="1"/>
    <xf numFmtId="166" fontId="10" fillId="19" borderId="1" xfId="0" applyNumberFormat="1" applyFont="1" applyFill="1" applyBorder="1"/>
    <xf numFmtId="0" fontId="8" fillId="10" borderId="9" xfId="0" applyFont="1" applyFill="1" applyBorder="1"/>
    <xf numFmtId="0" fontId="8" fillId="10" borderId="12" xfId="0" applyFont="1" applyFill="1" applyBorder="1"/>
    <xf numFmtId="0" fontId="13" fillId="9" borderId="13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/>
    </xf>
    <xf numFmtId="0" fontId="8" fillId="12" borderId="9" xfId="0" applyFont="1" applyFill="1" applyBorder="1"/>
    <xf numFmtId="0" fontId="8" fillId="12" borderId="12" xfId="0" applyFont="1" applyFill="1" applyBorder="1"/>
    <xf numFmtId="0" fontId="13" fillId="11" borderId="13" xfId="0" applyFont="1" applyFill="1" applyBorder="1" applyAlignment="1">
      <alignment horizontal="center" vertical="center"/>
    </xf>
    <xf numFmtId="0" fontId="11" fillId="11" borderId="14" xfId="0" applyFont="1" applyFill="1" applyBorder="1" applyAlignment="1">
      <alignment horizontal="center"/>
    </xf>
    <xf numFmtId="0" fontId="8" fillId="14" borderId="9" xfId="0" applyFont="1" applyFill="1" applyBorder="1"/>
    <xf numFmtId="0" fontId="8" fillId="14" borderId="12" xfId="0" applyFont="1" applyFill="1" applyBorder="1"/>
    <xf numFmtId="0" fontId="13" fillId="13" borderId="13" xfId="0" applyFont="1" applyFill="1" applyBorder="1" applyAlignment="1">
      <alignment horizontal="center" vertical="center"/>
    </xf>
    <xf numFmtId="0" fontId="11" fillId="13" borderId="14" xfId="0" applyFont="1" applyFill="1" applyBorder="1" applyAlignment="1">
      <alignment horizontal="center"/>
    </xf>
    <xf numFmtId="0" fontId="20" fillId="6" borderId="9" xfId="0" applyFont="1" applyFill="1" applyBorder="1"/>
    <xf numFmtId="0" fontId="9" fillId="3" borderId="10" xfId="0" applyFont="1" applyFill="1" applyBorder="1"/>
    <xf numFmtId="0" fontId="9" fillId="15" borderId="10" xfId="0" applyFont="1" applyFill="1" applyBorder="1"/>
    <xf numFmtId="0" fontId="9" fillId="15" borderId="11" xfId="0" applyFont="1" applyFill="1" applyBorder="1"/>
    <xf numFmtId="166" fontId="9" fillId="3" borderId="13" xfId="0" applyNumberFormat="1" applyFont="1" applyFill="1" applyBorder="1" applyAlignment="1">
      <alignment horizontal="right"/>
    </xf>
    <xf numFmtId="166" fontId="9" fillId="15" borderId="13" xfId="0" applyNumberFormat="1" applyFont="1" applyFill="1" applyBorder="1" applyAlignment="1">
      <alignment horizontal="right"/>
    </xf>
    <xf numFmtId="166" fontId="9" fillId="15" borderId="14" xfId="0" applyNumberFormat="1" applyFont="1" applyFill="1" applyBorder="1" applyAlignment="1">
      <alignment horizontal="right"/>
    </xf>
    <xf numFmtId="0" fontId="9" fillId="3" borderId="11" xfId="0" applyFont="1" applyFill="1" applyBorder="1"/>
    <xf numFmtId="166" fontId="9" fillId="3" borderId="14" xfId="0" applyNumberFormat="1" applyFont="1" applyFill="1" applyBorder="1" applyAlignment="1">
      <alignment horizontal="right"/>
    </xf>
    <xf numFmtId="0" fontId="9" fillId="3" borderId="13" xfId="0" applyFont="1" applyFill="1" applyBorder="1" applyAlignment="1">
      <alignment horizontal="right"/>
    </xf>
    <xf numFmtId="9" fontId="9" fillId="15" borderId="13" xfId="0" applyNumberFormat="1" applyFont="1" applyFill="1" applyBorder="1" applyAlignment="1">
      <alignment horizontal="right"/>
    </xf>
    <xf numFmtId="0" fontId="9" fillId="3" borderId="14" xfId="0" applyFont="1" applyFill="1" applyBorder="1" applyAlignment="1">
      <alignment horizontal="right"/>
    </xf>
    <xf numFmtId="166" fontId="15" fillId="3" borderId="0" xfId="0" applyNumberFormat="1" applyFont="1" applyFill="1"/>
    <xf numFmtId="166" fontId="15" fillId="15" borderId="0" xfId="0" applyNumberFormat="1" applyFont="1" applyFill="1"/>
    <xf numFmtId="166" fontId="14" fillId="8" borderId="15" xfId="0" applyNumberFormat="1" applyFont="1" applyFill="1" applyBorder="1"/>
    <xf numFmtId="0" fontId="15" fillId="3" borderId="10" xfId="0" applyFont="1" applyFill="1" applyBorder="1"/>
    <xf numFmtId="0" fontId="15" fillId="15" borderId="10" xfId="0" applyFont="1" applyFill="1" applyBorder="1"/>
    <xf numFmtId="0" fontId="14" fillId="8" borderId="11" xfId="0" applyFont="1" applyFill="1" applyBorder="1"/>
    <xf numFmtId="9" fontId="15" fillId="3" borderId="13" xfId="0" applyNumberFormat="1" applyFont="1" applyFill="1" applyBorder="1"/>
    <xf numFmtId="9" fontId="15" fillId="15" borderId="13" xfId="0" applyNumberFormat="1" applyFont="1" applyFill="1" applyBorder="1"/>
    <xf numFmtId="9" fontId="14" fillId="8" borderId="14" xfId="0" applyNumberFormat="1" applyFont="1" applyFill="1" applyBorder="1"/>
    <xf numFmtId="166" fontId="15" fillId="3" borderId="13" xfId="0" applyNumberFormat="1" applyFont="1" applyFill="1" applyBorder="1"/>
    <xf numFmtId="166" fontId="15" fillId="15" borderId="13" xfId="0" applyNumberFormat="1" applyFont="1" applyFill="1" applyBorder="1"/>
    <xf numFmtId="166" fontId="14" fillId="8" borderId="14" xfId="0" applyNumberFormat="1" applyFont="1" applyFill="1" applyBorder="1"/>
    <xf numFmtId="0" fontId="20" fillId="4" borderId="0" xfId="0" applyFont="1" applyFill="1"/>
    <xf numFmtId="0" fontId="20" fillId="4" borderId="0" xfId="0" applyFont="1" applyFill="1" applyAlignment="1">
      <alignment horizontal="left"/>
    </xf>
    <xf numFmtId="0" fontId="21" fillId="4" borderId="0" xfId="0" applyFont="1" applyFill="1"/>
    <xf numFmtId="0" fontId="20" fillId="6" borderId="0" xfId="0" applyFont="1" applyFill="1"/>
    <xf numFmtId="0" fontId="6" fillId="4" borderId="0" xfId="0" applyFont="1" applyFill="1" applyAlignment="1">
      <alignment horizontal="left"/>
    </xf>
    <xf numFmtId="17" fontId="0" fillId="0" borderId="0" xfId="0" applyNumberFormat="1"/>
    <xf numFmtId="166" fontId="9" fillId="3" borderId="3" xfId="0" applyNumberFormat="1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9" fillId="13" borderId="11" xfId="0" applyFont="1" applyFill="1" applyBorder="1" applyAlignment="1">
      <alignment horizontal="left"/>
    </xf>
    <xf numFmtId="0" fontId="9" fillId="9" borderId="11" xfId="0" applyFont="1" applyFill="1" applyBorder="1" applyAlignment="1">
      <alignment horizontal="center"/>
    </xf>
    <xf numFmtId="0" fontId="10" fillId="3" borderId="1" xfId="0" applyFont="1" applyFill="1" applyBorder="1"/>
    <xf numFmtId="166" fontId="15" fillId="3" borderId="1" xfId="0" applyNumberFormat="1" applyFont="1" applyFill="1" applyBorder="1"/>
    <xf numFmtId="0" fontId="10" fillId="15" borderId="1" xfId="0" applyFont="1" applyFill="1" applyBorder="1"/>
    <xf numFmtId="166" fontId="17" fillId="8" borderId="1" xfId="0" applyNumberFormat="1" applyFont="1" applyFill="1" applyBorder="1" applyAlignment="1">
      <alignment horizontal="center"/>
    </xf>
    <xf numFmtId="166" fontId="17" fillId="8" borderId="1" xfId="0" applyNumberFormat="1" applyFont="1" applyFill="1" applyBorder="1" applyAlignment="1">
      <alignment horizontal="right"/>
    </xf>
    <xf numFmtId="9" fontId="10" fillId="3" borderId="1" xfId="0" applyNumberFormat="1" applyFont="1" applyFill="1" applyBorder="1"/>
    <xf numFmtId="9" fontId="10" fillId="15" borderId="1" xfId="0" applyNumberFormat="1" applyFont="1" applyFill="1" applyBorder="1"/>
    <xf numFmtId="9" fontId="17" fillId="8" borderId="1" xfId="0" applyNumberFormat="1" applyFont="1" applyFill="1" applyBorder="1" applyAlignment="1">
      <alignment horizontal="center"/>
    </xf>
    <xf numFmtId="0" fontId="9" fillId="3" borderId="1" xfId="0" applyFont="1" applyFill="1" applyBorder="1"/>
    <xf numFmtId="166" fontId="9" fillId="3" borderId="1" xfId="0" applyNumberFormat="1" applyFont="1" applyFill="1" applyBorder="1" applyAlignment="1">
      <alignment horizontal="right"/>
    </xf>
    <xf numFmtId="0" fontId="9" fillId="3" borderId="1" xfId="0" applyFont="1" applyFill="1" applyBorder="1" applyAlignment="1">
      <alignment horizontal="right"/>
    </xf>
    <xf numFmtId="0" fontId="9" fillId="15" borderId="1" xfId="0" applyFont="1" applyFill="1" applyBorder="1"/>
    <xf numFmtId="166" fontId="9" fillId="15" borderId="1" xfId="0" applyNumberFormat="1" applyFont="1" applyFill="1" applyBorder="1" applyAlignment="1">
      <alignment horizontal="right"/>
    </xf>
    <xf numFmtId="0" fontId="9" fillId="15" borderId="1" xfId="0" applyFont="1" applyFill="1" applyBorder="1" applyAlignment="1">
      <alignment horizontal="right"/>
    </xf>
    <xf numFmtId="0" fontId="12" fillId="8" borderId="1" xfId="0" applyFont="1" applyFill="1" applyBorder="1" applyAlignment="1">
      <alignment horizontal="left"/>
    </xf>
    <xf numFmtId="0" fontId="12" fillId="8" borderId="1" xfId="0" applyFont="1" applyFill="1" applyBorder="1" applyAlignment="1">
      <alignment horizontal="right"/>
    </xf>
    <xf numFmtId="0" fontId="9" fillId="11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right"/>
    </xf>
    <xf numFmtId="0" fontId="9" fillId="17" borderId="1" xfId="0" applyFont="1" applyFill="1" applyBorder="1" applyAlignment="1">
      <alignment horizontal="right"/>
    </xf>
    <xf numFmtId="0" fontId="9" fillId="18" borderId="1" xfId="0" applyFont="1" applyFill="1" applyBorder="1" applyAlignment="1">
      <alignment horizontal="right"/>
    </xf>
    <xf numFmtId="0" fontId="9" fillId="19" borderId="1" xfId="0" applyFont="1" applyFill="1" applyBorder="1" applyAlignment="1">
      <alignment horizontal="right"/>
    </xf>
    <xf numFmtId="0" fontId="9" fillId="20" borderId="1" xfId="0" applyFont="1" applyFill="1" applyBorder="1"/>
    <xf numFmtId="0" fontId="17" fillId="8" borderId="1" xfId="0" applyFont="1" applyFill="1" applyBorder="1"/>
    <xf numFmtId="166" fontId="17" fillId="8" borderId="1" xfId="0" applyNumberFormat="1" applyFont="1" applyFill="1" applyBorder="1"/>
    <xf numFmtId="9" fontId="10" fillId="16" borderId="1" xfId="0" applyNumberFormat="1" applyFont="1" applyFill="1" applyBorder="1"/>
    <xf numFmtId="9" fontId="10" fillId="17" borderId="1" xfId="0" applyNumberFormat="1" applyFont="1" applyFill="1" applyBorder="1"/>
    <xf numFmtId="9" fontId="10" fillId="18" borderId="1" xfId="0" applyNumberFormat="1" applyFont="1" applyFill="1" applyBorder="1"/>
    <xf numFmtId="9" fontId="10" fillId="19" borderId="1" xfId="0" applyNumberFormat="1" applyFont="1" applyFill="1" applyBorder="1"/>
    <xf numFmtId="9" fontId="17" fillId="8" borderId="1" xfId="0" applyNumberFormat="1" applyFont="1" applyFill="1" applyBorder="1"/>
    <xf numFmtId="0" fontId="2" fillId="5" borderId="1" xfId="0" applyFont="1" applyFill="1" applyBorder="1" applyAlignment="1">
      <alignment horizontal="left"/>
    </xf>
    <xf numFmtId="0" fontId="22" fillId="6" borderId="0" xfId="0" applyFont="1" applyFill="1" applyAlignment="1">
      <alignment horizontal="center" wrapText="1"/>
    </xf>
    <xf numFmtId="9" fontId="15" fillId="3" borderId="0" xfId="2" applyFont="1" applyFill="1"/>
    <xf numFmtId="9" fontId="15" fillId="15" borderId="0" xfId="2" applyFont="1" applyFill="1"/>
    <xf numFmtId="9" fontId="14" fillId="8" borderId="15" xfId="2" applyFont="1" applyFill="1" applyBorder="1"/>
    <xf numFmtId="166" fontId="19" fillId="9" borderId="10" xfId="0" applyNumberFormat="1" applyFont="1" applyFill="1" applyBorder="1" applyAlignment="1">
      <alignment horizontal="center" vertical="center"/>
    </xf>
    <xf numFmtId="0" fontId="9" fillId="11" borderId="11" xfId="0" applyFont="1" applyFill="1" applyBorder="1" applyAlignment="1">
      <alignment horizontal="left"/>
    </xf>
    <xf numFmtId="0" fontId="23" fillId="13" borderId="10" xfId="0" applyFont="1" applyFill="1" applyBorder="1" applyAlignment="1">
      <alignment horizontal="center" vertical="center"/>
    </xf>
    <xf numFmtId="0" fontId="6" fillId="4" borderId="0" xfId="0" applyFont="1" applyFill="1"/>
    <xf numFmtId="0" fontId="10" fillId="11" borderId="17" xfId="0" applyFont="1" applyFill="1" applyBorder="1"/>
    <xf numFmtId="166" fontId="10" fillId="11" borderId="17" xfId="0" applyNumberFormat="1" applyFont="1" applyFill="1" applyBorder="1"/>
    <xf numFmtId="9" fontId="10" fillId="11" borderId="17" xfId="0" applyNumberFormat="1" applyFont="1" applyFill="1" applyBorder="1"/>
    <xf numFmtId="0" fontId="22" fillId="6" borderId="0" xfId="0" applyFont="1" applyFill="1" applyAlignment="1">
      <alignment horizontal="center"/>
    </xf>
    <xf numFmtId="9" fontId="17" fillId="8" borderId="1" xfId="0" applyNumberFormat="1" applyFont="1" applyFill="1" applyBorder="1" applyAlignment="1">
      <alignment horizontal="right"/>
    </xf>
    <xf numFmtId="0" fontId="17" fillId="8" borderId="1" xfId="0" applyFont="1" applyFill="1" applyBorder="1" applyAlignment="1">
      <alignment horizontal="right"/>
    </xf>
    <xf numFmtId="9" fontId="19" fillId="11" borderId="10" xfId="2" applyFont="1" applyFill="1" applyBorder="1" applyAlignment="1">
      <alignment horizontal="center" vertical="center"/>
    </xf>
    <xf numFmtId="0" fontId="9" fillId="15" borderId="13" xfId="0" applyFont="1" applyFill="1" applyBorder="1" applyAlignment="1">
      <alignment horizontal="right"/>
    </xf>
    <xf numFmtId="0" fontId="24" fillId="11" borderId="1" xfId="0" applyFont="1" applyFill="1" applyBorder="1"/>
    <xf numFmtId="0" fontId="24" fillId="16" borderId="1" xfId="0" applyFont="1" applyFill="1" applyBorder="1"/>
    <xf numFmtId="0" fontId="24" fillId="17" borderId="1" xfId="0" applyFont="1" applyFill="1" applyBorder="1"/>
    <xf numFmtId="0" fontId="24" fillId="18" borderId="1" xfId="0" applyFont="1" applyFill="1" applyBorder="1"/>
    <xf numFmtId="0" fontId="24" fillId="19" borderId="1" xfId="0" applyFont="1" applyFill="1" applyBorder="1"/>
    <xf numFmtId="0" fontId="24" fillId="20" borderId="1" xfId="0" applyFont="1" applyFill="1" applyBorder="1"/>
    <xf numFmtId="0" fontId="17" fillId="8" borderId="1" xfId="0" applyFont="1" applyFill="1" applyBorder="1" applyAlignment="1">
      <alignment horizontal="left"/>
    </xf>
    <xf numFmtId="166" fontId="25" fillId="8" borderId="1" xfId="0" applyNumberFormat="1" applyFont="1" applyFill="1" applyBorder="1" applyAlignment="1">
      <alignment horizontal="right"/>
    </xf>
    <xf numFmtId="0" fontId="25" fillId="8" borderId="1" xfId="0" applyFont="1" applyFill="1" applyBorder="1" applyAlignment="1">
      <alignment horizontal="right"/>
    </xf>
    <xf numFmtId="0" fontId="22" fillId="6" borderId="0" xfId="0" applyFont="1" applyFill="1" applyAlignment="1">
      <alignment horizontal="center" vertical="center" wrapText="1"/>
    </xf>
    <xf numFmtId="0" fontId="22" fillId="6" borderId="0" xfId="0" applyFont="1" applyFill="1" applyAlignment="1">
      <alignment horizontal="center" vertical="center"/>
    </xf>
    <xf numFmtId="0" fontId="2" fillId="0" borderId="0" xfId="0" applyFont="1"/>
    <xf numFmtId="9" fontId="10" fillId="3" borderId="1" xfId="0" applyNumberFormat="1" applyFont="1" applyFill="1" applyBorder="1" applyAlignment="1">
      <alignment horizontal="center"/>
    </xf>
    <xf numFmtId="9" fontId="10" fillId="15" borderId="1" xfId="0" applyNumberFormat="1" applyFont="1" applyFill="1" applyBorder="1" applyAlignment="1">
      <alignment horizontal="center"/>
    </xf>
    <xf numFmtId="165" fontId="2" fillId="0" borderId="1" xfId="1" applyNumberFormat="1" applyFont="1" applyBorder="1"/>
    <xf numFmtId="0" fontId="0" fillId="0" borderId="19" xfId="0" applyBorder="1"/>
    <xf numFmtId="0" fontId="0" fillId="0" borderId="20" xfId="0" applyBorder="1"/>
    <xf numFmtId="14" fontId="0" fillId="0" borderId="21" xfId="0" applyNumberFormat="1" applyBorder="1"/>
    <xf numFmtId="2" fontId="26" fillId="0" borderId="22" xfId="0" applyNumberFormat="1" applyFont="1" applyBorder="1"/>
    <xf numFmtId="2" fontId="26" fillId="0" borderId="23" xfId="0" applyNumberFormat="1" applyFont="1" applyBorder="1"/>
    <xf numFmtId="2" fontId="26" fillId="0" borderId="20" xfId="0" applyNumberFormat="1" applyFont="1" applyBorder="1"/>
    <xf numFmtId="0" fontId="2" fillId="21" borderId="1" xfId="0" applyFont="1" applyFill="1" applyBorder="1"/>
    <xf numFmtId="0" fontId="2" fillId="5" borderId="24" xfId="0" applyFont="1" applyFill="1" applyBorder="1"/>
    <xf numFmtId="165" fontId="0" fillId="0" borderId="1" xfId="0" applyNumberFormat="1" applyBorder="1"/>
    <xf numFmtId="167" fontId="0" fillId="0" borderId="1" xfId="0" applyNumberFormat="1" applyBorder="1"/>
    <xf numFmtId="165" fontId="2" fillId="0" borderId="1" xfId="0" applyNumberFormat="1" applyFont="1" applyBorder="1"/>
    <xf numFmtId="3" fontId="0" fillId="0" borderId="1" xfId="0" applyNumberFormat="1" applyBorder="1"/>
    <xf numFmtId="9" fontId="0" fillId="0" borderId="0" xfId="0" applyNumberFormat="1"/>
    <xf numFmtId="9" fontId="0" fillId="0" borderId="0" xfId="2" applyFont="1"/>
    <xf numFmtId="1" fontId="0" fillId="0" borderId="0" xfId="0" applyNumberFormat="1"/>
    <xf numFmtId="0" fontId="29" fillId="0" borderId="0" xfId="0" applyFont="1" applyAlignment="1">
      <alignment vertical="center"/>
    </xf>
    <xf numFmtId="14" fontId="29" fillId="0" borderId="16" xfId="0" applyNumberFormat="1" applyFont="1" applyBorder="1" applyAlignment="1">
      <alignment vertical="center"/>
    </xf>
    <xf numFmtId="0" fontId="29" fillId="0" borderId="16" xfId="0" applyFont="1" applyBorder="1" applyAlignment="1">
      <alignment vertical="center"/>
    </xf>
    <xf numFmtId="165" fontId="29" fillId="0" borderId="16" xfId="1" applyNumberFormat="1" applyFont="1" applyBorder="1" applyAlignment="1">
      <alignment horizontal="right" vertical="center"/>
    </xf>
    <xf numFmtId="16" fontId="29" fillId="0" borderId="16" xfId="0" applyNumberFormat="1" applyFont="1" applyBorder="1" applyAlignment="1">
      <alignment vertical="center"/>
    </xf>
    <xf numFmtId="0" fontId="29" fillId="0" borderId="16" xfId="0" quotePrefix="1" applyFont="1" applyBorder="1" applyAlignment="1">
      <alignment vertical="center"/>
    </xf>
    <xf numFmtId="14" fontId="29" fillId="0" borderId="1" xfId="0" applyNumberFormat="1" applyFont="1" applyBorder="1" applyAlignment="1">
      <alignment vertical="center"/>
    </xf>
    <xf numFmtId="0" fontId="30" fillId="0" borderId="16" xfId="0" applyFont="1" applyBorder="1" applyAlignment="1">
      <alignment vertical="center"/>
    </xf>
    <xf numFmtId="0" fontId="31" fillId="3" borderId="16" xfId="0" applyFont="1" applyFill="1" applyBorder="1" applyAlignment="1">
      <alignment vertical="center"/>
    </xf>
    <xf numFmtId="0" fontId="31" fillId="0" borderId="16" xfId="0" applyFont="1" applyBorder="1" applyAlignment="1">
      <alignment horizontal="right" vertical="center"/>
    </xf>
    <xf numFmtId="0" fontId="29" fillId="0" borderId="1" xfId="0" applyFont="1" applyBorder="1" applyAlignment="1">
      <alignment vertical="center"/>
    </xf>
    <xf numFmtId="0" fontId="29" fillId="0" borderId="17" xfId="0" applyFont="1" applyBorder="1" applyAlignment="1">
      <alignment vertical="center"/>
    </xf>
    <xf numFmtId="165" fontId="29" fillId="0" borderId="17" xfId="1" applyNumberFormat="1" applyFont="1" applyBorder="1" applyAlignment="1">
      <alignment horizontal="right" vertical="center"/>
    </xf>
    <xf numFmtId="165" fontId="29" fillId="0" borderId="1" xfId="1" applyNumberFormat="1" applyFont="1" applyBorder="1" applyAlignment="1">
      <alignment horizontal="right" vertical="center"/>
    </xf>
    <xf numFmtId="14" fontId="29" fillId="0" borderId="17" xfId="0" applyNumberFormat="1" applyFont="1" applyBorder="1" applyAlignment="1">
      <alignment vertical="center"/>
    </xf>
    <xf numFmtId="166" fontId="9" fillId="3" borderId="0" xfId="0" applyNumberFormat="1" applyFont="1" applyFill="1"/>
    <xf numFmtId="14" fontId="1" fillId="0" borderId="16" xfId="0" applyNumberFormat="1" applyFont="1" applyBorder="1" applyAlignment="1">
      <alignment vertical="center"/>
    </xf>
    <xf numFmtId="9" fontId="0" fillId="0" borderId="1" xfId="0" applyNumberFormat="1" applyBorder="1" applyAlignment="1">
      <alignment horizontal="left"/>
    </xf>
    <xf numFmtId="0" fontId="2" fillId="0" borderId="1" xfId="0" applyFont="1" applyBorder="1"/>
    <xf numFmtId="166" fontId="34" fillId="11" borderId="10" xfId="0" applyNumberFormat="1" applyFont="1" applyFill="1" applyBorder="1" applyAlignment="1">
      <alignment horizontal="center" vertical="center"/>
    </xf>
    <xf numFmtId="16" fontId="9" fillId="3" borderId="0" xfId="0" applyNumberFormat="1" applyFont="1" applyFill="1"/>
    <xf numFmtId="17" fontId="8" fillId="6" borderId="0" xfId="0" applyNumberFormat="1" applyFont="1" applyFill="1" applyAlignment="1">
      <alignment horizontal="left"/>
    </xf>
    <xf numFmtId="2" fontId="9" fillId="3" borderId="0" xfId="0" applyNumberFormat="1" applyFont="1" applyFill="1"/>
    <xf numFmtId="166" fontId="34" fillId="22" borderId="10" xfId="0" applyNumberFormat="1" applyFont="1" applyFill="1" applyBorder="1" applyAlignment="1">
      <alignment horizontal="left" vertical="center"/>
    </xf>
    <xf numFmtId="0" fontId="9" fillId="22" borderId="11" xfId="0" applyFont="1" applyFill="1" applyBorder="1" applyAlignment="1">
      <alignment horizontal="left"/>
    </xf>
    <xf numFmtId="0" fontId="8" fillId="23" borderId="9" xfId="0" applyFont="1" applyFill="1" applyBorder="1"/>
    <xf numFmtId="0" fontId="35" fillId="8" borderId="0" xfId="0" applyFont="1" applyFill="1"/>
    <xf numFmtId="0" fontId="3" fillId="0" borderId="16" xfId="0" applyFont="1" applyBorder="1"/>
    <xf numFmtId="0" fontId="33" fillId="0" borderId="16" xfId="0" applyFont="1" applyBorder="1"/>
    <xf numFmtId="0" fontId="29" fillId="0" borderId="16" xfId="0" applyFont="1" applyBorder="1" applyAlignment="1">
      <alignment vertical="center" wrapText="1"/>
    </xf>
    <xf numFmtId="0" fontId="0" fillId="0" borderId="16" xfId="0" applyBorder="1"/>
    <xf numFmtId="0" fontId="27" fillId="2" borderId="18" xfId="0" applyFont="1" applyFill="1" applyBorder="1" applyAlignment="1">
      <alignment horizontal="center" vertical="center" wrapText="1"/>
    </xf>
    <xf numFmtId="0" fontId="27" fillId="2" borderId="18" xfId="0" applyFont="1" applyFill="1" applyBorder="1" applyAlignment="1">
      <alignment horizontal="right" vertical="center" wrapText="1"/>
    </xf>
    <xf numFmtId="0" fontId="28" fillId="2" borderId="18" xfId="0" applyFont="1" applyFill="1" applyBorder="1" applyAlignment="1">
      <alignment horizontal="center" vertical="center" wrapText="1"/>
    </xf>
    <xf numFmtId="0" fontId="29" fillId="0" borderId="16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16" fontId="0" fillId="0" borderId="0" xfId="0" applyNumberFormat="1"/>
    <xf numFmtId="0" fontId="36" fillId="0" borderId="16" xfId="0" applyFont="1" applyBorder="1"/>
    <xf numFmtId="0" fontId="29" fillId="0" borderId="25" xfId="0" applyFont="1" applyBorder="1" applyAlignment="1">
      <alignment vertical="center"/>
    </xf>
    <xf numFmtId="0" fontId="29" fillId="0" borderId="26" xfId="0" applyFont="1" applyBorder="1" applyAlignment="1">
      <alignment vertical="center"/>
    </xf>
    <xf numFmtId="0" fontId="29" fillId="0" borderId="18" xfId="0" applyFont="1" applyBorder="1" applyAlignment="1">
      <alignment vertical="center"/>
    </xf>
    <xf numFmtId="0" fontId="29" fillId="0" borderId="27" xfId="0" applyFont="1" applyBorder="1" applyAlignment="1">
      <alignment vertical="center"/>
    </xf>
    <xf numFmtId="0" fontId="29" fillId="0" borderId="28" xfId="0" applyFont="1" applyBorder="1" applyAlignment="1">
      <alignment vertical="center"/>
    </xf>
    <xf numFmtId="0" fontId="37" fillId="0" borderId="16" xfId="0" applyFont="1" applyBorder="1" applyAlignment="1">
      <alignment wrapText="1"/>
    </xf>
    <xf numFmtId="0" fontId="37" fillId="0" borderId="16" xfId="0" applyFont="1" applyBorder="1"/>
    <xf numFmtId="0" fontId="37" fillId="0" borderId="18" xfId="0" applyFont="1" applyBorder="1"/>
    <xf numFmtId="0" fontId="37" fillId="0" borderId="1" xfId="0" applyFont="1" applyBorder="1"/>
    <xf numFmtId="0" fontId="0" fillId="24" borderId="16" xfId="0" applyFill="1" applyBorder="1"/>
    <xf numFmtId="168" fontId="0" fillId="0" borderId="0" xfId="0" applyNumberFormat="1"/>
    <xf numFmtId="168" fontId="0" fillId="0" borderId="0" xfId="1" applyNumberFormat="1" applyFont="1"/>
    <xf numFmtId="0" fontId="7" fillId="0" borderId="24" xfId="0" applyFont="1" applyBorder="1"/>
    <xf numFmtId="168" fontId="0" fillId="0" borderId="1" xfId="1" applyNumberFormat="1" applyFont="1" applyBorder="1"/>
    <xf numFmtId="165" fontId="29" fillId="21" borderId="16" xfId="1" applyNumberFormat="1" applyFont="1" applyFill="1" applyBorder="1" applyAlignment="1">
      <alignment horizontal="right" vertical="center"/>
    </xf>
    <xf numFmtId="0" fontId="29" fillId="21" borderId="16" xfId="0" applyFont="1" applyFill="1" applyBorder="1" applyAlignment="1">
      <alignment vertical="center"/>
    </xf>
    <xf numFmtId="14" fontId="29" fillId="21" borderId="16" xfId="0" applyNumberFormat="1" applyFont="1" applyFill="1" applyBorder="1" applyAlignment="1">
      <alignment vertical="center"/>
    </xf>
    <xf numFmtId="165" fontId="29" fillId="0" borderId="16" xfId="0" applyNumberFormat="1" applyFont="1" applyBorder="1" applyAlignment="1">
      <alignment vertical="center"/>
    </xf>
    <xf numFmtId="165" fontId="0" fillId="0" borderId="0" xfId="1" applyNumberFormat="1" applyFont="1"/>
    <xf numFmtId="0" fontId="38" fillId="0" borderId="1" xfId="0" applyFont="1" applyBorder="1"/>
    <xf numFmtId="0" fontId="38" fillId="0" borderId="16" xfId="0" applyFont="1" applyBorder="1"/>
    <xf numFmtId="0" fontId="18" fillId="6" borderId="0" xfId="0" applyFont="1" applyFill="1" applyAlignment="1">
      <alignment horizontal="center"/>
    </xf>
    <xf numFmtId="0" fontId="19" fillId="8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9" fillId="8" borderId="0" xfId="0" applyFont="1" applyFill="1" applyAlignment="1">
      <alignment horizontal="center"/>
    </xf>
    <xf numFmtId="0" fontId="32" fillId="6" borderId="0" xfId="0" applyFont="1" applyFill="1" applyAlignment="1">
      <alignment horizontal="center" wrapText="1"/>
    </xf>
    <xf numFmtId="0" fontId="32" fillId="8" borderId="0" xfId="0" applyFont="1" applyFill="1" applyAlignment="1">
      <alignment horizontal="center" wrapText="1"/>
    </xf>
    <xf numFmtId="166" fontId="34" fillId="9" borderId="10" xfId="0" applyNumberFormat="1" applyFont="1" applyFill="1" applyBorder="1" applyAlignment="1">
      <alignment horizontal="center" vertical="center"/>
    </xf>
    <xf numFmtId="166" fontId="34" fillId="9" borderId="13" xfId="0" applyNumberFormat="1" applyFont="1" applyFill="1" applyBorder="1" applyAlignment="1">
      <alignment horizontal="center" vertical="center"/>
    </xf>
    <xf numFmtId="0" fontId="9" fillId="9" borderId="11" xfId="0" applyFont="1" applyFill="1" applyBorder="1" applyAlignment="1">
      <alignment horizontal="center"/>
    </xf>
    <xf numFmtId="0" fontId="9" fillId="9" borderId="14" xfId="0" applyFont="1" applyFill="1" applyBorder="1" applyAlignment="1">
      <alignment horizontal="center"/>
    </xf>
    <xf numFmtId="0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6"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2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tyles" Target="styles.xml"/><Relationship Id="rId22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umar Ayush" refreshedDate="46314.76823425926" createdVersion="8" refreshedVersion="8" minRefreshableVersion="3" recordCount="1235" xr:uid="{3219BFD7-52E1-4E1A-B915-105D7794D657}">
  <cacheSource type="worksheet">
    <worksheetSource ref="A1:AE1257" sheet="DCR"/>
  </cacheSource>
  <cacheFields count="31">
    <cacheField name="Date of Entry" numFmtId="14">
      <sharedItems containsNonDate="0" containsDate="1" containsString="0" containsBlank="1" minDate="2026-04-01T00:00:00" maxDate="2026-10-19T00:00:00"/>
    </cacheField>
    <cacheField name="Sameer" numFmtId="0">
      <sharedItems containsBlank="1"/>
    </cacheField>
    <cacheField name="Region" numFmtId="0">
      <sharedItems containsBlank="1"/>
    </cacheField>
    <cacheField name="A/C Name" numFmtId="0">
      <sharedItems containsBlank="1" count="614">
        <s v="Accenture HDC2 (Hungerbox)"/>
        <s v="Deloitte Towers (Hungerbox)"/>
        <s v="Cognizant GAR ( Smart Q )"/>
        <s v="Delivery at SEBLR Banglore (Compass)"/>
        <s v="BMS (Compass)"/>
        <s v="Gokhana"/>
        <s v="Meals &amp; More"/>
        <s v="KPMG"/>
        <s v="DP World"/>
        <s v="HungerBox"/>
        <s v="Compass"/>
        <s v="Wipro"/>
        <s v="Morgan Stanley"/>
        <s v="Pinnacle"/>
        <s v="Emerson"/>
        <s v="Amazon BLR13 (Taurus 1)"/>
        <s v="7 Eleven Global Solution Center"/>
        <s v="BPL"/>
        <s v="Amazon BLR14 (Taurus 2)"/>
        <s v="Maruti NEXA"/>
        <s v="Accenture HDC4 (Smart Q)"/>
        <s v="Accenture HDC5 (Smart Q)"/>
        <s v="Shell"/>
        <s v="We Work"/>
        <s v="Medical Expo Hitex (Pinnacle)"/>
        <s v="Amgen (Compass)"/>
        <s v="Medicall Hyd 2026"/>
        <s v="Delivery at Gachibowli"/>
        <s v="Dailyrounds"/>
        <s v="TCS"/>
        <s v="Infosys"/>
        <s v="Amazon BLR22 (Taurus 3)"/>
        <s v="RenewX Chennai"/>
        <s v="SmartQ - Popup"/>
        <s v="BHEL"/>
        <s v="HAL"/>
        <s v="Chargepoint"/>
        <s v="Accenture BDC 7C"/>
        <s v="JP Morgan"/>
        <s v="Blackline"/>
        <s v="Amazon BLR18 (Aquila)"/>
        <s v="Accenture BDC 7A"/>
        <s v="Delivery at BHEL"/>
        <s v="Govind Holidays"/>
        <s v="Take away from Gachibowli"/>
        <s v="Plumbex 2026 BIEC"/>
        <s v="Accenture HDC3 (Hungerbox)"/>
        <s v="Roof India"/>
        <s v="Vishal Computers"/>
        <s v="Kims Hospital (Zenith Holidays)"/>
        <s v="Tssifira Tours &amp; Travels"/>
        <s v="IDFC First Bank"/>
        <s v="NVIDIA (Compass)"/>
        <s v="TJX (Compass)"/>
        <s v="Take away from Begumbet"/>
        <s v="Take away from Secundrabad"/>
        <s v="Medtronics"/>
        <s v="Military Hospital"/>
        <s v="Zak Fenestration India Expo"/>
        <s v="Vinay Marriage Function"/>
        <s v="Capco"/>
        <s v="Family Group"/>
        <s v="Oyo Hotels"/>
        <s v="Qube Highways"/>
        <s v="Aurobindo Pharma"/>
        <s v="Real Dimond Designs"/>
        <s v="ITC Green Centre"/>
        <s v="Capgemini DV A5"/>
        <s v="Capgemini DV B4"/>
        <s v="Capgemini Ecospace 6B"/>
        <s v="Capgemini PTP"/>
        <s v="Accenture BDC 6"/>
        <s v="Agarbatti &amp; Perfume Expo 2026"/>
        <s v="ELASIA 2026"/>
        <s v="Diamond  expo Hitex "/>
        <s v="Thaman Live Music Event"/>
        <s v="Family Event"/>
        <s v="Anthea Pharma"/>
        <s v="KPIT"/>
        <s v="Flyjac"/>
        <s v="MSN Labs"/>
        <s v="Novartis"/>
        <s v="Accenture HDC3"/>
        <s v="ITW"/>
        <s v="Prashanti"/>
        <s v="Power School"/>
        <s v="InfinityBox"/>
        <s v="Amazon"/>
        <s v="Sony"/>
        <s v="myntra office"/>
        <s v="Rakuten Symphony"/>
        <s v="wells fargo"/>
        <s v="KLH University"/>
        <s v="Scintilla Creations"/>
        <s v="Wells Fargo (Smart Q)"/>
        <s v="Wipro Lighting"/>
        <s v="NHAI"/>
        <s v="Novartis (Compass)"/>
        <s v="clear tax"/>
        <s v="Capgemini"/>
        <s v="Mphasis"/>
        <s v="Moveinsync"/>
        <s v="Dr. Reddys"/>
        <s v="Clean and Control Technologies Pvt Ltd"/>
        <s v="HDFC Bank"/>
        <s v="Srinivas"/>
        <s v="Diamond Expo Hitex"/>
        <s v="Accenture Eco space"/>
        <s v="qest global"/>
        <s v="vyapar"/>
        <s v="Lending cart"/>
        <s v="KPMG - Ecoworld"/>
        <s v="Marlin Memorial Methodist Church"/>
        <s v="Amritha Tool Crafts Pvt Ltd"/>
        <s v="Axiom Energy Conversion Ltd"/>
        <s v="Accord Power Digital Products"/>
        <s v="Fatima"/>
        <s v="Areca Embedded systems pvt ltd"/>
        <s v="myntra"/>
        <s v="zones pvt ltd"/>
        <s v="fedex"/>
        <s v="smart works"/>
        <s v="KPMG - GTP"/>
        <s v="Amazon BLR 37"/>
        <s v="Fresenuis Kabi"/>
        <s v="Zeenith Holodays"/>
        <s v="Sai kumar"/>
        <s v="Kingston hospital"/>
        <s v="Deccan machinery Solutions"/>
        <s v="Axiom Ev Products Limited"/>
        <s v="Kumar"/>
        <s v="Siemens Healthcare"/>
        <s v="Htc global"/>
        <s v="widas"/>
        <s v="Sujith"/>
        <s v="Apollo Hospital"/>
        <s v="AINU (Asian Institute of Nephrology and Urology)Hospital"/>
        <s v="Munesh Kumar"/>
        <s v="IIT Hyderabad"/>
        <s v="eco green"/>
        <s v="unisys"/>
        <s v="Shashidar Reddy"/>
        <s v="Veera Ruchulu"/>
        <s v="Novartis Genom Valley (Compass)"/>
        <s v="Cube Highways"/>
        <s v="Accenture BDC 4C"/>
        <s v="Quince"/>
        <s v="Jaya Hospitals"/>
        <s v="ISRO"/>
        <s v="Aarya Omini Talk"/>
        <s v="Atria Convergence Technologies Ltd."/>
        <s v="Talent Sprint"/>
        <s v="S.S Engineering works"/>
        <s v="Ricon Pharma "/>
        <s v="Vignesh Nursing Home"/>
        <s v="Onus Robitic Hospitals"/>
        <s v="Compass - CPU Hyd"/>
        <s v="Nvidea"/>
        <s v="Kaushik Enterprises"/>
        <s v="Medisys"/>
        <s v="Amazon BLR37"/>
        <s v="HDC-5A"/>
        <s v="Capgemini Ecospace"/>
        <s v="Asia LabEx 2026"/>
        <s v="Paytm"/>
        <s v="NVIDIA"/>
        <s v="CUBE HIGHWAYS "/>
        <s v="Mythri Hospitals"/>
        <s v="Apollo Home Services"/>
        <s v="Lotus Chocolote company"/>
        <s v="Eswar Eye Hospital"/>
        <s v="Canara Bank"/>
        <s v="Ecogreen"/>
        <s v="Yuva Computers"/>
        <s v="Accenture BDC6"/>
        <s v="Accenture HDC-3 Building No:7(Divyashree)"/>
        <s v="Blue Dart"/>
        <s v="Charu Sheela Events"/>
        <s v="VR Technologies"/>
        <s v="Vedha Estate"/>
        <s v="Srikanth"/>
        <s v="Dell International"/>
        <s v="Comp. BMS"/>
        <s v="Adwings Digital Media"/>
        <s v="Acko Insurance"/>
        <s v="ITC Infotech"/>
        <s v="Father Colombo Institute of medical seciences"/>
        <s v="Bijili Ride"/>
        <s v="SGMR Pharmaceticals"/>
        <s v="BMS"/>
        <s v="Wipro Ligitings"/>
        <s v="BIEC"/>
        <s v="Medha Servo"/>
        <s v="Akshara Ventures Solutions"/>
        <s v="Ankur Pharmacy"/>
        <s v="4m Technologies"/>
        <s v="Axiom Energy"/>
        <s v="Ahuja Engineering Services"/>
        <s v="2k Technologies"/>
        <s v="VoiceGate Technologies"/>
        <s v="TCS Adibatla"/>
        <s v="Infosys pocharm"/>
        <s v="Master Mind Chengicherla"/>
        <s v="Zin Holidiyas"/>
        <s v="Hitex"/>
        <s v="V events"/>
        <s v="EY"/>
        <s v="Reddy"/>
        <s v="Getech equipments international Pvt Ltd."/>
        <s v="Gem Engineering  industries india pvt ltd"/>
        <s v="subbha Rao"/>
        <s v="Kiran"/>
        <s v="Bristol Mayer Squib"/>
        <s v="Hindustan Univer Liver- HUL"/>
        <s v="Sri Krishna Group"/>
        <s v="BNP Paribas"/>
        <s v="Vigan College "/>
        <s v="Astra zenica"/>
        <s v="Wework"/>
        <s v="Hitex HICC"/>
        <s v="Swarop IT Solutions"/>
        <s v="Spark Infosys"/>
        <s v="Big C Mobiles Pvt Ltd"/>
        <s v="Valcan Solar"/>
        <s v="Visaka Industries"/>
        <s v="KPMG - Main 7"/>
        <s v="KIMS Kondapur"/>
        <s v="Ankura Hospital, Madeenaguda"/>
        <s v="Church Iseral"/>
        <s v="Global Watches"/>
        <s v="Deccan Solutions"/>
        <s v="St. Joseph Degree College"/>
        <s v="St. Jospeh Church"/>
        <s v="Genpact"/>
        <s v="Electronics Corporation of India Limited (ECIL)"/>
        <s v="3G Hr Services"/>
        <s v="Websmart Technologies"/>
        <s v="I.G.I. Global "/>
        <s v="Avis Hospital"/>
        <s v="Bull Rock Drills Pvt Ltd"/>
        <s v="Maker's Hive Innovations"/>
        <s v="Chinni Industries"/>
        <s v="ThreeDfy"/>
        <s v="Alkaione Life Pvt Ltd"/>
        <s v="C.M. hydro Systems"/>
        <s v="Elmas Magnetics Pvt Ltd"/>
        <s v="Dabur"/>
        <s v="Hussmann Service"/>
        <s v="GAR Infobahn"/>
        <s v="Ratna Global Technologies"/>
        <s v="Digilogic Systems Limited"/>
        <s v="G.C Group"/>
        <s v="Honeywell Technologies Solutions"/>
        <s v="Sain Medicaments Private Limited"/>
        <s v="Church Group"/>
        <s v="Tech Mahindra"/>
        <s v="Hitachi Digital Services India Pri"/>
        <s v="Oracle India"/>
        <s v="Event at New convention "/>
        <s v="Accenture"/>
        <s v="Capgemini GAAR"/>
        <s v="Capgemini Campus"/>
        <s v="Deloitte"/>
        <s v="Pharma Pro Expo"/>
        <s v="QualMinds Technologies Pvt Ltd"/>
        <s v="Broadcom"/>
        <s v="IBM - DLF"/>
        <s v="Computacenter"/>
        <s v="Birlasoft"/>
        <s v="Virtusa Consulting Service Limited"/>
        <s v="The Square, 110 Financial District"/>
        <s v="KPMG Tower D"/>
        <s v="Ananth Technologies"/>
        <s v="Vajra Automation Private Ltd"/>
        <s v="Cye Technologies"/>
        <s v="L1 Technologies Solutions Pvt. Ltd."/>
        <s v="KPMG Main 7"/>
        <s v="Shechem Prayer House"/>
        <s v="Infosys Gachibowli"/>
        <s v="ProKarma Softech"/>
        <s v="Ealkay Consulting Tech And Digital Solutions"/>
        <s v="Sunrise International Labs"/>
        <s v="Infosys Pocharam"/>
        <s v="Natco Prarma"/>
        <s v="Deloitte Consulting"/>
        <s v="Hitex Hyderabad"/>
        <s v="W3SOFTECH INDIA PRIVATE LIMITED"/>
        <s v="Xilontech Solution Pvt Ltd"/>
        <s v="Gate Manufacturing Private Limited"/>
        <s v="Hussmann Services India"/>
        <s v="Cerx Dental Pvt Ltd"/>
        <s v="Event at Neo convention center "/>
        <s v="Carelon Manyata"/>
        <s v="Carelon Bagmane"/>
        <s v="Comando Hospital"/>
        <s v="United Dental Company"/>
        <s v="Cognizant"/>
        <s v="Central Warehousing Corporation"/>
        <s v="PWC"/>
        <s v="I Lab Dental"/>
        <s v="karnataka Expo"/>
        <s v="Delivery at Hitex"/>
        <s v="Blackboard Events"/>
        <s v="Pharma Pro &amp; Pack Expo"/>
        <s v="Eze Software"/>
        <s v="Getex"/>
        <s v="NGO"/>
        <s v="Aveva"/>
        <s v="OTSI"/>
        <s v="Meesho"/>
        <s v="Delivery at Neo Convention"/>
        <s v="12th Pharma Pro &amp; Pack Expo 26"/>
        <s v="Vaanyam Holidays"/>
        <s v="Battry Shop"/>
        <s v="Bose"/>
        <s v="Chromo Laboratories"/>
        <s v="Lamtuf Plastics Pvt Ltd"/>
        <s v="VGS and Technologies Private Limited"/>
        <s v="Jarus Technologies (India) Pvt. Ltd."/>
        <s v="Camo"/>
        <s v="Pellets Pharma Limited"/>
        <s v="Eficens Software Services Private Limited"/>
        <s v="Facebook"/>
        <s v="M Power Infratech (India) Private Limited"/>
        <s v="Safran Electrical &amp; Power India Pvt. Ltd."/>
        <s v="Bosch"/>
        <s v="Honeywell"/>
        <s v="Novartis  Genom Valley"/>
        <s v="Wancura software solutions Pvt.Ltd"/>
        <s v="Black Board Restuarent"/>
        <s v="Sri Krishna Pharmaceuticals Limited"/>
        <s v="Vajra Automation Private Limited"/>
        <s v="MSN"/>
        <s v="HCL Tech"/>
        <s v="Airtel"/>
        <s v="DBS"/>
        <s v="NSL Arena"/>
        <s v="Honywell Campus 1"/>
        <s v="KBK Business Solutions"/>
        <s v="Team Engineers Advance Technologies"/>
        <s v="Bridgera India Pvt Ltd "/>
        <s v="State Street"/>
        <s v="KPMG - EGL"/>
        <s v="Krushi Foundation"/>
        <s v="Verizon India"/>
        <s v="Protiviti India"/>
        <s v="iSpace Software Solutions"/>
        <s v="Tech Tree Solutions"/>
        <s v="Accenture HDC (Hungerbox)"/>
        <s v="Ad-Mag"/>
        <s v="Regus"/>
        <s v="iBS Fincorp"/>
        <s v="Symphony Software Pvt. Ltd"/>
        <s v="Honeywell Campus 2"/>
        <s v="Black Board Hitex"/>
        <s v="Sreeb Technologies Pvt Ltd"/>
        <s v="Kapil IT Solutions"/>
        <s v="Doctors association Warangal"/>
        <s v="New Horizons Cybersoft Ltd"/>
        <s v="Oracle"/>
        <s v="Hemanth Kumar"/>
        <s v="GGK Technologies"/>
        <s v="Zanjoe Pharma"/>
        <s v="Honeywell Campus 1"/>
        <s v="A G Bioteck Laboratories"/>
        <s v="Onyx Engineering Construction"/>
        <s v="Aparna Constructions"/>
        <s v="Asian Paints Limited"/>
        <s v="Graviti Pharmaceuticals Pvt Ltd"/>
        <s v="Indus Ind Bank"/>
        <s v="Oracle India "/>
        <s v="Biological E Limited"/>
        <s v="PurpleTalk India Pvt Ltd"/>
        <s v="Cognizant Technology "/>
        <s v="Cyient Ltd"/>
        <s v="NT(Northen Trust)"/>
        <s v="MOKSHITA CONSTRUCTION PVT LTD"/>
        <s v="Excellencia Jr College"/>
        <s v="Perceptive Analytics Pvt. Ltd."/>
        <s v="Malur Tubes"/>
        <s v="Pharma Pro Pack"/>
        <s v="Vimta Labs"/>
        <s v="Chemo India Formulation Pvt. Ltd."/>
        <s v="Osmania Hospital"/>
        <s v="Ark Group"/>
        <s v="Sundaram Home Finance Ltd"/>
        <s v="Ernst &amp;Young"/>
        <s v="School Arnold "/>
        <s v="Marella Softlabs Private Limited"/>
        <s v="Sunglare Industrial Training "/>
        <s v="Event exhibitions ground"/>
        <s v="Pullela Gopichand Badminton Academy"/>
        <s v="OroCare"/>
        <s v="Gift Expo 2026"/>
        <s v="Delivery at SR Nagar"/>
        <s v="ADP Private Limited"/>
        <s v="BHEL Ltd"/>
        <s v="HCLTech"/>
        <s v="Continental"/>
        <s v="Dynatech Industries Pvt Ltd"/>
        <s v="Optimus Pharma Pvt Ltd"/>
        <s v="Bani Sangha Alwal - Durga puja-26"/>
        <s v="Arene Life Sciences Limited"/>
        <s v="Suneratech"/>
        <s v="Verizon"/>
        <s v="NSL SEZ"/>
        <s v="Honeyy Group"/>
        <s v="FinacPlus Global Services"/>
        <s v="Milatry Hospital Malkajgiri"/>
        <s v="Chennai Trade centre Evevts"/>
        <s v="WaveRock SEZ"/>
        <s v="Codebook"/>
        <s v="D-Link"/>
        <s v="Dell"/>
        <s v="Eblitz Events"/>
        <s v="TriGeo Technologies"/>
        <s v="Vishwa Infrastructures and Services "/>
        <s v="Jaya Builders &amp; Developers"/>
        <s v="Crystal Events"/>
        <s v="Elite Luxury Homes"/>
        <s v="Gift Expo"/>
        <s v="Pai International"/>
        <s v="Brilliant Bio Pharma Pvt Ltd"/>
        <s v="Honey soft solutions Pvt Ltd."/>
        <s v="Cyient"/>
        <s v="Anil constructions group"/>
        <s v="Shelterstock Technologies pvt ltd"/>
        <s v="Compass - Facebook"/>
        <s v="Its Global Limites"/>
        <s v="Exposent Bengaluru"/>
        <s v="Shofu"/>
        <s v="Askmeguru Technologies"/>
        <s v="J V P Soft Pvt Ltd"/>
        <s v="EUREKA IT SOLUTIONS PVT. LTD"/>
        <s v="Foray Software Private Limited"/>
        <s v="Copart"/>
        <s v="Pharmalines"/>
        <s v="One Dental Station"/>
        <s v="NowFloats Technologies Limited"/>
        <s v="OaksPro Software Solutions"/>
        <s v="V3 Electronics"/>
        <s v="3M Oral Care"/>
        <s v="Dentsply"/>
        <s v="MTAR Technologies Limited"/>
        <s v="Suven Pharmaceuticals Limited"/>
        <s v="Harika Hospital"/>
        <s v="Oro Care"/>
        <s v="Sanskriti Experts Academy"/>
        <s v="PGR JUNIOR COLLEGE"/>
        <s v="GC India"/>
        <s v="TX Hospitals Uppal"/>
        <s v="Sia Life Hospital "/>
        <s v="Medika Bazar"/>
        <s v="Smile Dental Surgicals"/>
        <s v="KJS India Pvt. Ltd."/>
        <s v="Himalaya Hospitals"/>
        <s v="Lims Hospital"/>
        <s v="Sidarth Hospitals "/>
        <s v="Medicover Hospitals"/>
        <s v="Vignan Global Gen School"/>
        <s v="KIMS Hospital"/>
        <s v="Sai Life Sciences"/>
        <s v="Hinduja Global Solutions"/>
        <s v="Susrutha Hospital"/>
        <s v="Athulitha Laboratories Private Limited"/>
        <s v="Seven Eleven"/>
        <s v="Smartq"/>
        <s v="BIEC Events"/>
        <s v="Chennai Bulk Order"/>
        <s v="Dell R&amp;D"/>
        <s v="Avesthagen Limited"/>
        <s v="Aveva solutions India LLP"/>
        <s v="Mactechedu Solutions"/>
        <s v="Khoday Industries Pvt Ltd"/>
        <s v="Avtrix AI Solutions"/>
        <s v="JANAKI Group of Companies"/>
        <s v="Destination World Holidays"/>
        <s v="BNR Exports"/>
        <s v="Brain Box Media Solutions"/>
        <s v="Amadeus"/>
        <s v="Abhyaas junior college"/>
        <s v="Raghavendra Srikara Hospitals"/>
        <s v="Natco Pharma"/>
        <s v="Astrazenica"/>
        <s v="Keystone International School"/>
        <s v="Asian Paints Limited "/>
        <s v="Capgemini PVT Ltd"/>
        <s v="Dhruva Hospitals"/>
        <s v="Jarus Technologies (India) Pvt"/>
        <s v="Intercity Transport Logistics"/>
        <s v="Unisys Global Services India"/>
        <s v="Deutsche Bank"/>
        <s v="St.Joseph's Jr. College"/>
        <s v="vardhaman Engineering College"/>
        <s v="Analytics India "/>
        <s v="Azad Engineering"/>
        <s v="Nims Hospital Panjagutta"/>
        <s v="Axix Securities"/>
        <s v="India MEd Expo"/>
        <s v="Daily rounds"/>
        <s v="Assam Carbon Products Ltd"/>
        <s v="Creative Multimedia Academy"/>
        <s v="Netenrich Technologies Pvt. Ltd."/>
        <s v="Septodent"/>
        <s v="Wockhardt "/>
        <s v="Kria Infotech Pvt Ltd"/>
        <s v="Delight Hospital"/>
        <s v="Avinash College of Commerce"/>
        <s v="S&amp;P Global"/>
        <s v="Volvo India Ltd."/>
        <s v="Zinnov"/>
        <s v="Gurunanak Univercity"/>
        <s v="Sunfra Biotech"/>
        <s v="Sutherland"/>
        <s v="Surekha Hospital"/>
        <s v="Sri Aadya Junior College"/>
        <s v="Dell R &amp; D"/>
        <s v="Pure Storage"/>
        <s v="Valtech PVT Ltd."/>
        <s v="Tvs"/>
        <s v="PAGE Junior College"/>
        <s v="Magen Infratech Private Limited"/>
        <s v="Brainovision Solutions India Pvt.Ltd"/>
        <s v="CloudAngle IT Solutions Pvt Ltd"/>
        <s v="Titan Industries Ltd"/>
        <s v="The Bangalore Hospital"/>
        <s v="Stride Organics Pvt. Ltd"/>
        <s v="Roots Collegium"/>
        <s v="Ozone Hospitals"/>
        <s v="Teleradiology Solutions"/>
        <s v="softtech solutions"/>
        <s v="Analytica Expo 2026"/>
        <s v="NIMS Hospital"/>
        <s v="Amaze Logistics"/>
        <s v="Guru translines pvt. Ltd."/>
        <s v="Hyderabad Travels and Trips"/>
        <s v="New Deccan Travels"/>
        <s v="The Headquarters"/>
        <s v="Student Tribe"/>
        <s v="Tavaro Resorts and Events"/>
        <s v="Dgtal Veb Media"/>
        <s v="New Badruka College"/>
        <s v="Jeevan Sai Hospitals"/>
        <s v="Netlync Technologies"/>
        <s v="Sobha Developers"/>
        <s v="Kitchen Crew Food Court"/>
        <s v="Sumanth Industries"/>
        <s v="SUNGLARE TECHNOLOGIES"/>
        <s v="Delfingen India Pvt Ltd"/>
        <s v="Seasons Hospitals"/>
        <s v="Electronica"/>
        <s v="Micron - BLR"/>
        <s v="Micron - HYD"/>
        <s v="Aduri Infra"/>
        <s v="VJIET"/>
        <s v="Electronica &amp; Productronica"/>
        <s v="Sri Vasishta Junior College"/>
        <s v="Sravani Hospitals"/>
        <s v="Springcraft"/>
        <s v="Global Electronics"/>
        <s v="VGS and Technologies Private"/>
        <s v="Star Multi-Speciality Hospitals"/>
        <s v="LSN Software Services Pvt Ltd"/>
        <s v="Gems Kids"/>
        <s v="SLK Software"/>
        <s v="Shudh Health Care Products."/>
        <s v="Innominds Software Pvt. Ltd."/>
        <s v="Melvault Software Solutions, Pvt Ltd"/>
        <s v="Excellencia Junior College"/>
        <s v="Silver Software pvt ltd."/>
        <s v="Shahi Exports Pvt Ltd."/>
        <s v="Sap India Pvt ltd"/>
        <s v="Sri Abhaya Hospitals"/>
        <s v="Victory Church"/>
        <s v="Shalom Church"/>
        <s v="P&amp;T Hospitality"/>
        <s v="Rock Church"/>
        <s v="Ronanki Infotech"/>
        <s v="Pulse Hospital"/>
        <s v="Galaxy Degree &amp; P.G. College"/>
        <s v="Benchmark Events &amp; media Consultant"/>
        <s v="Axis Securities"/>
        <s v="ISTHARA"/>
        <s v="Durga Pooja at ameerpet"/>
        <s v="Koushik Enterprise"/>
        <s v="ShadowFX"/>
        <s v="Smartq Bulk Order"/>
        <s v="EBCA Durga Puja"/>
        <s v="WCA Durga Puja"/>
        <s v="Comic Con"/>
        <s v="Akshara Pumps"/>
        <s v="Arya Omini Talk"/>
        <s v="Acko"/>
        <s v="Act"/>
        <s v="Adwings"/>
        <s v="Hyundai"/>
        <s v="New LifeLine Medicure Hospitals"/>
        <s v="SAHEVA Corporate Pvt. Ltd."/>
        <s v="Pennar Industries Limited"/>
        <s v="Yashoda Hospital"/>
        <s v="Azad Engg."/>
        <s v="Hettich"/>
        <s v="Intercity transport"/>
        <s v="New Deccan Travel"/>
        <s v="co karma work spaces"/>
        <s v="Awfis Lorven Tiara"/>
        <s v="TBCA Durga Pooja"/>
        <s v="Dussehra Lunch -Lingampally"/>
        <s v="Dussehra Lunch-Balanagar"/>
        <s v="Dussehra Lunch- Bachapally"/>
        <m/>
        <s v="Osmania General Hospital" u="1"/>
        <s v="Honywell Campus 2" u="1"/>
        <s v="Kia Carnival 26" u="1"/>
      </sharedItems>
    </cacheField>
    <cacheField name="Connect Status" numFmtId="0">
      <sharedItems containsBlank="1"/>
    </cacheField>
    <cacheField name="Type of account" numFmtId="0">
      <sharedItems containsBlank="1"/>
    </cacheField>
    <cacheField name="Name of Aggregator" numFmtId="0">
      <sharedItems containsBlank="1" count="7">
        <s v="Hunger Box"/>
        <s v="SmartQ"/>
        <s v="Compass"/>
        <s v="Gokhana"/>
        <s v="Meals &amp; More"/>
        <m/>
        <s v="Pinnacle"/>
      </sharedItems>
    </cacheField>
    <cacheField name="Type of Business" numFmtId="0">
      <sharedItems containsBlank="1"/>
    </cacheField>
    <cacheField name="Is Repeat" numFmtId="0">
      <sharedItems containsBlank="1"/>
    </cacheField>
    <cacheField name="Industry" numFmtId="0">
      <sharedItems containsBlank="1"/>
    </cacheField>
    <cacheField name="SPOC Name" numFmtId="0">
      <sharedItems containsBlank="1"/>
    </cacheField>
    <cacheField name="SPOC Number" numFmtId="0">
      <sharedItems containsNonDate="0" containsString="0" containsBlank="1"/>
    </cacheField>
    <cacheField name="Conversation Remarks" numFmtId="0">
      <sharedItems containsBlank="1"/>
    </cacheField>
    <cacheField name="Ac Status" numFmtId="0">
      <sharedItems containsBlank="1"/>
    </cacheField>
    <cacheField name="Next Action Date" numFmtId="0">
      <sharedItems containsNonDate="0" containsDate="1" containsString="0" containsBlank="1" minDate="2026-05-04T00:00:00" maxDate="2027-01-02T00:00:00"/>
    </cacheField>
    <cacheField name="Next Action Type" numFmtId="0">
      <sharedItems containsBlank="1"/>
    </cacheField>
    <cacheField name="Ageing" numFmtId="0">
      <sharedItems containsBlank="1" containsMixedTypes="1" containsNumber="1" containsInteger="1" minValue="79" maxValue="201"/>
    </cacheField>
    <cacheField name="Overdue Followup" numFmtId="0">
      <sharedItems containsBlank="1"/>
    </cacheField>
    <cacheField name="Lead Status" numFmtId="0">
      <sharedItems containsBlank="1"/>
    </cacheField>
    <cacheField name="Expected Business" numFmtId="165">
      <sharedItems containsString="0" containsBlank="1" containsNumber="1" containsInteger="1" minValue="0" maxValue="4000000"/>
    </cacheField>
    <cacheField name="Actual Closed Business" numFmtId="0">
      <sharedItems containsString="0" containsBlank="1" containsNumber="1" minValue="0" maxValue="4690875"/>
    </cacheField>
    <cacheField name="Date of Order" numFmtId="0">
      <sharedItems containsNonDate="0" containsDate="1" containsString="0" containsBlank="1" minDate="2026-04-01T00:00:00" maxDate="2027-01-03T00:00:00"/>
    </cacheField>
    <cacheField name="Invoice Number" numFmtId="0">
      <sharedItems containsBlank="1" containsMixedTypes="1" containsNumber="1" containsInteger="1" minValue="22" maxValue="22"/>
    </cacheField>
    <cacheField name="Store where order placed" numFmtId="0">
      <sharedItems containsBlank="1" count="40">
        <s v="Gudimalkapur"/>
        <s v="BHEL"/>
        <s v="Gachibowli"/>
        <s v="HSR Layout"/>
        <s v="Hitech City"/>
        <m/>
        <s v="Electronic City"/>
        <s v="Whitefield 2"/>
        <s v="JP Nagar New"/>
        <s v="Nexus Mall"/>
        <s v="Sarath City Capital Mall"/>
        <s v="Marathahalli"/>
        <s v="Kasavanahalli"/>
        <s v="HAL Diamond District"/>
        <s v="Secunderabad"/>
        <s v="Begumpet"/>
        <s v="Lingampally"/>
        <s v="Kukatpally"/>
        <s v="Muthangi"/>
        <s v="Kattupakkam"/>
        <s v="Malkajgiri"/>
        <s v="Mall of Asia"/>
        <s v="Himayat Nagar"/>
        <s v="Rajahmundry"/>
        <s v="Imax"/>
        <s v="MasabTank"/>
        <s v="Shamshabad"/>
        <s v="Battarahalli"/>
        <s v="LB Road"/>
        <s v="Pragathi Nagar"/>
        <s v="T Nagar"/>
        <s v="Jubilee Hills"/>
        <s v="Suncity"/>
        <s v="Uppal"/>
        <s v="Padmarao Nagar"/>
        <s v="Vanasthalipuram"/>
        <s v="Kompally"/>
        <s v="MG Road"/>
        <s v="Charminar"/>
        <s v="Bowenpally"/>
      </sharedItems>
    </cacheField>
    <cacheField name="Received at HO" numFmtId="0">
      <sharedItems containsBlank="1"/>
    </cacheField>
    <cacheField name="Actual Payment Received " numFmtId="0">
      <sharedItems containsString="0" containsBlank="1" containsNumber="1" containsInteger="1" minValue="4137000" maxValue="4137000"/>
    </cacheField>
    <cacheField name="Payment Date" numFmtId="0">
      <sharedItems containsNonDate="0" containsDate="1" containsString="0" containsBlank="1" minDate="2026-04-05T00:00:00" maxDate="2026-10-20T00:00:00"/>
    </cacheField>
    <cacheField name="Month" numFmtId="0">
      <sharedItems containsDate="1" containsBlank="1" containsMixedTypes="1" minDate="2026-06-26T00:00:00" maxDate="2026-09-27T00:00:00" count="15">
        <s v="Apr-26"/>
        <s v="May-26"/>
        <s v="Jun-26"/>
        <s v="Jul-26"/>
        <s v="Oct-26"/>
        <s v="Aug-26"/>
        <s v="Sep-26"/>
        <m/>
        <s v="Jan-27"/>
        <s v="Jan-00" u="1"/>
        <d v="2026-08-26T00:00:00" u="1"/>
        <n v="46291" u="1"/>
        <d v="2026-09-26T00:00:00" u="1"/>
        <d v="2026-06-26T00:00:00" u="1"/>
        <d v="2026-07-26T00:00:00" u="1"/>
      </sharedItems>
    </cacheField>
    <cacheField name="Finance Status" numFmtId="0">
      <sharedItems containsBlank="1"/>
    </cacheField>
    <cacheField name="Incentive" numFmtId="0">
      <sharedItems containsBlank="1" containsMixedTypes="1" containsNumber="1" minValue="144" maxValue="2004.8"/>
    </cacheField>
    <cacheField name="Order Place in Dine In/Takeaway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umar Ayush" refreshedDate="46314.768235763891" createdVersion="8" refreshedVersion="8" minRefreshableVersion="3" recordCount="1121" xr:uid="{CDAA3571-2D6A-4C98-BDCE-EC8FF8BE1C18}">
  <cacheSource type="worksheet">
    <worksheetSource ref="A1:AE1122" sheet="DCR"/>
  </cacheSource>
  <cacheFields count="31">
    <cacheField name="Date of Entry" numFmtId="14">
      <sharedItems containsSemiMixedTypes="0" containsNonDate="0" containsDate="1" containsString="0" minDate="2026-04-01T00:00:00" maxDate="2026-09-29T00:00:00"/>
    </cacheField>
    <cacheField name="Sameer" numFmtId="0">
      <sharedItems/>
    </cacheField>
    <cacheField name="Region" numFmtId="0">
      <sharedItems/>
    </cacheField>
    <cacheField name="A/C Name" numFmtId="0">
      <sharedItems count="585">
        <s v="Accenture HDC2 (Hungerbox)"/>
        <s v="Deloitte Towers (Hungerbox)"/>
        <s v="Cognizant GAR ( Smart Q )"/>
        <s v="Delivery at SEBLR Banglore (Compass)"/>
        <s v="BMS (Compass)"/>
        <s v="Gokhana"/>
        <s v="Meals &amp; More"/>
        <s v="KPMG"/>
        <s v="DP World"/>
        <s v="HungerBox"/>
        <s v="Compass"/>
        <s v="Wipro"/>
        <s v="Morgan Stanley"/>
        <s v="Pinnacle"/>
        <s v="Emerson"/>
        <s v="Amazon BLR13 (Taurus 1)"/>
        <s v="7 Eleven Global Solution Center"/>
        <s v="BPL"/>
        <s v="Amazon BLR14 (Taurus 2)"/>
        <s v="Maruti NEXA"/>
        <s v="Accenture HDC4 (Smart Q)"/>
        <s v="Accenture HDC5 (Smart Q)"/>
        <s v="Shell"/>
        <s v="We Work"/>
        <s v="Medical Expo Hitex (Pinnacle)"/>
        <s v="Amgen (Compass)"/>
        <s v="Medicall Hyd 2026"/>
        <s v="Delivery at Gachibowli"/>
        <s v="Dailyrounds"/>
        <s v="TCS"/>
        <s v="Infosys"/>
        <s v="Amazon BLR22 (Taurus 3)"/>
        <s v="RenewX Chennai"/>
        <s v="SmartQ - Popup"/>
        <s v="BHEL"/>
        <s v="HAL"/>
        <s v="Chargepoint"/>
        <s v="Accenture BDC 7C"/>
        <s v="JP Morgan"/>
        <s v="Blackline"/>
        <s v="Amazon BLR18 (Aquila)"/>
        <s v="Accenture BDC 7A"/>
        <s v="Delivery at BHEL"/>
        <s v="Govind Holidays"/>
        <s v="Take away from Gachibowli"/>
        <s v="Plumbex 2026 BIEC"/>
        <s v="Accenture HDC3 (Hungerbox)"/>
        <s v="Roof India"/>
        <s v="Vishal Computers"/>
        <s v="Kims Hospital (Zenith Holidays)"/>
        <s v="Tssifira Tours &amp; Travels"/>
        <s v="IDFC First Bank"/>
        <s v="NVIDIA (Compass)"/>
        <s v="TJX (Compass)"/>
        <s v="Take away from Begumbet"/>
        <s v="Take away from Secundrabad"/>
        <s v="Medtronics"/>
        <s v="Military Hospital"/>
        <s v="Zak Fenestration India Expo"/>
        <s v="Vinay Marriage Function"/>
        <s v="Capco"/>
        <s v="Family Group"/>
        <s v="Oyo Hotels"/>
        <s v="Qube Highways"/>
        <s v="Aurobindo Pharma"/>
        <s v="Real Dimond Designs"/>
        <s v="ITC Green Centre"/>
        <s v="Capgemini DV A5"/>
        <s v="Capgemini DV B4"/>
        <s v="Capgemini Ecospace 6B"/>
        <s v="Capgemini PTP"/>
        <s v="Accenture BDC 6"/>
        <s v="Agarbatti &amp; Perfume Expo 2026"/>
        <s v="ELASIA 2026"/>
        <s v="Diamond  expo Hitex "/>
        <s v="Thaman Live Music Event"/>
        <s v="Family Event"/>
        <s v="Anthea Pharma"/>
        <s v="KPIT"/>
        <s v="Flyjac"/>
        <s v="MSN Labs"/>
        <s v="Novartis"/>
        <s v="Accenture HDC3"/>
        <s v="ITW"/>
        <s v="Prashanti"/>
        <s v="Power School"/>
        <s v="InfinityBox"/>
        <s v="Amazon"/>
        <s v="Sony"/>
        <s v="myntra office"/>
        <s v="Rakuten Symphony"/>
        <s v="wells fargo"/>
        <s v="KLH University"/>
        <s v="Scintilla Creations"/>
        <s v="Wells Fargo (Smart Q)"/>
        <s v="Wipro Lighting"/>
        <s v="NHAI"/>
        <s v="Novartis (Compass)"/>
        <s v="clear tax"/>
        <s v="Capgemini"/>
        <s v="Mphasis"/>
        <s v="Moveinsync"/>
        <s v="Dr. Reddys"/>
        <s v="Clean and Control Technologies Pvt Ltd"/>
        <s v="HDFC Bank"/>
        <s v="Srinivas"/>
        <s v="Diamond Expo Hitex"/>
        <s v="Accenture Eco space"/>
        <s v="qest global"/>
        <s v="vyapar"/>
        <s v="Lending cart"/>
        <s v="KPMG - Ecoworld"/>
        <s v="Marlin Memorial Methodist Church"/>
        <s v="Amritha Tool Crafts Pvt Ltd"/>
        <s v="Axiom Energy Conversion Ltd"/>
        <s v="Accord Power Digital Products"/>
        <s v="Fatima"/>
        <s v="Areca Embedded systems pvt ltd"/>
        <s v="myntra"/>
        <s v="zones pvt ltd"/>
        <s v="fedex"/>
        <s v="smart works"/>
        <s v="KPMG - GTP"/>
        <s v="Amazon BLR 37"/>
        <s v="Fresenuis Kabi"/>
        <s v="Zeenith Holodays"/>
        <s v="Sai kumar"/>
        <s v="Kingston hospital"/>
        <s v="Deccan machinery Solutions"/>
        <s v="Axiom Ev Products Limited"/>
        <s v="Kumar"/>
        <s v="Siemens Healthcare"/>
        <s v="Htc global"/>
        <s v="widas"/>
        <s v="Sujith"/>
        <s v="Apollo Hospital"/>
        <s v="AINU (Asian Institute of Nephrology and Urology)Hospital"/>
        <s v="Munesh Kumar"/>
        <s v="IIT Hyderabad"/>
        <s v="eco green"/>
        <s v="unisys"/>
        <s v="Shashidar Reddy"/>
        <s v="Veera Ruchulu"/>
        <s v="Novartis Genom Valley (Compass)"/>
        <s v="Cube Highways"/>
        <s v="Accenture BDC 4C"/>
        <s v="Quince"/>
        <s v="Jaya Hospitals"/>
        <s v="ISRO"/>
        <s v="Aarya Omini Talk"/>
        <s v="Atria Convergence Technologies Ltd."/>
        <s v="Talent Sprint"/>
        <s v="S.S Engineering works"/>
        <s v="Ricon Pharma "/>
        <s v="Vignesh Nursing Home"/>
        <s v="Onus Robitic Hospitals"/>
        <s v="Compass - CPU Hyd"/>
        <s v="Nvidea"/>
        <s v="Kaushik Enterprises"/>
        <s v="Medisys"/>
        <s v="Amazon BLR37"/>
        <s v="HDC-5A"/>
        <s v="Capgemini Ecospace"/>
        <s v="Asia LabEx 2026"/>
        <s v="Paytm"/>
        <s v="NVIDIA"/>
        <s v="CUBE HIGHWAYS "/>
        <s v="Mythri Hospitals"/>
        <s v="Apollo Home Services"/>
        <s v="Lotus Chocolote company"/>
        <s v="Eswar Eye Hospital"/>
        <s v="Canara Bank"/>
        <s v="Ecogreen"/>
        <s v="Yuva Computers"/>
        <s v="Accenture BDC6"/>
        <s v="Accenture HDC-3 Building No:7(Divyashree)"/>
        <s v="Blue Dart"/>
        <s v="Charu Sheela Events"/>
        <s v="VR Technologies"/>
        <s v="Vedha Estate"/>
        <s v="Srikanth"/>
        <s v="Dell International"/>
        <s v="Comp. BMS"/>
        <s v="Adwings Digital Media"/>
        <s v="Acko Insurance"/>
        <s v="ITC Infotech"/>
        <s v="Father Colombo Institute of medical seciences"/>
        <s v="Bijili Ride"/>
        <s v="SGMR Pharmaceticals"/>
        <s v="BMS"/>
        <s v="Wipro Ligitings"/>
        <s v="BIEC"/>
        <s v="Medha Servo"/>
        <s v="Akshara Ventures Solutions"/>
        <s v="Ankur Pharmacy"/>
        <s v="4m Technologies"/>
        <s v="Axiom Energy"/>
        <s v="Ahuja Engineering Services"/>
        <s v="2k Technologies"/>
        <s v="VoiceGate Technologies"/>
        <s v="TCS Adibatla"/>
        <s v="Infosys pocharm"/>
        <s v="Master Mind Chengicherla"/>
        <s v="Zin Holidiyas"/>
        <s v="Hitex"/>
        <s v="V events"/>
        <s v="EY"/>
        <s v="Reddy"/>
        <s v="Getech equipments international Pvt Ltd."/>
        <s v="Gem Engineering  industries india pvt ltd"/>
        <s v="subbha Rao"/>
        <s v="Kiran"/>
        <s v="Bristol Mayer Squib"/>
        <s v="Hindustan Univer Liver- HUL"/>
        <s v="Sri Krishna Group"/>
        <s v="BNP Paribas"/>
        <s v="Vigan College "/>
        <s v="Astra zenica"/>
        <s v="Wework"/>
        <s v="Hitex HICC"/>
        <s v="Swarop IT Solutions"/>
        <s v="Spark Infosys"/>
        <s v="Big C Mobiles Pvt Ltd"/>
        <s v="Valcan Solar"/>
        <s v="Visaka Industries"/>
        <s v="KPMG - Main 7"/>
        <s v="KIMS Kondapur"/>
        <s v="Ankura Hospital, Madeenaguda"/>
        <s v="Church Iseral"/>
        <s v="Global Watches"/>
        <s v="Deccan Solutions"/>
        <s v="St. Joseph Degree College"/>
        <s v="St. Jospeh Church"/>
        <s v="Genpact"/>
        <s v="Electronics Corporation of India Limited (ECIL)"/>
        <s v="3G Hr Services"/>
        <s v="Websmart Technologies"/>
        <s v="I.G.I. Global "/>
        <s v="Avis Hospital"/>
        <s v="Bull Rock Drills Pvt Ltd"/>
        <s v="Maker's Hive Innovations"/>
        <s v="Chinni Industries"/>
        <s v="ThreeDfy"/>
        <s v="Alkaione Life Pvt Ltd"/>
        <s v="C.M. hydro Systems"/>
        <s v="Elmas Magnetics Pvt Ltd"/>
        <s v="Dabur"/>
        <s v="Hussmann Service"/>
        <s v="GAR Infobahn"/>
        <s v="Ratna Global Technologies"/>
        <s v="Digilogic Systems Limited"/>
        <s v="G.C Group"/>
        <s v="Honeywell Technologies Solutions"/>
        <s v="Sain Medicaments Private Limited"/>
        <s v="Church Group"/>
        <s v="Tech Mahindra"/>
        <s v="Hitachi Digital Services India Pri"/>
        <s v="Oracle India"/>
        <s v="Event at New convention "/>
        <s v="Accenture"/>
        <s v="Capgemini GAAR"/>
        <s v="Capgemini Campus"/>
        <s v="Deloitte"/>
        <s v="Pharma Pro Expo"/>
        <s v="QualMinds Technologies Pvt Ltd"/>
        <s v="Broadcom"/>
        <s v="IBM - DLF"/>
        <s v="Computacenter"/>
        <s v="Birlasoft"/>
        <s v="Virtusa Consulting Service Limited"/>
        <s v="The Square, 110 Financial District"/>
        <s v="KPMG Tower D"/>
        <s v="Ananth Technologies"/>
        <s v="Vajra Automation Private Ltd"/>
        <s v="Cye Technologies"/>
        <s v="L1 Technologies Solutions Pvt. Ltd."/>
        <s v="KPMG Main 7"/>
        <s v="Shechem Prayer House"/>
        <s v="Infosys Gachibowli"/>
        <s v="ProKarma Softech"/>
        <s v="Ealkay Consulting Tech And Digital Solutions"/>
        <s v="Sunrise International Labs"/>
        <s v="Infosys Pocharam"/>
        <s v="Natco Prarma"/>
        <s v="Deloitte Consulting"/>
        <s v="Hitex Hyderabad"/>
        <s v="W3SOFTECH INDIA PRIVATE LIMITED"/>
        <s v="Xilontech Solution Pvt Ltd"/>
        <s v="Gate Manufacturing Private Limited"/>
        <s v="Hussmann Services India"/>
        <s v="Cerx Dental Pvt Ltd"/>
        <s v="Event at Neo convention center "/>
        <s v="Carelon Manyata"/>
        <s v="Carelon Bagmane"/>
        <s v="Comando Hospital"/>
        <s v="United Dental Company"/>
        <s v="Cognizant"/>
        <s v="Central Warehousing Corporation"/>
        <s v="PWC"/>
        <s v="I Lab Dental"/>
        <s v="karnataka Expo"/>
        <s v="Delivery at Hitex"/>
        <s v="Blackboard Events"/>
        <s v="Pharma Pro &amp; Pack Expo"/>
        <s v="Eze Software"/>
        <s v="Getex"/>
        <s v="NGO"/>
        <s v="Aveva"/>
        <s v="OTSI"/>
        <s v="Meesho"/>
        <s v="Delivery at Neo Convention"/>
        <s v="12th Pharma Pro &amp; Pack Expo 26"/>
        <s v="Vaanyam Holidays"/>
        <s v="Battry Shop"/>
        <s v="Bose"/>
        <s v="Chromo Laboratories"/>
        <s v="Lamtuf Plastics Pvt Ltd"/>
        <s v="VGS and Technologies Private Limited"/>
        <s v="Jarus Technologies (India) Pvt. Ltd."/>
        <s v="Camo"/>
        <s v="Pellets Pharma Limited"/>
        <s v="Eficens Software Services Private Limited"/>
        <s v="Facebook"/>
        <s v="M Power Infratech (India) Private Limited"/>
        <s v="Safran Electrical &amp; Power India Pvt. Ltd."/>
        <s v="Bosch"/>
        <s v="Honeywell"/>
        <s v="Novartis  Genom Valley"/>
        <s v="Wancura software solutions Pvt.Ltd"/>
        <s v="Black Board Restuarent"/>
        <s v="Sri Krishna Pharmaceuticals Limited"/>
        <s v="Vajra Automation Private Limited"/>
        <s v="MSN"/>
        <s v="HCL Tech"/>
        <s v="Airtel"/>
        <s v="DBS"/>
        <s v="NSL Arena"/>
        <s v="Honywell Campus 1"/>
        <s v="KBK Business Solutions"/>
        <s v="Team Engineers Advance Technologies"/>
        <s v="Bridgera India Pvt Ltd "/>
        <s v="State Street"/>
        <s v="KPMG - EGL"/>
        <s v="Krushi Foundation"/>
        <s v="Verizon India"/>
        <s v="Protiviti India"/>
        <s v="iSpace Software Solutions"/>
        <s v="Tech Tree Solutions"/>
        <s v="Accenture HDC (Hungerbox)"/>
        <s v="Ad-Mag"/>
        <s v="Regus"/>
        <s v="iBS Fincorp"/>
        <s v="Symphony Software Pvt. Ltd"/>
        <s v="Honeywell Campus 2"/>
        <s v="Black Board Hitex"/>
        <s v="Sreeb Technologies Pvt Ltd"/>
        <s v="Kapil IT Solutions"/>
        <s v="Doctors association Warangal"/>
        <s v="New Horizons Cybersoft Ltd"/>
        <s v="Oracle"/>
        <s v="Hemanth Kumar"/>
        <s v="GGK Technologies"/>
        <s v="Zanjoe Pharma"/>
        <s v="Honeywell Campus 1"/>
        <s v="A G Bioteck Laboratories"/>
        <s v="Onyx Engineering Construction"/>
        <s v="Aparna Constructions"/>
        <s v="Asian Paints Limited"/>
        <s v="Graviti Pharmaceuticals Pvt Ltd"/>
        <s v="Indus Ind Bank"/>
        <s v="Oracle India "/>
        <s v="Biological E Limited"/>
        <s v="PurpleTalk India Pvt Ltd"/>
        <s v="Cognizant Technology "/>
        <s v="Cyient Ltd"/>
        <s v="NT(Northen Trust)"/>
        <s v="MOKSHITA CONSTRUCTION PVT LTD"/>
        <s v="Excellencia Jr College"/>
        <s v="Perceptive Analytics Pvt. Ltd."/>
        <s v="Malur Tubes"/>
        <s v="Pharma Pro Pack"/>
        <s v="Vimta Labs"/>
        <s v="Chemo India Formulation Pvt. Ltd."/>
        <s v="Osmania Hospital"/>
        <s v="Ark Group"/>
        <s v="Sundaram Home Finance Ltd"/>
        <s v="Ernst &amp;Young"/>
        <s v="School Arnold "/>
        <s v="Marella Softlabs Private Limited"/>
        <s v="Sunglare Industrial Training "/>
        <s v="Event exhibitions ground"/>
        <s v="Pullela Gopichand Badminton Academy"/>
        <s v="OroCare"/>
        <s v="Gift Expo 2026"/>
        <s v="Delivery at SR Nagar"/>
        <s v="ADP Private Limited"/>
        <s v="BHEL Ltd"/>
        <s v="HCLTech"/>
        <s v="Continental"/>
        <s v="Dynatech Industries Pvt Ltd"/>
        <s v="Optimus Pharma Pvt Ltd"/>
        <s v="Bani Sangha Alwal - Durga puja-26"/>
        <s v="Arene Life Sciences Limited"/>
        <s v="Suneratech"/>
        <s v="Verizon"/>
        <s v="NSL SEZ"/>
        <s v="Honeyy Group"/>
        <s v="FinacPlus Global Services"/>
        <s v="Milatry Hospital Malkajgiri"/>
        <s v="Chennai Trade centre Evevts"/>
        <s v="WaveRock SEZ"/>
        <s v="Codebook"/>
        <s v="D-Link"/>
        <s v="Dell"/>
        <s v="Eblitz Events"/>
        <s v="TriGeo Technologies"/>
        <s v="Vishwa Infrastructures and Services "/>
        <s v="Jaya Builders &amp; Developers"/>
        <s v="Crystal Events"/>
        <s v="Elite Luxury Homes"/>
        <s v="Gift Expo"/>
        <s v="Pai International"/>
        <s v="Brilliant Bio Pharma Pvt Ltd"/>
        <s v="Honey soft solutions Pvt Ltd."/>
        <s v="Cyient"/>
        <s v="Anil constructions group"/>
        <s v="Shelterstock Technologies pvt ltd"/>
        <s v="Compass - Facebook"/>
        <s v="Its Global Limites"/>
        <s v="Exposent Bengaluru"/>
        <s v="Shofu"/>
        <s v="Askmeguru Technologies"/>
        <s v="J V P Soft Pvt Ltd"/>
        <s v="EUREKA IT SOLUTIONS PVT. LTD"/>
        <s v="Foray Software Private Limited"/>
        <s v="Copart"/>
        <s v="Pharmalines"/>
        <s v="One Dental Station"/>
        <s v="NowFloats Technologies Limited"/>
        <s v="OaksPro Software Solutions"/>
        <s v="V3 Electronics"/>
        <s v="3M Oral Care"/>
        <s v="Dentsply"/>
        <s v="MTAR Technologies Limited"/>
        <s v="Suven Pharmaceuticals Limited"/>
        <s v="Harika Hospital"/>
        <s v="Oro Care"/>
        <s v="Sanskriti Experts Academy"/>
        <s v="PGR JUNIOR COLLEGE"/>
        <s v="GC India"/>
        <s v="TX Hospitals Uppal"/>
        <s v="Sia Life Hospital "/>
        <s v="Medika Bazar"/>
        <s v="Smile Dental Surgicals"/>
        <s v="KJS India Pvt. Ltd."/>
        <s v="Himalaya Hospitals"/>
        <s v="Lims Hospital"/>
        <s v="Sidarth Hospitals "/>
        <s v="Medicover Hospitals"/>
        <s v="Vignan Global Gen School"/>
        <s v="KIMS Hospital"/>
        <s v="Sai Life Sciences"/>
        <s v="Hinduja Global Solutions"/>
        <s v="Susrutha Hospital"/>
        <s v="Athulitha Laboratories Private Limited"/>
        <s v="Seven Eleven"/>
        <s v="Smartq"/>
        <s v="BIEC Events"/>
        <s v="Chennai Bulk Order"/>
        <s v="Dell R&amp;D"/>
        <s v="Avesthagen Limited"/>
        <s v="Aveva solutions India LLP"/>
        <s v="Mactechedu Solutions"/>
        <s v="Khoday Industries Pvt Ltd"/>
        <s v="Avtrix AI Solutions"/>
        <s v="JANAKI Group of Companies"/>
        <s v="Destination World Holidays"/>
        <s v="BNR Exports"/>
        <s v="Brain Box Media Solutions"/>
        <s v="Amadeus"/>
        <s v="Abhyaas junior college"/>
        <s v="Raghavendra Srikara Hospitals"/>
        <s v="Natco Pharma"/>
        <s v="Astrazenica"/>
        <s v="Keystone International School"/>
        <s v="Asian Paints Limited "/>
        <s v="Capgemini PVT Ltd"/>
        <s v="Dhruva Hospitals"/>
        <s v="Jarus Technologies (India) Pvt"/>
        <s v="Intercity Transport Logistics"/>
        <s v="Unisys Global Services India"/>
        <s v="Deutsche Bank"/>
        <s v="St.Joseph's Jr. College"/>
        <s v="vardhaman Engineering College"/>
        <s v="Analytics India "/>
        <s v="Azad Engineering"/>
        <s v="Nims Hospital Panjagutta"/>
        <s v="Axix Securities"/>
        <s v="India MEd Expo"/>
        <s v="Daily rounds"/>
        <s v="Assam Carbon Products Ltd"/>
        <s v="Creative Multimedia Academy"/>
        <s v="Netenrich Technologies Pvt. Ltd."/>
        <s v="Septodent"/>
        <s v="Wockhardt "/>
        <s v="Kria Infotech Pvt Ltd"/>
        <s v="Delight Hospital"/>
        <s v="Avinash College of Commerce"/>
        <s v="S&amp;P Global"/>
        <s v="Volvo India Ltd."/>
        <s v="Zinnov"/>
        <s v="Gurunanak Univercity"/>
        <s v="Sunfra Biotech"/>
        <s v="Sutherland"/>
        <s v="Surekha Hospital"/>
        <s v="Sri Aadya Junior College"/>
        <s v="Dell R &amp; D"/>
        <s v="Pure Storage"/>
        <s v="Valtech PVT Ltd."/>
        <s v="Tvs"/>
        <s v="PAGE Junior College"/>
        <s v="Magen Infratech Private Limited"/>
        <s v="Brainovision Solutions India Pvt.Ltd"/>
        <s v="CloudAngle IT Solutions Pvt Ltd"/>
        <s v="Titan Industries Ltd"/>
        <s v="The Bangalore Hospital"/>
        <s v="Stride Organics Pvt. Ltd"/>
        <s v="Roots Collegium"/>
        <s v="Ozone Hospitals"/>
        <s v="Teleradiology Solutions"/>
        <s v="softtech solutions"/>
        <s v="Analytica Expo 2026"/>
        <s v="NIMS Hospital"/>
        <s v="Amaze Logistics"/>
        <s v="Guru translines pvt. Ltd."/>
        <s v="Hyderabad Travels and Trips"/>
        <s v="New Deccan Travels"/>
        <s v="The Headquarters"/>
        <s v="Student Tribe"/>
        <s v="Tavaro Resorts and Events"/>
        <s v="Dgtal Veb Media"/>
        <s v="New Badruka College"/>
        <s v="Jeevan Sai Hospitals"/>
        <s v="Netlync Technologies"/>
        <s v="Sobha Developers"/>
        <s v="Kitchen Crew Food Court"/>
        <s v="Sumanth Industries"/>
        <s v="SUNGLARE TECHNOLOGIES"/>
        <s v="Delfingen India Pvt Ltd"/>
        <s v="Seasons Hospitals"/>
        <s v="Electronica"/>
        <s v="Micron - BLR"/>
        <s v="Micron - HYD"/>
        <s v="Aduri Infra"/>
        <s v="VJIET"/>
        <s v="Electronica &amp; Productronica"/>
        <s v="Sri Vasishta Junior College"/>
        <s v="Sravani Hospitals"/>
        <s v="Springcraft"/>
        <s v="Global Electronics"/>
        <s v="VGS and Technologies Private"/>
        <s v="Star Multi-Speciality Hospitals"/>
        <s v="LSN Software Services Pvt Ltd"/>
        <s v="Gems Kids"/>
        <s v="SLK Software"/>
        <s v="Shudh Health Care Products."/>
        <s v="Innominds Software Pvt. Ltd."/>
        <s v="Melvault Software Solutions, Pvt Ltd"/>
        <s v="Excellencia Junior College"/>
        <s v="Silver Software pvt ltd."/>
        <s v="Shahi Exports Pvt Ltd."/>
        <s v="Sap India Pvt ltd"/>
        <s v="Sri Abhaya Hospitals"/>
        <s v="Victory Church"/>
        <s v="Shalom Church"/>
        <s v="P&amp;T Hospitality"/>
        <s v="Rock Church"/>
        <s v="Ronanki Infotech"/>
        <s v="Pulse Hospital"/>
        <s v="Galaxy Degree &amp; P.G. College"/>
        <s v="Benchmark Events &amp; media Consultant"/>
        <s v="Osmania General Hospital" u="1"/>
        <s v="Axis Securities" u="1"/>
        <s v="ISTHARA" u="1"/>
        <s v="Durga Pooja at ameerpet" u="1"/>
      </sharedItems>
    </cacheField>
    <cacheField name="Connect Status" numFmtId="0">
      <sharedItems/>
    </cacheField>
    <cacheField name="Type of account" numFmtId="0">
      <sharedItems containsBlank="1"/>
    </cacheField>
    <cacheField name="Name of Aggregator" numFmtId="0">
      <sharedItems containsBlank="1"/>
    </cacheField>
    <cacheField name="Type of Business" numFmtId="0">
      <sharedItems containsBlank="1"/>
    </cacheField>
    <cacheField name="Is Repeat" numFmtId="0">
      <sharedItems containsBlank="1"/>
    </cacheField>
    <cacheField name="Industry" numFmtId="0">
      <sharedItems containsBlank="1"/>
    </cacheField>
    <cacheField name="SPOC Name" numFmtId="0">
      <sharedItems containsBlank="1"/>
    </cacheField>
    <cacheField name="SPOC Number" numFmtId="0">
      <sharedItems containsNonDate="0" containsString="0" containsBlank="1"/>
    </cacheField>
    <cacheField name="Conversation Remarks" numFmtId="0">
      <sharedItems containsBlank="1"/>
    </cacheField>
    <cacheField name="Ac Status" numFmtId="0">
      <sharedItems/>
    </cacheField>
    <cacheField name="Next Action Date" numFmtId="0">
      <sharedItems containsNonDate="0" containsDate="1" containsString="0" containsBlank="1" minDate="2026-05-04T00:00:00" maxDate="2026-10-24T00:00:00"/>
    </cacheField>
    <cacheField name="Next Action Type" numFmtId="0">
      <sharedItems containsBlank="1"/>
    </cacheField>
    <cacheField name="Ageing" numFmtId="0">
      <sharedItems containsBlank="1" containsMixedTypes="1" containsNumber="1" containsInteger="1" minValue="79" maxValue="201"/>
    </cacheField>
    <cacheField name="Overdue Followup" numFmtId="0">
      <sharedItems containsBlank="1"/>
    </cacheField>
    <cacheField name="Lead Status" numFmtId="0">
      <sharedItems containsBlank="1"/>
    </cacheField>
    <cacheField name="Expected Business" numFmtId="165">
      <sharedItems containsString="0" containsBlank="1" containsNumber="1" containsInteger="1" minValue="0" maxValue="4000000"/>
    </cacheField>
    <cacheField name="Actual Closed Business" numFmtId="0">
      <sharedItems containsString="0" containsBlank="1" containsNumber="1" minValue="0" maxValue="4690875"/>
    </cacheField>
    <cacheField name="Date of Order" numFmtId="0">
      <sharedItems containsNonDate="0" containsDate="1" containsString="0" containsBlank="1" minDate="2026-04-01T00:00:00" maxDate="2026-10-18T00:00:00"/>
    </cacheField>
    <cacheField name="Invoice Number" numFmtId="0">
      <sharedItems containsBlank="1" containsMixedTypes="1" containsNumber="1" containsInteger="1" minValue="22" maxValue="22"/>
    </cacheField>
    <cacheField name="Store where order placed" numFmtId="0">
      <sharedItems containsBlank="1" count="39">
        <s v="Gudimalkapur"/>
        <s v="BHEL"/>
        <s v="Gachibowli"/>
        <s v="HSR Layout"/>
        <s v="Hitech City"/>
        <m/>
        <s v="Electronic City"/>
        <s v="Whitefield 2"/>
        <s v="JP Nagar New"/>
        <s v="Nexus Mall"/>
        <s v="Sarath City Capital Mall"/>
        <s v="Marathahalli"/>
        <s v="Kasavanahalli"/>
        <s v="HAL Diamond District"/>
        <s v="Secunderabad"/>
        <s v="Begumpet"/>
        <s v="Lingampally"/>
        <s v="Kukatpally"/>
        <s v="Muthangi"/>
        <s v="Kattupakkam"/>
        <s v="Malkajgiri"/>
        <s v="Mall of Asia"/>
        <s v="Himayat Nagar"/>
        <s v="Rajahmundry"/>
        <s v="Imax"/>
        <s v="MasabTank"/>
        <s v="Shamshabad"/>
        <s v="Battarahalli"/>
        <s v="LB Road"/>
        <s v="Pragathi Nagar"/>
        <s v="T Nagar"/>
        <s v="Jubilee Hills"/>
        <s v="Suncity"/>
        <s v="Uppal"/>
        <s v="Padmarao Nagar"/>
        <s v="Vanasthalipuram"/>
        <s v="Kompally"/>
        <s v="MG Road"/>
        <s v="Charminar"/>
      </sharedItems>
    </cacheField>
    <cacheField name="Received at HO" numFmtId="0">
      <sharedItems containsBlank="1"/>
    </cacheField>
    <cacheField name="Actual Payment Received " numFmtId="0">
      <sharedItems containsString="0" containsBlank="1" containsNumber="1" containsInteger="1" minValue="4137000" maxValue="4137000"/>
    </cacheField>
    <cacheField name="Payment Date" numFmtId="0">
      <sharedItems containsNonDate="0" containsDate="1" containsString="0" containsBlank="1" minDate="2026-04-05T00:00:00" maxDate="2026-09-29T00:00:00"/>
    </cacheField>
    <cacheField name="Month" numFmtId="0">
      <sharedItems containsBlank="1" count="8">
        <s v="Apr-26"/>
        <s v="May-26"/>
        <s v="Jun-26"/>
        <s v="Jul-26"/>
        <s v="Oct-26"/>
        <s v="Aug-26"/>
        <s v="Sep-26"/>
        <m/>
      </sharedItems>
    </cacheField>
    <cacheField name="Finance Status" numFmtId="0">
      <sharedItems containsBlank="1"/>
    </cacheField>
    <cacheField name="Incentive" numFmtId="0">
      <sharedItems containsBlank="1" containsMixedTypes="1" containsNumber="1" minValue="144" maxValue="2004.8"/>
    </cacheField>
    <cacheField name="Order Place in Dine In/Takeaway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Kumar Ayush" refreshedDate="46325.670189699071" backgroundQuery="1" createdVersion="8" refreshedVersion="8" minRefreshableVersion="3" recordCount="0" supportSubquery="1" supportAdvancedDrill="1" xr:uid="{A3F44F3E-E187-47B0-9BFA-FEEC374FCB81}">
  <cacheSource type="external" connectionId="1"/>
  <cacheFields count="4">
    <cacheField name="[Range].[Month].[Month]" caption="Month" numFmtId="0" hierarchy="7" level="1">
      <sharedItems containsBlank="1" count="3">
        <s v="Apr-26"/>
        <s v="May-26"/>
        <m u="1"/>
      </sharedItems>
    </cacheField>
    <cacheField name="[Range].[Store where order placed].[Store where order placed]" caption="Store where order placed" numFmtId="0" hierarchy="3" level="1">
      <sharedItems count="20">
        <s v="BHEL"/>
        <s v="Gachibowli"/>
        <s v="Hitech City"/>
        <s v="HSR Layout"/>
        <s v="JP Nagar New"/>
        <s v="Kasavanahalli"/>
        <s v="Kukatpally"/>
        <s v="Lingampally"/>
        <s v="Malkajgiri"/>
        <s v="Marathahalli"/>
        <s v="Secunderabad"/>
        <s v="Whitefield 2"/>
        <s v="HAL Diamond District" u="1"/>
        <s v="Begumpet" u="1"/>
        <s v="Electronic City" u="1"/>
        <s v="Gudimalkapur" u="1"/>
        <s v="Kattupakkam" u="1"/>
        <s v="Muthangi" u="1"/>
        <s v="Nexus Mall" u="1"/>
        <s v="Sarath City Capital Mall" u="1"/>
      </sharedItems>
    </cacheField>
    <cacheField name="[Measures].[Sum of Actual Closed Business]" caption="Sum of Actual Closed Business" numFmtId="0" hierarchy="12" level="32767"/>
    <cacheField name="[Measures].[Count of Month]" caption="Count of Month" numFmtId="0" hierarchy="13" level="32767"/>
  </cacheFields>
  <cacheHierarchies count="14">
    <cacheHierarchy uniqueName="[Range].[Actual Closed Business]" caption="Actual Closed Business" attribute="1" defaultMemberUniqueName="[Range].[Actual Closed Business].[All]" allUniqueName="[Range].[Actual Closed Business].[All]" dimensionUniqueName="[Range]" displayFolder="" count="0" memberValueDatatype="5" unbalanced="0"/>
    <cacheHierarchy uniqueName="[Range].[Date of Order]" caption="Date of Order" attribute="1" time="1" defaultMemberUniqueName="[Range].[Date of Order].[All]" allUniqueName="[Range].[Date of Order].[All]" dimensionUniqueName="[Range]" displayFolder="" count="0" memberValueDatatype="7" unbalanced="0"/>
    <cacheHierarchy uniqueName="[Range].[Invoice Number]" caption="Invoice Number" attribute="1" defaultMemberUniqueName="[Range].[Invoice Number].[All]" allUniqueName="[Range].[Invoice Number].[All]" dimensionUniqueName="[Range]" displayFolder="" count="0" memberValueDatatype="130" unbalanced="0"/>
    <cacheHierarchy uniqueName="[Range].[Store where order placed]" caption="Store where order placed" attribute="1" defaultMemberUniqueName="[Range].[Store where order placed].[All]" allUniqueName="[Range].[Store where order placed].[All]" dimensionUniqueName="[Range]" displayFolder="" count="2" memberValueDatatype="130" unbalanced="0">
      <fieldsUsage count="2">
        <fieldUsage x="-1"/>
        <fieldUsage x="1"/>
      </fieldsUsage>
    </cacheHierarchy>
    <cacheHierarchy uniqueName="[Range].[Received at HO]" caption="Received at HO" attribute="1" defaultMemberUniqueName="[Range].[Received at HO].[All]" allUniqueName="[Range].[Received at HO].[All]" dimensionUniqueName="[Range]" displayFolder="" count="0" memberValueDatatype="130" unbalanced="0"/>
    <cacheHierarchy uniqueName="[Range].[Actual Payment Received]" caption="Actual Payment Received" attribute="1" defaultMemberUniqueName="[Range].[Actual Payment Received].[All]" allUniqueName="[Range].[Actual Payment Received].[All]" dimensionUniqueName="[Range]" displayFolder="" count="0" memberValueDatatype="20" unbalanced="0"/>
    <cacheHierarchy uniqueName="[Range].[Payment Date]" caption="Payment Date" attribute="1" time="1" defaultMemberUniqueName="[Range].[Payment Date].[All]" allUniqueName="[Range].[Payment Date].[All]" dimensionUniqueName="[Range]" displayFolder="" count="0" memberValueDatatype="7" unbalanced="0"/>
    <cacheHierarchy uniqueName="[Range].[Month]" caption="Month" attribute="1" defaultMemberUniqueName="[Range].[Month].[All]" allUniqueName="[Range].[Month].[All]" dimensionUniqueName="[Range]" displayFolder="" count="2" memberValueDatatype="130" unbalanced="0">
      <fieldsUsage count="2">
        <fieldUsage x="-1"/>
        <fieldUsage x="0"/>
      </fieldsUsage>
    </cacheHierarchy>
    <cacheHierarchy uniqueName="[Range].[Date of Order (Month)]" caption="Date of Order (Month)" attribute="1" defaultMemberUniqueName="[Range].[Date of Order (Month)].[All]" allUniqueName="[Range].[Date of Order (Month)].[All]" dimensionUniqueName="[Range]" displayFolder="" count="0" memberValueDatatype="130" unbalanced="0"/>
    <cacheHierarchy uniqueName="[Range].[Date of Order (Month Index)]" caption="Date of Order (Month Index)" attribute="1" defaultMemberUniqueName="[Range].[Date of Order (Month Index)].[All]" allUniqueName="[Range].[Date of Order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Actual Closed Business]" caption="Sum of Actual Closed Business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Month]" caption="Count of Month" measure="1" displayFolder="" measureGroup="Rang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5">
  <r>
    <d v="2026-04-01T00:00:00"/>
    <s v="Sameer"/>
    <s v="Hyderabad"/>
    <x v="0"/>
    <s v="Call"/>
    <s v="Aggregator"/>
    <x v="0"/>
    <s v="Popup Counter"/>
    <s v="Repeat"/>
    <s v="F&amp;B Aggregator"/>
    <s v="Praveen"/>
    <m/>
    <s v="Haleem popup  1-04-2026 Gudimalkapur"/>
    <s v="Closed(C4)"/>
    <m/>
    <m/>
    <s v=""/>
    <s v=""/>
    <s v="Hot"/>
    <n v="7200"/>
    <n v="7200"/>
    <d v="2026-04-01T00:00:00"/>
    <m/>
    <x v="0"/>
    <s v="Received at HO"/>
    <m/>
    <d v="2026-04-30T00:00:00"/>
    <x v="0"/>
    <s v="Yes"/>
    <n v="144"/>
    <m/>
  </r>
  <r>
    <d v="2026-04-01T00:00:00"/>
    <s v="Sameer"/>
    <s v="Hyderabad"/>
    <x v="1"/>
    <s v="F2F"/>
    <s v="Aggregator"/>
    <x v="0"/>
    <s v="Popup Counter"/>
    <s v="Repeat"/>
    <s v="F&amp;B Aggregator"/>
    <s v="Rajender"/>
    <m/>
    <s v="Popup from BHEL on 01-4-2026"/>
    <s v="Closed(C4)"/>
    <m/>
    <m/>
    <s v=""/>
    <s v=""/>
    <s v="Hot"/>
    <n v="72790"/>
    <n v="72790"/>
    <d v="2026-04-01T00:00:00"/>
    <m/>
    <x v="1"/>
    <s v="Received at HO"/>
    <m/>
    <d v="2026-04-30T00:00:00"/>
    <x v="0"/>
    <m/>
    <s v=""/>
    <m/>
  </r>
  <r>
    <d v="2026-04-01T00:00:00"/>
    <s v="Sameer"/>
    <s v="Hyderabad"/>
    <x v="2"/>
    <s v="F2F"/>
    <s v="Aggregator"/>
    <x v="1"/>
    <s v="Popup Counter"/>
    <s v="Repeat"/>
    <s v="F&amp;B Aggregator"/>
    <s v="Samruddhi"/>
    <m/>
    <s v="Popup on 1-4-2026 gachibowli"/>
    <s v="Closed(C4)"/>
    <m/>
    <m/>
    <s v=""/>
    <s v=""/>
    <s v="Hot"/>
    <n v="38810"/>
    <n v="38810"/>
    <d v="2026-04-01T00:00:00"/>
    <s v="00GCBTA000287033"/>
    <x v="2"/>
    <s v="Received at HO"/>
    <m/>
    <d v="2026-04-30T00:00:00"/>
    <x v="0"/>
    <m/>
    <s v=""/>
    <m/>
  </r>
  <r>
    <d v="2026-04-01T00:00:00"/>
    <s v="Sameer"/>
    <s v="Bangalore"/>
    <x v="3"/>
    <s v="Call"/>
    <s v="Aggregator"/>
    <x v="2"/>
    <s v="Bulk Order"/>
    <s v="Repeat"/>
    <s v="F&amp;B Agrigator"/>
    <s v="Saad"/>
    <m/>
    <s v="Delivery on 1-4-2026 from HSR"/>
    <s v="Closed(C4)"/>
    <m/>
    <m/>
    <s v=""/>
    <s v=""/>
    <s v="Hot"/>
    <n v="22456"/>
    <n v="20166"/>
    <d v="2026-04-01T00:00:00"/>
    <s v="00HSA06000002828"/>
    <x v="3"/>
    <s v="Received at HO"/>
    <m/>
    <d v="2026-05-30T00:00:00"/>
    <x v="0"/>
    <m/>
    <s v=""/>
    <m/>
  </r>
  <r>
    <d v="2026-04-01T00:00:00"/>
    <s v="Sameer"/>
    <s v="Hyderabad"/>
    <x v="4"/>
    <s v="Call"/>
    <s v="Aggregator"/>
    <x v="2"/>
    <s v="Bulk Order"/>
    <s v="New"/>
    <s v="F&amp;B Agrigator"/>
    <s v="Suman"/>
    <m/>
    <s v="CB , VB on 1-4-2026 from Hitec"/>
    <s v="Closed(C4)"/>
    <m/>
    <m/>
    <s v=""/>
    <s v=""/>
    <s v="Hot"/>
    <n v="54200"/>
    <n v="54200"/>
    <d v="2026-04-01T00:00:00"/>
    <s v="00HCA05000015649"/>
    <x v="4"/>
    <s v="Received at HO"/>
    <m/>
    <d v="2026-05-30T00:00:00"/>
    <x v="0"/>
    <m/>
    <s v=""/>
    <m/>
  </r>
  <r>
    <d v="2026-04-01T00:00:00"/>
    <s v="Bashab"/>
    <s v="Bangalore"/>
    <x v="5"/>
    <s v="Call"/>
    <s v="Aggregator"/>
    <x v="3"/>
    <m/>
    <m/>
    <s v="F&amp;B Aggregator"/>
    <s v="Taranjot"/>
    <m/>
    <s v="Following for corporate pop-up and bulkorders"/>
    <s v="Introduction( C0 )"/>
    <m/>
    <m/>
    <n v="201"/>
    <s v=""/>
    <s v="Warm"/>
    <m/>
    <m/>
    <m/>
    <m/>
    <x v="5"/>
    <m/>
    <m/>
    <m/>
    <x v="0"/>
    <m/>
    <s v=""/>
    <m/>
  </r>
  <r>
    <d v="2026-04-01T00:00:00"/>
    <s v="Bashab"/>
    <s v="Hyderabad"/>
    <x v="5"/>
    <s v="Call"/>
    <s v="Aggregator"/>
    <x v="3"/>
    <m/>
    <m/>
    <s v="F&amp;B Aggregator"/>
    <s v="Taranjot"/>
    <m/>
    <s v="Following for corporate pop-up and bulkorders"/>
    <s v="Follow-up( C1 )"/>
    <d v="2026-09-19T00:00:00"/>
    <s v="F2F"/>
    <n v="201"/>
    <s v="Yes"/>
    <s v="Warm"/>
    <m/>
    <m/>
    <m/>
    <m/>
    <x v="5"/>
    <m/>
    <m/>
    <m/>
    <x v="0"/>
    <m/>
    <s v=""/>
    <m/>
  </r>
  <r>
    <d v="2026-04-01T00:00:00"/>
    <s v="Bashab"/>
    <s v="Bangalore"/>
    <x v="6"/>
    <s v="Call"/>
    <s v="Aggregator"/>
    <x v="4"/>
    <m/>
    <m/>
    <s v="F&amp;B Aggregator"/>
    <s v="Satyam"/>
    <m/>
    <s v="Got some negative feedback from the organizers, currently on Hold"/>
    <s v="Follow-up( C1 )"/>
    <d v="2026-09-25T00:00:00"/>
    <s v="Call"/>
    <n v="201"/>
    <s v="Yes"/>
    <s v="Cold"/>
    <m/>
    <m/>
    <m/>
    <m/>
    <x v="5"/>
    <m/>
    <m/>
    <m/>
    <x v="0"/>
    <m/>
    <s v=""/>
    <m/>
  </r>
  <r>
    <d v="2026-04-01T00:00:00"/>
    <s v="Bashab"/>
    <s v="Bangalore"/>
    <x v="7"/>
    <s v="F2F"/>
    <s v="Corporate"/>
    <x v="5"/>
    <m/>
    <m/>
    <s v="Banking Finance &amp; Insurance"/>
    <s v="Santosh"/>
    <m/>
    <s v="Follow Up"/>
    <s v="Follow-up( C1 )"/>
    <m/>
    <m/>
    <n v="201"/>
    <s v=""/>
    <s v="Warm"/>
    <m/>
    <m/>
    <m/>
    <m/>
    <x v="5"/>
    <m/>
    <m/>
    <m/>
    <x v="0"/>
    <m/>
    <s v=""/>
    <m/>
  </r>
  <r>
    <d v="2026-04-01T00:00:00"/>
    <s v="Bashab"/>
    <s v="Bangalore"/>
    <x v="8"/>
    <s v="F2F"/>
    <s v="Corporate"/>
    <x v="5"/>
    <m/>
    <m/>
    <m/>
    <s v="Ajay"/>
    <m/>
    <s v="Follow Up"/>
    <s v="Follow-up( C1 )"/>
    <d v="2026-09-25T00:00:00"/>
    <s v="F2F"/>
    <n v="201"/>
    <s v="Yes"/>
    <s v="Hot"/>
    <m/>
    <m/>
    <m/>
    <m/>
    <x v="5"/>
    <m/>
    <m/>
    <m/>
    <x v="0"/>
    <m/>
    <s v=""/>
    <m/>
  </r>
  <r>
    <d v="2026-04-01T00:00:00"/>
    <s v="Bashab"/>
    <s v="Bangalore"/>
    <x v="9"/>
    <s v="Call"/>
    <s v="Aggregator"/>
    <x v="0"/>
    <m/>
    <m/>
    <s v="F&amp;B Aggregator"/>
    <s v="Palna"/>
    <m/>
    <s v="Follow Up"/>
    <s v="Follow-up( C1 )"/>
    <d v="2026-09-18T00:00:00"/>
    <s v="F2F"/>
    <n v="201"/>
    <s v="Yes"/>
    <s v="Hot"/>
    <m/>
    <m/>
    <m/>
    <m/>
    <x v="5"/>
    <m/>
    <m/>
    <m/>
    <x v="0"/>
    <m/>
    <s v=""/>
    <m/>
  </r>
  <r>
    <d v="2026-04-01T00:00:00"/>
    <s v="Bashab"/>
    <s v="Chennai"/>
    <x v="9"/>
    <s v="Call"/>
    <s v="Aggregator"/>
    <x v="0"/>
    <m/>
    <m/>
    <s v="F&amp;B Aggregator"/>
    <s v="Palna"/>
    <m/>
    <s v="Follow Up"/>
    <s v="Follow-up( C1 )"/>
    <d v="2026-09-18T00:00:00"/>
    <s v="Call"/>
    <n v="201"/>
    <s v="Yes"/>
    <s v="Hot"/>
    <m/>
    <m/>
    <m/>
    <m/>
    <x v="5"/>
    <m/>
    <m/>
    <m/>
    <x v="0"/>
    <m/>
    <s v=""/>
    <m/>
  </r>
  <r>
    <d v="2026-04-01T00:00:00"/>
    <s v="Bashab"/>
    <s v="Bangalore"/>
    <x v="10"/>
    <s v="Call"/>
    <s v="Aggregator"/>
    <x v="2"/>
    <m/>
    <m/>
    <s v="F&amp;B Aggregator"/>
    <s v="Saurabh"/>
    <m/>
    <s v="Trying to push our brand, expecting some business from Jan 2nd Half"/>
    <s v="Closed(C4)"/>
    <m/>
    <m/>
    <s v=""/>
    <s v=""/>
    <s v="Warm"/>
    <m/>
    <m/>
    <m/>
    <m/>
    <x v="5"/>
    <m/>
    <m/>
    <m/>
    <x v="0"/>
    <m/>
    <s v=""/>
    <m/>
  </r>
  <r>
    <d v="2026-04-01T00:00:00"/>
    <s v="Bashab"/>
    <s v="Bangalore"/>
    <x v="11"/>
    <s v="F2F"/>
    <s v="Corporate"/>
    <x v="5"/>
    <m/>
    <m/>
    <s v="It"/>
    <s v="Vishwanath"/>
    <m/>
    <s v="Follow-up"/>
    <s v="Follow-up( C1 )"/>
    <m/>
    <m/>
    <n v="201"/>
    <s v=""/>
    <s v="Warm"/>
    <m/>
    <m/>
    <m/>
    <m/>
    <x v="5"/>
    <m/>
    <m/>
    <m/>
    <x v="0"/>
    <m/>
    <s v=""/>
    <m/>
  </r>
  <r>
    <d v="2026-04-01T00:00:00"/>
    <s v="Bashab"/>
    <s v="Bangalore"/>
    <x v="12"/>
    <s v="F2F"/>
    <s v="Corporate"/>
    <x v="5"/>
    <m/>
    <m/>
    <s v="Banking Finance &amp; Insurance"/>
    <s v="Gopal"/>
    <m/>
    <s v="Proposed for Corporate events, Bulk Orders"/>
    <s v="Follow-up( C1 )"/>
    <d v="2026-09-25T00:00:00"/>
    <s v="F2F"/>
    <n v="201"/>
    <s v="Yes"/>
    <s v="Warm"/>
    <m/>
    <m/>
    <m/>
    <m/>
    <x v="5"/>
    <m/>
    <m/>
    <m/>
    <x v="0"/>
    <m/>
    <s v=""/>
    <m/>
  </r>
  <r>
    <d v="2026-04-01T00:00:00"/>
    <s v="Bashab"/>
    <s v="Hyderabad"/>
    <x v="13"/>
    <s v="Call"/>
    <s v="Aggregator"/>
    <x v="5"/>
    <m/>
    <m/>
    <s v="Events"/>
    <s v="Ashutosh"/>
    <m/>
    <s v="Event date is from 4th to 6th HiTex"/>
    <s v="Confirmed( C3 )"/>
    <m/>
    <m/>
    <m/>
    <s v=""/>
    <s v="Hot"/>
    <m/>
    <m/>
    <m/>
    <m/>
    <x v="5"/>
    <m/>
    <m/>
    <m/>
    <x v="0"/>
    <m/>
    <s v=""/>
    <m/>
  </r>
  <r>
    <d v="2026-04-01T00:00:00"/>
    <s v="Bashab"/>
    <s v="Bangalore"/>
    <x v="14"/>
    <s v="F2F"/>
    <s v="Corporate"/>
    <x v="5"/>
    <s v="Bulk Order"/>
    <s v="Repeat"/>
    <s v="It"/>
    <s v="Sashi"/>
    <m/>
    <s v="Business Closed"/>
    <s v="Closed(C4)"/>
    <m/>
    <m/>
    <s v=""/>
    <s v=""/>
    <s v="Hot"/>
    <n v="10095"/>
    <n v="10095"/>
    <d v="2026-04-01T00:00:00"/>
    <s v="00ENA01000003840"/>
    <x v="6"/>
    <s v="Received at Store"/>
    <m/>
    <m/>
    <x v="0"/>
    <m/>
    <s v=""/>
    <m/>
  </r>
  <r>
    <d v="2026-04-01T00:00:00"/>
    <s v="Bashab"/>
    <s v="Bangalore"/>
    <x v="15"/>
    <s v="Call"/>
    <s v="Corporate"/>
    <x v="5"/>
    <s v="Pop Up Counter"/>
    <s v="Repeat"/>
    <m/>
    <s v="James"/>
    <m/>
    <s v="Business Closed"/>
    <s v="Closed(C4)"/>
    <m/>
    <m/>
    <s v=""/>
    <s v=""/>
    <s v="Hot"/>
    <n v="7200"/>
    <n v="7200"/>
    <d v="2026-04-01T00:00:00"/>
    <m/>
    <x v="7"/>
    <s v="Received at Store"/>
    <m/>
    <m/>
    <x v="0"/>
    <m/>
    <s v=""/>
    <m/>
  </r>
  <r>
    <d v="2026-04-01T00:00:00"/>
    <s v="Bashab"/>
    <s v="Bangalore"/>
    <x v="16"/>
    <s v="Call"/>
    <s v="Corporate"/>
    <x v="5"/>
    <s v="Bulk Order"/>
    <s v="Repeat"/>
    <s v="Retail"/>
    <s v="Mohammed"/>
    <m/>
    <s v="Business Closed"/>
    <s v="Closed(C4)"/>
    <m/>
    <m/>
    <s v=""/>
    <s v=""/>
    <s v="Hot"/>
    <n v="22456"/>
    <n v="20166"/>
    <d v="2026-04-01T00:00:00"/>
    <s v="00HSA06000002828"/>
    <x v="3"/>
    <s v="Received at HO"/>
    <m/>
    <m/>
    <x v="0"/>
    <m/>
    <s v=""/>
    <m/>
  </r>
  <r>
    <d v="2026-04-02T00:00:00"/>
    <s v="Sameer"/>
    <s v="Hyderabad"/>
    <x v="1"/>
    <s v="F2F"/>
    <s v="Aggregator"/>
    <x v="0"/>
    <s v="Popup Counter"/>
    <s v="Repeat"/>
    <s v="F&amp;B Agrigator"/>
    <s v="Rajender"/>
    <m/>
    <s v="Popup from BHEL on 02-4-2026  "/>
    <s v="Closed(C4)"/>
    <m/>
    <m/>
    <s v=""/>
    <s v=""/>
    <s v="Hot"/>
    <n v="48640"/>
    <n v="48640"/>
    <d v="2026-04-02T00:00:00"/>
    <m/>
    <x v="1"/>
    <s v="Received at HO"/>
    <m/>
    <d v="2026-04-30T00:00:00"/>
    <x v="0"/>
    <m/>
    <s v=""/>
    <m/>
  </r>
  <r>
    <d v="2026-04-02T00:00:00"/>
    <s v="Sameer"/>
    <s v="Hyderabad"/>
    <x v="2"/>
    <s v="F2F"/>
    <s v="Aggregator"/>
    <x v="1"/>
    <s v="Popup Counter"/>
    <s v="Repeat"/>
    <s v="F&amp;B Agrigator"/>
    <s v="Samruddhi"/>
    <m/>
    <s v="Popup on 2-4-2026 Gachibowli"/>
    <s v="Closed(C4)"/>
    <m/>
    <m/>
    <s v=""/>
    <s v=""/>
    <s v="Hot"/>
    <n v="42480"/>
    <n v="42480"/>
    <d v="2026-04-02T00:00:00"/>
    <s v="_x0009__x000a_00GCBTA000287036"/>
    <x v="2"/>
    <s v="Received at HO"/>
    <m/>
    <d v="2026-04-30T00:00:00"/>
    <x v="0"/>
    <m/>
    <s v=""/>
    <m/>
  </r>
  <r>
    <d v="2026-04-02T00:00:00"/>
    <s v="Sameer"/>
    <s v="Hyderabad"/>
    <x v="0"/>
    <s v="Call"/>
    <s v="Aggregator"/>
    <x v="0"/>
    <s v="Popup Counter"/>
    <s v="Repeat"/>
    <s v="F&amp;B Agrigator"/>
    <s v="Praveen"/>
    <m/>
    <s v="Haleem popup  2-04-2026 Gudimalkapur"/>
    <s v="Closed(C4)"/>
    <m/>
    <m/>
    <s v=""/>
    <s v=""/>
    <s v="Hot"/>
    <n v="8500"/>
    <n v="8500"/>
    <d v="2026-04-02T00:00:00"/>
    <m/>
    <x v="0"/>
    <s v="Received at HO"/>
    <m/>
    <d v="2026-04-30T00:00:00"/>
    <x v="0"/>
    <m/>
    <s v=""/>
    <m/>
  </r>
  <r>
    <d v="2026-04-02T00:00:00"/>
    <s v="Bashab"/>
    <s v="Bangalore"/>
    <x v="17"/>
    <s v="F2F"/>
    <s v="Corporate"/>
    <x v="5"/>
    <s v="Bulk Order"/>
    <s v="Repeat"/>
    <s v="It"/>
    <s v="Joshi"/>
    <m/>
    <s v="Business Closed"/>
    <s v="Closed(C4)"/>
    <m/>
    <m/>
    <s v=""/>
    <s v=""/>
    <s v="Hot"/>
    <n v="8850"/>
    <n v="8850"/>
    <d v="2026-04-02T00:00:00"/>
    <s v="00JNC01000016878"/>
    <x v="8"/>
    <s v="Received at Store"/>
    <m/>
    <m/>
    <x v="0"/>
    <m/>
    <s v=""/>
    <m/>
  </r>
  <r>
    <d v="2026-04-02T00:00:00"/>
    <s v="Bashab"/>
    <s v="Bangalore"/>
    <x v="18"/>
    <s v="Call"/>
    <s v="Corporate"/>
    <x v="5"/>
    <s v="Pop Up Counter"/>
    <s v="Repeat"/>
    <m/>
    <s v="Vinod"/>
    <m/>
    <s v="Business Closed"/>
    <s v="Closed(C4)"/>
    <m/>
    <m/>
    <s v=""/>
    <s v=""/>
    <s v="Hot"/>
    <n v="14678"/>
    <n v="14678"/>
    <d v="2026-04-02T00:00:00"/>
    <m/>
    <x v="7"/>
    <s v="Received at Store"/>
    <m/>
    <m/>
    <x v="0"/>
    <m/>
    <s v=""/>
    <m/>
  </r>
  <r>
    <d v="2026-04-03T00:00:00"/>
    <s v="Sameer"/>
    <s v="Hyderabad"/>
    <x v="19"/>
    <s v="F2F"/>
    <s v="Corporate"/>
    <x v="5"/>
    <s v="Bulk Order"/>
    <s v="New"/>
    <s v="Automobile"/>
    <s v="Balajirao"/>
    <m/>
    <s v="Shared details of Advance booking vouchers at Nexus Mall"/>
    <s v="Cancelled"/>
    <m/>
    <m/>
    <n v="199"/>
    <s v=""/>
    <s v="Cold"/>
    <n v="30000"/>
    <m/>
    <d v="2026-04-24T00:00:00"/>
    <m/>
    <x v="9"/>
    <m/>
    <m/>
    <m/>
    <x v="0"/>
    <m/>
    <s v=""/>
    <m/>
  </r>
  <r>
    <d v="2026-04-03T00:00:00"/>
    <s v="Sameer"/>
    <s v="Hyderabad"/>
    <x v="20"/>
    <s v="Call"/>
    <s v="Aggregator"/>
    <x v="1"/>
    <s v="Popup Counter"/>
    <s v="Repeat"/>
    <s v="F&amp;B Agrigator"/>
    <s v="Priyansh"/>
    <m/>
    <s v="popup  3-04-2026 Gachibowli"/>
    <s v="Closed(C4)"/>
    <m/>
    <m/>
    <s v=""/>
    <s v=""/>
    <s v="Hot"/>
    <n v="72210"/>
    <n v="72210"/>
    <d v="2026-04-03T00:00:00"/>
    <s v="00GCBTA000287037"/>
    <x v="2"/>
    <s v="Received at HO"/>
    <m/>
    <d v="2026-04-30T00:00:00"/>
    <x v="0"/>
    <m/>
    <s v=""/>
    <m/>
  </r>
  <r>
    <d v="2026-04-03T00:00:00"/>
    <s v="Sameer"/>
    <s v="Hyderabad"/>
    <x v="21"/>
    <s v="Call"/>
    <s v="Aggregator"/>
    <x v="1"/>
    <s v="Popup Counter"/>
    <s v="Repeat"/>
    <s v="F&amp;B Agrigator"/>
    <s v="Priyansh"/>
    <m/>
    <s v="Popup 3-4-2026 Sarat City 4th Floor"/>
    <s v="Closed(C4)"/>
    <m/>
    <m/>
    <s v=""/>
    <s v=""/>
    <s v="Hot"/>
    <n v="19250"/>
    <n v="19250"/>
    <d v="2026-04-03T00:00:00"/>
    <m/>
    <x v="10"/>
    <s v="Received at HO"/>
    <m/>
    <d v="2026-04-30T00:00:00"/>
    <x v="0"/>
    <m/>
    <s v=""/>
    <m/>
  </r>
  <r>
    <d v="2026-04-03T00:00:00"/>
    <s v="Sameer"/>
    <s v="Hyderabad"/>
    <x v="1"/>
    <s v="F2F"/>
    <s v="Aggregator"/>
    <x v="0"/>
    <s v="Popup Counter"/>
    <s v="New"/>
    <s v="F&amp;B Agrigator"/>
    <s v="Rajender"/>
    <m/>
    <s v="Popup from BHEL on 03-4-2026  "/>
    <s v="Closed(C4)"/>
    <m/>
    <m/>
    <s v=""/>
    <s v=""/>
    <s v="Hot"/>
    <n v="50320"/>
    <n v="50320"/>
    <d v="2026-04-03T00:00:00"/>
    <m/>
    <x v="1"/>
    <s v="Received at HO"/>
    <m/>
    <d v="2026-04-30T00:00:00"/>
    <x v="0"/>
    <m/>
    <s v=""/>
    <m/>
  </r>
  <r>
    <d v="2026-04-03T00:00:00"/>
    <s v="Sameer"/>
    <s v="Hyderabad"/>
    <x v="0"/>
    <s v="Call"/>
    <s v="Aggregator"/>
    <x v="0"/>
    <s v="Popup Counter"/>
    <s v="Repeat"/>
    <s v="F&amp;B Agrigator"/>
    <s v="Praveen"/>
    <m/>
    <s v="Haleem popup  3-04-2026 Gudimalkapur"/>
    <s v="Closed(C4)"/>
    <m/>
    <m/>
    <s v=""/>
    <s v=""/>
    <s v="Hot"/>
    <n v="10200"/>
    <n v="10200"/>
    <d v="2026-04-03T00:00:00"/>
    <m/>
    <x v="0"/>
    <s v="Received at HO"/>
    <m/>
    <d v="2026-04-30T00:00:00"/>
    <x v="0"/>
    <m/>
    <s v=""/>
    <m/>
  </r>
  <r>
    <d v="2026-04-03T00:00:00"/>
    <s v="Bashab"/>
    <s v="Bangalore"/>
    <x v="22"/>
    <s v="F2F"/>
    <s v="Corporate"/>
    <x v="5"/>
    <s v="Bulk Order"/>
    <s v="Repeat"/>
    <s v="It"/>
    <s v="Monty"/>
    <m/>
    <s v="Business Closed"/>
    <s v="Closed(C4)"/>
    <m/>
    <m/>
    <s v=""/>
    <s v=""/>
    <s v="Hot"/>
    <n v="6090"/>
    <n v="6090"/>
    <d v="2026-04-03T00:00:00"/>
    <s v="00JNC01000016924"/>
    <x v="8"/>
    <s v="Received at Store"/>
    <m/>
    <m/>
    <x v="0"/>
    <m/>
    <s v=""/>
    <m/>
  </r>
  <r>
    <d v="2026-04-03T00:00:00"/>
    <s v="Bashab"/>
    <s v="Bangalore"/>
    <x v="23"/>
    <s v="F2F"/>
    <s v="Corporate"/>
    <x v="5"/>
    <s v="Bulk Order"/>
    <s v="Repeat"/>
    <s v="It"/>
    <s v="Sunitha"/>
    <m/>
    <s v="Business Closed"/>
    <s v="Closed(C4)"/>
    <m/>
    <m/>
    <s v=""/>
    <s v=""/>
    <s v="Hot"/>
    <n v="6070"/>
    <n v="6070"/>
    <d v="2026-04-03T00:00:00"/>
    <s v="00WFC01000026256"/>
    <x v="7"/>
    <s v="Received at Store"/>
    <m/>
    <m/>
    <x v="0"/>
    <m/>
    <s v=""/>
    <m/>
  </r>
  <r>
    <d v="2026-04-04T00:00:00"/>
    <s v="Sameer"/>
    <s v="Hyderabad"/>
    <x v="24"/>
    <s v="F2F"/>
    <s v="Aggregator"/>
    <x v="6"/>
    <s v="Popup Counter"/>
    <s v="New"/>
    <s v="Pharma"/>
    <s v="Nawsad"/>
    <m/>
    <s v="Popup at Hitex on 4-4-2026 Hitec City"/>
    <s v="Closed(C4)"/>
    <m/>
    <m/>
    <s v=""/>
    <s v=""/>
    <s v="Hot"/>
    <n v="34120"/>
    <n v="34120"/>
    <d v="2026-04-04T00:00:00"/>
    <m/>
    <x v="4"/>
    <s v="Received at HO"/>
    <m/>
    <d v="2026-04-30T00:00:00"/>
    <x v="0"/>
    <m/>
    <s v=""/>
    <m/>
  </r>
  <r>
    <d v="2026-04-04T00:00:00"/>
    <s v="Sameer"/>
    <s v="Hyderabad"/>
    <x v="25"/>
    <s v="Call"/>
    <s v="Aggregator"/>
    <x v="2"/>
    <s v="Popup Counter"/>
    <s v="New"/>
    <s v="Pharma"/>
    <s v="Bibekananda"/>
    <m/>
    <s v="Delivery of CB from Gachibowli 4-4-2026"/>
    <s v="Closed(C4)"/>
    <m/>
    <m/>
    <s v=""/>
    <s v=""/>
    <s v="Hot"/>
    <n v="24800"/>
    <n v="24800"/>
    <d v="2026-04-04T00:00:00"/>
    <s v="00GCBTA000287089"/>
    <x v="2"/>
    <s v="Received at HO"/>
    <m/>
    <d v="2026-05-30T00:00:00"/>
    <x v="0"/>
    <m/>
    <s v=""/>
    <m/>
  </r>
  <r>
    <d v="2026-04-04T00:00:00"/>
    <s v="Bashab"/>
    <s v="Hyderabad"/>
    <x v="26"/>
    <s v="Call"/>
    <s v="Aggregator"/>
    <x v="6"/>
    <s v="Popup Counter"/>
    <s v="New"/>
    <s v="Pharma"/>
    <s v="Ashutosh"/>
    <m/>
    <s v="Business Closed"/>
    <s v="Closed(C4)"/>
    <m/>
    <m/>
    <s v=""/>
    <s v=""/>
    <s v="Hot"/>
    <n v="34120"/>
    <n v="34120"/>
    <d v="2026-04-04T00:00:00"/>
    <m/>
    <x v="5"/>
    <s v="Received at HO"/>
    <m/>
    <m/>
    <x v="0"/>
    <m/>
    <s v=""/>
    <m/>
  </r>
  <r>
    <d v="2026-04-05T00:00:00"/>
    <s v="Sameer"/>
    <s v="Hyderabad"/>
    <x v="27"/>
    <s v="Call"/>
    <s v="Bulk Order"/>
    <x v="5"/>
    <s v="Popup Counter"/>
    <s v="New"/>
    <s v="Pharma"/>
    <s v="Sunita Bomma"/>
    <m/>
    <s v="Delivery of MB Gachibowli"/>
    <s v="Closed(C4)"/>
    <m/>
    <m/>
    <s v=""/>
    <s v=""/>
    <s v="Hot"/>
    <n v="8800"/>
    <n v="8800"/>
    <d v="2026-04-04T00:00:00"/>
    <m/>
    <x v="2"/>
    <s v="Received at Store"/>
    <m/>
    <d v="2026-04-05T00:00:00"/>
    <x v="0"/>
    <m/>
    <s v=""/>
    <m/>
  </r>
  <r>
    <d v="2026-04-05T00:00:00"/>
    <s v="Sameer"/>
    <s v="Hyderabad"/>
    <x v="24"/>
    <s v="Call"/>
    <s v="Aggregator"/>
    <x v="6"/>
    <s v="Popup Counter"/>
    <s v="New"/>
    <s v="Pharma"/>
    <s v="Nawsad"/>
    <m/>
    <s v="Popup at Hitex on 5-4-2026 Hitec City"/>
    <s v="Closed(C4)"/>
    <m/>
    <m/>
    <s v=""/>
    <s v=""/>
    <s v="Hot"/>
    <n v="52350"/>
    <n v="52350"/>
    <d v="2026-04-05T00:00:00"/>
    <s v="00HCA05000015649"/>
    <x v="4"/>
    <s v="Received at HO"/>
    <m/>
    <d v="2026-04-30T00:00:00"/>
    <x v="0"/>
    <m/>
    <s v=""/>
    <m/>
  </r>
  <r>
    <d v="2026-04-05T00:00:00"/>
    <s v="Bashab"/>
    <s v="Bangalore"/>
    <x v="28"/>
    <s v="F2F"/>
    <s v="Aggregator"/>
    <x v="3"/>
    <s v="Bulk Order"/>
    <s v="Repeat"/>
    <s v="It"/>
    <s v="Navya"/>
    <m/>
    <s v="Business Closed"/>
    <s v="Closed(C4)"/>
    <m/>
    <m/>
    <s v=""/>
    <s v=""/>
    <s v="Hot"/>
    <n v="36920"/>
    <n v="36920"/>
    <d v="2026-04-05T00:00:00"/>
    <m/>
    <x v="8"/>
    <s v="Received at HO"/>
    <m/>
    <m/>
    <x v="0"/>
    <m/>
    <s v=""/>
    <m/>
  </r>
  <r>
    <d v="2026-04-05T00:00:00"/>
    <s v="Bashab"/>
    <s v="Hyderabad"/>
    <x v="26"/>
    <s v="Call"/>
    <s v="Aggregator"/>
    <x v="6"/>
    <s v="Popup Counter"/>
    <s v="New"/>
    <s v="Pharma"/>
    <s v="Ashutosh"/>
    <m/>
    <s v="Business Closed"/>
    <s v="Closed(C4)"/>
    <m/>
    <m/>
    <s v=""/>
    <s v=""/>
    <s v="Hot"/>
    <n v="52350"/>
    <n v="52350"/>
    <d v="2026-04-05T00:00:00"/>
    <m/>
    <x v="5"/>
    <s v="Received at HO"/>
    <m/>
    <m/>
    <x v="0"/>
    <m/>
    <s v=""/>
    <m/>
  </r>
  <r>
    <d v="2026-04-06T00:00:00"/>
    <s v="Sameer"/>
    <s v="Hyderabad"/>
    <x v="24"/>
    <s v="F2F"/>
    <s v="Aggregator"/>
    <x v="6"/>
    <s v="Popup Counter"/>
    <s v="New"/>
    <s v="Pharma"/>
    <s v="Nawsad"/>
    <m/>
    <s v="Popup at Hitex on 6-4-2026 Hitec City"/>
    <s v="Closed(C4)"/>
    <m/>
    <m/>
    <s v=""/>
    <s v=""/>
    <s v="Hot"/>
    <n v="27150"/>
    <n v="27150"/>
    <d v="2026-04-06T00:00:00"/>
    <m/>
    <x v="4"/>
    <s v="Received at HO"/>
    <m/>
    <d v="2026-04-30T00:00:00"/>
    <x v="0"/>
    <m/>
    <s v=""/>
    <m/>
  </r>
  <r>
    <d v="2026-04-06T00:00:00"/>
    <s v="Sameer"/>
    <s v="Hyderabad"/>
    <x v="1"/>
    <s v="F2F"/>
    <s v="Aggregator"/>
    <x v="0"/>
    <s v="Popup Counter"/>
    <s v="New"/>
    <s v="F&amp;B Agrigator"/>
    <s v="Rajender"/>
    <m/>
    <s v="Popup from BHEL on 06-4-2026  "/>
    <s v="Closed(C4)"/>
    <m/>
    <m/>
    <s v=""/>
    <s v=""/>
    <s v="Hot"/>
    <n v="33665"/>
    <n v="33665"/>
    <d v="2026-04-06T00:00:00"/>
    <m/>
    <x v="1"/>
    <s v="Received at HO"/>
    <m/>
    <d v="2026-04-30T00:00:00"/>
    <x v="0"/>
    <m/>
    <s v=""/>
    <m/>
  </r>
  <r>
    <d v="2026-04-06T00:00:00"/>
    <s v="Bashab"/>
    <s v="Hyderabad"/>
    <x v="26"/>
    <s v="Call"/>
    <s v="Aggregator"/>
    <x v="6"/>
    <s v="Popup Counter"/>
    <s v="New"/>
    <s v="Pharma"/>
    <s v="Ashutosh"/>
    <m/>
    <s v="Business Closed"/>
    <s v="Closed(C4)"/>
    <m/>
    <m/>
    <s v=""/>
    <s v=""/>
    <s v="Hot"/>
    <n v="27150"/>
    <n v="27150"/>
    <d v="2026-04-06T00:00:00"/>
    <m/>
    <x v="5"/>
    <s v="Received at HO"/>
    <m/>
    <m/>
    <x v="0"/>
    <m/>
    <s v=""/>
    <m/>
  </r>
  <r>
    <d v="2026-04-06T00:00:00"/>
    <s v="Bashab"/>
    <s v="Bangalore"/>
    <x v="29"/>
    <s v="F2F"/>
    <s v="Corporate"/>
    <x v="5"/>
    <s v="Bulk Order"/>
    <s v="Repeat"/>
    <s v="It"/>
    <s v="Arpit"/>
    <m/>
    <s v="Business Closed"/>
    <s v="Closed(C4)"/>
    <m/>
    <m/>
    <s v=""/>
    <s v=""/>
    <s v="Hot"/>
    <n v="5315"/>
    <n v="5315"/>
    <d v="2026-04-06T00:00:00"/>
    <s v="00ENA01000003980"/>
    <x v="6"/>
    <s v="Received at Store"/>
    <m/>
    <m/>
    <x v="0"/>
    <m/>
    <s v=""/>
    <m/>
  </r>
  <r>
    <d v="2026-04-06T00:00:00"/>
    <s v="Bashab"/>
    <s v="Bangalore"/>
    <x v="30"/>
    <s v="F2F"/>
    <s v="Corporate"/>
    <x v="5"/>
    <s v="Bulk Order"/>
    <s v="Repeat"/>
    <s v="It"/>
    <s v="Savita"/>
    <m/>
    <s v="Business Closed"/>
    <s v="Closed(C4)"/>
    <m/>
    <m/>
    <s v=""/>
    <s v=""/>
    <s v="Hot"/>
    <n v="7290"/>
    <n v="7290"/>
    <d v="2026-04-06T00:00:00"/>
    <s v="00ENA01000003990"/>
    <x v="6"/>
    <s v="Received at Store"/>
    <m/>
    <m/>
    <x v="0"/>
    <m/>
    <s v=""/>
    <m/>
  </r>
  <r>
    <d v="2026-04-07T00:00:00"/>
    <s v="Sameer"/>
    <s v="Hyderabad"/>
    <x v="20"/>
    <s v="Call"/>
    <s v="Aggregator"/>
    <x v="1"/>
    <s v="Popup Counter"/>
    <s v="New"/>
    <s v="F&amp;B Agrigator"/>
    <s v="Priyansh"/>
    <m/>
    <s v="popup  7-04-2026 Gachibowli"/>
    <s v="Closed(C4)"/>
    <m/>
    <m/>
    <s v=""/>
    <s v=""/>
    <s v="Hot"/>
    <n v="57290"/>
    <n v="57290"/>
    <d v="2026-04-07T00:00:00"/>
    <s v="_x0009__x000a_00GCBTA000287324"/>
    <x v="2"/>
    <s v="Received at HO"/>
    <m/>
    <d v="2026-04-30T00:00:00"/>
    <x v="0"/>
    <m/>
    <s v=""/>
    <m/>
  </r>
  <r>
    <d v="2026-04-07T00:00:00"/>
    <s v="Sameer"/>
    <s v="Hyderabad"/>
    <x v="21"/>
    <s v="Call"/>
    <s v="Aggregator"/>
    <x v="1"/>
    <s v="Popup Counter"/>
    <s v="New"/>
    <s v="F&amp;B Agrigator"/>
    <s v="Priyansh"/>
    <m/>
    <s v="Popup 7-4-2026 Sarat City 4th Floor"/>
    <s v="Closed(C4)"/>
    <m/>
    <m/>
    <s v=""/>
    <s v=""/>
    <s v="Hot"/>
    <n v="21980"/>
    <n v="21980"/>
    <d v="2026-04-07T00:00:00"/>
    <m/>
    <x v="10"/>
    <s v="Received at HO"/>
    <m/>
    <d v="2026-04-30T00:00:00"/>
    <x v="0"/>
    <m/>
    <s v=""/>
    <m/>
  </r>
  <r>
    <d v="2026-04-07T00:00:00"/>
    <s v="Sameer"/>
    <s v="Hyderabad"/>
    <x v="1"/>
    <s v="F2F"/>
    <s v="Aggregator"/>
    <x v="0"/>
    <s v="Popup Counter"/>
    <s v="New"/>
    <s v="F&amp;B Agrigator"/>
    <s v="Rajender"/>
    <m/>
    <s v="Popup from BHEL on 07-4-2026  "/>
    <s v="Closed(C4)"/>
    <m/>
    <m/>
    <s v=""/>
    <s v=""/>
    <s v="Hot"/>
    <n v="57406"/>
    <n v="57406"/>
    <d v="2026-04-07T00:00:00"/>
    <m/>
    <x v="1"/>
    <s v="Received at HO"/>
    <m/>
    <d v="2026-04-30T00:00:00"/>
    <x v="0"/>
    <m/>
    <s v=""/>
    <m/>
  </r>
  <r>
    <d v="2026-04-07T00:00:00"/>
    <s v="Bashab"/>
    <s v="Bangalore"/>
    <x v="31"/>
    <s v="Call"/>
    <s v="Corporate"/>
    <x v="5"/>
    <s v="Pop Up Counter"/>
    <s v="Repeat"/>
    <m/>
    <s v="Mueenudheen"/>
    <m/>
    <s v="Business Closed"/>
    <s v="Closed(C4)"/>
    <m/>
    <m/>
    <s v=""/>
    <s v=""/>
    <s v="Hot"/>
    <n v="15731"/>
    <n v="15731"/>
    <d v="2026-04-07T00:00:00"/>
    <m/>
    <x v="7"/>
    <s v="Received at Store"/>
    <m/>
    <m/>
    <x v="0"/>
    <m/>
    <s v=""/>
    <m/>
  </r>
  <r>
    <d v="2026-04-07T00:00:00"/>
    <s v="Bashab"/>
    <s v="Chennai"/>
    <x v="32"/>
    <s v="Call"/>
    <s v="Aggregator"/>
    <x v="6"/>
    <s v="ODC"/>
    <s v="New"/>
    <s v="Events"/>
    <s v="Devendar"/>
    <m/>
    <s v="Business Confirmed"/>
    <s v="Confirmed( C3 )"/>
    <m/>
    <m/>
    <m/>
    <s v=""/>
    <s v="Hot"/>
    <m/>
    <m/>
    <m/>
    <m/>
    <x v="5"/>
    <m/>
    <m/>
    <m/>
    <x v="0"/>
    <m/>
    <s v=""/>
    <m/>
  </r>
  <r>
    <d v="2026-04-07T00:00:00"/>
    <s v="Bashab"/>
    <s v="Bangalore"/>
    <x v="10"/>
    <s v="F2F"/>
    <s v="Aggregator"/>
    <x v="2"/>
    <m/>
    <m/>
    <s v="F&amp;B Aggregator"/>
    <s v="Sarvesh"/>
    <m/>
    <s v="Business Confirmed"/>
    <s v="Confirmed( C3 )"/>
    <m/>
    <m/>
    <m/>
    <s v=""/>
    <s v="Hot"/>
    <m/>
    <m/>
    <m/>
    <m/>
    <x v="5"/>
    <m/>
    <m/>
    <m/>
    <x v="0"/>
    <m/>
    <s v=""/>
    <m/>
  </r>
  <r>
    <d v="2026-04-07T00:00:00"/>
    <s v="Bashab"/>
    <s v="Bangalore"/>
    <x v="33"/>
    <s v="Call"/>
    <s v="Aggregator"/>
    <x v="1"/>
    <s v="Pop Up Counter"/>
    <m/>
    <s v="F&amp;B Aggregator"/>
    <s v="Harish"/>
    <m/>
    <s v="Business Confirmed"/>
    <s v="Confirmed( C3 )"/>
    <m/>
    <m/>
    <m/>
    <s v=""/>
    <s v="Hot"/>
    <m/>
    <m/>
    <m/>
    <m/>
    <x v="5"/>
    <m/>
    <m/>
    <m/>
    <x v="0"/>
    <m/>
    <s v=""/>
    <m/>
  </r>
  <r>
    <d v="2026-04-07T00:00:00"/>
    <s v="Bashab"/>
    <s v="Bangalore"/>
    <x v="34"/>
    <s v="F2F"/>
    <s v="Corporate"/>
    <x v="5"/>
    <s v="Bulk Order"/>
    <m/>
    <s v="It"/>
    <s v="Sunit"/>
    <m/>
    <s v="Business Closed"/>
    <s v="Closed(C4)"/>
    <m/>
    <m/>
    <s v=""/>
    <s v=""/>
    <s v="Hot"/>
    <n v="6500"/>
    <n v="6500"/>
    <d v="2026-04-07T00:00:00"/>
    <s v="00ENA01000004004"/>
    <x v="6"/>
    <s v="Received at Store"/>
    <m/>
    <m/>
    <x v="0"/>
    <m/>
    <s v=""/>
    <m/>
  </r>
  <r>
    <d v="2026-04-07T00:00:00"/>
    <s v="Bashab"/>
    <s v="Bangalore"/>
    <x v="35"/>
    <s v="F2F"/>
    <s v="Corporate"/>
    <x v="5"/>
    <s v="Bulk Order"/>
    <m/>
    <s v="It"/>
    <s v="Sukumar"/>
    <m/>
    <s v="Business Closed"/>
    <s v="Closed(C4)"/>
    <m/>
    <m/>
    <s v=""/>
    <s v=""/>
    <s v="Hot"/>
    <n v="6040"/>
    <n v="6040"/>
    <d v="2026-04-07T00:00:00"/>
    <s v="00WFC01000026325"/>
    <x v="7"/>
    <s v="Received at Store"/>
    <m/>
    <m/>
    <x v="0"/>
    <m/>
    <s v=""/>
    <m/>
  </r>
  <r>
    <d v="2026-04-08T00:00:00"/>
    <s v="Bashab"/>
    <s v="Bangalore"/>
    <x v="16"/>
    <s v="Call"/>
    <s v="Corporate"/>
    <x v="5"/>
    <s v="Bulk Order"/>
    <s v="Repeat"/>
    <s v="Retail"/>
    <s v="Mohammed"/>
    <m/>
    <s v="Business Closed"/>
    <s v="Closed(C4)"/>
    <m/>
    <m/>
    <s v=""/>
    <s v=""/>
    <s v="Hot"/>
    <n v="22456"/>
    <n v="22458"/>
    <d v="2026-04-08T00:00:00"/>
    <s v="00HSA06000002819"/>
    <x v="3"/>
    <s v="Received at HO"/>
    <m/>
    <m/>
    <x v="0"/>
    <m/>
    <s v=""/>
    <m/>
  </r>
  <r>
    <d v="2026-04-08T00:00:00"/>
    <s v="Sameer"/>
    <s v="Hyderabad"/>
    <x v="20"/>
    <s v="Call"/>
    <s v="Aggregator"/>
    <x v="1"/>
    <s v="Popup Counter"/>
    <s v="New"/>
    <s v="F&amp;B Agrigator"/>
    <s v="Priyansh"/>
    <m/>
    <s v="popup  8-04-2026 Gachibowli"/>
    <s v="Closed(C4)"/>
    <m/>
    <m/>
    <s v=""/>
    <s v=""/>
    <s v="Hot"/>
    <n v="58360"/>
    <n v="58360"/>
    <d v="2026-04-08T00:00:00"/>
    <s v="00GCBTA000287325_x000a_"/>
    <x v="2"/>
    <s v="Received at HO"/>
    <m/>
    <d v="2026-04-30T00:00:00"/>
    <x v="0"/>
    <m/>
    <s v=""/>
    <m/>
  </r>
  <r>
    <d v="2026-04-08T00:00:00"/>
    <s v="Sameer"/>
    <s v="Hyderabad"/>
    <x v="21"/>
    <s v="Call"/>
    <s v="Aggregator"/>
    <x v="1"/>
    <s v="Popup Counter"/>
    <s v="New"/>
    <s v="F&amp;B Agrigator"/>
    <s v="Priyansh"/>
    <m/>
    <s v="Popup 8-4-2026 Sarat City 4th Floor"/>
    <s v="Closed(C4)"/>
    <m/>
    <m/>
    <s v=""/>
    <s v=""/>
    <s v="Hot"/>
    <n v="16140"/>
    <n v="16140"/>
    <d v="2026-04-08T00:00:00"/>
    <m/>
    <x v="10"/>
    <s v="Received at HO"/>
    <m/>
    <d v="2026-04-30T00:00:00"/>
    <x v="0"/>
    <m/>
    <s v=""/>
    <m/>
  </r>
  <r>
    <d v="2026-04-08T00:00:00"/>
    <s v="Sameer"/>
    <s v="Hyderabad"/>
    <x v="1"/>
    <s v="F2F"/>
    <s v="Aggregator"/>
    <x v="0"/>
    <s v="Popup Counter"/>
    <s v="New"/>
    <s v="F&amp;B Agrigator"/>
    <s v="Rajender"/>
    <m/>
    <s v="Popup from BHEL on 08-4-2026  "/>
    <s v="Closed(C4)"/>
    <m/>
    <m/>
    <s v=""/>
    <s v=""/>
    <s v="Hot"/>
    <n v="61550"/>
    <n v="61550"/>
    <d v="2026-04-08T00:00:00"/>
    <m/>
    <x v="1"/>
    <s v="Received at HO"/>
    <m/>
    <d v="2026-04-30T00:00:00"/>
    <x v="0"/>
    <m/>
    <s v=""/>
    <m/>
  </r>
  <r>
    <d v="2026-04-08T00:00:00"/>
    <s v="Sameer"/>
    <s v="Bangalore"/>
    <x v="3"/>
    <s v="Call"/>
    <s v="Aggregator"/>
    <x v="2"/>
    <s v="Bulk Order"/>
    <s v="New"/>
    <s v="F&amp;B Agrigator"/>
    <s v="Saad"/>
    <m/>
    <s v="Delivery on 8-4-2026 from HSR"/>
    <s v="Closed(C4)"/>
    <m/>
    <m/>
    <s v=""/>
    <s v=""/>
    <s v="Hot"/>
    <n v="22456"/>
    <n v="22458"/>
    <d v="2026-04-08T00:00:00"/>
    <s v="00HSA06000002819"/>
    <x v="3"/>
    <s v="Received at HO"/>
    <m/>
    <d v="2026-05-30T00:00:00"/>
    <x v="0"/>
    <m/>
    <s v=""/>
    <m/>
  </r>
  <r>
    <d v="2026-04-08T00:00:00"/>
    <s v="Bashab"/>
    <s v="Bangalore"/>
    <x v="36"/>
    <s v="F2F"/>
    <s v="Corporate"/>
    <x v="5"/>
    <s v="Bulk Order"/>
    <m/>
    <s v="It"/>
    <s v="Rajiv"/>
    <m/>
    <s v="Business Closed"/>
    <s v="Closed(C4)"/>
    <m/>
    <m/>
    <s v=""/>
    <s v=""/>
    <s v="Hot"/>
    <n v="5850"/>
    <n v="5850"/>
    <d v="2026-04-08T00:00:00"/>
    <s v="00MRA01000003738"/>
    <x v="11"/>
    <s v="Received at Store"/>
    <m/>
    <m/>
    <x v="0"/>
    <m/>
    <s v=""/>
    <m/>
  </r>
  <r>
    <d v="2026-04-08T00:00:00"/>
    <s v="Bashab"/>
    <s v="Bangalore"/>
    <x v="37"/>
    <s v="Call"/>
    <s v="Aggregator"/>
    <x v="1"/>
    <s v="Popup Counter"/>
    <m/>
    <s v="F&amp;B Agrigator"/>
    <s v="Harish"/>
    <m/>
    <s v="Business Closed"/>
    <s v="Closed(C4)"/>
    <m/>
    <m/>
    <s v=""/>
    <s v=""/>
    <s v="Hot"/>
    <n v="20616"/>
    <n v="20616"/>
    <d v="2026-04-08T00:00:00"/>
    <m/>
    <x v="12"/>
    <s v="Received at HO"/>
    <m/>
    <m/>
    <x v="0"/>
    <m/>
    <s v=""/>
    <m/>
  </r>
  <r>
    <d v="2026-04-09T00:00:00"/>
    <s v="Sameer"/>
    <s v="Hyderabad"/>
    <x v="20"/>
    <s v="Call"/>
    <s v="Aggregator"/>
    <x v="1"/>
    <s v="Popup Counter"/>
    <s v="New"/>
    <s v="F&amp;B Agrigator"/>
    <s v="Priyansh"/>
    <m/>
    <s v="popup  9-04-2026 Gachibowli"/>
    <s v="Closed(C4)"/>
    <m/>
    <m/>
    <s v=""/>
    <s v=""/>
    <s v="Hot"/>
    <n v="70450"/>
    <n v="70450"/>
    <d v="2026-04-09T00:00:00"/>
    <m/>
    <x v="2"/>
    <s v="Received at HO"/>
    <m/>
    <d v="2026-04-30T00:00:00"/>
    <x v="0"/>
    <m/>
    <s v=""/>
    <m/>
  </r>
  <r>
    <d v="2026-04-09T00:00:00"/>
    <s v="Sameer"/>
    <s v="Hyderabad"/>
    <x v="21"/>
    <s v="Call"/>
    <s v="Aggregator"/>
    <x v="1"/>
    <s v="Popup Counter"/>
    <s v="New"/>
    <s v="F&amp;B Agrigator"/>
    <s v="Priyansh"/>
    <m/>
    <s v="Popup 9-4-2026 Sarat City 4th Floor"/>
    <s v="Closed(C4)"/>
    <m/>
    <m/>
    <s v=""/>
    <s v=""/>
    <s v="Hot"/>
    <n v="17320"/>
    <n v="17320"/>
    <d v="2026-04-09T00:00:00"/>
    <m/>
    <x v="10"/>
    <s v="Received at HO"/>
    <m/>
    <d v="2026-04-30T00:00:00"/>
    <x v="0"/>
    <m/>
    <s v=""/>
    <m/>
  </r>
  <r>
    <d v="2026-04-09T00:00:00"/>
    <s v="Sameer"/>
    <s v="Hyderabad"/>
    <x v="1"/>
    <s v="F2F"/>
    <s v="Aggregator"/>
    <x v="0"/>
    <s v="Popup Counter"/>
    <s v="New"/>
    <s v="F&amp;B Agrigator"/>
    <s v="Rajender"/>
    <m/>
    <s v="Popup from BHEL on 09-4-2026  "/>
    <s v="Closed(C4)"/>
    <m/>
    <m/>
    <s v=""/>
    <s v=""/>
    <s v="Hot"/>
    <n v="63812"/>
    <n v="63812"/>
    <d v="2026-04-09T00:00:00"/>
    <m/>
    <x v="1"/>
    <s v="Received at HO"/>
    <m/>
    <d v="2026-04-30T00:00:00"/>
    <x v="0"/>
    <m/>
    <s v=""/>
    <m/>
  </r>
  <r>
    <d v="2026-04-09T00:00:00"/>
    <s v="Bashab"/>
    <s v="Bangalore"/>
    <x v="38"/>
    <s v="F2F"/>
    <s v="Corporate"/>
    <x v="5"/>
    <s v="Bulk Order"/>
    <m/>
    <s v="Banking Finance &amp; Insurance"/>
    <s v="Kishore"/>
    <m/>
    <s v="Business Closed"/>
    <s v="Closed(C4)"/>
    <m/>
    <m/>
    <s v=""/>
    <s v=""/>
    <s v="Hot"/>
    <n v="5375"/>
    <n v="5375"/>
    <d v="2026-04-09T00:00:00"/>
    <s v="00DDC01000021507"/>
    <x v="13"/>
    <s v="Received at Store"/>
    <m/>
    <m/>
    <x v="0"/>
    <m/>
    <s v=""/>
    <m/>
  </r>
  <r>
    <d v="2026-04-09T00:00:00"/>
    <s v="Bashab"/>
    <s v="Bangalore"/>
    <x v="39"/>
    <s v="F2F"/>
    <s v="Aggregator"/>
    <x v="2"/>
    <s v="Bulk Order"/>
    <m/>
    <s v="It"/>
    <s v="Sadashiv"/>
    <m/>
    <s v="Business Closed"/>
    <s v="Closed(C4)"/>
    <m/>
    <m/>
    <s v=""/>
    <s v=""/>
    <s v="Hot"/>
    <n v="17655"/>
    <n v="17655"/>
    <d v="2026-04-09T00:00:00"/>
    <m/>
    <x v="11"/>
    <s v="Received at HO"/>
    <m/>
    <m/>
    <x v="0"/>
    <m/>
    <s v=""/>
    <m/>
  </r>
  <r>
    <d v="2026-04-09T00:00:00"/>
    <s v="Bashab"/>
    <s v="Bangalore"/>
    <x v="40"/>
    <s v="Call"/>
    <s v="Corporate"/>
    <x v="5"/>
    <s v="Pop Up Counter"/>
    <m/>
    <m/>
    <s v="Srinivas"/>
    <m/>
    <s v="Business Closed"/>
    <s v="Closed(C4)"/>
    <m/>
    <m/>
    <s v=""/>
    <s v=""/>
    <s v="Hot"/>
    <n v="21840"/>
    <n v="21840"/>
    <d v="2026-04-09T00:00:00"/>
    <m/>
    <x v="7"/>
    <s v="Received at Store"/>
    <m/>
    <m/>
    <x v="0"/>
    <m/>
    <s v=""/>
    <m/>
  </r>
  <r>
    <d v="2026-04-10T00:00:00"/>
    <s v="Sameer"/>
    <s v="Hyderabad"/>
    <x v="20"/>
    <s v="Call"/>
    <s v="Aggregator"/>
    <x v="1"/>
    <s v="Popup Counter"/>
    <s v="New"/>
    <s v="F&amp;B Agrigator"/>
    <s v="Priyansh"/>
    <m/>
    <s v="popup  10-04-2026 Gachibowli"/>
    <s v="Closed(C4)"/>
    <m/>
    <m/>
    <s v=""/>
    <s v=""/>
    <s v="Hot"/>
    <n v="83720"/>
    <n v="83720"/>
    <d v="2026-04-10T00:00:00"/>
    <m/>
    <x v="2"/>
    <s v="Received at HO"/>
    <m/>
    <d v="2026-04-30T00:00:00"/>
    <x v="0"/>
    <m/>
    <s v=""/>
    <m/>
  </r>
  <r>
    <d v="2026-04-10T00:00:00"/>
    <s v="Sameer"/>
    <s v="Hyderabad"/>
    <x v="21"/>
    <s v="Call"/>
    <s v="Aggregator"/>
    <x v="1"/>
    <s v="Popup Counter"/>
    <s v="New"/>
    <s v="F&amp;B Agrigator"/>
    <s v="Priyansh"/>
    <m/>
    <s v="Popup 10-4-2026 Sarat City 4th Floor"/>
    <s v="Closed(C4)"/>
    <m/>
    <m/>
    <s v=""/>
    <s v=""/>
    <s v="Hot"/>
    <n v="19120"/>
    <n v="19120"/>
    <d v="2026-04-10T00:00:00"/>
    <m/>
    <x v="10"/>
    <s v="Received at HO"/>
    <m/>
    <d v="2026-04-30T00:00:00"/>
    <x v="0"/>
    <m/>
    <s v=""/>
    <m/>
  </r>
  <r>
    <d v="2026-04-10T00:00:00"/>
    <s v="Sameer"/>
    <s v="Hyderabad"/>
    <x v="1"/>
    <s v="F2F"/>
    <s v="Aggregator"/>
    <x v="0"/>
    <s v="Popup Counter"/>
    <s v="New"/>
    <s v="F&amp;B Agrigator"/>
    <s v="Rajender"/>
    <m/>
    <s v="Popup from BHEL on 10-4-2026  "/>
    <s v="Closed(C4)"/>
    <m/>
    <m/>
    <s v=""/>
    <s v=""/>
    <s v="Hot"/>
    <n v="49754"/>
    <n v="49754"/>
    <d v="2026-04-10T00:00:00"/>
    <m/>
    <x v="1"/>
    <s v="Received at HO"/>
    <m/>
    <d v="2026-04-30T00:00:00"/>
    <x v="0"/>
    <m/>
    <s v=""/>
    <m/>
  </r>
  <r>
    <d v="2026-04-10T00:00:00"/>
    <s v="Bashab"/>
    <s v="Bangalore"/>
    <x v="41"/>
    <s v="Call"/>
    <s v="Aggregator"/>
    <x v="1"/>
    <s v="Popup Counter"/>
    <m/>
    <s v="F&amp;B Agrigator"/>
    <s v="Harish"/>
    <m/>
    <s v="Business Closed"/>
    <s v="Closed(C4)"/>
    <m/>
    <m/>
    <s v=""/>
    <s v=""/>
    <s v="Hot"/>
    <n v="23705"/>
    <n v="23705"/>
    <d v="2026-04-10T00:00:00"/>
    <m/>
    <x v="12"/>
    <s v="Received at HO"/>
    <m/>
    <m/>
    <x v="0"/>
    <m/>
    <s v=""/>
    <m/>
  </r>
  <r>
    <d v="2026-04-11T00:00:00"/>
    <s v="Sameer"/>
    <s v="Hyderabad"/>
    <x v="42"/>
    <s v="Call"/>
    <s v="Bulk Order"/>
    <x v="5"/>
    <s v="Bulk Order"/>
    <s v="New"/>
    <s v="Family Group"/>
    <s v="Sunita"/>
    <m/>
    <s v="Delivery of CB 12-04-2026 BHEL"/>
    <s v="Closed(C4)"/>
    <m/>
    <m/>
    <s v=""/>
    <s v=""/>
    <s v="Hot"/>
    <n v="6500"/>
    <n v="6500"/>
    <d v="2026-04-12T00:00:00"/>
    <m/>
    <x v="1"/>
    <s v="Received at Store"/>
    <m/>
    <d v="2026-04-11T00:00:00"/>
    <x v="0"/>
    <m/>
    <s v=""/>
    <m/>
  </r>
  <r>
    <d v="2026-04-12T00:00:00"/>
    <s v="Sameer"/>
    <s v="Hyderabad"/>
    <x v="43"/>
    <s v="Call"/>
    <s v="Corporate"/>
    <x v="5"/>
    <s v="Bulk Order"/>
    <s v="New"/>
    <s v="Tourism"/>
    <s v="Arjith"/>
    <m/>
    <s v="Closed Bulk Order"/>
    <s v="Closed(C4)"/>
    <m/>
    <m/>
    <m/>
    <m/>
    <s v="Hot"/>
    <n v="30000"/>
    <n v="16150"/>
    <d v="2026-04-12T00:00:00"/>
    <s v="00SGA03000031323"/>
    <x v="14"/>
    <s v="Received at Store"/>
    <m/>
    <d v="2026-04-12T00:00:00"/>
    <x v="0"/>
    <m/>
    <m/>
    <s v="Takeaway-Bulk-Insti"/>
  </r>
  <r>
    <d v="2026-04-13T00:00:00"/>
    <s v="Sameer"/>
    <s v="Hyderabad"/>
    <x v="44"/>
    <s v="Call"/>
    <s v="Bulk Order"/>
    <x v="5"/>
    <s v="Bulk Order"/>
    <s v="New"/>
    <s v="Family Group"/>
    <s v="Hari Prasad"/>
    <m/>
    <s v="Delivery of CB 13-4-2026 Gachibowli"/>
    <s v="Closed(C4)"/>
    <m/>
    <m/>
    <s v=""/>
    <s v=""/>
    <s v="Hot"/>
    <n v="16500"/>
    <n v="16500"/>
    <d v="2026-04-13T00:00:00"/>
    <m/>
    <x v="2"/>
    <s v="Received at Store"/>
    <m/>
    <d v="2026-04-13T00:00:00"/>
    <x v="0"/>
    <m/>
    <s v=""/>
    <m/>
  </r>
  <r>
    <d v="2026-04-13T00:00:00"/>
    <s v="Sameer"/>
    <s v="Hyderabad"/>
    <x v="20"/>
    <s v="Call"/>
    <s v="Aggregator"/>
    <x v="1"/>
    <s v="Popup Counter"/>
    <s v="Repeat"/>
    <s v="F&amp;B Agrigator"/>
    <s v="Priyansh"/>
    <m/>
    <s v="popup  13-04-2026 Gachibowli"/>
    <s v="Closed(C4)"/>
    <m/>
    <m/>
    <s v=""/>
    <s v=""/>
    <s v="Hot"/>
    <n v="40960"/>
    <n v="40960"/>
    <d v="2026-04-13T00:00:00"/>
    <m/>
    <x v="2"/>
    <s v="Received at HO"/>
    <m/>
    <d v="2026-04-30T00:00:00"/>
    <x v="0"/>
    <m/>
    <s v=""/>
    <m/>
  </r>
  <r>
    <d v="2026-04-13T00:00:00"/>
    <s v="Sameer"/>
    <s v="Hyderabad"/>
    <x v="21"/>
    <s v="Call"/>
    <s v="Aggregator"/>
    <x v="1"/>
    <s v="Popup Counter"/>
    <s v="Repeat"/>
    <s v="F&amp;B Agrigator"/>
    <s v="Priyansh"/>
    <m/>
    <s v="Popup 13-4-2026 Sarat City 4th Floor"/>
    <s v="Closed(C4)"/>
    <m/>
    <m/>
    <s v=""/>
    <s v=""/>
    <s v="Hot"/>
    <n v="9440"/>
    <n v="9440"/>
    <d v="2026-04-13T00:00:00"/>
    <m/>
    <x v="10"/>
    <s v="Received at HO"/>
    <m/>
    <d v="2026-04-30T00:00:00"/>
    <x v="0"/>
    <m/>
    <s v=""/>
    <m/>
  </r>
  <r>
    <d v="2026-04-13T00:00:00"/>
    <s v="Bashab"/>
    <s v="Bangalore"/>
    <x v="22"/>
    <s v="F2F"/>
    <s v="Corporate"/>
    <x v="5"/>
    <s v="Bulk Order"/>
    <m/>
    <s v="It"/>
    <s v="Adithya"/>
    <m/>
    <s v="Business Closed"/>
    <s v="Closed(C4)"/>
    <m/>
    <m/>
    <s v=""/>
    <s v=""/>
    <s v="Hot"/>
    <n v="16910"/>
    <n v="16910"/>
    <d v="2026-04-13T00:00:00"/>
    <m/>
    <x v="7"/>
    <s v="Received at Store"/>
    <m/>
    <m/>
    <x v="0"/>
    <m/>
    <s v=""/>
    <m/>
  </r>
  <r>
    <d v="2026-04-13T00:00:00"/>
    <s v="Bashab"/>
    <s v="Bangalore"/>
    <x v="45"/>
    <s v="Call"/>
    <s v="Aggregator"/>
    <x v="4"/>
    <s v="ODC"/>
    <m/>
    <s v="Events"/>
    <s v="Satyam"/>
    <m/>
    <s v="Business Confirmed"/>
    <s v="Confirmed( C3 )"/>
    <m/>
    <m/>
    <m/>
    <s v=""/>
    <s v="Hot"/>
    <m/>
    <m/>
    <m/>
    <m/>
    <x v="5"/>
    <m/>
    <m/>
    <m/>
    <x v="0"/>
    <m/>
    <s v=""/>
    <m/>
  </r>
  <r>
    <d v="2026-04-14T00:00:00"/>
    <s v="Sameer"/>
    <s v="Hyderabad"/>
    <x v="20"/>
    <s v="Call"/>
    <s v="Aggregator"/>
    <x v="1"/>
    <s v="Popup Counter"/>
    <s v="Repeat"/>
    <s v="F&amp;B Agrigator"/>
    <s v="Priyansh"/>
    <m/>
    <s v="popup  14-04-2026 Gachibowli"/>
    <s v="Closed(C4)"/>
    <m/>
    <m/>
    <s v=""/>
    <s v=""/>
    <s v="Hot"/>
    <n v="45220"/>
    <n v="45220"/>
    <d v="2026-04-14T00:00:00"/>
    <m/>
    <x v="2"/>
    <s v="Received at HO"/>
    <m/>
    <d v="2026-04-30T00:00:00"/>
    <x v="0"/>
    <m/>
    <s v=""/>
    <m/>
  </r>
  <r>
    <d v="2026-04-14T00:00:00"/>
    <s v="Sameer"/>
    <s v="Hyderabad"/>
    <x v="21"/>
    <s v="Call"/>
    <s v="Aggregator"/>
    <x v="1"/>
    <s v="Popup Counter"/>
    <s v="Repeat"/>
    <s v="F&amp;B Agrigator"/>
    <s v="Priyansh"/>
    <m/>
    <s v="Popup 14-4-2026 Sarat City 4th Floor"/>
    <s v="Closed(C4)"/>
    <m/>
    <m/>
    <s v=""/>
    <s v=""/>
    <s v="Hot"/>
    <n v="17180"/>
    <n v="17180"/>
    <d v="2026-04-14T00:00:00"/>
    <m/>
    <x v="10"/>
    <s v="Received at HO"/>
    <m/>
    <d v="2026-04-30T00:00:00"/>
    <x v="0"/>
    <m/>
    <s v=""/>
    <m/>
  </r>
  <r>
    <d v="2026-04-14T00:00:00"/>
    <s v="Bashab"/>
    <s v="Bangalore"/>
    <x v="34"/>
    <s v="F2F"/>
    <s v="Corporate"/>
    <x v="5"/>
    <s v="Bulk Order"/>
    <m/>
    <s v="It"/>
    <s v="Manisha"/>
    <m/>
    <s v="Business Closed"/>
    <s v="Closed(C4)"/>
    <m/>
    <m/>
    <s v=""/>
    <s v=""/>
    <s v="Hot"/>
    <n v="7620"/>
    <n v="7620"/>
    <d v="2026-04-14T00:00:00"/>
    <m/>
    <x v="6"/>
    <s v="Received at Store"/>
    <m/>
    <m/>
    <x v="0"/>
    <m/>
    <s v=""/>
    <m/>
  </r>
  <r>
    <d v="2026-04-14T00:00:00"/>
    <s v="Bashab"/>
    <s v="Bangalore"/>
    <x v="36"/>
    <s v="F2F"/>
    <s v="Corporate"/>
    <x v="5"/>
    <s v="Bulk Order"/>
    <m/>
    <s v="It"/>
    <s v="Hemanth"/>
    <m/>
    <s v="Business Closed"/>
    <s v="Closed(C4)"/>
    <m/>
    <m/>
    <s v=""/>
    <s v=""/>
    <s v="Hot"/>
    <n v="5560"/>
    <n v="5560"/>
    <d v="2026-04-14T00:00:00"/>
    <s v="00MRA01000003878"/>
    <x v="11"/>
    <s v="Received at Store"/>
    <m/>
    <m/>
    <x v="0"/>
    <m/>
    <s v=""/>
    <m/>
  </r>
  <r>
    <d v="2026-04-14T00:00:00"/>
    <s v="Bashab"/>
    <s v="Bangalore"/>
    <x v="15"/>
    <s v="Call"/>
    <s v="Corporate"/>
    <x v="5"/>
    <s v="Popup Counter"/>
    <m/>
    <s v="Retail"/>
    <s v="James"/>
    <m/>
    <s v="Business Closed"/>
    <s v="Closed(C4)"/>
    <m/>
    <m/>
    <s v=""/>
    <s v=""/>
    <s v="Hot"/>
    <n v="10962"/>
    <n v="10962"/>
    <d v="2026-04-14T00:00:00"/>
    <m/>
    <x v="7"/>
    <s v="Received at Store"/>
    <m/>
    <m/>
    <x v="0"/>
    <m/>
    <s v=""/>
    <m/>
  </r>
  <r>
    <d v="2026-04-15T00:00:00"/>
    <s v="Sameer"/>
    <s v="Hyderabad"/>
    <x v="46"/>
    <s v="Call"/>
    <s v="Aggregator"/>
    <x v="0"/>
    <s v="Popup Counter"/>
    <s v="Repeat"/>
    <s v="F&amp;B Aggregator"/>
    <s v="Pawan"/>
    <m/>
    <s v="Haleem popup  15-04-2026 BHEL"/>
    <s v="Closed(C4)"/>
    <m/>
    <m/>
    <s v=""/>
    <s v=""/>
    <s v="Hot"/>
    <n v="19150"/>
    <n v="19150"/>
    <d v="2026-04-15T00:00:00"/>
    <m/>
    <x v="1"/>
    <s v="Received at HO"/>
    <m/>
    <d v="2026-04-30T00:00:00"/>
    <x v="0"/>
    <m/>
    <s v=""/>
    <m/>
  </r>
  <r>
    <d v="2026-04-15T00:00:00"/>
    <s v="Sameer"/>
    <s v="Hyderabad"/>
    <x v="20"/>
    <s v="Call"/>
    <s v="Aggregator"/>
    <x v="1"/>
    <s v="Popup Counter"/>
    <s v="Repeat"/>
    <s v="F&amp;B Agrigator"/>
    <s v="Priyansh"/>
    <m/>
    <s v="popup  15-04-2026 Gachibowli"/>
    <s v="Closed(C4)"/>
    <m/>
    <m/>
    <s v=""/>
    <s v=""/>
    <s v="Hot"/>
    <n v="54120"/>
    <n v="54120"/>
    <d v="2026-04-15T00:00:00"/>
    <m/>
    <x v="2"/>
    <s v="Received at HO"/>
    <m/>
    <d v="2026-04-30T00:00:00"/>
    <x v="0"/>
    <m/>
    <s v=""/>
    <m/>
  </r>
  <r>
    <d v="2026-04-15T00:00:00"/>
    <s v="Sameer"/>
    <s v="Hyderabad"/>
    <x v="21"/>
    <s v="Call"/>
    <s v="Aggregator"/>
    <x v="1"/>
    <s v="Popup Counter"/>
    <s v="Repeat"/>
    <s v="F&amp;B Agrigator"/>
    <s v="Priyansh"/>
    <m/>
    <s v="Popup 15-4-2026 Sarat City 4th Floor"/>
    <s v="Closed(C4)"/>
    <m/>
    <m/>
    <s v=""/>
    <s v=""/>
    <s v="Hot"/>
    <n v="18500"/>
    <n v="18500"/>
    <d v="2026-04-15T00:00:00"/>
    <m/>
    <x v="10"/>
    <s v="Received at HO"/>
    <m/>
    <d v="2026-04-30T00:00:00"/>
    <x v="0"/>
    <m/>
    <s v=""/>
    <m/>
  </r>
  <r>
    <d v="2026-04-15T00:00:00"/>
    <s v="Sameer"/>
    <s v="Bangalore"/>
    <x v="3"/>
    <s v="Call"/>
    <s v="Aggregator"/>
    <x v="2"/>
    <s v="Bulk Order"/>
    <s v="Repeat"/>
    <s v="F&amp;B Agrigator"/>
    <s v="Saad"/>
    <m/>
    <s v="Delivery on 15-4-2026 from HSR"/>
    <s v="Closed(C4)"/>
    <m/>
    <m/>
    <s v=""/>
    <s v=""/>
    <s v="Hot"/>
    <n v="25208"/>
    <n v="25208"/>
    <d v="2026-04-15T00:00:00"/>
    <s v="00HSA06000002860"/>
    <x v="3"/>
    <s v="Received at HO"/>
    <m/>
    <d v="2026-05-30T00:00:00"/>
    <x v="0"/>
    <m/>
    <s v=""/>
    <m/>
  </r>
  <r>
    <d v="2026-04-15T00:00:00"/>
    <s v="Bashab"/>
    <s v="Bangalore"/>
    <x v="41"/>
    <s v="Call"/>
    <s v="Aggregator"/>
    <x v="1"/>
    <s v="Popup Counter"/>
    <m/>
    <s v="F&amp;B Agrigator"/>
    <s v="Harish"/>
    <m/>
    <s v="Business Closed"/>
    <s v="Closed(C4)"/>
    <m/>
    <m/>
    <s v=""/>
    <s v=""/>
    <s v="Hot"/>
    <n v="20440"/>
    <n v="20440"/>
    <d v="2026-04-15T00:00:00"/>
    <m/>
    <x v="12"/>
    <s v="Received at HO"/>
    <m/>
    <m/>
    <x v="0"/>
    <m/>
    <s v=""/>
    <m/>
  </r>
  <r>
    <d v="2026-04-15T00:00:00"/>
    <s v="Bashab"/>
    <s v="Bangalore"/>
    <x v="16"/>
    <s v="Call"/>
    <s v="Corporate"/>
    <x v="5"/>
    <s v="Bulk Order"/>
    <s v="Repeat"/>
    <s v="Retail"/>
    <s v="Mohammed"/>
    <m/>
    <s v="Business Closed"/>
    <s v="Closed(C4)"/>
    <m/>
    <m/>
    <s v=""/>
    <s v=""/>
    <s v="Hot"/>
    <n v="25208"/>
    <n v="25208"/>
    <d v="2026-04-15T00:00:00"/>
    <s v="00HSA06000002860"/>
    <x v="3"/>
    <s v="Received at HO"/>
    <m/>
    <m/>
    <x v="0"/>
    <m/>
    <s v=""/>
    <m/>
  </r>
  <r>
    <d v="2026-04-15T00:00:00"/>
    <s v="Bashab"/>
    <s v="Bangalore"/>
    <x v="47"/>
    <s v="Call"/>
    <s v="Aggregator"/>
    <x v="6"/>
    <s v="ODC"/>
    <m/>
    <s v="Events"/>
    <s v="Devendar"/>
    <m/>
    <s v="Business Confirmed"/>
    <s v="Confirmed( C3 )"/>
    <m/>
    <m/>
    <m/>
    <s v=""/>
    <s v="Hot"/>
    <m/>
    <m/>
    <m/>
    <m/>
    <x v="5"/>
    <m/>
    <m/>
    <m/>
    <x v="0"/>
    <m/>
    <s v=""/>
    <m/>
  </r>
  <r>
    <d v="2026-04-15T00:00:00"/>
    <s v="Bashab"/>
    <s v="Bangalore"/>
    <x v="40"/>
    <s v="Call"/>
    <s v="Corporate"/>
    <x v="5"/>
    <s v="Popup Counter"/>
    <m/>
    <s v="Retail"/>
    <s v="Srinivas"/>
    <m/>
    <s v="Business Closed"/>
    <s v="Closed(C4)"/>
    <m/>
    <m/>
    <s v=""/>
    <s v=""/>
    <s v="Hot"/>
    <n v="22503"/>
    <n v="22503"/>
    <d v="2026-04-15T00:00:00"/>
    <m/>
    <x v="7"/>
    <s v="Received at Store"/>
    <m/>
    <m/>
    <x v="0"/>
    <m/>
    <s v=""/>
    <m/>
  </r>
  <r>
    <d v="2026-04-16T00:00:00"/>
    <s v="Sameer"/>
    <s v="Hyderabad"/>
    <x v="46"/>
    <s v="Call"/>
    <s v="Aggregator"/>
    <x v="0"/>
    <s v="Popup Counter"/>
    <s v="New"/>
    <s v="F&amp;B Aggregator"/>
    <s v="Pawan"/>
    <m/>
    <s v="Haleem popup  16-04-2026 BHEL"/>
    <s v="Closed(C4)"/>
    <m/>
    <m/>
    <s v=""/>
    <s v=""/>
    <s v="Hot"/>
    <n v="65980"/>
    <n v="65980"/>
    <d v="2026-04-16T00:00:00"/>
    <m/>
    <x v="1"/>
    <s v="Received at HO"/>
    <m/>
    <d v="2026-04-30T00:00:00"/>
    <x v="0"/>
    <m/>
    <s v=""/>
    <m/>
  </r>
  <r>
    <d v="2026-04-16T00:00:00"/>
    <s v="Sameer"/>
    <s v="Hyderabad"/>
    <x v="20"/>
    <s v="Call"/>
    <s v="Aggregator"/>
    <x v="1"/>
    <s v="Popup Counter"/>
    <s v="Repeat"/>
    <s v="F&amp;B Agrigator"/>
    <s v="Priyansh"/>
    <m/>
    <s v="popup  16-04-2026 Gachibowli"/>
    <s v="Closed(C4)"/>
    <m/>
    <m/>
    <s v=""/>
    <s v=""/>
    <s v="Hot"/>
    <n v="64620"/>
    <n v="64620"/>
    <d v="2026-04-16T00:00:00"/>
    <m/>
    <x v="2"/>
    <s v="Received at HO"/>
    <m/>
    <d v="2026-04-30T00:00:00"/>
    <x v="0"/>
    <m/>
    <s v=""/>
    <m/>
  </r>
  <r>
    <d v="2026-04-16T00:00:00"/>
    <s v="Sameer"/>
    <s v="Hyderabad"/>
    <x v="21"/>
    <s v="Call"/>
    <s v="Aggregator"/>
    <x v="1"/>
    <s v="Popup Counter"/>
    <s v="Repeat"/>
    <s v="F&amp;B Agrigator"/>
    <s v="Priyansh"/>
    <m/>
    <s v="Popup 16-4-2026 Sarat City 4th Floor"/>
    <s v="Closed(C4)"/>
    <m/>
    <m/>
    <s v=""/>
    <s v=""/>
    <s v="Hot"/>
    <n v="17240"/>
    <n v="17240"/>
    <d v="2026-04-16T00:00:00"/>
    <m/>
    <x v="10"/>
    <s v="Received at HO"/>
    <m/>
    <d v="2026-04-30T00:00:00"/>
    <x v="0"/>
    <m/>
    <s v=""/>
    <m/>
  </r>
  <r>
    <d v="2026-04-16T00:00:00"/>
    <s v="Bashab"/>
    <s v="Bangalore"/>
    <x v="18"/>
    <s v="Call"/>
    <s v="Corporate"/>
    <x v="5"/>
    <s v="Popup Counter"/>
    <m/>
    <s v="Retail"/>
    <s v="Vinod"/>
    <m/>
    <s v="Business Closed"/>
    <s v="Closed(C4)"/>
    <m/>
    <m/>
    <s v=""/>
    <s v=""/>
    <s v="Hot"/>
    <n v="14230"/>
    <n v="14230"/>
    <d v="2026-04-16T00:00:00"/>
    <m/>
    <x v="7"/>
    <s v="Received at Store"/>
    <m/>
    <m/>
    <x v="0"/>
    <m/>
    <s v=""/>
    <m/>
  </r>
  <r>
    <d v="2026-04-17T00:00:00"/>
    <s v="Sameer"/>
    <s v="Hyderabad"/>
    <x v="48"/>
    <s v="F2F"/>
    <s v="Corporate"/>
    <x v="5"/>
    <s v="Bulk Order"/>
    <s v="New"/>
    <s v="Retail"/>
    <s v="Maanya"/>
    <m/>
    <s v="Deliverd  vouchers from Nexus Mall 17-4-2026"/>
    <s v="Closed(C4)"/>
    <m/>
    <m/>
    <s v=""/>
    <s v=""/>
    <s v="Hot"/>
    <n v="100240"/>
    <n v="100240"/>
    <d v="2026-04-17T00:00:00"/>
    <m/>
    <x v="9"/>
    <s v="Received at HO"/>
    <m/>
    <d v="2026-04-12T00:00:00"/>
    <x v="0"/>
    <s v="Yes"/>
    <n v="2004.8"/>
    <m/>
  </r>
  <r>
    <d v="2026-04-17T00:00:00"/>
    <s v="Sameer"/>
    <s v="Hyderabad"/>
    <x v="49"/>
    <s v="F2F"/>
    <s v="Corporate"/>
    <x v="5"/>
    <s v="Bulk Order"/>
    <s v="New"/>
    <s v="Events"/>
    <s v="Arijit"/>
    <m/>
    <s v="Kims Hospital Begumpet 17-04-2026"/>
    <s v="Closed(C4)"/>
    <m/>
    <m/>
    <s v=""/>
    <s v=""/>
    <s v="Hot"/>
    <n v="15000"/>
    <n v="12524"/>
    <d v="2026-04-17T00:00:00"/>
    <m/>
    <x v="15"/>
    <s v="Received at HO"/>
    <m/>
    <d v="2026-04-17T00:00:00"/>
    <x v="0"/>
    <s v="Yes"/>
    <n v="250.48000000000002"/>
    <m/>
  </r>
  <r>
    <d v="2026-04-17T00:00:00"/>
    <s v="Sameer"/>
    <s v="Hyderabad"/>
    <x v="46"/>
    <s v="Call"/>
    <s v="Aggregator"/>
    <x v="0"/>
    <s v="Popup Counter"/>
    <s v="Repeat"/>
    <s v="F&amp;B Aggregator"/>
    <s v="Pawan"/>
    <m/>
    <s v="Haleem popup  17-04-2026 BHEL"/>
    <s v="Closed(C4)"/>
    <m/>
    <m/>
    <s v=""/>
    <s v=""/>
    <s v="Hot"/>
    <n v="70930"/>
    <n v="70930"/>
    <d v="2026-04-17T00:00:00"/>
    <m/>
    <x v="1"/>
    <s v="Received at HO"/>
    <m/>
    <d v="2026-04-30T00:00:00"/>
    <x v="0"/>
    <m/>
    <s v=""/>
    <m/>
  </r>
  <r>
    <d v="2026-04-17T00:00:00"/>
    <s v="Sameer"/>
    <s v="Hyderabad"/>
    <x v="20"/>
    <s v="Call"/>
    <s v="Aggregator"/>
    <x v="1"/>
    <s v="Popup Counter"/>
    <s v="Repeat"/>
    <s v="F&amp;B Agrigator"/>
    <s v="Priyansh"/>
    <m/>
    <s v="popup  17-04-2026 Gachibowli"/>
    <s v="Closed(C4)"/>
    <m/>
    <m/>
    <s v=""/>
    <s v=""/>
    <s v="Hot"/>
    <n v="86350"/>
    <n v="86350"/>
    <d v="2026-04-17T00:00:00"/>
    <m/>
    <x v="2"/>
    <s v="Received at HO"/>
    <m/>
    <d v="2026-04-30T00:00:00"/>
    <x v="0"/>
    <m/>
    <s v=""/>
    <m/>
  </r>
  <r>
    <d v="2026-04-17T00:00:00"/>
    <s v="Sameer"/>
    <s v="Hyderabad"/>
    <x v="21"/>
    <s v="Call"/>
    <s v="Aggregator"/>
    <x v="1"/>
    <s v="Popup Counter"/>
    <s v="Repeat"/>
    <s v="F&amp;B Agrigator"/>
    <s v="Priyansh"/>
    <m/>
    <s v="Popup 17-4-2026 from Lingampally"/>
    <s v="Closed(C4)"/>
    <m/>
    <m/>
    <s v=""/>
    <s v=""/>
    <s v="Hot"/>
    <n v="19180"/>
    <n v="19180"/>
    <d v="2026-04-17T00:00:00"/>
    <m/>
    <x v="16"/>
    <s v="Received at HO"/>
    <m/>
    <d v="2026-04-30T00:00:00"/>
    <x v="0"/>
    <m/>
    <s v=""/>
    <m/>
  </r>
  <r>
    <d v="2026-04-17T00:00:00"/>
    <s v="Bashab"/>
    <s v="Bangalore"/>
    <x v="37"/>
    <s v="Call"/>
    <s v="Aggregator"/>
    <x v="1"/>
    <s v="Popup Counter"/>
    <m/>
    <s v="F&amp;B Agrigator"/>
    <s v="Harish"/>
    <m/>
    <s v="Business Closed"/>
    <s v="Closed(C4)"/>
    <m/>
    <m/>
    <s v=""/>
    <s v=""/>
    <s v="Hot"/>
    <n v="18650"/>
    <n v="18650"/>
    <d v="2026-04-17T00:00:00"/>
    <m/>
    <x v="12"/>
    <s v="Received at HO"/>
    <m/>
    <m/>
    <x v="0"/>
    <m/>
    <s v=""/>
    <m/>
  </r>
  <r>
    <d v="2026-04-18T00:00:00"/>
    <s v="Sameer"/>
    <s v="Hyderabad"/>
    <x v="43"/>
    <s v="Call"/>
    <s v="Corporate"/>
    <x v="5"/>
    <s v="Bulk Order"/>
    <s v="New"/>
    <s v="Tourism"/>
    <s v="Arjith"/>
    <m/>
    <s v="Business Closed"/>
    <s v="Closed(C4)"/>
    <m/>
    <m/>
    <m/>
    <m/>
    <s v="Hot"/>
    <n v="25000"/>
    <n v="11702"/>
    <d v="2026-04-18T00:00:00"/>
    <s v="00SGA14000013461"/>
    <x v="14"/>
    <s v="Received at Store"/>
    <m/>
    <d v="2026-04-18T00:00:00"/>
    <x v="0"/>
    <m/>
    <m/>
    <s v="Takeaway-Bulk-Insti"/>
  </r>
  <r>
    <d v="2026-04-18T00:00:00"/>
    <s v="Sameer"/>
    <s v="Hyderabad"/>
    <x v="50"/>
    <s v="F2F"/>
    <s v="Bulk Order"/>
    <x v="5"/>
    <s v="Bulk Order"/>
    <s v="New"/>
    <s v="Tourism"/>
    <s v="Rupanta"/>
    <m/>
    <s v="Dine in at gachibowli on 18-4-2026"/>
    <s v="Closed(C4)"/>
    <m/>
    <m/>
    <s v=""/>
    <s v=""/>
    <s v="Hot"/>
    <n v="35495"/>
    <n v="35495"/>
    <d v="2026-04-18T00:00:00"/>
    <m/>
    <x v="2"/>
    <s v="Received at Store"/>
    <m/>
    <d v="2026-04-18T00:00:00"/>
    <x v="0"/>
    <m/>
    <s v=""/>
    <m/>
  </r>
  <r>
    <d v="2026-04-18T00:00:00"/>
    <s v="Bashab"/>
    <s v="Bangalore"/>
    <x v="45"/>
    <s v="Call"/>
    <s v="Aggregator"/>
    <x v="4"/>
    <s v="ODC"/>
    <m/>
    <s v="Events"/>
    <s v="Satyam"/>
    <m/>
    <s v="Business Closed"/>
    <s v="Closed(C4)"/>
    <m/>
    <m/>
    <s v=""/>
    <s v=""/>
    <s v="Hot"/>
    <n v="218650"/>
    <n v="218650"/>
    <d v="2026-04-29T00:00:00"/>
    <m/>
    <x v="8"/>
    <s v="Received at HO"/>
    <m/>
    <d v="2026-05-30T00:00:00"/>
    <x v="0"/>
    <m/>
    <s v=""/>
    <m/>
  </r>
  <r>
    <d v="2026-04-20T00:00:00"/>
    <s v="Sameer"/>
    <s v="Hyderabad"/>
    <x v="20"/>
    <s v="Call"/>
    <s v="Aggregator"/>
    <x v="1"/>
    <s v="Popup Counter"/>
    <s v="Repeat"/>
    <s v="F&amp;B Agrigator"/>
    <s v="Priyansh"/>
    <m/>
    <s v="popup  20-04-2026 Gachibowli"/>
    <s v="Closed(C4)"/>
    <m/>
    <m/>
    <s v=""/>
    <s v=""/>
    <s v="Hot"/>
    <n v="45590"/>
    <n v="45590"/>
    <d v="2026-04-20T00:00:00"/>
    <m/>
    <x v="2"/>
    <s v="Received at HO"/>
    <m/>
    <d v="2026-04-30T00:00:00"/>
    <x v="0"/>
    <m/>
    <s v=""/>
    <m/>
  </r>
  <r>
    <d v="2026-04-20T00:00:00"/>
    <s v="Sameer"/>
    <s v="Hyderabad"/>
    <x v="21"/>
    <s v="Call"/>
    <s v="Aggregator"/>
    <x v="1"/>
    <s v="Popup Counter"/>
    <s v="Repeat"/>
    <s v="F&amp;B Agrigator"/>
    <s v="Priyansh"/>
    <m/>
    <s v="Popup 20-04-2026 from Lingampally"/>
    <s v="Closed(C4)"/>
    <m/>
    <m/>
    <s v=""/>
    <s v=""/>
    <s v="Hot"/>
    <n v="11189"/>
    <n v="11189"/>
    <d v="2026-04-20T00:00:00"/>
    <m/>
    <x v="16"/>
    <s v="Received at HO"/>
    <m/>
    <d v="2026-04-30T00:00:00"/>
    <x v="0"/>
    <m/>
    <s v=""/>
    <m/>
  </r>
  <r>
    <d v="2026-04-20T00:00:00"/>
    <s v="Sameer"/>
    <s v="Hyderabad"/>
    <x v="43"/>
    <s v="F2F"/>
    <s v="Corporate"/>
    <x v="5"/>
    <s v="Bulk Order"/>
    <s v="New"/>
    <s v="Tourism"/>
    <s v="Arjith"/>
    <m/>
    <s v="Business Closed"/>
    <s v="Closed(C4)"/>
    <m/>
    <m/>
    <m/>
    <m/>
    <s v="Hot"/>
    <n v="30000"/>
    <n v="18297"/>
    <d v="2026-04-20T00:00:00"/>
    <s v="00SGA14000013527"/>
    <x v="14"/>
    <s v="Received at Store"/>
    <m/>
    <d v="2026-04-20T00:00:00"/>
    <x v="0"/>
    <m/>
    <m/>
    <s v="Takeaway-Bulk-Insti"/>
  </r>
  <r>
    <d v="2026-04-20T00:00:00"/>
    <s v="Sameer"/>
    <s v="Hyderabad"/>
    <x v="25"/>
    <s v="Call"/>
    <s v="Aggregator"/>
    <x v="2"/>
    <s v="Bulk Order"/>
    <s v="New"/>
    <s v="F&amp;B Agrigator"/>
    <s v="Bibekananda"/>
    <m/>
    <s v="CB &amp; VB fron gachibowli on 20-04-2026"/>
    <s v="Closed(C4)"/>
    <m/>
    <m/>
    <s v=""/>
    <s v=""/>
    <s v="Hot"/>
    <n v="18200"/>
    <n v="18200"/>
    <d v="2026-04-20T00:00:00"/>
    <m/>
    <x v="2"/>
    <s v="Received at HO"/>
    <m/>
    <d v="2026-05-30T00:00:00"/>
    <x v="0"/>
    <m/>
    <s v=""/>
    <m/>
  </r>
  <r>
    <d v="2026-04-21T00:00:00"/>
    <s v="Sameer"/>
    <s v="Hyderabad"/>
    <x v="20"/>
    <s v="Call"/>
    <s v="Aggregator"/>
    <x v="1"/>
    <s v="Popup Counter"/>
    <s v="Repeat"/>
    <s v="F&amp;B Agrigator"/>
    <s v="Priyansh"/>
    <m/>
    <s v="popup  21-04-2026 Gachibowli"/>
    <s v="Closed(C4)"/>
    <m/>
    <m/>
    <s v=""/>
    <s v=""/>
    <s v="Hot"/>
    <n v="52920"/>
    <n v="52920"/>
    <d v="2026-04-21T00:00:00"/>
    <m/>
    <x v="2"/>
    <s v="Received at HO"/>
    <m/>
    <d v="2026-04-30T00:00:00"/>
    <x v="0"/>
    <m/>
    <s v=""/>
    <m/>
  </r>
  <r>
    <d v="2026-04-21T00:00:00"/>
    <s v="Sameer"/>
    <s v="Hyderabad"/>
    <x v="21"/>
    <s v="Call"/>
    <s v="Aggregator"/>
    <x v="1"/>
    <s v="Popup Counter"/>
    <s v="Repeat"/>
    <s v="F&amp;B Agrigator"/>
    <s v="Priyansh"/>
    <m/>
    <s v="Popup 21-04-2026 from Lingampally"/>
    <s v="Closed(C4)"/>
    <m/>
    <m/>
    <s v=""/>
    <s v=""/>
    <s v="Hot"/>
    <n v="9650"/>
    <n v="9650"/>
    <d v="2026-04-21T00:00:00"/>
    <m/>
    <x v="16"/>
    <s v="Received at HO"/>
    <m/>
    <d v="2026-04-30T00:00:00"/>
    <x v="0"/>
    <m/>
    <s v=""/>
    <m/>
  </r>
  <r>
    <d v="2026-04-21T00:00:00"/>
    <s v="Sameer"/>
    <s v="Hyderabad"/>
    <x v="2"/>
    <s v="Call"/>
    <s v="Aggregator"/>
    <x v="1"/>
    <s v="Popup Counter"/>
    <s v="Repeat"/>
    <s v="F&amp;B Aggregator"/>
    <s v="Samruddhi"/>
    <m/>
    <s v="Popup on 21-4-2026 from BHEL"/>
    <s v="Closed(C4)"/>
    <m/>
    <m/>
    <s v=""/>
    <s v=""/>
    <s v="Hot"/>
    <n v="38280"/>
    <n v="38280"/>
    <d v="2026-04-21T00:00:00"/>
    <m/>
    <x v="1"/>
    <s v="Received at HO"/>
    <m/>
    <d v="2026-04-30T00:00:00"/>
    <x v="0"/>
    <m/>
    <s v=""/>
    <m/>
  </r>
  <r>
    <d v="2026-04-21T00:00:00"/>
    <s v="Sameer"/>
    <s v="Hyderabad"/>
    <x v="51"/>
    <s v="Call"/>
    <s v="Corporate"/>
    <x v="5"/>
    <s v="Bulk Order"/>
    <s v="New"/>
    <s v="Banking Fiinance &amp; Insurance"/>
    <s v="Chitra"/>
    <m/>
    <s v="Delivery of CB from Hitec on 21-04-2026"/>
    <s v="Closed(C4)"/>
    <m/>
    <m/>
    <s v=""/>
    <s v=""/>
    <s v="Hot"/>
    <n v="17220"/>
    <n v="17220"/>
    <d v="2026-04-21T00:00:00"/>
    <m/>
    <x v="4"/>
    <s v="Received at Store"/>
    <m/>
    <d v="2026-04-21T00:00:00"/>
    <x v="0"/>
    <m/>
    <s v=""/>
    <m/>
  </r>
  <r>
    <d v="2026-04-21T00:00:00"/>
    <s v="Bashab"/>
    <s v="Bangalore"/>
    <x v="31"/>
    <s v="Call"/>
    <s v="Corporate"/>
    <x v="5"/>
    <s v="Popup Counter"/>
    <m/>
    <s v="Retail"/>
    <s v="Mueenudheen"/>
    <m/>
    <s v="Business Closed"/>
    <s v="Closed(C4)"/>
    <m/>
    <m/>
    <s v=""/>
    <s v=""/>
    <s v="Hot"/>
    <n v="17230"/>
    <n v="17230"/>
    <d v="2026-04-21T00:00:00"/>
    <m/>
    <x v="7"/>
    <s v="Received at Store"/>
    <m/>
    <m/>
    <x v="0"/>
    <m/>
    <s v=""/>
    <m/>
  </r>
  <r>
    <d v="2026-04-22T00:00:00"/>
    <s v="Sameer"/>
    <s v="Hyderabad"/>
    <x v="20"/>
    <s v="Call"/>
    <s v="Aggregator"/>
    <x v="1"/>
    <s v="Popup Counter"/>
    <s v="Repeat"/>
    <s v="F&amp;B Agrigator"/>
    <s v="Priyansh"/>
    <m/>
    <s v="popup  22-04-2026 Gachibowli"/>
    <s v="Closed(C4)"/>
    <m/>
    <m/>
    <s v=""/>
    <s v=""/>
    <s v="Hot"/>
    <n v="56660"/>
    <n v="56660"/>
    <d v="2026-04-22T00:00:00"/>
    <s v="00GCBTA000288244"/>
    <x v="2"/>
    <s v="Received at HO"/>
    <m/>
    <d v="2026-04-30T00:00:00"/>
    <x v="0"/>
    <m/>
    <s v=""/>
    <m/>
  </r>
  <r>
    <d v="2026-04-22T00:00:00"/>
    <s v="Sameer"/>
    <s v="Hyderabad"/>
    <x v="21"/>
    <s v="Call"/>
    <s v="Aggregator"/>
    <x v="1"/>
    <s v="Popup Counter"/>
    <s v="Repeat"/>
    <s v="F&amp;B Agrigator"/>
    <s v="Priyansh"/>
    <m/>
    <s v="Popup 22-04-2026 from Lingampally"/>
    <s v="Closed(C4)"/>
    <m/>
    <m/>
    <s v=""/>
    <s v=""/>
    <s v="Hot"/>
    <n v="14310"/>
    <n v="14310"/>
    <d v="2026-04-22T00:00:00"/>
    <m/>
    <x v="16"/>
    <s v="Received at HO"/>
    <m/>
    <d v="2026-04-30T00:00:00"/>
    <x v="0"/>
    <m/>
    <s v=""/>
    <m/>
  </r>
  <r>
    <d v="2026-04-22T00:00:00"/>
    <s v="Sameer"/>
    <s v="Hyderabad"/>
    <x v="2"/>
    <s v="Call"/>
    <s v="Aggregator"/>
    <x v="1"/>
    <s v="Popup Counter"/>
    <s v="New"/>
    <s v="It"/>
    <s v="Samruddhi"/>
    <m/>
    <s v="Popup on 22-4-2026 from BHEL"/>
    <s v="Closed(C4)"/>
    <m/>
    <m/>
    <s v=""/>
    <s v=""/>
    <s v="Hot"/>
    <n v="51000"/>
    <n v="51000"/>
    <d v="2026-04-22T00:00:00"/>
    <m/>
    <x v="1"/>
    <s v="Received at HO"/>
    <m/>
    <d v="2026-04-30T00:00:00"/>
    <x v="0"/>
    <m/>
    <s v=""/>
    <m/>
  </r>
  <r>
    <d v="2026-04-22T00:00:00"/>
    <s v="Sameer"/>
    <s v="Hyderabad"/>
    <x v="52"/>
    <s v="F2F"/>
    <s v="Aggregator"/>
    <x v="2"/>
    <s v="Bulk Order"/>
    <s v="Repeat"/>
    <s v="It"/>
    <s v="Dinesh"/>
    <m/>
    <s v="Biryani on 22-04-2026 from Kukatpally"/>
    <s v="Closed(C4)"/>
    <m/>
    <m/>
    <s v=""/>
    <s v=""/>
    <s v="Hot"/>
    <n v="66280"/>
    <n v="66280"/>
    <d v="2026-04-22T00:00:00"/>
    <s v="00KKPTB000482825"/>
    <x v="17"/>
    <s v="Received at HO"/>
    <m/>
    <d v="2026-04-30T00:00:00"/>
    <x v="0"/>
    <m/>
    <s v=""/>
    <m/>
  </r>
  <r>
    <d v="2026-04-22T00:00:00"/>
    <s v="Sameer"/>
    <s v="Hyderabad"/>
    <x v="53"/>
    <s v="Call"/>
    <s v="Aggregator"/>
    <x v="2"/>
    <s v="Bulk Order"/>
    <s v="New"/>
    <s v="F&amp;B Agrigator"/>
    <s v="Sireesh"/>
    <m/>
    <s v="Haleem from kukatpally on 22-04-2026"/>
    <s v="Closed(C4)"/>
    <m/>
    <m/>
    <s v=""/>
    <s v=""/>
    <s v="Hot"/>
    <n v="20160"/>
    <n v="20160"/>
    <d v="2026-04-22T00:00:00"/>
    <m/>
    <x v="17"/>
    <s v="Received at HO"/>
    <m/>
    <d v="2026-05-30T00:00:00"/>
    <x v="0"/>
    <m/>
    <s v=""/>
    <m/>
  </r>
  <r>
    <d v="2026-04-22T00:00:00"/>
    <s v="Sameer"/>
    <s v="Bangalore"/>
    <x v="3"/>
    <s v="Call"/>
    <s v="Aggregator"/>
    <x v="2"/>
    <s v="Bulk Order"/>
    <s v="Repeat"/>
    <s v="F&amp;B Agrigator"/>
    <s v="Saad"/>
    <m/>
    <s v="Delivery on 22-4-2026 from HSR"/>
    <s v="Closed(C4)"/>
    <m/>
    <m/>
    <s v=""/>
    <s v=""/>
    <s v="Hot"/>
    <n v="24062"/>
    <n v="24062"/>
    <d v="2026-04-22T00:00:00"/>
    <s v="00HSA06000002879"/>
    <x v="3"/>
    <s v="Received at HO"/>
    <m/>
    <d v="2026-05-30T00:00:00"/>
    <x v="0"/>
    <m/>
    <s v=""/>
    <m/>
  </r>
  <r>
    <d v="2026-04-22T00:00:00"/>
    <s v="Bashab"/>
    <s v="Bangalore"/>
    <x v="16"/>
    <s v="Call"/>
    <s v="Corporate"/>
    <x v="5"/>
    <s v="Bulk Order"/>
    <s v="Repeat"/>
    <s v="Retail"/>
    <s v="Mohammed"/>
    <m/>
    <s v="Business Closed"/>
    <s v="Closed(C4)"/>
    <m/>
    <m/>
    <s v=""/>
    <s v=""/>
    <s v="Hot"/>
    <n v="24062"/>
    <n v="24062"/>
    <d v="2026-04-22T00:00:00"/>
    <s v="00HSA06000002879"/>
    <x v="3"/>
    <s v="Received at HO"/>
    <m/>
    <m/>
    <x v="0"/>
    <m/>
    <s v=""/>
    <m/>
  </r>
  <r>
    <d v="2026-04-22T00:00:00"/>
    <s v="Bashab"/>
    <s v="Bangalore"/>
    <x v="37"/>
    <s v="Call"/>
    <s v="Aggregator"/>
    <x v="1"/>
    <s v="Popup Counter"/>
    <m/>
    <s v="F&amp;B Agrigator"/>
    <s v="Harish"/>
    <m/>
    <s v="Business Closed"/>
    <s v="Closed(C4)"/>
    <m/>
    <m/>
    <s v=""/>
    <s v=""/>
    <s v="Hot"/>
    <n v="19720"/>
    <n v="19720"/>
    <d v="2026-04-22T00:00:00"/>
    <m/>
    <x v="12"/>
    <s v="Received at HO"/>
    <m/>
    <m/>
    <x v="0"/>
    <m/>
    <s v=""/>
    <m/>
  </r>
  <r>
    <d v="2026-04-22T00:00:00"/>
    <s v="Bashab"/>
    <s v="Bangalore"/>
    <x v="40"/>
    <s v="Call"/>
    <s v="Corporate"/>
    <x v="5"/>
    <s v="Popup Counter"/>
    <m/>
    <s v="Retail"/>
    <s v="Srinivas"/>
    <m/>
    <s v="Business Closed"/>
    <s v="Closed(C4)"/>
    <m/>
    <m/>
    <s v=""/>
    <s v=""/>
    <s v="Hot"/>
    <n v="21749"/>
    <n v="21749"/>
    <d v="2026-04-22T00:00:00"/>
    <m/>
    <x v="7"/>
    <s v="Received at Store"/>
    <m/>
    <m/>
    <x v="0"/>
    <m/>
    <s v=""/>
    <m/>
  </r>
  <r>
    <d v="2026-04-23T00:00:00"/>
    <s v="Sameer"/>
    <s v="Hyderabad"/>
    <x v="20"/>
    <s v="Call"/>
    <s v="Aggregator"/>
    <x v="1"/>
    <s v="Popup Counter"/>
    <s v="Repeat"/>
    <s v="F&amp;B Agrigator"/>
    <s v="Priyansh"/>
    <m/>
    <s v="popup  23-04-2026 Gachibowli"/>
    <s v="Closed(C4)"/>
    <m/>
    <m/>
    <s v=""/>
    <s v=""/>
    <s v="Hot"/>
    <n v="69280"/>
    <n v="69280"/>
    <d v="2026-04-23T00:00:00"/>
    <s v="00GCBTA000288245"/>
    <x v="2"/>
    <s v="Received at HO"/>
    <m/>
    <d v="2026-04-30T00:00:00"/>
    <x v="0"/>
    <m/>
    <s v=""/>
    <m/>
  </r>
  <r>
    <d v="2026-04-23T00:00:00"/>
    <s v="Sameer"/>
    <s v="Hyderabad"/>
    <x v="21"/>
    <s v="Call"/>
    <s v="Aggregator"/>
    <x v="1"/>
    <s v="Popup Counter"/>
    <s v="Repeat"/>
    <s v="F&amp;B Agrigator"/>
    <s v="Priyansh"/>
    <m/>
    <s v="Popup 23-04-2026 from Lingampally"/>
    <s v="Closed(C4)"/>
    <m/>
    <m/>
    <s v=""/>
    <s v=""/>
    <s v="Hot"/>
    <n v="10110"/>
    <n v="10110"/>
    <d v="2026-04-23T00:00:00"/>
    <m/>
    <x v="16"/>
    <s v="Received at HO"/>
    <m/>
    <d v="2026-04-30T00:00:00"/>
    <x v="0"/>
    <m/>
    <s v=""/>
    <m/>
  </r>
  <r>
    <d v="2026-04-23T00:00:00"/>
    <s v="Sameer"/>
    <s v="Hyderabad"/>
    <x v="2"/>
    <s v="Call"/>
    <s v="Aggregator"/>
    <x v="1"/>
    <s v="Popup Counter"/>
    <s v="Repeat"/>
    <s v="It"/>
    <s v="Samruddhi"/>
    <m/>
    <s v="Popup on 23-4-2026 from BHEL"/>
    <s v="Closed(C4)"/>
    <m/>
    <m/>
    <s v=""/>
    <s v=""/>
    <s v="Hot"/>
    <n v="44750"/>
    <n v="44750"/>
    <d v="2026-04-23T00:00:00"/>
    <m/>
    <x v="1"/>
    <s v="Received at HO"/>
    <m/>
    <d v="2026-04-30T00:00:00"/>
    <x v="0"/>
    <m/>
    <s v=""/>
    <m/>
  </r>
  <r>
    <d v="2026-04-23T00:00:00"/>
    <s v="Bashab"/>
    <s v="Bangalore"/>
    <x v="39"/>
    <s v="F2F"/>
    <s v="Aggregator"/>
    <x v="2"/>
    <s v="Bulk Order"/>
    <m/>
    <s v="It"/>
    <s v="Sadashiv"/>
    <m/>
    <s v="Business Closed"/>
    <s v="Closed(C4)"/>
    <m/>
    <m/>
    <s v=""/>
    <s v=""/>
    <s v="Hot"/>
    <n v="19512"/>
    <n v="19512"/>
    <d v="2026-04-23T00:00:00"/>
    <m/>
    <x v="11"/>
    <s v="Received at HO"/>
    <m/>
    <d v="2026-05-30T00:00:00"/>
    <x v="0"/>
    <m/>
    <s v=""/>
    <m/>
  </r>
  <r>
    <d v="2026-04-23T00:00:00"/>
    <s v="Bashab"/>
    <s v="Bangalore"/>
    <x v="18"/>
    <s v="Call"/>
    <s v="Corporate"/>
    <x v="5"/>
    <s v="Popup Counter"/>
    <m/>
    <s v="Retail"/>
    <s v="Vinod"/>
    <m/>
    <s v="Business Closed"/>
    <s v="Closed(C4)"/>
    <m/>
    <m/>
    <s v=""/>
    <s v=""/>
    <s v="Hot"/>
    <n v="11320"/>
    <n v="11320"/>
    <d v="2026-04-23T00:00:00"/>
    <m/>
    <x v="7"/>
    <s v="Received at Store"/>
    <m/>
    <m/>
    <x v="0"/>
    <m/>
    <s v=""/>
    <m/>
  </r>
  <r>
    <d v="2026-04-24T00:00:00"/>
    <s v="Sameer"/>
    <s v="Hyderabad"/>
    <x v="20"/>
    <s v="Call"/>
    <s v="Aggregator"/>
    <x v="1"/>
    <s v="Popup Counter"/>
    <s v="Repeat"/>
    <s v="F&amp;B Agrigator"/>
    <s v="Priyansh"/>
    <m/>
    <s v="popup  24-04-2026 Muthangi"/>
    <s v="Closed(C4)"/>
    <m/>
    <m/>
    <s v=""/>
    <s v=""/>
    <s v="Hot"/>
    <n v="72490"/>
    <n v="72490"/>
    <d v="2026-04-24T00:00:00"/>
    <m/>
    <x v="18"/>
    <s v="Received at HO"/>
    <m/>
    <d v="2026-04-30T00:00:00"/>
    <x v="0"/>
    <m/>
    <s v=""/>
    <m/>
  </r>
  <r>
    <d v="2026-04-24T00:00:00"/>
    <s v="Sameer"/>
    <s v="Hyderabad"/>
    <x v="21"/>
    <s v="Call"/>
    <s v="Aggregator"/>
    <x v="1"/>
    <s v="Popup Counter"/>
    <s v="Repeat"/>
    <s v="F&amp;B Agrigator"/>
    <s v="Priyansh"/>
    <m/>
    <s v="Popup 24-04-2026 from Lingampally"/>
    <s v="Closed(C4)"/>
    <m/>
    <m/>
    <s v=""/>
    <s v=""/>
    <s v="Hot"/>
    <n v="18050"/>
    <n v="18050"/>
    <d v="2026-04-24T00:00:00"/>
    <m/>
    <x v="16"/>
    <s v="Received at HO"/>
    <m/>
    <d v="2026-04-30T00:00:00"/>
    <x v="0"/>
    <m/>
    <s v=""/>
    <m/>
  </r>
  <r>
    <d v="2026-04-24T00:00:00"/>
    <s v="Bashab"/>
    <s v="Bangalore"/>
    <x v="41"/>
    <s v="Call"/>
    <s v="Aggregator"/>
    <x v="1"/>
    <s v="Popup Counter"/>
    <m/>
    <s v="F&amp;B Agrigator"/>
    <s v="Harish"/>
    <m/>
    <s v="Business Closed"/>
    <s v="Closed(C4)"/>
    <m/>
    <m/>
    <s v=""/>
    <s v=""/>
    <s v="Hot"/>
    <n v="17000"/>
    <n v="17000"/>
    <d v="2026-04-24T00:00:00"/>
    <m/>
    <x v="12"/>
    <s v="Received at HO"/>
    <m/>
    <m/>
    <x v="0"/>
    <m/>
    <s v=""/>
    <m/>
  </r>
  <r>
    <d v="2026-04-25T00:00:00"/>
    <s v="Sameer"/>
    <s v="Hyderabad"/>
    <x v="54"/>
    <s v="Call"/>
    <s v="Bulk Order"/>
    <x v="5"/>
    <s v="Bulk Order"/>
    <s v="New"/>
    <s v="Family Group"/>
    <s v="Sattar"/>
    <m/>
    <s v="Take away CB from Begumpet 25-04-2026"/>
    <s v="Closed(C4)"/>
    <m/>
    <m/>
    <s v=""/>
    <s v=""/>
    <s v="Hot"/>
    <n v="5564"/>
    <n v="5564"/>
    <d v="2026-04-25T00:00:00"/>
    <m/>
    <x v="15"/>
    <s v="Received at Store"/>
    <m/>
    <d v="2026-04-25T00:00:00"/>
    <x v="0"/>
    <m/>
    <s v=""/>
    <m/>
  </r>
  <r>
    <d v="2026-04-25T00:00:00"/>
    <s v="Bashab"/>
    <s v="Bangalore"/>
    <x v="47"/>
    <s v="Call"/>
    <s v="Aggregator"/>
    <x v="6"/>
    <s v="ODC"/>
    <m/>
    <s v="Events"/>
    <s v="Devendar"/>
    <m/>
    <s v="Business Closed"/>
    <s v="Closed(C4)"/>
    <m/>
    <m/>
    <s v=""/>
    <s v=""/>
    <s v="Hot"/>
    <n v="168150"/>
    <n v="168150"/>
    <d v="2026-04-25T00:00:00"/>
    <m/>
    <x v="8"/>
    <s v="Received at HO"/>
    <m/>
    <d v="2026-05-30T00:00:00"/>
    <x v="0"/>
    <m/>
    <s v=""/>
    <m/>
  </r>
  <r>
    <d v="2026-04-27T00:00:00"/>
    <s v="Sameer"/>
    <s v="Hyderabad"/>
    <x v="55"/>
    <s v="F2F"/>
    <s v="Bulk Order"/>
    <x v="5"/>
    <s v="Bulk Order"/>
    <s v="New"/>
    <s v="Events"/>
    <s v="Jyothi"/>
    <m/>
    <s v="Take away supreme CB from secundrabad 27-4-2026"/>
    <s v="Closed(C4)"/>
    <m/>
    <m/>
    <s v=""/>
    <s v=""/>
    <s v="Hot"/>
    <n v="5856"/>
    <n v="5856"/>
    <d v="2026-04-27T00:00:00"/>
    <m/>
    <x v="14"/>
    <s v="Received at Store"/>
    <m/>
    <d v="2026-04-27T00:00:00"/>
    <x v="0"/>
    <m/>
    <s v=""/>
    <m/>
  </r>
  <r>
    <d v="2026-04-27T00:00:00"/>
    <s v="Sameer"/>
    <s v="Hyderabad"/>
    <x v="20"/>
    <s v="Call"/>
    <s v="Aggregator"/>
    <x v="1"/>
    <s v="Pop Up Counter"/>
    <s v="Repeat"/>
    <s v="F&amp;B Agrigator"/>
    <s v="Priyansh"/>
    <m/>
    <s v="popup  27-04-2026 Muthangi"/>
    <s v="Closed(C4)"/>
    <m/>
    <m/>
    <s v=""/>
    <s v=""/>
    <s v="Hot"/>
    <n v="51600"/>
    <n v="51600"/>
    <d v="2026-04-27T00:00:00"/>
    <m/>
    <x v="18"/>
    <s v="Received at HO"/>
    <m/>
    <d v="2026-04-30T00:00:00"/>
    <x v="0"/>
    <m/>
    <s v=""/>
    <m/>
  </r>
  <r>
    <d v="2026-04-27T00:00:00"/>
    <s v="Sameer"/>
    <s v="Hyderabad"/>
    <x v="21"/>
    <s v="Call"/>
    <s v="Aggregator"/>
    <x v="1"/>
    <s v="Pop Up Counter"/>
    <s v="Repeat"/>
    <s v="F&amp;B Agrigator"/>
    <s v="Priyansh"/>
    <m/>
    <s v="Popup 27-07-2026 from Lingampally"/>
    <s v="Closed(C4)"/>
    <m/>
    <m/>
    <s v=""/>
    <s v=""/>
    <s v="Hot"/>
    <n v="9470"/>
    <n v="9470"/>
    <d v="2026-04-27T00:00:00"/>
    <m/>
    <x v="16"/>
    <s v="Received at HO"/>
    <m/>
    <d v="2026-04-30T00:00:00"/>
    <x v="0"/>
    <m/>
    <s v=""/>
    <m/>
  </r>
  <r>
    <d v="2026-04-27T00:00:00"/>
    <s v="Sameer"/>
    <s v="Hyderabad"/>
    <x v="56"/>
    <s v="F2F"/>
    <s v="Bulk Order"/>
    <x v="5"/>
    <s v="Bulk Order"/>
    <s v="New"/>
    <s v="Pharma"/>
    <s v="Asad"/>
    <m/>
    <s v="Delivery of CB at Hospital in May"/>
    <s v="Cancelled"/>
    <m/>
    <m/>
    <n v="175"/>
    <s v=""/>
    <s v="Hot"/>
    <n v="0"/>
    <n v="0"/>
    <m/>
    <m/>
    <x v="5"/>
    <m/>
    <m/>
    <m/>
    <x v="0"/>
    <m/>
    <s v=""/>
    <m/>
  </r>
  <r>
    <d v="2026-04-28T00:00:00"/>
    <s v="Bashab"/>
    <s v="Bangalore"/>
    <x v="41"/>
    <s v="Call"/>
    <s v="Aggregator"/>
    <x v="1"/>
    <s v="Popup Counter"/>
    <m/>
    <s v="F&amp;B Agrigator"/>
    <s v="Harish"/>
    <m/>
    <s v="Business Closed"/>
    <s v="Closed(C4)"/>
    <m/>
    <m/>
    <s v=""/>
    <s v=""/>
    <s v="Hot"/>
    <n v="17400"/>
    <n v="17400"/>
    <d v="2026-04-28T00:00:00"/>
    <m/>
    <x v="12"/>
    <s v="Received at HO"/>
    <m/>
    <m/>
    <x v="0"/>
    <m/>
    <s v=""/>
    <m/>
  </r>
  <r>
    <d v="2026-04-28T00:00:00"/>
    <s v="Bashab"/>
    <s v="Bangalore"/>
    <x v="15"/>
    <s v="Call"/>
    <s v="Corporate"/>
    <x v="5"/>
    <s v="Popup Counter"/>
    <m/>
    <s v="Retail"/>
    <s v="James"/>
    <m/>
    <s v="Business Closed"/>
    <s v="Closed(C4)"/>
    <m/>
    <m/>
    <s v=""/>
    <s v=""/>
    <s v="Hot"/>
    <n v="9620"/>
    <n v="9620"/>
    <d v="2026-04-28T00:00:00"/>
    <m/>
    <x v="7"/>
    <s v="Received at Store"/>
    <m/>
    <m/>
    <x v="0"/>
    <m/>
    <s v=""/>
    <m/>
  </r>
  <r>
    <d v="2026-04-28T00:00:00"/>
    <s v="Sameer"/>
    <s v="Hyderabad"/>
    <x v="20"/>
    <s v="Call"/>
    <s v="Aggregator"/>
    <x v="1"/>
    <s v="Pop Up Counter"/>
    <s v="Repeat"/>
    <s v="F&amp;B Agrigator"/>
    <s v="Priyansh"/>
    <m/>
    <s v="popup  28-04-2026 Muthangi"/>
    <s v="Closed(C4)"/>
    <m/>
    <m/>
    <s v=""/>
    <s v=""/>
    <s v="Hot"/>
    <n v="52880"/>
    <n v="52880"/>
    <d v="2026-04-28T00:00:00"/>
    <m/>
    <x v="18"/>
    <s v="Received at HO"/>
    <m/>
    <d v="2026-04-30T00:00:00"/>
    <x v="0"/>
    <m/>
    <s v=""/>
    <m/>
  </r>
  <r>
    <d v="2026-04-28T00:00:00"/>
    <s v="Sameer"/>
    <s v="Hyderabad"/>
    <x v="21"/>
    <s v="Call"/>
    <s v="Aggregator"/>
    <x v="1"/>
    <s v="Pop Up Counter"/>
    <s v="Repeat"/>
    <s v="F&amp;B Agrigator"/>
    <s v="Priyansh"/>
    <m/>
    <s v="Popup 28-07-2026 from Lingampally"/>
    <s v="Closed(C4)"/>
    <m/>
    <m/>
    <s v=""/>
    <s v=""/>
    <s v="Hot"/>
    <n v="12340"/>
    <n v="12340"/>
    <d v="2026-04-28T00:00:00"/>
    <m/>
    <x v="16"/>
    <s v="Received at HO"/>
    <m/>
    <d v="2026-04-30T00:00:00"/>
    <x v="0"/>
    <m/>
    <s v=""/>
    <m/>
  </r>
  <r>
    <d v="2026-04-29T00:00:00"/>
    <s v="Bashab"/>
    <s v="Chennai"/>
    <x v="32"/>
    <s v="Call"/>
    <s v="Aggregator"/>
    <x v="6"/>
    <s v="ODC"/>
    <m/>
    <s v="Events"/>
    <s v="Devendar"/>
    <m/>
    <s v="Business Confirmed"/>
    <s v="Closed(C4)"/>
    <m/>
    <m/>
    <s v=""/>
    <s v=""/>
    <s v="Hot"/>
    <n v="192856"/>
    <n v="192856"/>
    <d v="2026-04-29T00:00:00"/>
    <s v="OOKTA03000005742"/>
    <x v="19"/>
    <s v="Received at HO"/>
    <m/>
    <d v="2026-05-15T00:00:00"/>
    <x v="0"/>
    <m/>
    <s v=""/>
    <m/>
  </r>
  <r>
    <d v="2026-04-29T00:00:00"/>
    <s v="Bashab"/>
    <s v="Bangalore"/>
    <x v="16"/>
    <s v="Call"/>
    <s v="Corporate"/>
    <x v="5"/>
    <s v="Bulk Order"/>
    <s v="Repeat"/>
    <s v="Retail"/>
    <s v="Mohammed"/>
    <m/>
    <s v="Business Closed"/>
    <s v="Closed(C4)"/>
    <m/>
    <m/>
    <s v=""/>
    <s v=""/>
    <s v="Hot"/>
    <n v="20166"/>
    <n v="20166"/>
    <d v="2026-04-29T00:00:00"/>
    <s v="00HSA06000002920"/>
    <x v="3"/>
    <s v="Received at HO"/>
    <m/>
    <m/>
    <x v="0"/>
    <m/>
    <s v=""/>
    <m/>
  </r>
  <r>
    <d v="2026-04-29T00:00:00"/>
    <s v="Bashab"/>
    <s v="Bangalore"/>
    <x v="31"/>
    <s v="Call"/>
    <s v="Corporate"/>
    <x v="5"/>
    <s v="Popup Counter"/>
    <m/>
    <s v="Retail"/>
    <s v="Mueenudheen"/>
    <m/>
    <s v="Business Closed"/>
    <s v="Closed(C4)"/>
    <m/>
    <m/>
    <s v=""/>
    <s v=""/>
    <s v="Hot"/>
    <n v="15680"/>
    <n v="15680"/>
    <d v="2026-04-29T00:00:00"/>
    <m/>
    <x v="7"/>
    <s v="Received at Store"/>
    <m/>
    <m/>
    <x v="0"/>
    <m/>
    <s v=""/>
    <m/>
  </r>
  <r>
    <d v="2026-04-29T00:00:00"/>
    <s v="Sameer"/>
    <s v="Hyderabad"/>
    <x v="20"/>
    <s v="Call"/>
    <s v="Aggregator"/>
    <x v="1"/>
    <s v="Pop Up Counter"/>
    <s v="Repeat"/>
    <s v="F&amp;B Agrigator"/>
    <s v="Priyansh"/>
    <m/>
    <s v="popup  29-04-2026 Muthangi"/>
    <s v="Closed(C4)"/>
    <m/>
    <m/>
    <s v=""/>
    <s v=""/>
    <s v="Hot"/>
    <n v="64990"/>
    <n v="64990"/>
    <d v="2026-04-29T00:00:00"/>
    <m/>
    <x v="18"/>
    <s v="Received at HO"/>
    <m/>
    <d v="2026-05-30T00:00:00"/>
    <x v="0"/>
    <m/>
    <s v=""/>
    <m/>
  </r>
  <r>
    <d v="2026-04-29T00:00:00"/>
    <s v="Sameer"/>
    <s v="Hyderabad"/>
    <x v="21"/>
    <s v="Call"/>
    <s v="Aggregator"/>
    <x v="1"/>
    <s v="Pop Up Counter"/>
    <s v="Repeat"/>
    <s v="F&amp;B Agrigator"/>
    <s v="Priyansh"/>
    <m/>
    <s v="Popup 29-07-2026 from Lingampally"/>
    <s v="Closed(C4)"/>
    <m/>
    <m/>
    <s v=""/>
    <s v=""/>
    <s v="Hot"/>
    <n v="11940"/>
    <n v="11940"/>
    <d v="2026-04-29T00:00:00"/>
    <m/>
    <x v="16"/>
    <s v="Received at HO"/>
    <m/>
    <d v="2026-05-30T00:00:00"/>
    <x v="0"/>
    <m/>
    <s v=""/>
    <m/>
  </r>
  <r>
    <d v="2026-04-29T00:00:00"/>
    <s v="Sameer"/>
    <s v="Hyderabad"/>
    <x v="57"/>
    <s v="Call"/>
    <s v="Bulk Order"/>
    <x v="5"/>
    <s v="Bulk Order"/>
    <s v="New"/>
    <s v="Healthcare"/>
    <s v="Sridhar"/>
    <m/>
    <s v="Takeaway secundrabad CB 29-04-2026"/>
    <s v="Closed(C4)"/>
    <m/>
    <m/>
    <s v=""/>
    <s v=""/>
    <s v="Hot"/>
    <n v="9324"/>
    <n v="9324"/>
    <d v="2026-04-29T00:00:00"/>
    <m/>
    <x v="14"/>
    <s v="Received at Store"/>
    <m/>
    <d v="2026-04-29T00:00:00"/>
    <x v="0"/>
    <m/>
    <s v=""/>
    <m/>
  </r>
  <r>
    <d v="2026-04-29T00:00:00"/>
    <s v="Sameer"/>
    <s v="Bangalore"/>
    <x v="3"/>
    <s v="Call"/>
    <s v="Aggregator"/>
    <x v="2"/>
    <s v="Bulk Order"/>
    <s v="Repeat"/>
    <s v="F&amp;B Agrigator"/>
    <s v="Saad"/>
    <m/>
    <s v="Delivery on 29-4-2026 from HSR"/>
    <s v="Closed(C4)"/>
    <m/>
    <m/>
    <s v=""/>
    <s v=""/>
    <s v="Hot"/>
    <n v="20166"/>
    <n v="20166"/>
    <d v="2026-04-29T00:00:00"/>
    <s v="00HSA06000002920"/>
    <x v="3"/>
    <s v="Received at HO"/>
    <m/>
    <d v="2026-05-30T00:00:00"/>
    <x v="0"/>
    <m/>
    <s v=""/>
    <m/>
  </r>
  <r>
    <d v="2026-04-30T00:00:00"/>
    <s v="Bashab"/>
    <s v="Bangalore"/>
    <x v="58"/>
    <s v="Call"/>
    <s v="Aggregator"/>
    <x v="4"/>
    <s v="ODC"/>
    <m/>
    <s v="Events"/>
    <s v="Rawath"/>
    <m/>
    <s v="Business Closed"/>
    <s v="Closed(C4)"/>
    <m/>
    <m/>
    <s v=""/>
    <s v=""/>
    <s v="Hot"/>
    <n v="200000"/>
    <n v="173750"/>
    <d v="2026-04-29T00:00:00"/>
    <m/>
    <x v="8"/>
    <s v="Received at HO"/>
    <m/>
    <d v="2026-05-30T00:00:00"/>
    <x v="0"/>
    <m/>
    <s v=""/>
    <m/>
  </r>
  <r>
    <d v="2026-04-30T00:00:00"/>
    <s v="Sameer"/>
    <s v="Hyderabad"/>
    <x v="20"/>
    <s v="Call"/>
    <s v="Aggregator"/>
    <x v="1"/>
    <s v="Pop Up Counter"/>
    <s v="Repeat"/>
    <s v="F&amp;B Agrigator"/>
    <s v="Priyansh"/>
    <m/>
    <s v="popup  30-04-2026 Muthangi"/>
    <s v="Closed(C4)"/>
    <m/>
    <m/>
    <s v=""/>
    <s v=""/>
    <s v="Hot"/>
    <n v="76320"/>
    <n v="76320"/>
    <d v="2026-04-30T00:00:00"/>
    <m/>
    <x v="18"/>
    <s v="Received at HO"/>
    <m/>
    <d v="2026-05-30T00:00:00"/>
    <x v="0"/>
    <m/>
    <s v=""/>
    <m/>
  </r>
  <r>
    <d v="2026-04-30T00:00:00"/>
    <s v="Sameer"/>
    <s v="Hyderabad"/>
    <x v="21"/>
    <s v="Call"/>
    <s v="Aggregator"/>
    <x v="1"/>
    <s v="Pop Up Counter"/>
    <s v="Repeat"/>
    <s v="F&amp;B Agrigator"/>
    <s v="Priyansh"/>
    <m/>
    <s v="Popup 30-07-2026 from Lingampally"/>
    <s v="Closed(C4)"/>
    <m/>
    <m/>
    <s v=""/>
    <s v=""/>
    <s v="Hot"/>
    <n v="12350"/>
    <n v="12350"/>
    <d v="2026-04-30T00:00:00"/>
    <m/>
    <x v="16"/>
    <s v="Received at HO"/>
    <m/>
    <d v="2026-05-30T00:00:00"/>
    <x v="0"/>
    <m/>
    <s v=""/>
    <m/>
  </r>
  <r>
    <d v="2026-04-30T00:00:00"/>
    <s v="Sameer"/>
    <s v="Hyderabad"/>
    <x v="59"/>
    <s v="F2F"/>
    <s v="Bulk Order"/>
    <x v="5"/>
    <s v="Bulk Order"/>
    <s v="New"/>
    <s v="Family Group"/>
    <s v="Vinay"/>
    <m/>
    <s v="Delivery 1st April at Kapra from Malakjgiri"/>
    <s v="Closed(C4)"/>
    <m/>
    <m/>
    <s v=""/>
    <s v=""/>
    <s v="Hot"/>
    <n v="9808"/>
    <n v="9808"/>
    <d v="2026-05-01T00:00:00"/>
    <m/>
    <x v="20"/>
    <s v="Received at Store"/>
    <m/>
    <d v="2026-05-01T00:00:00"/>
    <x v="1"/>
    <m/>
    <s v=""/>
    <m/>
  </r>
  <r>
    <d v="2026-05-03T00:00:00"/>
    <s v="Bashab"/>
    <s v="Bangalore"/>
    <x v="60"/>
    <s v="Call"/>
    <s v="Corporate"/>
    <x v="5"/>
    <s v="Bulk Order"/>
    <s v="New"/>
    <s v="It"/>
    <s v="Sunil"/>
    <m/>
    <s v="Business Closed"/>
    <s v="Closed(C4)"/>
    <m/>
    <m/>
    <s v=""/>
    <s v=""/>
    <s v="Hot"/>
    <n v="10000"/>
    <n v="10360"/>
    <d v="2026-05-03T00:00:00"/>
    <m/>
    <x v="12"/>
    <s v="Received at Store"/>
    <m/>
    <d v="2026-05-03T00:00:00"/>
    <x v="1"/>
    <m/>
    <m/>
    <m/>
  </r>
  <r>
    <d v="2026-05-04T00:00:00"/>
    <s v="Pradeep"/>
    <s v="Hyderabad"/>
    <x v="61"/>
    <s v="Call"/>
    <s v="Bulk Order"/>
    <x v="5"/>
    <s v="Bulk Order"/>
    <s v="New"/>
    <s v="Family Group"/>
    <s v="Ashoak"/>
    <m/>
    <s v="Bulk order cancelled coz of budget issue"/>
    <s v="Cancelled"/>
    <m/>
    <m/>
    <n v="168"/>
    <s v="Cancelled"/>
    <s v="Cold"/>
    <n v="10000"/>
    <m/>
    <m/>
    <m/>
    <x v="5"/>
    <m/>
    <m/>
    <m/>
    <x v="1"/>
    <m/>
    <s v=""/>
    <m/>
  </r>
  <r>
    <d v="2026-05-04T00:00:00"/>
    <s v="Pradeep"/>
    <s v="Hyderabad"/>
    <x v="62"/>
    <s v="F2F"/>
    <s v="Bulk Order"/>
    <x v="5"/>
    <s v="Bulk Order"/>
    <s v="New"/>
    <s v="Hotel"/>
    <s v="Abhinay Reddy"/>
    <m/>
    <s v="Bulk order requirement "/>
    <s v="Cancelled"/>
    <d v="2026-05-04T00:00:00"/>
    <s v="F2F"/>
    <n v="168"/>
    <s v=""/>
    <s v="Cold"/>
    <n v="20000"/>
    <m/>
    <m/>
    <m/>
    <x v="5"/>
    <m/>
    <m/>
    <m/>
    <x v="1"/>
    <m/>
    <s v=""/>
    <m/>
  </r>
  <r>
    <d v="2026-05-04T00:00:00"/>
    <s v="Pradeep"/>
    <s v="Hyderabad"/>
    <x v="63"/>
    <s v="F2F"/>
    <s v="Bulk Order"/>
    <x v="5"/>
    <s v="Bulk Order"/>
    <s v="New"/>
    <s v="Transport"/>
    <s v="Sai Kiran"/>
    <m/>
    <s v="Bulk order for 40 pax"/>
    <s v="Follow-up( C1 )"/>
    <m/>
    <s v="F2F"/>
    <n v="168"/>
    <s v=""/>
    <s v="Hot"/>
    <n v="25000"/>
    <m/>
    <m/>
    <m/>
    <x v="5"/>
    <m/>
    <m/>
    <m/>
    <x v="1"/>
    <m/>
    <s v=""/>
    <m/>
  </r>
  <r>
    <d v="2026-05-04T00:00:00"/>
    <s v="Sameer"/>
    <s v="Hyderabad"/>
    <x v="64"/>
    <s v="F2F"/>
    <s v="Bulk Order"/>
    <x v="5"/>
    <s v="Bulk Order"/>
    <s v="New"/>
    <s v="Healthcare"/>
    <s v="Bapi Raju"/>
    <m/>
    <s v="Discussed for team lunch "/>
    <s v="Cancelled"/>
    <m/>
    <m/>
    <n v="168"/>
    <s v=""/>
    <s v="Warm"/>
    <n v="0"/>
    <m/>
    <m/>
    <m/>
    <x v="5"/>
    <m/>
    <m/>
    <m/>
    <x v="1"/>
    <m/>
    <s v=""/>
    <m/>
  </r>
  <r>
    <d v="2026-05-04T00:00:00"/>
    <s v="Sameer"/>
    <s v="Hyderabad"/>
    <x v="20"/>
    <s v="Call"/>
    <s v="Aggregator"/>
    <x v="1"/>
    <s v="Pop Up Counter"/>
    <s v="Repeat"/>
    <s v="F&amp;B Aggregator"/>
    <s v="Sekhar"/>
    <m/>
    <s v="Popup counter on 4-05-2026 from Gachibowli"/>
    <s v="Closed(C4)"/>
    <m/>
    <m/>
    <s v=""/>
    <s v=""/>
    <s v="Hot"/>
    <n v="32820"/>
    <n v="32820"/>
    <d v="2026-05-04T00:00:00"/>
    <s v="00GCBTA000288805"/>
    <x v="2"/>
    <s v="Received at HO"/>
    <m/>
    <d v="2026-05-30T00:00:00"/>
    <x v="1"/>
    <m/>
    <s v=""/>
    <m/>
  </r>
  <r>
    <d v="2026-05-04T00:00:00"/>
    <s v="Bashab"/>
    <s v="Hyderabad"/>
    <x v="65"/>
    <s v="Call"/>
    <s v="Aggregator"/>
    <x v="6"/>
    <s v="ODC"/>
    <s v="New"/>
    <s v="Exhibition"/>
    <s v="Ashutosh"/>
    <m/>
    <s v="Confirmed the event."/>
    <s v="Confirmed( C3 )"/>
    <m/>
    <m/>
    <m/>
    <s v=""/>
    <s v="Hot"/>
    <m/>
    <m/>
    <m/>
    <m/>
    <x v="5"/>
    <m/>
    <m/>
    <m/>
    <x v="1"/>
    <m/>
    <s v=""/>
    <m/>
  </r>
  <r>
    <d v="2026-05-04T00:00:00"/>
    <s v="Bashab"/>
    <s v="Bangalore"/>
    <x v="41"/>
    <s v="Call"/>
    <s v="Aggregator"/>
    <x v="1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1"/>
    <m/>
    <s v=""/>
    <m/>
  </r>
  <r>
    <d v="2026-05-04T00:00:00"/>
    <s v="Bashab"/>
    <s v="Bangalore"/>
    <x v="37"/>
    <s v="Call"/>
    <s v="Aggregator"/>
    <x v="1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1"/>
    <m/>
    <s v=""/>
    <m/>
  </r>
  <r>
    <d v="2026-05-04T00:00:00"/>
    <s v="Bashab"/>
    <s v="Bangalore"/>
    <x v="41"/>
    <s v="Call"/>
    <s v="Aggregator"/>
    <x v="1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1"/>
    <m/>
    <s v=""/>
    <m/>
  </r>
  <r>
    <d v="2026-05-04T00:00:00"/>
    <s v="Bashab"/>
    <s v="Bangalore"/>
    <x v="37"/>
    <s v="Call"/>
    <s v="Aggregator"/>
    <x v="1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1"/>
    <m/>
    <s v=""/>
    <m/>
  </r>
  <r>
    <d v="2026-05-04T00:00:00"/>
    <s v="Bashab"/>
    <s v="Bangalore"/>
    <x v="41"/>
    <s v="Call"/>
    <s v="Aggregator"/>
    <x v="1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1"/>
    <m/>
    <s v=""/>
    <m/>
  </r>
  <r>
    <d v="2026-05-04T00:00:00"/>
    <s v="Bashab"/>
    <s v="Bangalore"/>
    <x v="37"/>
    <s v="Call"/>
    <s v="Aggregator"/>
    <x v="1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1"/>
    <m/>
    <s v=""/>
    <m/>
  </r>
  <r>
    <d v="2026-05-04T00:00:00"/>
    <s v="Bashab"/>
    <s v="Bangalore"/>
    <x v="41"/>
    <s v="Call"/>
    <s v="Aggregator"/>
    <x v="1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1"/>
    <m/>
    <s v=""/>
    <m/>
  </r>
  <r>
    <d v="2026-05-04T00:00:00"/>
    <s v="Bashab"/>
    <s v="Bangalore"/>
    <x v="37"/>
    <s v="Call"/>
    <s v="Aggregator"/>
    <x v="1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1"/>
    <m/>
    <s v=""/>
    <m/>
  </r>
  <r>
    <d v="2026-05-04T00:00:00"/>
    <s v="Bashab"/>
    <s v="Bangalore"/>
    <x v="66"/>
    <s v="Call"/>
    <s v="Aggregator"/>
    <x v="3"/>
    <s v="Pop Up Counter"/>
    <s v="Repeat"/>
    <s v="It"/>
    <s v="Navya"/>
    <m/>
    <s v="Popup Confirmed"/>
    <s v="Confirmed( C3 )"/>
    <m/>
    <m/>
    <m/>
    <s v=""/>
    <s v="Hot"/>
    <m/>
    <m/>
    <m/>
    <m/>
    <x v="5"/>
    <m/>
    <m/>
    <m/>
    <x v="1"/>
    <m/>
    <s v=""/>
    <m/>
  </r>
  <r>
    <d v="2026-05-04T00:00:00"/>
    <s v="Bashab"/>
    <s v="Bangalore"/>
    <x v="67"/>
    <s v="Call"/>
    <s v="Aggregator"/>
    <x v="3"/>
    <s v="Pop Up Counter"/>
    <s v="Repeat"/>
    <s v="It"/>
    <s v="Navya"/>
    <m/>
    <s v="Popup Confirmed"/>
    <s v="Confirmed( C3 )"/>
    <m/>
    <m/>
    <m/>
    <s v=""/>
    <s v="Hot"/>
    <m/>
    <m/>
    <m/>
    <m/>
    <x v="7"/>
    <m/>
    <m/>
    <m/>
    <x v="1"/>
    <m/>
    <s v=""/>
    <m/>
  </r>
  <r>
    <d v="2026-05-04T00:00:00"/>
    <s v="Bashab"/>
    <s v="Bangalore"/>
    <x v="68"/>
    <s v="Call"/>
    <s v="Aggregator"/>
    <x v="3"/>
    <s v="Pop Up Counter"/>
    <s v="Repeat"/>
    <s v="It"/>
    <s v="Navya"/>
    <m/>
    <s v="Popup Confirmed"/>
    <s v="Confirmed( C3 )"/>
    <m/>
    <m/>
    <m/>
    <s v=""/>
    <s v="Hot"/>
    <m/>
    <m/>
    <m/>
    <m/>
    <x v="7"/>
    <m/>
    <m/>
    <m/>
    <x v="1"/>
    <m/>
    <s v=""/>
    <m/>
  </r>
  <r>
    <d v="2026-05-04T00:00:00"/>
    <s v="Bashab"/>
    <s v="Bangalore"/>
    <x v="69"/>
    <s v="Call"/>
    <s v="Aggregator"/>
    <x v="3"/>
    <s v="Pop Up Counter"/>
    <s v="Repeat"/>
    <s v="It"/>
    <s v="Navya"/>
    <m/>
    <s v="Popup Confirmed"/>
    <s v="Confirmed( C3 )"/>
    <m/>
    <m/>
    <m/>
    <s v=""/>
    <s v="Hot"/>
    <m/>
    <m/>
    <m/>
    <m/>
    <x v="11"/>
    <m/>
    <m/>
    <m/>
    <x v="1"/>
    <m/>
    <s v=""/>
    <m/>
  </r>
  <r>
    <d v="2026-05-04T00:00:00"/>
    <s v="Bashab"/>
    <s v="Bangalore"/>
    <x v="70"/>
    <s v="Call"/>
    <s v="Aggregator"/>
    <x v="3"/>
    <s v="Pop Up Counter"/>
    <s v="Repeat"/>
    <s v="It"/>
    <s v="Navya"/>
    <m/>
    <s v="Popup Confirmed"/>
    <s v="Confirmed( C3 )"/>
    <m/>
    <m/>
    <m/>
    <s v=""/>
    <s v="Hot"/>
    <m/>
    <m/>
    <m/>
    <m/>
    <x v="11"/>
    <m/>
    <m/>
    <m/>
    <x v="1"/>
    <m/>
    <s v=""/>
    <m/>
  </r>
  <r>
    <d v="2026-05-04T00:00:00"/>
    <s v="Bashab"/>
    <s v="Bangalore"/>
    <x v="71"/>
    <s v="Call"/>
    <s v="Aggregator"/>
    <x v="3"/>
    <s v="Pop Up Counter"/>
    <s v="Repeat"/>
    <s v="It"/>
    <s v="Navya"/>
    <m/>
    <s v="Popup Confirmed"/>
    <s v="Confirmed( C3 )"/>
    <m/>
    <m/>
    <m/>
    <s v=""/>
    <s v="Hot"/>
    <m/>
    <m/>
    <m/>
    <m/>
    <x v="11"/>
    <m/>
    <m/>
    <m/>
    <x v="1"/>
    <m/>
    <s v=""/>
    <m/>
  </r>
  <r>
    <d v="2026-05-04T00:00:00"/>
    <s v="Bashab"/>
    <s v="Bangalore"/>
    <x v="72"/>
    <s v="F2F"/>
    <s v="Aggregator"/>
    <x v="4"/>
    <s v="ODC"/>
    <s v="New"/>
    <s v="Events"/>
    <s v="Rawath"/>
    <m/>
    <s v="event confirmed from 9th to 11th May"/>
    <s v="Confirmed( C3 )"/>
    <m/>
    <m/>
    <m/>
    <s v=""/>
    <s v="Hot"/>
    <m/>
    <m/>
    <m/>
    <m/>
    <x v="8"/>
    <m/>
    <m/>
    <m/>
    <x v="1"/>
    <m/>
    <s v=""/>
    <m/>
  </r>
  <r>
    <d v="2026-05-04T00:00:00"/>
    <s v="Bashab"/>
    <s v="Bangalore"/>
    <x v="73"/>
    <s v="F2F"/>
    <s v="Aggregator"/>
    <x v="4"/>
    <s v="ODC"/>
    <s v="New"/>
    <s v="Events"/>
    <s v="Rawath"/>
    <m/>
    <s v="event confirmed from 14th to 17th May"/>
    <s v="Confirmed( C3 )"/>
    <m/>
    <m/>
    <m/>
    <s v=""/>
    <s v="Hot"/>
    <m/>
    <m/>
    <m/>
    <m/>
    <x v="8"/>
    <m/>
    <m/>
    <m/>
    <x v="1"/>
    <m/>
    <s v=""/>
    <m/>
  </r>
  <r>
    <d v="2026-05-04T00:00:00"/>
    <s v="Bashab"/>
    <s v="Bangalore"/>
    <x v="40"/>
    <s v="F2F"/>
    <s v="Corporate"/>
    <x v="5"/>
    <s v="Popup Counter"/>
    <s v="Repeat"/>
    <s v="Retail"/>
    <s v="Srinivas"/>
    <m/>
    <s v="Popup Confirmed"/>
    <s v="Confirmed( C3 )"/>
    <m/>
    <m/>
    <m/>
    <s v=""/>
    <s v="Hot"/>
    <m/>
    <m/>
    <m/>
    <m/>
    <x v="7"/>
    <m/>
    <m/>
    <m/>
    <x v="1"/>
    <m/>
    <s v=""/>
    <m/>
  </r>
  <r>
    <d v="2026-05-04T00:00:00"/>
    <s v="Bashab"/>
    <s v="Bangalore"/>
    <x v="18"/>
    <s v="F2F"/>
    <s v="Corporate"/>
    <x v="5"/>
    <s v="Popup Counter"/>
    <s v="Repeat"/>
    <s v="Retail"/>
    <s v="Vinod"/>
    <m/>
    <s v="Popup Confirmed"/>
    <s v="Confirmed( C3 )"/>
    <m/>
    <m/>
    <m/>
    <s v=""/>
    <s v="Hot"/>
    <m/>
    <m/>
    <m/>
    <m/>
    <x v="7"/>
    <m/>
    <m/>
    <m/>
    <x v="1"/>
    <m/>
    <s v=""/>
    <m/>
  </r>
  <r>
    <d v="2026-05-04T00:00:00"/>
    <s v="Bashab"/>
    <s v="Bangalore"/>
    <x v="15"/>
    <s v="F2F"/>
    <s v="Corporate"/>
    <x v="5"/>
    <s v="Popup Counter"/>
    <s v="Repeat"/>
    <s v="Retail"/>
    <s v="James"/>
    <m/>
    <s v="Popup Confirmed"/>
    <s v="Confirmed( C3 )"/>
    <m/>
    <m/>
    <m/>
    <s v=""/>
    <s v="Hot"/>
    <m/>
    <m/>
    <m/>
    <m/>
    <x v="7"/>
    <m/>
    <m/>
    <m/>
    <x v="1"/>
    <m/>
    <s v=""/>
    <m/>
  </r>
  <r>
    <d v="2026-05-04T00:00:00"/>
    <s v="Bashab"/>
    <s v="Bangalore"/>
    <x v="31"/>
    <s v="F2F"/>
    <s v="Corporate"/>
    <x v="5"/>
    <s v="Popup Counter"/>
    <s v="Repeat"/>
    <s v="Retail"/>
    <s v="Mueenudheen"/>
    <m/>
    <s v="Popup Confirmed"/>
    <s v="Confirmed( C3 )"/>
    <m/>
    <m/>
    <m/>
    <s v=""/>
    <s v="Hot"/>
    <m/>
    <m/>
    <m/>
    <m/>
    <x v="7"/>
    <m/>
    <m/>
    <m/>
    <x v="1"/>
    <m/>
    <s v=""/>
    <m/>
  </r>
  <r>
    <d v="2026-05-05T00:00:00"/>
    <s v="Pradeep"/>
    <s v="Hyderabad"/>
    <x v="74"/>
    <s v="Call"/>
    <s v="ODC"/>
    <x v="5"/>
    <s v="ODC"/>
    <s v="New"/>
    <s v="Events"/>
    <s v="Nawsad khan"/>
    <m/>
    <s v="had  event from 08th to 10th may  in fallowup with client"/>
    <s v="Closed(C4)"/>
    <m/>
    <m/>
    <s v=""/>
    <s v=""/>
    <s v="Hot"/>
    <n v="100000"/>
    <n v="0"/>
    <m/>
    <m/>
    <x v="5"/>
    <m/>
    <m/>
    <m/>
    <x v="1"/>
    <m/>
    <s v=""/>
    <m/>
  </r>
  <r>
    <d v="2026-05-05T00:00:00"/>
    <s v="Pradeep"/>
    <s v="Hyderabad"/>
    <x v="75"/>
    <s v="F2F"/>
    <s v="ODC"/>
    <x v="5"/>
    <s v="ODC"/>
    <s v="New"/>
    <s v="Events"/>
    <s v="Abhirami"/>
    <m/>
    <s v="event on 6th june in fallow up with client"/>
    <s v="Closed(C4)"/>
    <m/>
    <m/>
    <s v=""/>
    <s v=""/>
    <s v="Warm"/>
    <n v="50000"/>
    <m/>
    <m/>
    <m/>
    <x v="5"/>
    <m/>
    <m/>
    <m/>
    <x v="1"/>
    <m/>
    <s v=""/>
    <m/>
  </r>
  <r>
    <d v="2026-05-05T00:00:00"/>
    <s v="Pradeep"/>
    <s v="Hyderabad"/>
    <x v="76"/>
    <s v="F2F"/>
    <s v="Bulk Order"/>
    <x v="5"/>
    <s v="Bulk Order"/>
    <s v="New"/>
    <s v="Family Group"/>
    <s v="Srinivas"/>
    <m/>
    <s v="Bulk order  for 50 pax"/>
    <s v="Cancelled"/>
    <m/>
    <m/>
    <n v="167"/>
    <s v=""/>
    <s v="Hot"/>
    <n v="10000"/>
    <m/>
    <m/>
    <m/>
    <x v="5"/>
    <m/>
    <m/>
    <m/>
    <x v="1"/>
    <m/>
    <s v=""/>
    <m/>
  </r>
  <r>
    <d v="2026-05-05T00:00:00"/>
    <s v="Sameer"/>
    <s v="Hyderabad"/>
    <x v="77"/>
    <s v="F2F"/>
    <s v="Bulk Order"/>
    <x v="5"/>
    <s v="Bulk Order"/>
    <s v="New"/>
    <s v="Pharma"/>
    <s v="Shravan"/>
    <m/>
    <s v="Discussed for Regular Purchases and team lunch bulk bookings"/>
    <s v="Cancelled"/>
    <m/>
    <m/>
    <n v="167"/>
    <s v=""/>
    <s v="Hot"/>
    <n v="0"/>
    <n v="0"/>
    <m/>
    <m/>
    <x v="5"/>
    <m/>
    <m/>
    <m/>
    <x v="1"/>
    <m/>
    <s v=""/>
    <m/>
  </r>
  <r>
    <d v="2026-05-05T00:00:00"/>
    <s v="Bashab"/>
    <s v="Bangalore"/>
    <x v="78"/>
    <s v="F2F"/>
    <s v="Corporate"/>
    <x v="5"/>
    <s v="Bulk Order"/>
    <s v="New"/>
    <s v="It"/>
    <s v="Kamal"/>
    <m/>
    <s v="Discussed on the requirement for catering and bulk order deliveries."/>
    <s v="Follow-up( C1 )"/>
    <d v="2026-09-25T00:00:00"/>
    <s v="Call"/>
    <n v="167"/>
    <s v="Yes"/>
    <s v="Warm"/>
    <m/>
    <m/>
    <m/>
    <m/>
    <x v="5"/>
    <m/>
    <m/>
    <m/>
    <x v="1"/>
    <m/>
    <s v=""/>
    <m/>
  </r>
  <r>
    <d v="2026-05-05T00:00:00"/>
    <s v="Bashab"/>
    <s v="Bangalore"/>
    <x v="79"/>
    <s v="F2F"/>
    <s v="Corporate"/>
    <x v="5"/>
    <s v="Bulk Order"/>
    <s v="New"/>
    <s v="Others"/>
    <s v="Daniel"/>
    <m/>
    <s v="Discussed on the bulk order requirement"/>
    <s v="Follow-up( C1 )"/>
    <d v="2026-08-25T00:00:00"/>
    <s v="Call"/>
    <n v="167"/>
    <s v="Yes"/>
    <s v="Warm"/>
    <m/>
    <m/>
    <m/>
    <m/>
    <x v="5"/>
    <m/>
    <m/>
    <m/>
    <x v="1"/>
    <m/>
    <s v=""/>
    <m/>
  </r>
  <r>
    <d v="2026-05-05T00:00:00"/>
    <s v="Bashab"/>
    <s v="Bangalore"/>
    <x v="39"/>
    <s v="Call"/>
    <s v="Aggregator"/>
    <x v="2"/>
    <s v="Bulk Order"/>
    <s v="Repeat"/>
    <s v="It"/>
    <s v="Sarvesh"/>
    <m/>
    <s v="Follow-up for the upcoming requirement"/>
    <s v="Follow-up( C1 )"/>
    <d v="2026-09-25T00:00:00"/>
    <s v="F2F"/>
    <n v="167"/>
    <s v="Yes"/>
    <s v="Hot"/>
    <m/>
    <m/>
    <m/>
    <m/>
    <x v="5"/>
    <m/>
    <m/>
    <m/>
    <x v="1"/>
    <m/>
    <s v=""/>
    <m/>
  </r>
  <r>
    <d v="2026-05-05T00:00:00"/>
    <s v="Sameer"/>
    <s v="Hyderabad"/>
    <x v="20"/>
    <s v="Call"/>
    <s v="Aggregator"/>
    <x v="1"/>
    <s v="Pop Up Counter"/>
    <s v="Repeat"/>
    <s v="F&amp;B Aggregator"/>
    <s v="Sekhar"/>
    <m/>
    <s v="Popup counter on 5-05-2026 from Gachibowli"/>
    <s v="Closed(C4)"/>
    <m/>
    <m/>
    <s v=""/>
    <s v=""/>
    <s v="Hot"/>
    <n v="39910"/>
    <n v="39910"/>
    <d v="2026-05-05T00:00:00"/>
    <s v="00GCBTA000288806"/>
    <x v="2"/>
    <s v="Received at HO"/>
    <m/>
    <d v="2026-05-30T00:00:00"/>
    <x v="1"/>
    <m/>
    <s v=""/>
    <m/>
  </r>
  <r>
    <d v="2026-05-05T00:00:00"/>
    <s v="Sameer"/>
    <s v="Hyderabad"/>
    <x v="80"/>
    <s v="F2F"/>
    <s v="Gifting"/>
    <x v="5"/>
    <s v="Bulk Order"/>
    <s v="Repeat"/>
    <s v="Pharma"/>
    <s v="Sandeep"/>
    <m/>
    <s v="Discussion about Next PO and follow up for Payment"/>
    <s v="Cancelled"/>
    <m/>
    <m/>
    <n v="167"/>
    <s v=""/>
    <s v="Hot"/>
    <n v="0"/>
    <m/>
    <m/>
    <m/>
    <x v="5"/>
    <m/>
    <m/>
    <m/>
    <x v="1"/>
    <m/>
    <s v=""/>
    <m/>
  </r>
  <r>
    <d v="2026-05-06T00:00:00"/>
    <s v="Pradeep"/>
    <s v="Hyderabad"/>
    <x v="81"/>
    <s v="F2F"/>
    <s v="ODC"/>
    <x v="5"/>
    <s v="Pop Up Counter"/>
    <s v="New"/>
    <s v="Healthcare"/>
    <s v="Srikanth"/>
    <m/>
    <s v="Pop up  event on 14th &amp; 15th May"/>
    <s v="Cancelled"/>
    <m/>
    <m/>
    <n v="166"/>
    <s v=""/>
    <s v="Hot"/>
    <n v="50000"/>
    <m/>
    <m/>
    <m/>
    <x v="5"/>
    <m/>
    <m/>
    <m/>
    <x v="1"/>
    <m/>
    <s v=""/>
    <m/>
  </r>
  <r>
    <d v="2026-05-06T00:00:00"/>
    <s v="Sameer"/>
    <s v="Hyderabad"/>
    <x v="82"/>
    <s v="F2F"/>
    <s v="Aggregator"/>
    <x v="0"/>
    <s v="Bulk Order"/>
    <s v="New"/>
    <s v="F&amp;B Aggregator"/>
    <s v="pawan"/>
    <m/>
    <s v="event on 14th &amp; 15th may"/>
    <s v="Cancelled"/>
    <m/>
    <m/>
    <n v="166"/>
    <s v=""/>
    <s v="Hot"/>
    <n v="0"/>
    <n v="0"/>
    <m/>
    <m/>
    <x v="5"/>
    <m/>
    <m/>
    <m/>
    <x v="1"/>
    <m/>
    <s v=""/>
    <m/>
  </r>
  <r>
    <d v="2026-05-06T00:00:00"/>
    <s v="Pradeep"/>
    <s v="Hyderabad"/>
    <x v="83"/>
    <s v="F2F"/>
    <s v="Corporate"/>
    <x v="5"/>
    <s v="Bulk Order"/>
    <s v="New"/>
    <s v="Manufacturing"/>
    <s v="Ravi"/>
    <m/>
    <s v="Has a requirement of bulk booking"/>
    <s v="Cancelled"/>
    <d v="2026-09-07T00:00:00"/>
    <s v="Call"/>
    <n v="166"/>
    <s v=""/>
    <s v="Warm"/>
    <n v="50000"/>
    <m/>
    <m/>
    <m/>
    <x v="5"/>
    <m/>
    <m/>
    <m/>
    <x v="1"/>
    <m/>
    <s v=""/>
    <m/>
  </r>
  <r>
    <d v="2026-05-06T00:00:00"/>
    <s v="Sameer"/>
    <s v="Hyderabad"/>
    <x v="84"/>
    <s v="Call"/>
    <s v="Bulk Order"/>
    <x v="5"/>
    <s v="Bulk Order"/>
    <s v="New"/>
    <s v="Family Group"/>
    <s v="Prashanti"/>
    <m/>
    <s v="Bulk order for 30 pax "/>
    <s v="Cancelled"/>
    <m/>
    <m/>
    <n v="166"/>
    <s v=""/>
    <s v="Warm"/>
    <n v="0"/>
    <n v="0"/>
    <m/>
    <m/>
    <x v="5"/>
    <m/>
    <m/>
    <m/>
    <x v="1"/>
    <m/>
    <s v=""/>
    <m/>
  </r>
  <r>
    <d v="2026-05-06T00:00:00"/>
    <s v="Bashab"/>
    <s v="Bangalore"/>
    <x v="85"/>
    <s v="F2F"/>
    <s v="Corporate"/>
    <x v="5"/>
    <s v="Bulk Order"/>
    <s v="New"/>
    <s v="Education"/>
    <s v="Rajaram"/>
    <m/>
    <s v="Proposed for Bulk order and Pop-up counter"/>
    <s v="Follow-up( C1 )"/>
    <d v="2026-09-25T00:00:00"/>
    <s v="F2F"/>
    <n v="166"/>
    <s v="Yes"/>
    <s v="Warm"/>
    <m/>
    <m/>
    <m/>
    <m/>
    <x v="5"/>
    <m/>
    <m/>
    <m/>
    <x v="1"/>
    <m/>
    <s v=""/>
    <m/>
  </r>
  <r>
    <d v="2026-05-06T00:00:00"/>
    <s v="Bashab"/>
    <s v="Bangalore"/>
    <x v="5"/>
    <s v="Call"/>
    <s v="Aggregator"/>
    <x v="3"/>
    <s v="Bulk Order"/>
    <s v="Repeat"/>
    <s v="F&amp;B Aggregator"/>
    <s v="Navya"/>
    <m/>
    <s v="Follow-up for the upcoming requirement"/>
    <s v="Follow-up( C1 )"/>
    <d v="2026-09-19T00:00:00"/>
    <s v="F2F"/>
    <n v="166"/>
    <s v="Yes"/>
    <s v="Warm"/>
    <m/>
    <m/>
    <m/>
    <m/>
    <x v="5"/>
    <m/>
    <m/>
    <m/>
    <x v="1"/>
    <m/>
    <s v=""/>
    <m/>
  </r>
  <r>
    <d v="2026-05-06T00:00:00"/>
    <s v="Bashab"/>
    <s v="Bangalore"/>
    <x v="9"/>
    <s v="Call"/>
    <s v="Aggregator"/>
    <x v="0"/>
    <s v="Bulk Order"/>
    <s v="Repeat"/>
    <s v="F&amp;B Aggregator"/>
    <s v="Yashi"/>
    <m/>
    <s v="Follow-up for the upcoming requirement"/>
    <s v="Follow-up( C1 )"/>
    <d v="2026-09-18T00:00:00"/>
    <s v="F2F"/>
    <n v="166"/>
    <s v="Yes"/>
    <s v="Warm"/>
    <m/>
    <m/>
    <m/>
    <m/>
    <x v="5"/>
    <m/>
    <m/>
    <m/>
    <x v="1"/>
    <m/>
    <s v=""/>
    <m/>
  </r>
  <r>
    <d v="2026-05-06T00:00:00"/>
    <s v="Bashab"/>
    <s v="Bangalore"/>
    <x v="86"/>
    <s v="Call"/>
    <s v="Aggregator"/>
    <x v="5"/>
    <s v="Bulk Order"/>
    <s v="New"/>
    <s v="F&amp;B Aggregator"/>
    <s v="Keshav"/>
    <m/>
    <s v="Follow-up for the upcoming requirement"/>
    <s v="Follow-up( C1 )"/>
    <d v="2026-09-25T00:00:00"/>
    <s v="F2F"/>
    <n v="166"/>
    <s v="Yes"/>
    <s v="Warm"/>
    <m/>
    <m/>
    <m/>
    <m/>
    <x v="5"/>
    <m/>
    <m/>
    <m/>
    <x v="1"/>
    <m/>
    <s v=""/>
    <m/>
  </r>
  <r>
    <d v="2026-05-06T00:00:00"/>
    <s v="Bashab"/>
    <s v="Bangalore"/>
    <x v="37"/>
    <s v="Call"/>
    <s v="Aggregator"/>
    <x v="1"/>
    <s v="Pop Up Counter"/>
    <s v="Repeat"/>
    <s v="It"/>
    <s v="Harish"/>
    <m/>
    <s v="Pop-up counter business closed"/>
    <s v="Closed(C4)"/>
    <m/>
    <m/>
    <s v=""/>
    <s v=""/>
    <s v="Hot"/>
    <n v="15000"/>
    <n v="15885"/>
    <d v="2026-05-06T00:00:00"/>
    <m/>
    <x v="12"/>
    <s v="Received at HO"/>
    <m/>
    <m/>
    <x v="1"/>
    <m/>
    <s v=""/>
    <m/>
  </r>
  <r>
    <d v="2026-05-06T00:00:00"/>
    <s v="Bashab"/>
    <s v="Bangalore"/>
    <x v="41"/>
    <s v="Call"/>
    <s v="Aggregator"/>
    <x v="1"/>
    <s v="Pop Up Counter"/>
    <s v="Repeat"/>
    <s v="It"/>
    <s v="Harish"/>
    <m/>
    <s v="Pop-up counter business closed"/>
    <s v="Closed(C4)"/>
    <m/>
    <m/>
    <s v=""/>
    <s v=""/>
    <s v="Hot"/>
    <n v="15000"/>
    <n v="16050"/>
    <d v="2026-05-06T00:00:00"/>
    <m/>
    <x v="12"/>
    <s v="Received at HO"/>
    <m/>
    <m/>
    <x v="1"/>
    <m/>
    <s v=""/>
    <m/>
  </r>
  <r>
    <d v="2026-05-06T00:00:00"/>
    <s v="Bashab"/>
    <s v="Bangalore"/>
    <x v="87"/>
    <s v="Call"/>
    <s v="Corporate"/>
    <x v="5"/>
    <s v="Pop Up Counter"/>
    <s v="Repeat"/>
    <s v="It"/>
    <s v="Govardhan"/>
    <m/>
    <s v="Pop-up counter business closed"/>
    <s v="Closed(C4)"/>
    <m/>
    <m/>
    <s v=""/>
    <s v=""/>
    <s v="Hot"/>
    <n v="20000"/>
    <n v="22191"/>
    <d v="2026-05-06T00:00:00"/>
    <m/>
    <x v="7"/>
    <s v="Received at Store"/>
    <m/>
    <d v="2026-05-06T00:00:00"/>
    <x v="1"/>
    <m/>
    <s v=""/>
    <m/>
  </r>
  <r>
    <d v="2026-05-06T00:00:00"/>
    <s v="Sameer"/>
    <s v="Hyderabad"/>
    <x v="20"/>
    <s v="Call"/>
    <s v="Aggregator"/>
    <x v="1"/>
    <s v="Pop Up Counter"/>
    <s v="Repeat"/>
    <s v="F&amp;B Aggregator"/>
    <s v="Sekhar"/>
    <m/>
    <s v="Popup counter on 6-05-2026 from Gachibowli"/>
    <s v="Closed(C4)"/>
    <m/>
    <m/>
    <s v=""/>
    <s v=""/>
    <s v="Hot"/>
    <n v="50090"/>
    <n v="50090"/>
    <d v="2026-05-06T00:00:00"/>
    <s v="00GCBTA000288862"/>
    <x v="2"/>
    <s v="Received at HO"/>
    <m/>
    <d v="2026-05-30T00:00:00"/>
    <x v="1"/>
    <m/>
    <s v=""/>
    <m/>
  </r>
  <r>
    <d v="2026-05-06T00:00:00"/>
    <s v="Sameer"/>
    <s v="Bangalore"/>
    <x v="3"/>
    <s v="Call"/>
    <s v="Aggregator"/>
    <x v="2"/>
    <s v="Bulk Order"/>
    <s v="Repeat"/>
    <s v="F&amp;B Agrigator"/>
    <s v="Saad"/>
    <m/>
    <s v="Delivery on 6-5-2026 from HSR"/>
    <s v="Closed(C4)"/>
    <m/>
    <m/>
    <s v=""/>
    <s v=""/>
    <s v="Hot"/>
    <n v="23833"/>
    <n v="23833"/>
    <d v="2026-05-06T00:00:00"/>
    <s v="00HSA06000003012"/>
    <x v="3"/>
    <s v="Received at HO"/>
    <m/>
    <m/>
    <x v="1"/>
    <m/>
    <s v=""/>
    <m/>
  </r>
  <r>
    <d v="2026-05-06T00:00:00"/>
    <s v="Bashab"/>
    <s v="Bangalore"/>
    <x v="16"/>
    <s v="Call"/>
    <s v="Corporate"/>
    <x v="5"/>
    <s v="Bulk Order"/>
    <s v="Repeat"/>
    <s v="Retail"/>
    <s v="Mohammed"/>
    <m/>
    <s v="Business Closed"/>
    <s v="Closed(C4)"/>
    <m/>
    <m/>
    <s v=""/>
    <s v=""/>
    <s v="Hot"/>
    <n v="22687"/>
    <n v="23833"/>
    <d v="2026-05-06T00:00:00"/>
    <s v="00HSA06000003012"/>
    <x v="3"/>
    <s v="Received at HO"/>
    <m/>
    <m/>
    <x v="1"/>
    <m/>
    <m/>
    <m/>
  </r>
  <r>
    <d v="2026-05-07T00:00:00"/>
    <s v="Manohar"/>
    <s v="Bangalore"/>
    <x v="88"/>
    <s v="Call"/>
    <s v="Corporate"/>
    <x v="5"/>
    <s v="Pop Up Counter"/>
    <s v="Repeat"/>
    <s v="It"/>
    <s v="Savitha"/>
    <m/>
    <s v="pop up counter on  13/05/2026 in  Embassy tech villge tech park"/>
    <s v="Closed(C4)"/>
    <m/>
    <m/>
    <s v=""/>
    <s v=""/>
    <s v="Hot"/>
    <n v="15000"/>
    <n v="7500"/>
    <d v="2026-05-13T00:00:00"/>
    <m/>
    <x v="11"/>
    <s v="Received at Store"/>
    <m/>
    <d v="2026-05-14T00:00:00"/>
    <x v="1"/>
    <m/>
    <s v=""/>
    <m/>
  </r>
  <r>
    <d v="2026-05-07T00:00:00"/>
    <s v="Manohar"/>
    <s v="Bangalore"/>
    <x v="89"/>
    <s v="Call"/>
    <s v="Corporate"/>
    <x v="5"/>
    <m/>
    <s v="New"/>
    <s v="It"/>
    <s v="Mr. Keshav Jha"/>
    <m/>
    <m/>
    <s v="Introduction( C0 )"/>
    <m/>
    <m/>
    <n v="165"/>
    <s v=""/>
    <s v="Warm"/>
    <m/>
    <m/>
    <m/>
    <m/>
    <x v="5"/>
    <m/>
    <m/>
    <m/>
    <x v="1"/>
    <m/>
    <s v=""/>
    <m/>
  </r>
  <r>
    <d v="2026-05-07T00:00:00"/>
    <s v="Manohar"/>
    <s v="Bangalore"/>
    <x v="90"/>
    <s v="Call"/>
    <s v="Corporate"/>
    <x v="5"/>
    <m/>
    <s v="New"/>
    <s v="It"/>
    <s v="abhilash"/>
    <m/>
    <s v="office visit "/>
    <s v="Introduction( C0 )"/>
    <m/>
    <m/>
    <n v="165"/>
    <s v=""/>
    <s v="Warm"/>
    <m/>
    <m/>
    <m/>
    <m/>
    <x v="5"/>
    <m/>
    <m/>
    <m/>
    <x v="1"/>
    <m/>
    <s v=""/>
    <m/>
  </r>
  <r>
    <d v="2026-05-07T00:00:00"/>
    <s v="Pradeep"/>
    <s v="Hyderabad"/>
    <x v="91"/>
    <s v="F2F"/>
    <s v="Corporate"/>
    <x v="5"/>
    <s v="Pop Up Counter"/>
    <s v="New"/>
    <s v="It"/>
    <s v="Priyansh"/>
    <m/>
    <s v="Follow-up from 8th to 12th june"/>
    <s v="Cancelled"/>
    <m/>
    <m/>
    <n v="165"/>
    <s v=""/>
    <s v="Warm"/>
    <n v="100000"/>
    <m/>
    <m/>
    <m/>
    <x v="5"/>
    <m/>
    <m/>
    <m/>
    <x v="1"/>
    <m/>
    <s v=""/>
    <m/>
  </r>
  <r>
    <d v="2026-05-07T00:00:00"/>
    <s v="Pradeep"/>
    <s v="Hyderabad"/>
    <x v="92"/>
    <s v="F2F"/>
    <s v="Bulk Order"/>
    <x v="5"/>
    <s v="Bulk Order"/>
    <s v="New"/>
    <s v="Education"/>
    <s v="Ravi"/>
    <m/>
    <s v="Has a requirement of bulk booking , cancellled"/>
    <s v="Cancelled"/>
    <m/>
    <m/>
    <n v="165"/>
    <s v=""/>
    <s v="Warm"/>
    <n v="25000"/>
    <m/>
    <m/>
    <m/>
    <x v="5"/>
    <m/>
    <m/>
    <m/>
    <x v="1"/>
    <m/>
    <s v=""/>
    <m/>
  </r>
  <r>
    <d v="2026-05-07T00:00:00"/>
    <s v="Pradeep"/>
    <s v="Hyderabad"/>
    <x v="93"/>
    <s v="F2F"/>
    <s v="Gifting"/>
    <x v="5"/>
    <s v="Bulk Order"/>
    <s v="New"/>
    <s v="It"/>
    <s v="Bhanu"/>
    <m/>
    <s v="Proposed for Bulk order and Gifting"/>
    <s v="Cancelled"/>
    <m/>
    <m/>
    <n v="165"/>
    <s v=""/>
    <s v="Warm"/>
    <n v="30000"/>
    <m/>
    <m/>
    <m/>
    <x v="5"/>
    <m/>
    <m/>
    <m/>
    <x v="1"/>
    <m/>
    <s v=""/>
    <m/>
  </r>
  <r>
    <d v="2026-05-07T00:00:00"/>
    <s v="Sameer"/>
    <s v="Hyderabad"/>
    <x v="20"/>
    <s v="Call"/>
    <s v="Aggregator"/>
    <x v="1"/>
    <s v="Pop Up Counter"/>
    <s v="Repeat"/>
    <s v="F&amp;B Aggregator"/>
    <s v="Sekhar"/>
    <m/>
    <s v="Popup counter on 6-05-2026 from Gachibowli"/>
    <s v="Closed(C4)"/>
    <m/>
    <m/>
    <s v=""/>
    <s v=""/>
    <s v="Hot"/>
    <n v="50090"/>
    <n v="50090"/>
    <d v="2026-05-07T00:00:00"/>
    <s v="00GCBTA000288862"/>
    <x v="2"/>
    <s v="Received at HO"/>
    <m/>
    <m/>
    <x v="1"/>
    <m/>
    <s v=""/>
    <m/>
  </r>
  <r>
    <d v="2026-05-07T00:00:00"/>
    <s v="Sameer"/>
    <s v="Hyderabad"/>
    <x v="94"/>
    <s v="F2F"/>
    <s v="Aggregator"/>
    <x v="1"/>
    <s v="Pop Up Counter"/>
    <s v="New"/>
    <s v="F&amp;B Aggregator"/>
    <s v="Priyansh"/>
    <m/>
    <s v="Popup counter from 8-12 June, cancelled due to client issue with Us"/>
    <s v="Cancelled"/>
    <m/>
    <m/>
    <n v="165"/>
    <s v=""/>
    <s v="Hot"/>
    <n v="600000"/>
    <n v="0"/>
    <d v="2026-06-08T00:00:00"/>
    <m/>
    <x v="5"/>
    <m/>
    <m/>
    <m/>
    <x v="2"/>
    <m/>
    <s v=""/>
    <m/>
  </r>
  <r>
    <d v="2026-05-07T00:00:00"/>
    <s v="Sameer"/>
    <s v="Hyderabad"/>
    <x v="95"/>
    <s v="F2F"/>
    <s v="Corporate"/>
    <x v="5"/>
    <s v="Bulk Order"/>
    <s v="New"/>
    <s v="Retail"/>
    <s v="Nagaraju"/>
    <m/>
    <s v="Proposed gifting vouchers employees"/>
    <s v="Cancelled"/>
    <m/>
    <m/>
    <n v="165"/>
    <s v=""/>
    <s v="Warm"/>
    <n v="0"/>
    <n v="0"/>
    <d v="2026-05-28T00:00:00"/>
    <m/>
    <x v="5"/>
    <m/>
    <m/>
    <m/>
    <x v="1"/>
    <m/>
    <s v=""/>
    <m/>
  </r>
  <r>
    <d v="2026-05-07T00:00:00"/>
    <s v="Sameer"/>
    <s v="Hyderabad"/>
    <x v="96"/>
    <s v="F2F"/>
    <s v="Corporate"/>
    <x v="5"/>
    <s v="Bulk Order"/>
    <s v="New"/>
    <s v="Transport"/>
    <s v="Kiran"/>
    <m/>
    <s v="Buffet lunch in May 1st and 3rd week, Cancelled from client"/>
    <s v="Cancelled"/>
    <m/>
    <m/>
    <n v="165"/>
    <s v=""/>
    <s v="Hot"/>
    <n v="312000"/>
    <n v="0"/>
    <d v="2026-05-22T00:00:00"/>
    <m/>
    <x v="5"/>
    <m/>
    <m/>
    <m/>
    <x v="1"/>
    <m/>
    <s v=""/>
    <m/>
  </r>
  <r>
    <d v="2026-05-07T00:00:00"/>
    <s v="Sameer"/>
    <s v="Hyderabad"/>
    <x v="20"/>
    <s v="Call"/>
    <s v="Aggregator"/>
    <x v="1"/>
    <s v="Pop Up Counter"/>
    <s v="Repeat"/>
    <s v="F&amp;B Aggregator"/>
    <s v="Sekhar"/>
    <m/>
    <s v="Popup counter till 15-05-2026 from Gachibowli"/>
    <s v="Cancelled"/>
    <m/>
    <m/>
    <n v="165"/>
    <s v=""/>
    <s v="Hot"/>
    <n v="0"/>
    <n v="0"/>
    <d v="2026-05-15T00:00:00"/>
    <m/>
    <x v="5"/>
    <m/>
    <m/>
    <m/>
    <x v="1"/>
    <m/>
    <s v=""/>
    <m/>
  </r>
  <r>
    <d v="2026-05-07T00:00:00"/>
    <s v="Sameer"/>
    <s v="Hyderabad"/>
    <x v="97"/>
    <s v="F2F"/>
    <s v="ODC"/>
    <x v="5"/>
    <s v="Pop Up Counter"/>
    <m/>
    <s v="Healthcare"/>
    <s v="Sneha"/>
    <m/>
    <s v="Pop up  event on 14th &amp; 15th May"/>
    <s v="Closed(C4)"/>
    <m/>
    <m/>
    <s v=""/>
    <s v=""/>
    <s v="Hot"/>
    <n v="0"/>
    <n v="0"/>
    <d v="2026-05-15T00:00:00"/>
    <m/>
    <x v="5"/>
    <m/>
    <m/>
    <m/>
    <x v="1"/>
    <m/>
    <s v=""/>
    <m/>
  </r>
  <r>
    <d v="2026-05-07T00:00:00"/>
    <s v="Sameer"/>
    <s v="Hyderabad"/>
    <x v="46"/>
    <s v="Call"/>
    <s v="Aggregator"/>
    <x v="0"/>
    <s v="Popup Counter"/>
    <s v="Repeat"/>
    <s v="F&amp;B Aggregator"/>
    <s v="Pawan"/>
    <m/>
    <s v="Haleem popup  on 14 &amp; 15 May"/>
    <s v="Cancelled"/>
    <m/>
    <m/>
    <n v="165"/>
    <s v=""/>
    <s v="Hot"/>
    <n v="0"/>
    <n v="0"/>
    <d v="2026-05-15T00:00:00"/>
    <m/>
    <x v="5"/>
    <m/>
    <m/>
    <m/>
    <x v="1"/>
    <m/>
    <s v=""/>
    <m/>
  </r>
  <r>
    <d v="2026-05-07T00:00:00"/>
    <s v="Bashab"/>
    <s v="Bangalore"/>
    <x v="18"/>
    <s v="F2F"/>
    <s v="Corporate"/>
    <x v="5"/>
    <s v="Popup Counter"/>
    <s v="Repeat"/>
    <s v="Retail"/>
    <s v="Vinod"/>
    <m/>
    <s v="Business Closed"/>
    <s v="Closed(C4)"/>
    <m/>
    <m/>
    <s v=""/>
    <s v=""/>
    <s v="Hot"/>
    <n v="15000"/>
    <n v="13689"/>
    <d v="2026-05-07T00:00:00"/>
    <m/>
    <x v="7"/>
    <s v="Received at Store"/>
    <m/>
    <d v="2026-05-07T00:00:00"/>
    <x v="1"/>
    <m/>
    <s v=""/>
    <m/>
  </r>
  <r>
    <d v="2026-05-07T00:00:00"/>
    <s v="Sameer"/>
    <s v="Hyderabad"/>
    <x v="20"/>
    <s v="Call"/>
    <s v="Aggregator"/>
    <x v="1"/>
    <s v="Pop Up Counter"/>
    <s v="Repeat"/>
    <s v="F&amp;B Aggregator"/>
    <s v="Sekhar"/>
    <m/>
    <s v="Popup counter on 7-05-2026 from Gachibowli"/>
    <s v="Closed(C4)"/>
    <m/>
    <m/>
    <s v=""/>
    <s v=""/>
    <s v="Hot"/>
    <n v="60890"/>
    <n v="60890"/>
    <d v="2026-05-07T00:00:00"/>
    <s v="00GCBTA000288906"/>
    <x v="2"/>
    <s v="Received at HO"/>
    <m/>
    <d v="2026-05-30T00:00:00"/>
    <x v="1"/>
    <m/>
    <s v=""/>
    <m/>
  </r>
  <r>
    <d v="2026-05-08T00:00:00"/>
    <s v="Manohar"/>
    <s v="Bangalore"/>
    <x v="98"/>
    <s v="F2F"/>
    <s v="Corporate"/>
    <x v="5"/>
    <s v="Bulk Order"/>
    <s v="New"/>
    <s v="It"/>
    <s v="Aman sheety"/>
    <m/>
    <s v="theay are planning for team lunch"/>
    <s v="Introduction( C0 )"/>
    <m/>
    <m/>
    <n v="164"/>
    <s v=""/>
    <s v="Warm"/>
    <m/>
    <m/>
    <m/>
    <m/>
    <x v="5"/>
    <m/>
    <m/>
    <m/>
    <x v="1"/>
    <m/>
    <s v=""/>
    <m/>
  </r>
  <r>
    <d v="2026-05-08T00:00:00"/>
    <s v="Manohar"/>
    <s v="Bangalore"/>
    <x v="99"/>
    <s v="Call"/>
    <s v="Corporate"/>
    <x v="5"/>
    <s v="Bulk Order"/>
    <s v="New"/>
    <s v="It"/>
    <s v="Harsha N"/>
    <m/>
    <s v="introduction"/>
    <s v="Introduction( C0 )"/>
    <m/>
    <m/>
    <n v="164"/>
    <s v=""/>
    <s v="Cold"/>
    <m/>
    <m/>
    <m/>
    <m/>
    <x v="5"/>
    <m/>
    <m/>
    <m/>
    <x v="1"/>
    <m/>
    <s v=""/>
    <m/>
  </r>
  <r>
    <d v="2026-05-08T00:00:00"/>
    <s v="Manohar"/>
    <s v="Bangalore"/>
    <x v="99"/>
    <s v="Call"/>
    <s v="Corporate"/>
    <x v="5"/>
    <s v="ODC"/>
    <s v="New"/>
    <s v="It"/>
    <s v="Anil Yadav"/>
    <m/>
    <s v="introduction"/>
    <s v="Introduction( C0 )"/>
    <m/>
    <m/>
    <n v="164"/>
    <s v=""/>
    <s v="Cold"/>
    <m/>
    <m/>
    <m/>
    <m/>
    <x v="5"/>
    <m/>
    <m/>
    <m/>
    <x v="1"/>
    <m/>
    <s v=""/>
    <m/>
  </r>
  <r>
    <d v="2026-05-08T00:00:00"/>
    <s v="Manohar"/>
    <s v="Bangalore"/>
    <x v="100"/>
    <s v="Call"/>
    <s v="Corporate"/>
    <x v="5"/>
    <s v="Bulk Order"/>
    <s v="New"/>
    <s v="It"/>
    <s v="Ms. Sudha Prasad"/>
    <m/>
    <s v="Introduction"/>
    <s v="Introduction( C0 )"/>
    <m/>
    <m/>
    <n v="164"/>
    <s v=""/>
    <s v="Cold"/>
    <m/>
    <m/>
    <m/>
    <m/>
    <x v="5"/>
    <m/>
    <m/>
    <m/>
    <x v="1"/>
    <m/>
    <s v=""/>
    <m/>
  </r>
  <r>
    <d v="2026-05-08T00:00:00"/>
    <s v="Manohar"/>
    <s v="Bangalore"/>
    <x v="85"/>
    <s v="Call"/>
    <s v="Corporate"/>
    <x v="5"/>
    <s v="Pop Up Counter"/>
    <s v="New"/>
    <s v="Education"/>
    <s v="Chaithanya C"/>
    <m/>
    <s v="planning for next week"/>
    <s v="Negotitaion( C2 )"/>
    <m/>
    <m/>
    <n v="164"/>
    <s v=""/>
    <s v="Warm"/>
    <n v="20000"/>
    <m/>
    <m/>
    <m/>
    <x v="5"/>
    <m/>
    <m/>
    <m/>
    <x v="1"/>
    <m/>
    <s v=""/>
    <m/>
  </r>
  <r>
    <d v="2026-05-08T00:00:00"/>
    <s v="Bashab"/>
    <s v="Bangalore"/>
    <x v="66"/>
    <s v="Call"/>
    <s v="Aggregator"/>
    <x v="3"/>
    <s v="Pop Up Counter"/>
    <s v="Repeat"/>
    <s v="It"/>
    <s v="Navya"/>
    <m/>
    <s v="Popup Closed"/>
    <s v="Closed(C4)"/>
    <m/>
    <m/>
    <s v=""/>
    <s v=""/>
    <s v="Hot"/>
    <n v="20000"/>
    <n v="21917"/>
    <d v="2026-05-08T00:00:00"/>
    <s v="00PMTA2000C05756"/>
    <x v="21"/>
    <s v="Received at HO"/>
    <m/>
    <m/>
    <x v="1"/>
    <m/>
    <s v=""/>
    <m/>
  </r>
  <r>
    <d v="2026-05-08T00:00:00"/>
    <s v="Bashab"/>
    <s v="Bangalore"/>
    <x v="101"/>
    <s v="F2F"/>
    <s v="Corporate"/>
    <x v="5"/>
    <s v="Bulk Order"/>
    <s v="New"/>
    <s v="It"/>
    <s v="Arjun"/>
    <m/>
    <s v="Business Closed"/>
    <s v="Closed(C4)"/>
    <m/>
    <m/>
    <s v=""/>
    <s v=""/>
    <s v="Hot"/>
    <n v="10000"/>
    <n v="10300"/>
    <d v="2026-05-08T00:00:00"/>
    <m/>
    <x v="3"/>
    <s v="Received at Store"/>
    <m/>
    <d v="2026-05-08T00:00:00"/>
    <x v="1"/>
    <m/>
    <s v=""/>
    <m/>
  </r>
  <r>
    <d v="2026-05-08T00:00:00"/>
    <s v="Pradeep"/>
    <s v="Hyderabad"/>
    <x v="102"/>
    <s v="F2F"/>
    <s v="Corporate"/>
    <x v="5"/>
    <s v="Bulk Order"/>
    <s v="New"/>
    <s v="Healthcare"/>
    <s v="Shiva"/>
    <m/>
    <s v="Proposed for Bulk order and Gifting"/>
    <s v="Follow-up( C1 )"/>
    <d v="2026-08-17T00:00:00"/>
    <s v="F2F"/>
    <n v="164"/>
    <s v="Yes"/>
    <s v="Warm"/>
    <n v="100000"/>
    <m/>
    <m/>
    <m/>
    <x v="5"/>
    <m/>
    <m/>
    <m/>
    <x v="1"/>
    <m/>
    <s v=""/>
    <m/>
  </r>
  <r>
    <d v="2026-05-08T00:00:00"/>
    <s v="Pradeep"/>
    <s v="Hyderabad"/>
    <x v="103"/>
    <s v="F2F"/>
    <s v="Corporate"/>
    <x v="5"/>
    <s v="Bulk Order"/>
    <s v="New"/>
    <s v="Healthcare"/>
    <s v="Uday"/>
    <m/>
    <s v="Proposed for Bulk order and Gifting"/>
    <s v="Cancelled"/>
    <d v="2026-09-01T00:00:00"/>
    <s v="Call"/>
    <n v="164"/>
    <s v=""/>
    <s v="Warm"/>
    <n v="50000"/>
    <m/>
    <m/>
    <m/>
    <x v="5"/>
    <m/>
    <m/>
    <m/>
    <x v="1"/>
    <m/>
    <s v=""/>
    <m/>
  </r>
  <r>
    <d v="2026-05-08T00:00:00"/>
    <s v="Pradeep"/>
    <s v="Hyderabad"/>
    <x v="104"/>
    <s v="F2F"/>
    <s v="Corporate"/>
    <x v="5"/>
    <s v="Bulk Order"/>
    <s v="New"/>
    <s v="Banking Finance &amp; Insurance"/>
    <s v="Vinay"/>
    <m/>
    <s v="Proposed for Bulk order and Gifting"/>
    <s v="Cancelled"/>
    <m/>
    <s v="Call"/>
    <n v="164"/>
    <s v=""/>
    <s v="Cold"/>
    <n v="50000"/>
    <m/>
    <m/>
    <m/>
    <x v="5"/>
    <m/>
    <m/>
    <m/>
    <x v="1"/>
    <m/>
    <s v=""/>
    <m/>
  </r>
  <r>
    <d v="2026-05-08T00:00:00"/>
    <s v="Pradeep"/>
    <s v="Hyderabad"/>
    <x v="105"/>
    <s v="Call"/>
    <s v="Bulk Order"/>
    <x v="5"/>
    <s v="Bulk Order"/>
    <s v="New"/>
    <s v="Family Group"/>
    <s v="Srinivas"/>
    <m/>
    <s v="Has a bulk order requirement 40 people "/>
    <s v="Cancelled"/>
    <m/>
    <m/>
    <n v="164"/>
    <s v=""/>
    <s v="Warm"/>
    <n v="10000"/>
    <m/>
    <m/>
    <m/>
    <x v="5"/>
    <m/>
    <m/>
    <m/>
    <x v="1"/>
    <m/>
    <s v=""/>
    <m/>
  </r>
  <r>
    <d v="2026-05-08T00:00:00"/>
    <s v="Sameer"/>
    <s v="Hyderabad"/>
    <x v="106"/>
    <s v="F2F"/>
    <s v="Aggregator"/>
    <x v="6"/>
    <s v="ODC"/>
    <s v="New"/>
    <s v="Exhibition"/>
    <s v="Nawsad"/>
    <m/>
    <s v="ODC on 8th 9th &amp; 10th May from BHEL"/>
    <s v="Closed(C4)"/>
    <m/>
    <m/>
    <s v=""/>
    <s v=""/>
    <s v="Hot"/>
    <n v="45250"/>
    <n v="45250"/>
    <d v="2026-05-10T00:00:00"/>
    <m/>
    <x v="1"/>
    <s v="Received at HO"/>
    <m/>
    <m/>
    <x v="1"/>
    <m/>
    <s v=""/>
    <m/>
  </r>
  <r>
    <d v="2026-05-08T00:00:00"/>
    <s v="Sameer"/>
    <s v="Hyderabad"/>
    <x v="20"/>
    <s v="Call"/>
    <s v="Aggregator"/>
    <x v="1"/>
    <s v="Pop Up Counter"/>
    <s v="Repeat"/>
    <s v="F&amp;B Aggregator"/>
    <s v="Sekhar"/>
    <m/>
    <s v="Popup counter on 8-05-2026 from Gachibowli"/>
    <s v="Closed(C4)"/>
    <m/>
    <m/>
    <s v=""/>
    <s v=""/>
    <s v="Hot"/>
    <n v="78270"/>
    <n v="78270"/>
    <d v="2026-05-08T00:00:00"/>
    <s v="00GCBTA000289129"/>
    <x v="2"/>
    <s v="Received at HO"/>
    <m/>
    <d v="2026-05-30T00:00:00"/>
    <x v="1"/>
    <m/>
    <s v=""/>
    <m/>
  </r>
  <r>
    <d v="2026-05-08T00:00:00"/>
    <s v="Bashab"/>
    <s v="Bangalore"/>
    <x v="106"/>
    <s v="F2F"/>
    <s v="Aggregator"/>
    <x v="6"/>
    <s v="ODC"/>
    <s v="New"/>
    <s v="Exhibition"/>
    <s v="Ashutosh"/>
    <m/>
    <s v="ODC on 8th 9th &amp; 10th May from BHEL"/>
    <s v="Closed(C4)"/>
    <m/>
    <m/>
    <s v=""/>
    <s v=""/>
    <s v="Hot"/>
    <n v="45000"/>
    <n v="45250"/>
    <d v="2026-05-10T00:00:00"/>
    <m/>
    <x v="2"/>
    <s v="Received at HO"/>
    <m/>
    <m/>
    <x v="1"/>
    <m/>
    <s v=""/>
    <m/>
  </r>
  <r>
    <d v="2026-05-09T00:00:00"/>
    <s v="Bashab"/>
    <s v="Bangalore"/>
    <x v="72"/>
    <s v="F2F"/>
    <s v="Aggregator"/>
    <x v="4"/>
    <s v="ODC"/>
    <s v="New"/>
    <s v="Events"/>
    <s v="Rawath"/>
    <m/>
    <s v="event confirmed from 9th to 11th May"/>
    <s v="Closed(C4)"/>
    <m/>
    <m/>
    <s v=""/>
    <s v=""/>
    <s v="Hot"/>
    <n v="25000"/>
    <n v="22400"/>
    <d v="2026-05-09T00:00:00"/>
    <m/>
    <x v="8"/>
    <s v="Received at HO"/>
    <m/>
    <m/>
    <x v="1"/>
    <m/>
    <s v=""/>
    <m/>
  </r>
  <r>
    <d v="2026-05-10T00:00:00"/>
    <s v="Bashab"/>
    <s v="Bangalore"/>
    <x v="72"/>
    <s v="F2F"/>
    <s v="Aggregator"/>
    <x v="4"/>
    <s v="ODC"/>
    <s v="New"/>
    <s v="Events"/>
    <s v="Rawath"/>
    <m/>
    <s v="event confirmed from 9th to 11th May"/>
    <s v="Closed(C4)"/>
    <m/>
    <m/>
    <s v=""/>
    <s v=""/>
    <s v="Hot"/>
    <n v="20000"/>
    <n v="22100"/>
    <d v="2026-05-10T00:00:00"/>
    <m/>
    <x v="8"/>
    <s v="Received at HO"/>
    <m/>
    <m/>
    <x v="1"/>
    <m/>
    <s v=""/>
    <m/>
  </r>
  <r>
    <d v="2026-05-11T00:00:00"/>
    <s v="Manohar"/>
    <s v="Bangalore"/>
    <x v="107"/>
    <s v="Call"/>
    <s v="Corporate"/>
    <x v="5"/>
    <s v="Bulk Order"/>
    <s v="New"/>
    <s v="It"/>
    <s v="Mahesh"/>
    <m/>
    <s v="for 15 members lunch reqvirment"/>
    <s v="Closed(C4)"/>
    <m/>
    <m/>
    <s v=""/>
    <s v=""/>
    <s v="Hot"/>
    <n v="6847"/>
    <n v="6847"/>
    <d v="2026-05-11T00:00:00"/>
    <s v="00KVC01000022854"/>
    <x v="12"/>
    <s v="Received at Store"/>
    <m/>
    <d v="2026-05-11T00:00:00"/>
    <x v="1"/>
    <m/>
    <s v=""/>
    <s v="Takeaway-Bulk-Insti"/>
  </r>
  <r>
    <d v="2026-05-11T00:00:00"/>
    <s v="Sameer"/>
    <s v="Hyderabad"/>
    <x v="52"/>
    <s v="F2F"/>
    <s v="Aggregator"/>
    <x v="2"/>
    <s v="Bulk Order"/>
    <s v="Repeat"/>
    <s v="It"/>
    <s v="Dinesh"/>
    <m/>
    <s v="Biryani on 20-05-2026 "/>
    <s v="Cancelled"/>
    <m/>
    <m/>
    <n v="161"/>
    <s v=""/>
    <s v="Hot"/>
    <n v="0"/>
    <n v="0"/>
    <d v="2026-05-20T00:00:00"/>
    <m/>
    <x v="5"/>
    <m/>
    <m/>
    <m/>
    <x v="1"/>
    <m/>
    <s v=""/>
    <m/>
  </r>
  <r>
    <d v="2026-05-11T00:00:00"/>
    <s v="Manohar"/>
    <s v="Bangalore"/>
    <x v="108"/>
    <s v="F2F"/>
    <s v="Corporate"/>
    <x v="5"/>
    <s v="ODC"/>
    <s v="New"/>
    <s v="It"/>
    <s v="sophia"/>
    <m/>
    <s v="team lunch for employees plannining "/>
    <s v="Introduction( C0 )"/>
    <m/>
    <m/>
    <n v="161"/>
    <s v=""/>
    <s v="Cold"/>
    <m/>
    <m/>
    <m/>
    <m/>
    <x v="5"/>
    <m/>
    <m/>
    <m/>
    <x v="1"/>
    <m/>
    <s v=""/>
    <m/>
  </r>
  <r>
    <d v="2026-05-11T00:00:00"/>
    <s v="Manohar"/>
    <s v="Bangalore"/>
    <x v="109"/>
    <s v="F2F"/>
    <s v="Corporate"/>
    <x v="5"/>
    <s v="Bulk Order"/>
    <s v="New"/>
    <s v="It"/>
    <s v="amith"/>
    <m/>
    <s v="every month theay have  4 event and employes are around 500 peoples"/>
    <s v="Negotitaion( C2 )"/>
    <m/>
    <m/>
    <n v="161"/>
    <s v=""/>
    <s v="Warm"/>
    <m/>
    <m/>
    <m/>
    <m/>
    <x v="5"/>
    <m/>
    <m/>
    <m/>
    <x v="1"/>
    <m/>
    <s v=""/>
    <m/>
  </r>
  <r>
    <d v="2026-05-11T00:00:00"/>
    <s v="Manohar"/>
    <s v="Bangalore"/>
    <x v="110"/>
    <s v="Call"/>
    <s v="Corporate"/>
    <x v="5"/>
    <s v="Bulk Order"/>
    <s v="New"/>
    <s v="It"/>
    <s v="Avinash Kanna"/>
    <m/>
    <s v="still conversation going on"/>
    <s v="Introduction( C0 )"/>
    <m/>
    <m/>
    <n v="161"/>
    <s v=""/>
    <s v="Warm"/>
    <m/>
    <m/>
    <m/>
    <m/>
    <x v="5"/>
    <m/>
    <m/>
    <m/>
    <x v="1"/>
    <m/>
    <s v=""/>
    <m/>
  </r>
  <r>
    <d v="2026-05-11T00:00:00"/>
    <s v="Bashab"/>
    <s v="Bangalore"/>
    <x v="111"/>
    <s v="Call"/>
    <s v="Aggregator"/>
    <x v="1"/>
    <s v="Pop Up Counter"/>
    <s v="New"/>
    <s v="It"/>
    <s v="Naveen"/>
    <m/>
    <s v="Pop-up counter done"/>
    <s v="Closed(C4)"/>
    <m/>
    <m/>
    <s v=""/>
    <s v=""/>
    <s v="Hot"/>
    <n v="15000"/>
    <n v="13450"/>
    <d v="2026-05-11T00:00:00"/>
    <m/>
    <x v="3"/>
    <s v="Received at HO"/>
    <m/>
    <m/>
    <x v="1"/>
    <m/>
    <s v=""/>
    <m/>
  </r>
  <r>
    <d v="2026-05-11T00:00:00"/>
    <s v="Bashab"/>
    <s v="Bangalore"/>
    <x v="72"/>
    <s v="F2F"/>
    <s v="Aggregator"/>
    <x v="4"/>
    <s v="ODC"/>
    <s v="New"/>
    <s v="Events"/>
    <s v="Rawath"/>
    <m/>
    <s v="event confirmed from 9th to 11th May"/>
    <s v="Closed(C4)"/>
    <m/>
    <m/>
    <s v=""/>
    <s v=""/>
    <s v="Hot"/>
    <n v="5000"/>
    <n v="3700"/>
    <d v="2026-05-11T00:00:00"/>
    <m/>
    <x v="8"/>
    <s v="Received at HO"/>
    <m/>
    <m/>
    <x v="1"/>
    <m/>
    <s v=""/>
    <m/>
  </r>
  <r>
    <d v="2026-05-11T00:00:00"/>
    <s v="Pradeep"/>
    <s v="Hyderabad"/>
    <x v="112"/>
    <s v="F2F"/>
    <s v="Bulk Order"/>
    <x v="5"/>
    <s v="Bulk Order"/>
    <s v="New"/>
    <s v="Events"/>
    <s v="Stallin"/>
    <m/>
    <s v="Has a event on 23rd of may for 150 pax  got postponed"/>
    <s v="Cancelled"/>
    <m/>
    <m/>
    <n v="161"/>
    <s v=""/>
    <s v="Warm"/>
    <n v="30000"/>
    <m/>
    <m/>
    <m/>
    <x v="5"/>
    <m/>
    <m/>
    <m/>
    <x v="1"/>
    <m/>
    <s v=""/>
    <m/>
  </r>
  <r>
    <d v="2026-05-11T00:00:00"/>
    <s v="Sameer"/>
    <s v="Hyderabad"/>
    <x v="20"/>
    <s v="Call"/>
    <s v="Aggregator"/>
    <x v="1"/>
    <s v="Pop Up Counter"/>
    <s v="Repeat"/>
    <s v="F&amp;B Aggregator"/>
    <s v="Sekhar"/>
    <m/>
    <s v="Popup counter on 11-05-2026 from Gachibowli"/>
    <s v="Closed(C4)"/>
    <m/>
    <m/>
    <s v=""/>
    <s v=""/>
    <s v="Hot"/>
    <n v="54000"/>
    <n v="54000"/>
    <d v="2026-05-11T00:00:00"/>
    <m/>
    <x v="2"/>
    <s v="Received at HO"/>
    <m/>
    <d v="2026-05-30T00:00:00"/>
    <x v="1"/>
    <m/>
    <s v=""/>
    <m/>
  </r>
  <r>
    <d v="2026-05-11T00:00:00"/>
    <s v="Pradeep"/>
    <s v="Hyderabad"/>
    <x v="113"/>
    <s v="F2F"/>
    <s v="Bulk Order"/>
    <x v="5"/>
    <s v="Bulk Order"/>
    <s v="New"/>
    <s v="Manufacturing"/>
    <s v="Srinivas"/>
    <m/>
    <s v="Proposed for Bulk order and Gifting"/>
    <s v="Cancelled"/>
    <d v="2026-08-25T00:00:00"/>
    <s v="F2F"/>
    <n v="161"/>
    <s v=""/>
    <s v="Cold"/>
    <n v="20000"/>
    <m/>
    <m/>
    <m/>
    <x v="5"/>
    <m/>
    <m/>
    <m/>
    <x v="1"/>
    <m/>
    <s v=""/>
    <m/>
  </r>
  <r>
    <d v="2026-05-11T00:00:00"/>
    <s v="Pradeep"/>
    <s v="Hyderabad"/>
    <x v="114"/>
    <s v="F2F"/>
    <s v="Bulk Order"/>
    <x v="5"/>
    <s v="Bulk Order"/>
    <s v="New"/>
    <s v="Manufacturing"/>
    <s v="Vanaja"/>
    <m/>
    <s v="Proposed for Bulk order and Gifting"/>
    <s v="Cancelled"/>
    <d v="2026-08-21T00:00:00"/>
    <s v="Call"/>
    <n v="161"/>
    <s v=""/>
    <s v="Cold"/>
    <n v="10000"/>
    <m/>
    <m/>
    <m/>
    <x v="5"/>
    <m/>
    <m/>
    <m/>
    <x v="1"/>
    <m/>
    <s v=""/>
    <m/>
  </r>
  <r>
    <d v="2026-05-11T00:00:00"/>
    <s v="Pradeep"/>
    <s v="Hyderabad"/>
    <x v="115"/>
    <s v="Call"/>
    <s v="Bulk Order"/>
    <x v="5"/>
    <s v="Bulk Order"/>
    <s v="New"/>
    <s v="Manufacturing"/>
    <s v="Sainath"/>
    <m/>
    <s v="Proposed for Bulk order and Gifting"/>
    <s v="Cancelled"/>
    <m/>
    <m/>
    <n v="161"/>
    <s v=""/>
    <s v="Cold"/>
    <n v="20000"/>
    <m/>
    <m/>
    <m/>
    <x v="5"/>
    <m/>
    <m/>
    <m/>
    <x v="1"/>
    <m/>
    <s v=""/>
    <m/>
  </r>
  <r>
    <d v="2026-05-11T00:00:00"/>
    <s v="Sameer"/>
    <s v="Hyderabad"/>
    <x v="116"/>
    <s v="F2F"/>
    <s v="Bulk Order"/>
    <x v="5"/>
    <s v="Bulk Order"/>
    <s v="New"/>
    <s v="Events"/>
    <s v="Fatima"/>
    <m/>
    <s v="Has a requirement of chicken biryani &amp; Haleem for 30 pax"/>
    <s v="Cancelled"/>
    <m/>
    <m/>
    <n v="161"/>
    <s v=""/>
    <s v="Hot"/>
    <n v="20000"/>
    <m/>
    <m/>
    <m/>
    <x v="5"/>
    <m/>
    <m/>
    <m/>
    <x v="1"/>
    <m/>
    <s v=""/>
    <m/>
  </r>
  <r>
    <d v="2026-05-11T00:00:00"/>
    <s v="Sameer"/>
    <s v="Hyderabad"/>
    <x v="117"/>
    <s v="Call"/>
    <s v="Bulk Order"/>
    <x v="5"/>
    <s v="Bulk Order"/>
    <s v="New"/>
    <s v="Manufacturing"/>
    <s v="Nandita"/>
    <m/>
    <s v="Proposed for Bulk order and Gifting"/>
    <s v="Cancelled"/>
    <m/>
    <m/>
    <n v="161"/>
    <s v=""/>
    <s v="Cold"/>
    <n v="20000"/>
    <m/>
    <m/>
    <m/>
    <x v="5"/>
    <m/>
    <m/>
    <m/>
    <x v="1"/>
    <m/>
    <s v=""/>
    <m/>
  </r>
  <r>
    <d v="2026-05-12T00:00:00"/>
    <s v="Manohar"/>
    <s v="Bangalore"/>
    <x v="118"/>
    <s v="F2F"/>
    <s v="Corporate"/>
    <x v="5"/>
    <s v="Bulk Order"/>
    <s v="New"/>
    <s v="It"/>
    <s v="Gagan sagar"/>
    <m/>
    <s v="every month theay need a 1 bulk order it means for 300 peoples"/>
    <s v="Introduction( C0 )"/>
    <m/>
    <m/>
    <n v="160"/>
    <s v=""/>
    <s v="Warm"/>
    <m/>
    <m/>
    <m/>
    <m/>
    <x v="5"/>
    <m/>
    <m/>
    <m/>
    <x v="1"/>
    <m/>
    <s v=""/>
    <m/>
  </r>
  <r>
    <d v="2026-05-12T00:00:00"/>
    <s v="Manohar"/>
    <s v="Bangalore"/>
    <x v="119"/>
    <s v="F2F"/>
    <s v="Corporate"/>
    <x v="5"/>
    <s v="Bulk Order"/>
    <s v="New"/>
    <s v="It"/>
    <s v="Shaik ali"/>
    <m/>
    <s v="every 3 month theay have team lunch total employes 180"/>
    <s v="Introduction( C0 )"/>
    <m/>
    <m/>
    <n v="160"/>
    <s v=""/>
    <s v="Warm"/>
    <m/>
    <m/>
    <m/>
    <m/>
    <x v="5"/>
    <m/>
    <m/>
    <m/>
    <x v="1"/>
    <m/>
    <s v=""/>
    <m/>
  </r>
  <r>
    <d v="2026-05-12T00:00:00"/>
    <s v="Manohar"/>
    <s v="Bangalore"/>
    <x v="98"/>
    <s v="Call"/>
    <s v="Corporate"/>
    <x v="5"/>
    <s v="Bulk Order"/>
    <s v="New"/>
    <s v="It"/>
    <s v="syed"/>
    <m/>
    <s v="its a bpo company every saturday theay want lunch"/>
    <s v="Introduction( C0 )"/>
    <m/>
    <m/>
    <n v="160"/>
    <s v=""/>
    <s v="Cold"/>
    <m/>
    <m/>
    <m/>
    <m/>
    <x v="5"/>
    <m/>
    <m/>
    <m/>
    <x v="1"/>
    <m/>
    <s v=""/>
    <m/>
  </r>
  <r>
    <d v="2026-05-12T00:00:00"/>
    <s v="Manohar"/>
    <s v="Bangalore"/>
    <x v="120"/>
    <s v="Call"/>
    <s v="Corporate"/>
    <x v="5"/>
    <s v="Bulk Order"/>
    <s v="New"/>
    <s v="It"/>
    <s v="Maryann"/>
    <m/>
    <s v="in future she will give bulk order cureently she dont have reqvirments"/>
    <s v="Introduction( C0 )"/>
    <m/>
    <m/>
    <n v="160"/>
    <s v=""/>
    <s v="Cold"/>
    <m/>
    <m/>
    <m/>
    <m/>
    <x v="5"/>
    <m/>
    <m/>
    <m/>
    <x v="1"/>
    <m/>
    <s v=""/>
    <m/>
  </r>
  <r>
    <d v="2026-05-12T00:00:00"/>
    <s v="Manohar"/>
    <s v="Bangalore"/>
    <x v="121"/>
    <s v="Call"/>
    <s v="Corporate"/>
    <x v="5"/>
    <s v="Bulk Order"/>
    <s v="New"/>
    <s v="It"/>
    <s v="vinod kumar"/>
    <m/>
    <s v="tommrow he given appointment to meet"/>
    <s v="Introduction( C0 )"/>
    <m/>
    <m/>
    <n v="160"/>
    <s v=""/>
    <s v="Cold"/>
    <m/>
    <m/>
    <m/>
    <m/>
    <x v="5"/>
    <m/>
    <m/>
    <m/>
    <x v="1"/>
    <m/>
    <s v=""/>
    <m/>
  </r>
  <r>
    <d v="2026-05-12T00:00:00"/>
    <s v="Bashab"/>
    <s v="Bangalore"/>
    <x v="122"/>
    <s v="Call"/>
    <s v="Aggregator"/>
    <x v="1"/>
    <s v="Pop Up Counter"/>
    <s v="New"/>
    <s v="It"/>
    <s v="Naveen"/>
    <m/>
    <s v="Pop-up counter done"/>
    <s v="Confirmed( C3 )"/>
    <m/>
    <m/>
    <m/>
    <s v=""/>
    <s v="Hot"/>
    <m/>
    <m/>
    <m/>
    <m/>
    <x v="5"/>
    <m/>
    <m/>
    <m/>
    <x v="1"/>
    <m/>
    <s v=""/>
    <m/>
  </r>
  <r>
    <d v="2026-05-12T00:00:00"/>
    <s v="Bashab"/>
    <s v="Bangalore"/>
    <x v="123"/>
    <s v="Call"/>
    <s v="Corporate"/>
    <x v="5"/>
    <s v="Pop Up Counter"/>
    <s v="New"/>
    <s v="It"/>
    <s v="Anand"/>
    <m/>
    <s v="Pop-up counter confirmed"/>
    <s v="Confirmed( C3 )"/>
    <m/>
    <m/>
    <m/>
    <s v=""/>
    <s v="Hot"/>
    <m/>
    <m/>
    <m/>
    <m/>
    <x v="5"/>
    <m/>
    <m/>
    <m/>
    <x v="1"/>
    <m/>
    <s v=""/>
    <m/>
  </r>
  <r>
    <d v="2026-05-12T00:00:00"/>
    <s v="Bashab"/>
    <s v="Bangalore"/>
    <x v="39"/>
    <s v="F2F"/>
    <s v="Aggregator"/>
    <x v="2"/>
    <s v="Bulk Order"/>
    <s v="Repeat"/>
    <s v="It"/>
    <s v="Sarvesh"/>
    <m/>
    <s v="Follow-up for the upcoming requirement"/>
    <s v="Follow-up( C1 )"/>
    <d v="2026-09-25T00:00:00"/>
    <s v="F2F"/>
    <n v="160"/>
    <s v="Yes"/>
    <s v="Hot"/>
    <m/>
    <m/>
    <m/>
    <m/>
    <x v="5"/>
    <m/>
    <m/>
    <m/>
    <x v="1"/>
    <m/>
    <s v=""/>
    <m/>
  </r>
  <r>
    <d v="2026-05-12T00:00:00"/>
    <s v="Sameer"/>
    <s v="Hyderabad"/>
    <x v="20"/>
    <s v="Call"/>
    <s v="Aggregator"/>
    <x v="1"/>
    <s v="Pop Up Counter"/>
    <s v="Repeat"/>
    <s v="It"/>
    <s v="Priyansh"/>
    <m/>
    <s v="Popup counter on 12-05-2026 from Gachibowli"/>
    <s v="Closed(C4)"/>
    <m/>
    <m/>
    <s v=""/>
    <s v=""/>
    <s v="Hot"/>
    <n v="30000"/>
    <n v="39690"/>
    <d v="2026-05-12T00:00:00"/>
    <s v="00GCBTA000289175"/>
    <x v="2"/>
    <s v="Received at HO"/>
    <m/>
    <d v="2026-05-30T00:00:00"/>
    <x v="1"/>
    <m/>
    <s v=""/>
    <m/>
  </r>
  <r>
    <d v="2026-05-12T00:00:00"/>
    <s v="Sameer"/>
    <s v="Hyderabad"/>
    <x v="124"/>
    <s v="Call"/>
    <s v="Corporate"/>
    <x v="5"/>
    <s v="Bulk Order"/>
    <s v="New"/>
    <s v="Healthcare"/>
    <s v="Sandeep"/>
    <m/>
    <s v="Bulk order requirement for 40 pax"/>
    <s v="Cancelled"/>
    <m/>
    <m/>
    <n v="160"/>
    <s v=""/>
    <s v="Warm"/>
    <n v="20000"/>
    <m/>
    <m/>
    <m/>
    <x v="5"/>
    <m/>
    <m/>
    <m/>
    <x v="1"/>
    <m/>
    <s v=""/>
    <m/>
  </r>
  <r>
    <d v="2026-05-12T00:00:00"/>
    <s v="Sameer"/>
    <s v="Hyderabad"/>
    <x v="125"/>
    <s v="Call"/>
    <s v="Corporate"/>
    <x v="5"/>
    <s v="Bulk Order"/>
    <s v="New"/>
    <s v="Amusement"/>
    <s v="Arijit"/>
    <m/>
    <s v="Bulk order requirement for 50 pax"/>
    <s v="Cancelled"/>
    <m/>
    <m/>
    <n v="160"/>
    <s v=""/>
    <s v="Warm"/>
    <n v="20000"/>
    <m/>
    <m/>
    <m/>
    <x v="5"/>
    <m/>
    <m/>
    <m/>
    <x v="1"/>
    <m/>
    <s v=""/>
    <m/>
  </r>
  <r>
    <d v="2026-05-12T00:00:00"/>
    <s v="Pradeep"/>
    <s v="Hyderabad"/>
    <x v="43"/>
    <s v="F2F"/>
    <s v="Corporate"/>
    <x v="5"/>
    <s v="Bulk Order"/>
    <s v="New"/>
    <s v="Tourism"/>
    <s v="Sujil"/>
    <m/>
    <s v="Bulk order requirement for 25 pax"/>
    <s v="Cancelled"/>
    <m/>
    <m/>
    <n v="160"/>
    <s v=""/>
    <s v="Cold"/>
    <n v="10000"/>
    <m/>
    <m/>
    <m/>
    <x v="5"/>
    <m/>
    <m/>
    <m/>
    <x v="1"/>
    <m/>
    <s v=""/>
    <m/>
  </r>
  <r>
    <d v="2026-05-12T00:00:00"/>
    <s v="Sameer"/>
    <s v="Hyderabad"/>
    <x v="126"/>
    <s v="F2F"/>
    <s v="Bulk Order"/>
    <x v="5"/>
    <s v="Bulk Order"/>
    <s v="New"/>
    <s v="Family Group"/>
    <s v="Sai kumar"/>
    <m/>
    <s v="Bulk order requirement for 25 pax"/>
    <s v="Cancelled"/>
    <m/>
    <m/>
    <n v="160"/>
    <s v=""/>
    <s v="Warm"/>
    <n v="10000"/>
    <m/>
    <m/>
    <m/>
    <x v="5"/>
    <m/>
    <m/>
    <m/>
    <x v="1"/>
    <m/>
    <s v=""/>
    <m/>
  </r>
  <r>
    <d v="2026-05-12T00:00:00"/>
    <s v="Pradeep"/>
    <s v="Hyderabad"/>
    <x v="76"/>
    <s v="F2F"/>
    <s v="Bulk Order"/>
    <x v="5"/>
    <s v="Bulk Order"/>
    <s v="New"/>
    <s v="Retail"/>
    <s v="Ayub"/>
    <m/>
    <s v="Bulk Order Closed for 50 Pax"/>
    <s v="Closed(C4)"/>
    <m/>
    <m/>
    <m/>
    <m/>
    <s v="Hot"/>
    <n v="30000"/>
    <n v="13776"/>
    <d v="2026-05-12T00:00:00"/>
    <s v="00HTA05000007033"/>
    <x v="22"/>
    <s v="Received at Store"/>
    <m/>
    <d v="2026-05-12T00:00:00"/>
    <x v="1"/>
    <m/>
    <m/>
    <s v="Takeaway-Bulk-Insti"/>
  </r>
  <r>
    <d v="2026-05-12T00:00:00"/>
    <s v="Pradeep"/>
    <s v="Hyderabad"/>
    <x v="127"/>
    <s v="F2F"/>
    <s v="Bulk Order"/>
    <x v="5"/>
    <s v="Bulk Order"/>
    <s v="New"/>
    <s v="Healthcare"/>
    <s v="Imran"/>
    <m/>
    <s v="Proposed for Bulk order and Biryani Kits for Gifting "/>
    <s v="Cancelled"/>
    <m/>
    <s v="Call"/>
    <n v="160"/>
    <s v=""/>
    <s v="Cold"/>
    <n v="30000"/>
    <m/>
    <m/>
    <m/>
    <x v="5"/>
    <m/>
    <m/>
    <m/>
    <x v="1"/>
    <m/>
    <s v=""/>
    <m/>
  </r>
  <r>
    <d v="2026-05-12T00:00:00"/>
    <s v="Pradeep"/>
    <s v="Hyderabad"/>
    <x v="128"/>
    <s v="F2F"/>
    <s v="Bulk Order"/>
    <x v="5"/>
    <s v="Bulk Order"/>
    <s v="New"/>
    <s v="Manufacturing"/>
    <s v="Sridhar"/>
    <m/>
    <s v="Proposed for Bulk order and Biryani Kits for Gifting"/>
    <s v="Cancelled"/>
    <m/>
    <m/>
    <n v="160"/>
    <s v=""/>
    <s v="Cold"/>
    <n v="10000"/>
    <m/>
    <m/>
    <m/>
    <x v="5"/>
    <m/>
    <m/>
    <m/>
    <x v="1"/>
    <m/>
    <s v=""/>
    <m/>
  </r>
  <r>
    <d v="2026-05-12T00:00:00"/>
    <s v="Pradeep"/>
    <s v="Hyderabad"/>
    <x v="129"/>
    <s v="F2F"/>
    <s v="Bulk Order"/>
    <x v="5"/>
    <s v="Bulk Order"/>
    <s v="New"/>
    <s v="Manufacturing"/>
    <s v="Sai"/>
    <m/>
    <s v="Proposed for Bulk order and Biryani Kits for Gifting"/>
    <s v="Cancelled"/>
    <d v="2026-09-07T00:00:00"/>
    <s v="Call"/>
    <n v="160"/>
    <s v=""/>
    <s v="Cold"/>
    <n v="50000"/>
    <m/>
    <m/>
    <m/>
    <x v="5"/>
    <m/>
    <m/>
    <m/>
    <x v="1"/>
    <m/>
    <s v=""/>
    <m/>
  </r>
  <r>
    <d v="2026-05-12T00:00:00"/>
    <s v="Pradeep"/>
    <s v="Hyderabad"/>
    <x v="130"/>
    <s v="Call"/>
    <s v="Bulk Order"/>
    <x v="5"/>
    <s v="Bulk Order"/>
    <s v="New"/>
    <s v="Family Group"/>
    <s v="kumar"/>
    <m/>
    <s v="Has a Bulk order on 14th may for 25 pax"/>
    <s v="Cancelled"/>
    <m/>
    <m/>
    <n v="160"/>
    <s v=""/>
    <s v="Cold"/>
    <n v="20000"/>
    <m/>
    <m/>
    <m/>
    <x v="5"/>
    <m/>
    <m/>
    <m/>
    <x v="1"/>
    <m/>
    <s v=""/>
    <m/>
  </r>
  <r>
    <d v="2026-05-13T00:00:00"/>
    <s v="Manohar"/>
    <s v="Bangalore"/>
    <x v="131"/>
    <s v="Call"/>
    <s v="Bulk Order"/>
    <x v="5"/>
    <s v="Bulk Order"/>
    <s v="New"/>
    <s v="Healthcare"/>
    <s v="pallavi"/>
    <m/>
    <s v="in future she will give bulk meal box order"/>
    <s v="Introduction( C0 )"/>
    <m/>
    <m/>
    <n v="159"/>
    <s v=""/>
    <s v="Cold"/>
    <m/>
    <m/>
    <m/>
    <m/>
    <x v="5"/>
    <m/>
    <m/>
    <m/>
    <x v="1"/>
    <m/>
    <s v=""/>
    <m/>
  </r>
  <r>
    <d v="2026-05-13T00:00:00"/>
    <s v="Manohar"/>
    <s v="Bangalore"/>
    <x v="132"/>
    <s v="Call"/>
    <s v="Corporate"/>
    <x v="5"/>
    <s v="ODC"/>
    <s v="New"/>
    <s v="It"/>
    <s v="manjunath"/>
    <m/>
    <s v="if any reqvirments is there means theay will reach out"/>
    <s v="Introduction( C0 )"/>
    <m/>
    <m/>
    <n v="159"/>
    <s v=""/>
    <s v="Cold"/>
    <m/>
    <m/>
    <m/>
    <m/>
    <x v="5"/>
    <m/>
    <m/>
    <m/>
    <x v="1"/>
    <m/>
    <s v=""/>
    <m/>
  </r>
  <r>
    <d v="2026-05-13T00:00:00"/>
    <s v="Manohar"/>
    <s v="Bangalore"/>
    <x v="133"/>
    <s v="Call"/>
    <s v="Corporate"/>
    <x v="5"/>
    <s v="Bulk Order"/>
    <s v="New"/>
    <s v="It"/>
    <s v="Mahammad Rasheed"/>
    <m/>
    <s v="conversation going on call about coming events"/>
    <s v="Introduction( C0 )"/>
    <m/>
    <m/>
    <n v="159"/>
    <s v=""/>
    <s v="Cold"/>
    <m/>
    <m/>
    <m/>
    <m/>
    <x v="5"/>
    <m/>
    <m/>
    <m/>
    <x v="1"/>
    <m/>
    <s v=""/>
    <m/>
  </r>
  <r>
    <d v="2026-05-13T00:00:00"/>
    <s v="Bashab"/>
    <s v="Bangalore"/>
    <x v="37"/>
    <s v="Call"/>
    <s v="Aggregator"/>
    <x v="1"/>
    <s v="Pop Up Counter"/>
    <s v="Repeat"/>
    <s v="It"/>
    <s v="Harish"/>
    <m/>
    <s v="Pop-up counter business closed"/>
    <s v="Closed(C4)"/>
    <m/>
    <m/>
    <s v=""/>
    <s v=""/>
    <s v="Hot"/>
    <n v="15000"/>
    <n v="14575"/>
    <d v="2026-05-13T00:00:00"/>
    <m/>
    <x v="12"/>
    <s v="Received at HO"/>
    <m/>
    <m/>
    <x v="1"/>
    <m/>
    <s v=""/>
    <m/>
  </r>
  <r>
    <d v="2026-05-13T00:00:00"/>
    <s v="Sameer"/>
    <s v="Bangalore"/>
    <x v="3"/>
    <s v="Call"/>
    <s v="Aggregator"/>
    <x v="2"/>
    <s v="Bulk Order"/>
    <s v="Repeat"/>
    <s v="F&amp;B Agrigator"/>
    <s v="Saad"/>
    <m/>
    <s v="Delivery in May Month from HSR"/>
    <s v="Closed(C4)"/>
    <m/>
    <m/>
    <s v=""/>
    <s v=""/>
    <s v="Hot"/>
    <n v="22687"/>
    <n v="22687"/>
    <d v="2026-05-13T00:00:00"/>
    <s v="00HSA06000003006"/>
    <x v="3"/>
    <s v="Received at HO"/>
    <m/>
    <m/>
    <x v="1"/>
    <m/>
    <m/>
    <m/>
  </r>
  <r>
    <d v="2026-05-13T00:00:00"/>
    <s v="Bashab"/>
    <s v="Bangalore"/>
    <x v="16"/>
    <s v="Call"/>
    <s v="Corporate"/>
    <x v="5"/>
    <s v="Bulk Order"/>
    <s v="Repeat"/>
    <s v="Retail"/>
    <s v="Mohammed"/>
    <m/>
    <s v="Business Closed"/>
    <s v="Closed(C4)"/>
    <m/>
    <m/>
    <s v=""/>
    <s v=""/>
    <s v="Hot"/>
    <n v="22687"/>
    <n v="22687"/>
    <d v="2026-05-13T00:00:00"/>
    <s v="00HSA06000003006"/>
    <x v="3"/>
    <s v="Received at HO"/>
    <m/>
    <m/>
    <x v="1"/>
    <m/>
    <m/>
    <m/>
  </r>
  <r>
    <d v="2026-05-13T00:00:00"/>
    <s v="Bashab"/>
    <s v="Bangalore"/>
    <x v="41"/>
    <s v="Call"/>
    <s v="Aggregator"/>
    <x v="1"/>
    <s v="Pop Up Counter"/>
    <s v="Repeat"/>
    <s v="It"/>
    <s v="Harish"/>
    <m/>
    <s v="Pop-up counter business closed"/>
    <s v="Closed(C4)"/>
    <m/>
    <m/>
    <s v=""/>
    <s v=""/>
    <s v="Hot"/>
    <n v="16000"/>
    <n v="15590"/>
    <d v="2026-05-13T00:00:00"/>
    <m/>
    <x v="12"/>
    <s v="Received at HO"/>
    <m/>
    <m/>
    <x v="1"/>
    <m/>
    <s v=""/>
    <m/>
  </r>
  <r>
    <d v="2026-05-13T00:00:00"/>
    <s v="Bashab"/>
    <s v="Bangalore"/>
    <x v="31"/>
    <s v="F2F"/>
    <s v="Corporate"/>
    <x v="5"/>
    <s v="Popup Counter"/>
    <s v="Repeat"/>
    <s v="Retail"/>
    <s v="Mueenudheen"/>
    <m/>
    <s v="Pop-up counter business closed"/>
    <s v="Closed(C4)"/>
    <m/>
    <m/>
    <s v=""/>
    <s v=""/>
    <s v="Hot"/>
    <n v="12000"/>
    <n v="10320"/>
    <d v="2026-05-13T00:00:00"/>
    <m/>
    <x v="7"/>
    <s v="Received at Store"/>
    <m/>
    <m/>
    <x v="1"/>
    <m/>
    <s v=""/>
    <m/>
  </r>
  <r>
    <d v="2026-05-13T00:00:00"/>
    <s v="Pradeep"/>
    <s v="Hyderabad"/>
    <x v="134"/>
    <s v="F2F"/>
    <s v="Bulk Order"/>
    <x v="5"/>
    <s v="Bulk Order"/>
    <s v="New"/>
    <s v="Family Group"/>
    <s v="Sujith"/>
    <m/>
    <s v="Bulk order   Business closed"/>
    <s v="Closed(C4)"/>
    <m/>
    <m/>
    <s v=""/>
    <s v=""/>
    <s v="Hot"/>
    <n v="25000"/>
    <n v="9223"/>
    <d v="2026-05-12T00:00:00"/>
    <s v="OOSGA13000014989"/>
    <x v="14"/>
    <s v="Received at Store"/>
    <m/>
    <d v="2026-05-12T00:00:00"/>
    <x v="1"/>
    <m/>
    <s v=""/>
    <m/>
  </r>
  <r>
    <d v="2026-05-13T00:00:00"/>
    <s v="Pradeep"/>
    <s v="Hyderabad"/>
    <x v="135"/>
    <s v="Call"/>
    <s v="Bulk Order"/>
    <x v="5"/>
    <s v="Bulk Order"/>
    <s v="New"/>
    <s v="Healthcare"/>
    <s v="Nisita"/>
    <m/>
    <s v="Proposed for Bulk order and Biryani Kits for Gifting, intially planning for 25 pax for bulk booking"/>
    <s v="Cancelled"/>
    <m/>
    <m/>
    <n v="159"/>
    <s v=""/>
    <s v="Hot"/>
    <n v="50000"/>
    <m/>
    <m/>
    <m/>
    <x v="5"/>
    <m/>
    <m/>
    <m/>
    <x v="1"/>
    <m/>
    <s v=""/>
    <m/>
  </r>
  <r>
    <d v="2026-05-13T00:00:00"/>
    <s v="Pradeep"/>
    <s v="Hyderabad"/>
    <x v="136"/>
    <s v="F2F"/>
    <s v="Bulk Order"/>
    <x v="5"/>
    <s v="Bulk Order"/>
    <s v="New"/>
    <s v="Healthcare"/>
    <s v="Sujil"/>
    <m/>
    <s v="Bulk order for 25 pax"/>
    <s v="Cancelled"/>
    <m/>
    <m/>
    <n v="159"/>
    <s v=""/>
    <s v="Hot"/>
    <n v="30000"/>
    <m/>
    <m/>
    <m/>
    <x v="5"/>
    <m/>
    <m/>
    <m/>
    <x v="1"/>
    <m/>
    <s v=""/>
    <m/>
  </r>
  <r>
    <d v="2026-05-13T00:00:00"/>
    <s v="Sameer"/>
    <s v="Hyderabad"/>
    <x v="137"/>
    <s v="Call"/>
    <s v="Bulk Order"/>
    <x v="5"/>
    <s v="Bulk Order"/>
    <s v="New"/>
    <s v="Family Group"/>
    <s v="Munesh Kumar"/>
    <m/>
    <s v="Has a Bulk order requirement"/>
    <s v="Cancelled"/>
    <m/>
    <m/>
    <n v="159"/>
    <s v=""/>
    <s v="Warm"/>
    <n v="0"/>
    <n v="0"/>
    <m/>
    <m/>
    <x v="5"/>
    <m/>
    <m/>
    <m/>
    <x v="1"/>
    <m/>
    <s v=""/>
    <m/>
  </r>
  <r>
    <d v="2026-05-13T00:00:00"/>
    <s v="Sameer"/>
    <s v="Hyderabad"/>
    <x v="138"/>
    <s v="Call"/>
    <s v="Bulk Order"/>
    <x v="5"/>
    <s v="Bulk Order"/>
    <s v="New"/>
    <s v="Education"/>
    <s v="Abnik"/>
    <m/>
    <s v="Proposed for Bulk order and Biryani Kits for Gifting"/>
    <s v="Confirmed( C3 )"/>
    <d v="2026-10-01T00:00:00"/>
    <m/>
    <n v="159"/>
    <s v="Yes"/>
    <s v="Hot"/>
    <n v="0"/>
    <n v="0"/>
    <m/>
    <m/>
    <x v="5"/>
    <m/>
    <m/>
    <m/>
    <x v="1"/>
    <m/>
    <s v=""/>
    <m/>
  </r>
  <r>
    <d v="2026-05-13T00:00:00"/>
    <s v="Sameer"/>
    <s v="Hyderabad"/>
    <x v="91"/>
    <s v="Call"/>
    <s v="Bulk Order"/>
    <x v="5"/>
    <s v="Bulk Order"/>
    <s v="New"/>
    <s v="It"/>
    <s v="Ashutosh"/>
    <m/>
    <s v="Has a Bulk order requirement "/>
    <s v="Cancelled"/>
    <m/>
    <m/>
    <n v="159"/>
    <s v=""/>
    <s v="Warm"/>
    <n v="0"/>
    <n v="0"/>
    <m/>
    <m/>
    <x v="5"/>
    <m/>
    <m/>
    <m/>
    <x v="1"/>
    <m/>
    <s v=""/>
    <m/>
  </r>
  <r>
    <d v="2026-05-14T00:00:00"/>
    <s v="Sameer"/>
    <s v="Hyderabad"/>
    <x v="20"/>
    <s v="Call"/>
    <s v="Aggregator"/>
    <x v="1"/>
    <s v="Bulk Order"/>
    <s v="Repeat"/>
    <s v="It"/>
    <s v="Sekhar"/>
    <m/>
    <s v="Popup counter on 13-05-2026 "/>
    <s v="Closed(C4)"/>
    <m/>
    <m/>
    <s v=""/>
    <s v=""/>
    <s v="Hot"/>
    <n v="30000"/>
    <n v="64420"/>
    <d v="2026-05-13T00:00:00"/>
    <s v="00GCBTA000289313"/>
    <x v="2"/>
    <s v="Received at HO"/>
    <m/>
    <m/>
    <x v="1"/>
    <m/>
    <s v=""/>
    <m/>
  </r>
  <r>
    <d v="2026-05-14T00:00:00"/>
    <s v="Manohar"/>
    <s v="Bangalore"/>
    <x v="139"/>
    <s v="Call"/>
    <s v="Corporate"/>
    <x v="5"/>
    <s v="Bulk Order"/>
    <s v="New"/>
    <s v="It"/>
    <s v="Mohamad ashif"/>
    <m/>
    <s v="introduction stage"/>
    <s v="Introduction( C0 )"/>
    <m/>
    <m/>
    <n v="158"/>
    <s v=""/>
    <s v="Cold"/>
    <m/>
    <m/>
    <m/>
    <m/>
    <x v="5"/>
    <m/>
    <m/>
    <m/>
    <x v="1"/>
    <m/>
    <s v=""/>
    <m/>
  </r>
  <r>
    <d v="2026-05-14T00:00:00"/>
    <s v="Manohar"/>
    <s v="Bangalore"/>
    <x v="140"/>
    <s v="Call"/>
    <s v="Corporate"/>
    <x v="5"/>
    <s v="Bulk Order"/>
    <s v="New"/>
    <s v="It"/>
    <s v="Kavitha"/>
    <m/>
    <s v="introduction satge"/>
    <s v="Introduction( C0 )"/>
    <m/>
    <m/>
    <n v="158"/>
    <s v=""/>
    <s v="Cold"/>
    <m/>
    <m/>
    <m/>
    <m/>
    <x v="5"/>
    <m/>
    <m/>
    <m/>
    <x v="1"/>
    <m/>
    <s v=""/>
    <m/>
  </r>
  <r>
    <d v="2026-05-14T00:00:00"/>
    <s v="Manohar"/>
    <s v="Bangalore"/>
    <x v="98"/>
    <s v="F2F"/>
    <s v="Corporate"/>
    <x v="5"/>
    <s v="Bulk Order"/>
    <s v="New"/>
    <s v="It"/>
    <s v="Rohit"/>
    <m/>
    <s v="every week theay have team lunch "/>
    <s v="Negotitaion( C2 )"/>
    <m/>
    <m/>
    <n v="158"/>
    <s v=""/>
    <s v="Warm"/>
    <m/>
    <m/>
    <m/>
    <m/>
    <x v="5"/>
    <m/>
    <m/>
    <m/>
    <x v="1"/>
    <m/>
    <s v=""/>
    <m/>
  </r>
  <r>
    <d v="2026-05-14T00:00:00"/>
    <s v="Pradeep"/>
    <s v="Hyderabad"/>
    <x v="141"/>
    <s v="F2F"/>
    <s v="Bulk Order"/>
    <x v="5"/>
    <s v="Bulk Order"/>
    <s v="New"/>
    <s v="Family Group"/>
    <s v="Shashidar Reddy"/>
    <m/>
    <s v="Has a bulk order Requirement"/>
    <s v="Closed(C4)"/>
    <m/>
    <m/>
    <s v=""/>
    <s v=""/>
    <s v="Hot"/>
    <n v="10000"/>
    <m/>
    <m/>
    <m/>
    <x v="5"/>
    <m/>
    <m/>
    <m/>
    <x v="1"/>
    <m/>
    <s v=""/>
    <m/>
  </r>
  <r>
    <d v="2026-05-14T00:00:00"/>
    <s v="Pradeep"/>
    <s v="Hyderabad"/>
    <x v="142"/>
    <s v="F2F"/>
    <s v="Bulk Order"/>
    <x v="5"/>
    <s v="Bulk Order"/>
    <s v="New"/>
    <s v="Hotel"/>
    <s v="Veera"/>
    <m/>
    <s v="Has a Bulk order Requirement "/>
    <s v="Cancelled"/>
    <m/>
    <m/>
    <n v="158"/>
    <s v=""/>
    <s v="Warm"/>
    <n v="10000"/>
    <m/>
    <m/>
    <m/>
    <x v="5"/>
    <m/>
    <m/>
    <m/>
    <x v="1"/>
    <m/>
    <s v=""/>
    <m/>
  </r>
  <r>
    <d v="2026-05-14T00:00:00"/>
    <s v="Sameer"/>
    <s v="Hyderabad"/>
    <x v="20"/>
    <s v="Call"/>
    <s v="Aggregator"/>
    <x v="1"/>
    <s v="Pop Up Counter"/>
    <s v="Repeat"/>
    <s v="It"/>
    <s v="Sekhar"/>
    <m/>
    <s v="Bulk Order Business Closed"/>
    <s v="Closed(C4)"/>
    <m/>
    <m/>
    <s v=""/>
    <s v=""/>
    <s v="Hot"/>
    <n v="30000"/>
    <n v="42970"/>
    <m/>
    <s v="00GCBTA000289271"/>
    <x v="2"/>
    <s v="Received at HO"/>
    <m/>
    <d v="2026-05-14T00:00:00"/>
    <x v="1"/>
    <m/>
    <s v=""/>
    <m/>
  </r>
  <r>
    <d v="2026-05-14T00:00:00"/>
    <s v="Sameer"/>
    <s v="Hyderabad"/>
    <x v="46"/>
    <s v="Call"/>
    <s v="Aggregator"/>
    <x v="0"/>
    <s v="Pop Up Counter"/>
    <s v="Repeat"/>
    <s v="It"/>
    <s v="Pavan"/>
    <m/>
    <s v="Bulk Order Business Closed"/>
    <s v="Closed(C4)"/>
    <m/>
    <m/>
    <s v=""/>
    <s v=""/>
    <s v="Hot"/>
    <n v="25000"/>
    <n v="31440"/>
    <d v="2026-05-14T00:00:00"/>
    <m/>
    <x v="1"/>
    <s v="Received at HO"/>
    <m/>
    <m/>
    <x v="1"/>
    <m/>
    <s v=""/>
    <m/>
  </r>
  <r>
    <d v="2026-05-14T00:00:00"/>
    <s v="Sameer"/>
    <s v="Hyderabad"/>
    <x v="143"/>
    <s v="Call"/>
    <s v="Bulk Order"/>
    <x v="5"/>
    <s v="Pop Up Counter"/>
    <s v="Repeat"/>
    <s v="Healthcare"/>
    <s v="Srikanth"/>
    <m/>
    <s v="Pop up  event on 14th &amp; 15th May"/>
    <s v="Closed(C4)"/>
    <m/>
    <m/>
    <s v=""/>
    <s v=""/>
    <s v="Hot"/>
    <n v="50000"/>
    <n v="0"/>
    <m/>
    <m/>
    <x v="5"/>
    <m/>
    <m/>
    <m/>
    <x v="1"/>
    <m/>
    <s v=""/>
    <m/>
  </r>
  <r>
    <d v="2026-05-14T00:00:00"/>
    <s v="Sameer"/>
    <s v="Hyderabad"/>
    <x v="144"/>
    <s v="Call"/>
    <s v="Bulk Order"/>
    <x v="5"/>
    <s v="Bulk Order"/>
    <s v="Repeat"/>
    <s v="Transport"/>
    <s v="Sai Kiran"/>
    <m/>
    <s v="Had a meeting on price negotitaion"/>
    <s v="Cancelled"/>
    <m/>
    <m/>
    <n v="158"/>
    <s v=""/>
    <s v="Hot"/>
    <n v="0"/>
    <n v="0"/>
    <m/>
    <m/>
    <x v="5"/>
    <m/>
    <m/>
    <m/>
    <x v="1"/>
    <m/>
    <s v=""/>
    <m/>
  </r>
  <r>
    <d v="2026-05-14T00:00:00"/>
    <s v="Bashab"/>
    <s v="Bangalore"/>
    <x v="73"/>
    <s v="F2F"/>
    <s v="Aggregator"/>
    <x v="4"/>
    <s v="ODC"/>
    <s v="New"/>
    <s v="Events"/>
    <s v="Rawath"/>
    <m/>
    <s v="Bulk Order Business Closed"/>
    <s v="Closed(C4)"/>
    <m/>
    <m/>
    <s v=""/>
    <s v=""/>
    <s v="Hot"/>
    <n v="55000"/>
    <n v="55750"/>
    <d v="2026-05-14T00:00:00"/>
    <m/>
    <x v="8"/>
    <s v="Received at HO"/>
    <m/>
    <m/>
    <x v="1"/>
    <m/>
    <s v=""/>
    <m/>
  </r>
  <r>
    <d v="2026-05-14T00:00:00"/>
    <s v="Bashab"/>
    <s v="Bangalore"/>
    <x v="122"/>
    <s v="Call"/>
    <s v="Aggregator"/>
    <x v="1"/>
    <s v="Pop Up Counter"/>
    <s v="New"/>
    <s v="It"/>
    <s v="Naveen"/>
    <m/>
    <s v="Pop-up counter done"/>
    <s v="Closed(C4)"/>
    <m/>
    <m/>
    <s v=""/>
    <s v=""/>
    <s v="Hot"/>
    <n v="8500"/>
    <n v="8230"/>
    <d v="2026-05-14T00:00:00"/>
    <s v="00MRA08000005192"/>
    <x v="11"/>
    <s v="Received at HO"/>
    <m/>
    <m/>
    <x v="1"/>
    <m/>
    <s v=""/>
    <m/>
  </r>
  <r>
    <d v="2026-05-14T00:00:00"/>
    <s v="Bashab"/>
    <s v="Bangalore"/>
    <x v="145"/>
    <s v="F2F"/>
    <s v="Aggregator"/>
    <x v="1"/>
    <s v="Bulk Order"/>
    <s v="New"/>
    <s v="It"/>
    <s v="Harish"/>
    <m/>
    <s v="Confirmed bulk order"/>
    <s v="Confirmed( C3 )"/>
    <m/>
    <m/>
    <m/>
    <s v=""/>
    <s v="Hot"/>
    <m/>
    <m/>
    <m/>
    <m/>
    <x v="5"/>
    <m/>
    <m/>
    <m/>
    <x v="1"/>
    <m/>
    <s v=""/>
    <m/>
  </r>
  <r>
    <d v="2026-05-14T00:00:00"/>
    <s v="Bashab"/>
    <s v="Bangalore"/>
    <x v="146"/>
    <s v="F2F"/>
    <s v="Corporate"/>
    <x v="5"/>
    <s v="Bulk Order"/>
    <s v="New"/>
    <s v="It"/>
    <s v="Naveen"/>
    <m/>
    <s v="Proposed for bulk orders"/>
    <s v="Introduction( C0 )"/>
    <m/>
    <m/>
    <n v="158"/>
    <s v=""/>
    <s v="Warm"/>
    <m/>
    <m/>
    <m/>
    <m/>
    <x v="5"/>
    <m/>
    <m/>
    <m/>
    <x v="1"/>
    <m/>
    <s v=""/>
    <m/>
  </r>
  <r>
    <d v="2026-05-14T00:00:00"/>
    <s v="Pradeep"/>
    <s v="Hyderabad"/>
    <x v="147"/>
    <s v="F2F"/>
    <s v="Corporate"/>
    <x v="5"/>
    <s v="Bulk Order"/>
    <s v="New"/>
    <s v="Healthcare"/>
    <s v="Rama"/>
    <m/>
    <s v="Proposed for Bulk order and Biryani Kits for Gifting"/>
    <s v="Cancelled"/>
    <d v="2026-08-25T00:00:00"/>
    <s v="Call"/>
    <n v="158"/>
    <s v=""/>
    <s v="Warm"/>
    <n v="20000"/>
    <m/>
    <m/>
    <m/>
    <x v="5"/>
    <m/>
    <m/>
    <m/>
    <x v="1"/>
    <m/>
    <s v=""/>
    <m/>
  </r>
  <r>
    <d v="2026-05-14T00:00:00"/>
    <s v="Pradeep"/>
    <s v="Hyderabad"/>
    <x v="130"/>
    <s v="Call"/>
    <s v="Bulk Order"/>
    <x v="5"/>
    <s v="Bulk Order"/>
    <s v="New"/>
    <s v="Family Group"/>
    <s v="kumar"/>
    <m/>
    <s v="Bulk order closed"/>
    <s v="Closed(C4)"/>
    <m/>
    <m/>
    <s v=""/>
    <s v=""/>
    <s v="Hot"/>
    <n v="10000"/>
    <n v="5348"/>
    <d v="2026-05-14T00:00:00"/>
    <s v="OORJC01000055090"/>
    <x v="23"/>
    <s v="Received at Store"/>
    <m/>
    <d v="2026-05-14T00:00:00"/>
    <x v="1"/>
    <m/>
    <s v=""/>
    <s v="Dine-in"/>
  </r>
  <r>
    <d v="2026-05-15T00:00:00"/>
    <s v="Bashab"/>
    <s v="Bangalore"/>
    <x v="73"/>
    <s v="F2F"/>
    <s v="Aggregator"/>
    <x v="4"/>
    <s v="ODC"/>
    <s v="New"/>
    <s v="Events"/>
    <s v="Rawath"/>
    <m/>
    <s v="Bulk Order Business Closed"/>
    <s v="Closed(C4)"/>
    <m/>
    <m/>
    <s v=""/>
    <s v=""/>
    <s v="Hot"/>
    <n v="90000"/>
    <n v="91600"/>
    <d v="2026-05-15T00:00:00"/>
    <m/>
    <x v="8"/>
    <s v="Received at HO"/>
    <m/>
    <m/>
    <x v="1"/>
    <m/>
    <s v=""/>
    <m/>
  </r>
  <r>
    <d v="2026-05-15T00:00:00"/>
    <s v="Pradeep"/>
    <s v="Hyderabad"/>
    <x v="148"/>
    <s v="F2F"/>
    <s v="Bulk Order"/>
    <x v="5"/>
    <s v="Bulk Order"/>
    <s v="New"/>
    <s v="Government"/>
    <s v="Shahider Reddy"/>
    <m/>
    <s v="Bulk order Business Closed"/>
    <s v="Closed(C4)"/>
    <m/>
    <m/>
    <s v=""/>
    <s v=""/>
    <s v="Hot"/>
    <n v="50000"/>
    <n v="14100"/>
    <d v="2026-05-15T00:00:00"/>
    <s v="OOSTA01000053126"/>
    <x v="14"/>
    <s v="Received at Store"/>
    <m/>
    <d v="2026-05-15T00:00:00"/>
    <x v="1"/>
    <m/>
    <s v=""/>
    <s v="Takeaway-Bulk-Insti"/>
  </r>
  <r>
    <d v="2026-05-15T00:00:00"/>
    <s v="Pradeep"/>
    <s v="Hyderabad"/>
    <x v="149"/>
    <s v="F2F"/>
    <s v="Corporate"/>
    <x v="5"/>
    <s v="Bulk Order"/>
    <s v="New"/>
    <s v="Manufacturing"/>
    <s v="Abishek"/>
    <m/>
    <s v="Proposed for Bulk order and Biryani Kits for Gifting"/>
    <s v="Cancelled"/>
    <m/>
    <s v="Call"/>
    <n v="157"/>
    <s v=""/>
    <s v="Cold"/>
    <n v="20000"/>
    <m/>
    <m/>
    <m/>
    <x v="5"/>
    <m/>
    <m/>
    <m/>
    <x v="1"/>
    <m/>
    <s v=""/>
    <m/>
  </r>
  <r>
    <d v="2026-05-15T00:00:00"/>
    <s v="Pradeep"/>
    <s v="Hyderabad"/>
    <x v="150"/>
    <s v="F2F"/>
    <s v="Corporate"/>
    <x v="5"/>
    <s v="Bulk Order"/>
    <s v="New"/>
    <s v="It"/>
    <s v="Abhilash"/>
    <m/>
    <s v="Proposed for Bulk order and Biryani Kits for Gifting"/>
    <s v="Cancelled"/>
    <m/>
    <s v="Call"/>
    <n v="157"/>
    <s v=""/>
    <s v="Cold"/>
    <n v="30000"/>
    <m/>
    <m/>
    <m/>
    <x v="5"/>
    <m/>
    <m/>
    <m/>
    <x v="1"/>
    <m/>
    <s v=""/>
    <m/>
  </r>
  <r>
    <d v="2026-05-15T00:00:00"/>
    <s v="Pradeep"/>
    <s v="Hyderabad"/>
    <x v="151"/>
    <s v="F2F"/>
    <s v="Corporate"/>
    <x v="5"/>
    <s v="Bulk Order"/>
    <s v="New"/>
    <s v="Education"/>
    <s v="Amarnath"/>
    <m/>
    <s v="Proposed for Bulk order and Biryani Kits for Gifting"/>
    <s v="Cancelled"/>
    <m/>
    <m/>
    <n v="157"/>
    <s v=""/>
    <s v="Cold"/>
    <n v="20000"/>
    <m/>
    <m/>
    <m/>
    <x v="5"/>
    <m/>
    <m/>
    <m/>
    <x v="1"/>
    <m/>
    <s v=""/>
    <m/>
  </r>
  <r>
    <d v="2026-05-15T00:00:00"/>
    <s v="Sameer"/>
    <s v="Hyderabad"/>
    <x v="20"/>
    <s v="Call"/>
    <s v="Aggregator"/>
    <x v="1"/>
    <s v="Pop Up Counter"/>
    <s v="Repeat"/>
    <s v="It"/>
    <s v="Sekhar"/>
    <m/>
    <s v="Bulk Order Business Closed"/>
    <s v="Closed(C4)"/>
    <m/>
    <m/>
    <s v=""/>
    <s v=""/>
    <s v="Hot"/>
    <n v="30000"/>
    <n v="72790"/>
    <d v="2026-05-15T00:00:00"/>
    <m/>
    <x v="2"/>
    <s v="Received at HO"/>
    <m/>
    <m/>
    <x v="1"/>
    <m/>
    <s v=""/>
    <m/>
  </r>
  <r>
    <d v="2026-05-15T00:00:00"/>
    <s v="Sameer"/>
    <s v="Hyderabad"/>
    <x v="46"/>
    <s v="Call"/>
    <s v="Aggregator"/>
    <x v="0"/>
    <s v="Pop Up Counter"/>
    <s v="Repeat"/>
    <s v="It"/>
    <s v="Pavan"/>
    <m/>
    <s v="Bulk Order Business Closed"/>
    <s v="Closed(C4)"/>
    <m/>
    <m/>
    <s v=""/>
    <s v=""/>
    <s v="Hot"/>
    <n v="25000"/>
    <n v="95214"/>
    <d v="2026-05-15T00:00:00"/>
    <m/>
    <x v="1"/>
    <s v="Received at HO"/>
    <m/>
    <m/>
    <x v="1"/>
    <m/>
    <s v=""/>
    <m/>
  </r>
  <r>
    <d v="2026-05-15T00:00:00"/>
    <s v="Sameer"/>
    <s v="Hyderabad"/>
    <x v="143"/>
    <s v="Call"/>
    <s v="Bulk Order"/>
    <x v="2"/>
    <s v="Pop Up Counter"/>
    <s v="New"/>
    <s v="Healthcare"/>
    <s v="Srikanth"/>
    <m/>
    <s v="Pop up  event on 14th &amp; 15th May"/>
    <s v="Closed(C4)"/>
    <m/>
    <m/>
    <s v=""/>
    <s v=""/>
    <s v="Hot"/>
    <n v="50000"/>
    <n v="62879"/>
    <d v="2026-05-15T00:00:00"/>
    <s v="00IMA020000_x000a__x000a_"/>
    <x v="24"/>
    <s v="Received at Store"/>
    <m/>
    <d v="2026-05-15T00:00:00"/>
    <x v="1"/>
    <m/>
    <s v=""/>
    <m/>
  </r>
  <r>
    <d v="2026-05-16T00:00:00"/>
    <s v="Bashab"/>
    <s v="Bangalore"/>
    <x v="73"/>
    <s v="F2F"/>
    <s v="Aggregator"/>
    <x v="4"/>
    <s v="ODC"/>
    <s v="New"/>
    <s v="Events"/>
    <s v="Rawath"/>
    <m/>
    <s v="Bulk Order Business Closed"/>
    <s v="Closed(C4)"/>
    <m/>
    <m/>
    <s v=""/>
    <s v=""/>
    <s v="Hot"/>
    <n v="85000"/>
    <n v="83900"/>
    <d v="2026-05-16T00:00:00"/>
    <m/>
    <x v="8"/>
    <s v="Received at HO"/>
    <m/>
    <m/>
    <x v="1"/>
    <m/>
    <s v=""/>
    <m/>
  </r>
  <r>
    <d v="2026-05-16T00:00:00"/>
    <s v="Pradeep"/>
    <s v="Hyderabad"/>
    <x v="148"/>
    <s v="Call"/>
    <s v="Bulk Order"/>
    <x v="5"/>
    <s v="Bulk Order"/>
    <s v="New"/>
    <s v="Government"/>
    <s v="Shashidar"/>
    <m/>
    <s v="Client took 60 biryani &amp; water bottles separately this is for waterbottles ."/>
    <s v="Closed(C4)"/>
    <m/>
    <m/>
    <m/>
    <m/>
    <s v="Hot"/>
    <m/>
    <n v="960"/>
    <d v="2026-05-16T00:00:00"/>
    <s v="OOMHA11000342763"/>
    <x v="14"/>
    <s v="Received at Store"/>
    <m/>
    <d v="2026-05-16T00:00:00"/>
    <x v="1"/>
    <m/>
    <m/>
    <s v="Takeaway-Bulk-Insti"/>
  </r>
  <r>
    <d v="2026-05-16T00:00:00"/>
    <s v="Bashab"/>
    <s v="Bangalore"/>
    <x v="145"/>
    <s v="F2F"/>
    <s v="Aggregator"/>
    <x v="1"/>
    <s v="Bulk Order"/>
    <s v="New"/>
    <s v="It"/>
    <s v="Harish"/>
    <m/>
    <s v="Confirmed bulk order"/>
    <s v="Closed(C4)"/>
    <m/>
    <m/>
    <s v=""/>
    <s v=""/>
    <s v="Hot"/>
    <n v="30000"/>
    <n v="30200"/>
    <d v="2026-05-16T00:00:00"/>
    <s v="OOPMTA01000C03266"/>
    <x v="21"/>
    <s v="Received at HO"/>
    <m/>
    <m/>
    <x v="1"/>
    <m/>
    <s v=""/>
    <m/>
  </r>
  <r>
    <d v="2026-05-16T00:00:00"/>
    <s v="Pradeep"/>
    <s v="Hyderabad"/>
    <x v="76"/>
    <s v="Call"/>
    <s v="Corporate"/>
    <x v="5"/>
    <s v="Bulk Order"/>
    <s v="New"/>
    <s v="Family Group"/>
    <s v="Fatima"/>
    <m/>
    <s v="Completed Bulk order"/>
    <s v="Closed(C4)"/>
    <m/>
    <m/>
    <m/>
    <m/>
    <s v="Hot"/>
    <n v="10000"/>
    <n v="2880"/>
    <d v="2026-05-16T00:00:00"/>
    <m/>
    <x v="25"/>
    <s v="Received at Store"/>
    <m/>
    <d v="2026-05-16T00:00:00"/>
    <x v="1"/>
    <m/>
    <m/>
    <s v="Takeaway-Bulk-Insti"/>
  </r>
  <r>
    <d v="2026-05-17T00:00:00"/>
    <s v="Bashab"/>
    <s v="Bangalore"/>
    <x v="73"/>
    <s v="F2F"/>
    <s v="Aggregator"/>
    <x v="4"/>
    <s v="ODC"/>
    <s v="New"/>
    <s v="Events"/>
    <s v="Rawath"/>
    <m/>
    <s v="Bulk Order Business Closed"/>
    <s v="Closed(C4)"/>
    <m/>
    <m/>
    <s v=""/>
    <s v=""/>
    <s v="Hot"/>
    <n v="50000"/>
    <n v="51250"/>
    <d v="2026-05-17T00:00:00"/>
    <m/>
    <x v="8"/>
    <s v="Received at HO"/>
    <m/>
    <m/>
    <x v="1"/>
    <m/>
    <s v=""/>
    <m/>
  </r>
  <r>
    <d v="2026-05-18T00:00:00"/>
    <s v="Pradeep"/>
    <s v="Hyderabad"/>
    <x v="152"/>
    <s v="F2F"/>
    <s v="Corporate"/>
    <x v="5"/>
    <s v="Bulk Order"/>
    <s v="New"/>
    <s v="Manufacturing"/>
    <s v="Suryanaryana"/>
    <m/>
    <s v="Proposed for Bulk order and Biryani Kits for Gifting"/>
    <s v="Cancelled"/>
    <m/>
    <m/>
    <m/>
    <s v=""/>
    <s v="Cold"/>
    <n v="25000"/>
    <m/>
    <m/>
    <m/>
    <x v="5"/>
    <m/>
    <m/>
    <m/>
    <x v="1"/>
    <m/>
    <s v=""/>
    <m/>
  </r>
  <r>
    <d v="2026-05-18T00:00:00"/>
    <s v="Pradeep"/>
    <s v="Hyderabad"/>
    <x v="153"/>
    <s v="F2F"/>
    <s v="Corporate"/>
    <x v="5"/>
    <s v="Bulk Order"/>
    <s v="New"/>
    <s v="Healthcare"/>
    <s v="Shailesh"/>
    <m/>
    <s v="Proposed for Bulk order and Biryani Kits for Gifting"/>
    <s v="Cancelled"/>
    <m/>
    <s v="F2F"/>
    <n v="154"/>
    <s v=""/>
    <s v="Warm"/>
    <n v="40000"/>
    <m/>
    <m/>
    <m/>
    <x v="5"/>
    <m/>
    <m/>
    <m/>
    <x v="1"/>
    <m/>
    <s v=""/>
    <m/>
  </r>
  <r>
    <d v="2026-05-18T00:00:00"/>
    <s v="Pradeep"/>
    <s v="Hyderabad"/>
    <x v="154"/>
    <s v="F2F"/>
    <s v="Corporate"/>
    <x v="5"/>
    <s v="Bulk Order"/>
    <s v="New"/>
    <s v="Healthcare"/>
    <s v="Ravi"/>
    <m/>
    <s v="Proposed for Bulk order and Biryani Kits for Gifting"/>
    <s v="Cancelled"/>
    <m/>
    <m/>
    <n v="154"/>
    <s v=""/>
    <s v="Cold"/>
    <n v="20000"/>
    <m/>
    <m/>
    <m/>
    <x v="5"/>
    <m/>
    <m/>
    <m/>
    <x v="1"/>
    <m/>
    <s v=""/>
    <m/>
  </r>
  <r>
    <d v="2026-05-18T00:00:00"/>
    <s v="Pradeep"/>
    <s v="Hyderabad"/>
    <x v="155"/>
    <s v="F2F"/>
    <s v="Corporate"/>
    <x v="5"/>
    <s v="Bulk Order"/>
    <s v="New"/>
    <s v="Healthcare"/>
    <s v="Manasa"/>
    <m/>
    <s v="Proposed for Bulk order and Biryani Kits for Gifting"/>
    <s v="Cancelled"/>
    <m/>
    <m/>
    <n v="154"/>
    <s v=""/>
    <s v="Cold"/>
    <n v="30000"/>
    <m/>
    <m/>
    <m/>
    <x v="5"/>
    <m/>
    <m/>
    <m/>
    <x v="1"/>
    <m/>
    <s v=""/>
    <m/>
  </r>
  <r>
    <d v="2026-05-18T00:00:00"/>
    <s v="Bashab"/>
    <s v="Hyderabad"/>
    <x v="156"/>
    <s v="F2F"/>
    <s v="Aggregator"/>
    <x v="2"/>
    <s v="Bulk Order"/>
    <s v="New"/>
    <s v="F&amp;B Aggregator"/>
    <s v="Srinivas"/>
    <m/>
    <s v="Business Closed"/>
    <s v="Confirmed( C3 )"/>
    <m/>
    <m/>
    <m/>
    <s v=""/>
    <s v="Hot"/>
    <m/>
    <m/>
    <m/>
    <m/>
    <x v="5"/>
    <m/>
    <m/>
    <m/>
    <x v="1"/>
    <m/>
    <s v=""/>
    <m/>
  </r>
  <r>
    <d v="2026-05-18T00:00:00"/>
    <s v="Bashab"/>
    <s v="Bangalore"/>
    <x v="98"/>
    <s v="F2F"/>
    <s v="Corporate"/>
    <x v="5"/>
    <s v="Bulk Order"/>
    <s v="New"/>
    <s v="Banking Finance &amp; Insurance"/>
    <s v="Rohit"/>
    <m/>
    <s v="Business Closed"/>
    <s v="Follow-up( C1 )"/>
    <d v="2026-09-25T00:00:00"/>
    <s v="F2F"/>
    <m/>
    <m/>
    <s v="Hot"/>
    <m/>
    <m/>
    <m/>
    <m/>
    <x v="5"/>
    <m/>
    <m/>
    <m/>
    <x v="1"/>
    <m/>
    <m/>
    <m/>
  </r>
  <r>
    <d v="2026-05-19T00:00:00"/>
    <s v="Sameer"/>
    <s v="Hyderabad"/>
    <x v="20"/>
    <s v="Call"/>
    <s v="Aggregator"/>
    <x v="1"/>
    <s v="Pop Up Counter"/>
    <s v="Repeat"/>
    <s v="It"/>
    <s v="Sekhar"/>
    <m/>
    <s v="Popup Counter on 18-5-2026 from Gachibowli"/>
    <s v="Closed(C4)"/>
    <m/>
    <m/>
    <s v=""/>
    <s v=""/>
    <s v="Hot"/>
    <n v="50000"/>
    <n v="40410"/>
    <d v="2026-05-19T00:00:00"/>
    <s v="00GCBTA000289580"/>
    <x v="2"/>
    <s v="Received at HO"/>
    <m/>
    <m/>
    <x v="1"/>
    <m/>
    <s v=""/>
    <m/>
  </r>
  <r>
    <d v="2026-05-19T00:00:00"/>
    <s v="Sameer"/>
    <s v="Hyderabad"/>
    <x v="156"/>
    <s v="F2F"/>
    <s v="Aggregator"/>
    <x v="2"/>
    <s v="Bulk Order"/>
    <s v="New"/>
    <s v="F&amp;B Aggregator"/>
    <s v="Sunjay"/>
    <m/>
    <s v="Bulk Order Business Closed"/>
    <s v="Closed(C4)"/>
    <m/>
    <m/>
    <s v=""/>
    <s v=""/>
    <s v="Hot"/>
    <n v="0"/>
    <n v="0"/>
    <m/>
    <m/>
    <x v="5"/>
    <m/>
    <m/>
    <m/>
    <x v="1"/>
    <m/>
    <s v=""/>
    <m/>
  </r>
  <r>
    <d v="2026-05-19T00:00:00"/>
    <s v="Pradeep"/>
    <s v="Hyderabad"/>
    <x v="156"/>
    <s v="F2F"/>
    <s v="Aggregator"/>
    <x v="2"/>
    <s v="Bulk Order"/>
    <s v="New"/>
    <s v="F&amp;B Aggregator"/>
    <s v="Sunjay"/>
    <m/>
    <s v="Bulk Order Business Closed"/>
    <s v="Closed(C4)"/>
    <m/>
    <m/>
    <s v=""/>
    <s v=""/>
    <s v="Hot"/>
    <n v="0"/>
    <n v="0"/>
    <m/>
    <m/>
    <x v="5"/>
    <m/>
    <m/>
    <m/>
    <x v="1"/>
    <m/>
    <s v=""/>
    <m/>
  </r>
  <r>
    <d v="2026-05-19T00:00:00"/>
    <s v="Sameer"/>
    <s v="Hyderabad"/>
    <x v="157"/>
    <s v="F2F"/>
    <s v="Aggregator"/>
    <x v="2"/>
    <s v="Bulk Order"/>
    <s v="New"/>
    <s v="F&amp;B Aggregator"/>
    <m/>
    <m/>
    <s v="Visited for site Allignment "/>
    <s v="Closed(C4)"/>
    <m/>
    <m/>
    <s v=""/>
    <s v=""/>
    <s v="Hot"/>
    <n v="50000"/>
    <n v="0"/>
    <m/>
    <m/>
    <x v="5"/>
    <m/>
    <m/>
    <m/>
    <x v="1"/>
    <m/>
    <s v=""/>
    <m/>
  </r>
  <r>
    <d v="2026-05-19T00:00:00"/>
    <s v="Pradeep"/>
    <s v="Hyderabad"/>
    <x v="157"/>
    <s v="F2F"/>
    <s v="Aggregator"/>
    <x v="2"/>
    <s v="Bulk Order"/>
    <s v="New"/>
    <s v="F&amp;B Aggregator"/>
    <m/>
    <m/>
    <s v="Bulk Order Business Closed"/>
    <s v="Closed(C4)"/>
    <m/>
    <m/>
    <s v=""/>
    <s v=""/>
    <s v="Hot"/>
    <n v="50000"/>
    <n v="0"/>
    <m/>
    <m/>
    <x v="5"/>
    <m/>
    <m/>
    <m/>
    <x v="1"/>
    <m/>
    <s v=""/>
    <m/>
  </r>
  <r>
    <d v="2026-05-19T00:00:00"/>
    <s v="Sameer"/>
    <s v="Hyderabad"/>
    <x v="158"/>
    <s v="F2F"/>
    <s v="Corporate"/>
    <x v="5"/>
    <s v="Bulk Order"/>
    <s v="New"/>
    <s v="It"/>
    <s v="Suresh"/>
    <m/>
    <s v="Bulk order Requirement"/>
    <s v="Cancelled"/>
    <m/>
    <m/>
    <n v="153"/>
    <s v=""/>
    <s v="Hot"/>
    <n v="50000"/>
    <m/>
    <m/>
    <m/>
    <x v="5"/>
    <m/>
    <m/>
    <m/>
    <x v="1"/>
    <m/>
    <s v=""/>
    <m/>
  </r>
  <r>
    <d v="2026-05-19T00:00:00"/>
    <s v="Pradeep"/>
    <s v="Hyderabad"/>
    <x v="159"/>
    <s v="F2F"/>
    <s v="Corporate"/>
    <x v="5"/>
    <s v="Bulk Order"/>
    <s v="New"/>
    <s v="Healthcare"/>
    <s v="Bharath"/>
    <m/>
    <s v="Proposed for Bulk order and Biryani Kits for Gifting"/>
    <s v="Cancelled"/>
    <m/>
    <m/>
    <n v="153"/>
    <s v=""/>
    <s v="Cold"/>
    <n v="15000"/>
    <m/>
    <m/>
    <m/>
    <x v="5"/>
    <m/>
    <m/>
    <m/>
    <x v="1"/>
    <m/>
    <s v=""/>
    <m/>
  </r>
  <r>
    <d v="2026-05-19T00:00:00"/>
    <s v="Sameer"/>
    <s v="Hyderabad"/>
    <x v="20"/>
    <s v="F2F"/>
    <s v="Corporate"/>
    <x v="1"/>
    <s v="Bulk Order"/>
    <m/>
    <s v="F&amp;B Aggregator"/>
    <s v="Sekhar"/>
    <m/>
    <s v="Bulk Order Business Closed"/>
    <s v="Closed(C4)"/>
    <m/>
    <m/>
    <s v=""/>
    <s v=""/>
    <s v="Hot"/>
    <n v="40000"/>
    <n v="38470"/>
    <d v="2026-05-25T00:00:00"/>
    <s v="00GCBTA000289577"/>
    <x v="5"/>
    <s v="Received at HO"/>
    <m/>
    <m/>
    <x v="1"/>
    <m/>
    <s v=""/>
    <m/>
  </r>
  <r>
    <d v="2026-05-19T00:00:00"/>
    <s v="Bashab"/>
    <s v="Bangalore"/>
    <x v="31"/>
    <s v="F2F"/>
    <s v="Corporate"/>
    <x v="5"/>
    <s v="Popup Counter"/>
    <s v="Repeat"/>
    <s v="Retail"/>
    <s v="Mueenudheen"/>
    <m/>
    <s v="Business Closed"/>
    <s v="Closed(C4)"/>
    <m/>
    <m/>
    <s v=""/>
    <s v=""/>
    <s v="Hot"/>
    <n v="15000"/>
    <n v="15456"/>
    <d v="2026-05-19T00:00:00"/>
    <s v="OOWFC01000027275"/>
    <x v="7"/>
    <s v="Received at Store"/>
    <m/>
    <d v="2026-05-19T00:00:00"/>
    <x v="1"/>
    <m/>
    <s v=""/>
    <m/>
  </r>
  <r>
    <d v="2026-05-19T00:00:00"/>
    <s v="Bashab"/>
    <s v="Bangalore"/>
    <x v="160"/>
    <s v="F2F"/>
    <s v="Corporate"/>
    <x v="5"/>
    <s v="Popup Counter"/>
    <s v="New"/>
    <s v="Retail"/>
    <s v="Anand"/>
    <m/>
    <s v="Business Closed"/>
    <s v="Closed(C4)"/>
    <m/>
    <m/>
    <s v=""/>
    <s v=""/>
    <s v="Hot"/>
    <n v="15000"/>
    <n v="19653"/>
    <d v="2026-05-19T00:00:00"/>
    <s v="OOPMTA01000C03276"/>
    <x v="21"/>
    <s v="Received at Store"/>
    <m/>
    <d v="2026-05-19T00:00:00"/>
    <x v="1"/>
    <m/>
    <s v=""/>
    <m/>
  </r>
  <r>
    <d v="2026-05-19T00:00:00"/>
    <s v="Bashab"/>
    <s v="Bangalore"/>
    <x v="68"/>
    <s v="F2F"/>
    <s v="Corporate"/>
    <x v="3"/>
    <s v="Popup Counter"/>
    <s v="Repeat"/>
    <s v="It"/>
    <s v="Raghu"/>
    <m/>
    <s v="Business Closed"/>
    <s v="Closed(C4)"/>
    <m/>
    <m/>
    <s v=""/>
    <s v=""/>
    <s v="Hot"/>
    <n v="15000"/>
    <n v="15210"/>
    <d v="2026-05-19T00:00:00"/>
    <s v="00MRA08000005723"/>
    <x v="11"/>
    <s v="Received at HO"/>
    <m/>
    <m/>
    <x v="1"/>
    <m/>
    <s v=""/>
    <m/>
  </r>
  <r>
    <d v="2026-05-20T00:00:00"/>
    <s v="Pradeep"/>
    <s v="Hyderabad"/>
    <x v="161"/>
    <s v="F2F"/>
    <s v="Aggregator"/>
    <x v="1"/>
    <s v="Bulk Order"/>
    <s v="New"/>
    <s v="F&amp;B Aggregator"/>
    <s v="Priyansh"/>
    <m/>
    <s v="Customised Thalli Bulk order Deliverd on 19 &amp; 20 may from Lingampally"/>
    <s v="Closed(C4)"/>
    <m/>
    <m/>
    <m/>
    <m/>
    <s v="Hot"/>
    <n v="50000"/>
    <n v="37140"/>
    <d v="2026-05-20T00:00:00"/>
    <m/>
    <x v="16"/>
    <s v="Received at HO"/>
    <m/>
    <m/>
    <x v="1"/>
    <m/>
    <m/>
    <s v="Takeaway-Bulk-Insti"/>
  </r>
  <r>
    <d v="2026-05-20T00:00:00"/>
    <s v="Bashab"/>
    <s v="Hyderabad"/>
    <x v="156"/>
    <s v="F2F"/>
    <s v="Aggregator"/>
    <x v="2"/>
    <s v="Bulk Order"/>
    <s v="New"/>
    <s v="F&amp;B Aggregator"/>
    <s v="Srinivas"/>
    <m/>
    <s v="Business Closed"/>
    <s v="Closed(C4)"/>
    <m/>
    <m/>
    <s v=""/>
    <s v=""/>
    <s v="Hot"/>
    <n v="420000"/>
    <n v="420000"/>
    <d v="2026-05-20T00:00:00"/>
    <s v="CIFSPL20052026"/>
    <x v="26"/>
    <s v="Received at HO"/>
    <m/>
    <m/>
    <x v="1"/>
    <m/>
    <s v=""/>
    <m/>
  </r>
  <r>
    <d v="2026-05-20T00:00:00"/>
    <s v="Bashab"/>
    <s v="Bangalore"/>
    <x v="18"/>
    <s v="F2F"/>
    <s v="Corporate"/>
    <x v="5"/>
    <s v="Popup Counter"/>
    <s v="Repeat"/>
    <s v="Retail"/>
    <s v="Vinod"/>
    <m/>
    <s v="Business Closed"/>
    <s v="Closed(C4)"/>
    <m/>
    <m/>
    <s v=""/>
    <s v=""/>
    <s v="Hot"/>
    <n v="10000"/>
    <n v="10414"/>
    <d v="2026-05-20T00:00:00"/>
    <s v="OOWFC01000027301"/>
    <x v="7"/>
    <s v="Received at Store"/>
    <m/>
    <d v="2026-05-20T00:00:00"/>
    <x v="1"/>
    <m/>
    <s v=""/>
    <m/>
  </r>
  <r>
    <d v="2026-05-20T00:00:00"/>
    <s v="Bashab"/>
    <s v="Bangalore"/>
    <x v="162"/>
    <s v="F2F"/>
    <s v="Corporate"/>
    <x v="3"/>
    <s v="Popup Counter"/>
    <s v="Repeat"/>
    <s v="It"/>
    <s v="Naveen"/>
    <m/>
    <s v="Business Closed"/>
    <s v="Closed(C4)"/>
    <m/>
    <m/>
    <s v=""/>
    <s v=""/>
    <s v="Hot"/>
    <n v="15000"/>
    <n v="12380"/>
    <d v="2026-05-20T00:00:00"/>
    <s v="00MRA07000008576"/>
    <x v="11"/>
    <s v="Received at HO"/>
    <m/>
    <m/>
    <x v="1"/>
    <m/>
    <s v=""/>
    <m/>
  </r>
  <r>
    <d v="2026-05-20T00:00:00"/>
    <s v="Bashab"/>
    <s v="Bangalore"/>
    <x v="163"/>
    <s v="F2F"/>
    <s v="ODC"/>
    <x v="6"/>
    <s v="ODC"/>
    <s v="New"/>
    <s v="Pharma"/>
    <s v="Devendra"/>
    <m/>
    <s v="Business confirmed"/>
    <s v="Confirmed( C3 )"/>
    <m/>
    <m/>
    <m/>
    <s v=""/>
    <s v="Hot"/>
    <m/>
    <m/>
    <m/>
    <m/>
    <x v="8"/>
    <m/>
    <m/>
    <m/>
    <x v="1"/>
    <m/>
    <s v=""/>
    <m/>
  </r>
  <r>
    <d v="2026-05-20T00:00:00"/>
    <s v="Sameer"/>
    <s v="Hyderabad"/>
    <x v="20"/>
    <s v="Call"/>
    <s v="Aggregator"/>
    <x v="1"/>
    <s v="Bulk Order"/>
    <s v="New"/>
    <s v="F&amp;B Aggregator"/>
    <s v="Sekhar"/>
    <m/>
    <s v="Business Closed"/>
    <s v="Closed(C4)"/>
    <m/>
    <m/>
    <s v=""/>
    <s v=""/>
    <s v="Hot"/>
    <n v="40000"/>
    <n v="37440"/>
    <d v="2026-05-20T00:00:00"/>
    <s v="00GCBTA000289687"/>
    <x v="2"/>
    <s v="Received at HO"/>
    <m/>
    <m/>
    <x v="1"/>
    <m/>
    <s v=""/>
    <m/>
  </r>
  <r>
    <d v="2026-05-20T00:00:00"/>
    <s v="Pradeep"/>
    <s v="Hyderabad"/>
    <x v="135"/>
    <s v="F2F"/>
    <s v="Corporate"/>
    <x v="5"/>
    <s v="Bulk Order"/>
    <s v="New"/>
    <s v="Healthcare"/>
    <s v="Kishan"/>
    <m/>
    <s v="Proposed for Bulk order and Biryani Kits for Gifting"/>
    <s v="Cancelled"/>
    <d v="2026-08-24T00:00:00"/>
    <s v="F2F"/>
    <m/>
    <m/>
    <s v="Cold"/>
    <n v="50000"/>
    <m/>
    <m/>
    <m/>
    <x v="5"/>
    <m/>
    <m/>
    <m/>
    <x v="1"/>
    <m/>
    <m/>
    <m/>
  </r>
  <r>
    <d v="2026-05-20T00:00:00"/>
    <s v="Pradeep"/>
    <s v="Hyderabad"/>
    <x v="164"/>
    <s v="F2F"/>
    <s v="Corporate"/>
    <x v="5"/>
    <s v="Bulk Order"/>
    <s v="New"/>
    <s v="Banking Finance &amp; Insurance"/>
    <s v="Anil"/>
    <m/>
    <s v="Proposed for Bulk order and Biryani Kits for Gifting"/>
    <s v="Cancelled"/>
    <m/>
    <m/>
    <m/>
    <m/>
    <s v="Cold"/>
    <n v="35000"/>
    <m/>
    <m/>
    <m/>
    <x v="5"/>
    <m/>
    <m/>
    <m/>
    <x v="1"/>
    <m/>
    <m/>
    <m/>
  </r>
  <r>
    <d v="2026-05-20T00:00:00"/>
    <s v="Pradeep"/>
    <s v="Hyderabad"/>
    <x v="165"/>
    <s v="F2F"/>
    <s v="Aggregator"/>
    <x v="2"/>
    <s v="Bulk Order"/>
    <s v="New"/>
    <s v="It"/>
    <s v="Dinesh"/>
    <m/>
    <s v="Biryani on 20-05-2026 from BHEL"/>
    <s v="Closed(C4)"/>
    <m/>
    <m/>
    <s v=""/>
    <s v=""/>
    <s v="Hot"/>
    <n v="150000"/>
    <n v="88510"/>
    <d v="2026-05-20T00:00:00"/>
    <s v="00BHLTC000244342"/>
    <x v="1"/>
    <s v="Received at HO"/>
    <m/>
    <m/>
    <x v="1"/>
    <m/>
    <s v=""/>
    <s v="Takeaway-Bulk-Insti"/>
  </r>
  <r>
    <d v="2026-05-20T00:00:00"/>
    <s v="Pradeep"/>
    <s v="Hyderabad"/>
    <x v="165"/>
    <s v="F2F"/>
    <s v="Aggregator"/>
    <x v="2"/>
    <s v="Bulk Order"/>
    <s v="New"/>
    <s v="It"/>
    <s v="Dinesh"/>
    <m/>
    <s v="Biryani on 20-05-2026 from BHEL"/>
    <s v="Closed(C4)"/>
    <m/>
    <m/>
    <s v=""/>
    <s v=""/>
    <s v="Hot"/>
    <n v="100000"/>
    <n v="26083"/>
    <d v="2026-05-20T00:00:00"/>
    <s v="00BHLTC000244350"/>
    <x v="1"/>
    <s v="Received at HO"/>
    <m/>
    <m/>
    <x v="1"/>
    <m/>
    <s v=""/>
    <s v="Takeaway-Bulk-Insti"/>
  </r>
  <r>
    <d v="2026-05-20T00:00:00"/>
    <s v="Sameer"/>
    <s v="Bangalore"/>
    <x v="3"/>
    <s v="Call"/>
    <s v="Aggregator"/>
    <x v="2"/>
    <s v="Bulk Order"/>
    <s v="Repeat"/>
    <s v="F&amp;B Agrigator"/>
    <s v="Saad"/>
    <m/>
    <s v="Delivery in May Month from HSR"/>
    <s v="Closed(C4)"/>
    <m/>
    <m/>
    <s v=""/>
    <s v=""/>
    <s v="Hot"/>
    <n v="22687"/>
    <n v="22687"/>
    <d v="2026-05-20T00:00:00"/>
    <s v="00HSA06000003047"/>
    <x v="3"/>
    <s v="Received at HO"/>
    <m/>
    <d v="2026-05-30T00:00:00"/>
    <x v="1"/>
    <m/>
    <m/>
    <m/>
  </r>
  <r>
    <d v="2026-05-20T00:00:00"/>
    <s v="Bashab"/>
    <s v="Bangalore"/>
    <x v="16"/>
    <s v="Call"/>
    <s v="Corporate"/>
    <x v="5"/>
    <s v="Bulk Order"/>
    <s v="Repeat"/>
    <s v="Retail"/>
    <s v="Mohammed"/>
    <m/>
    <s v="Business Closed"/>
    <s v="Closed(C4)"/>
    <m/>
    <m/>
    <s v=""/>
    <s v=""/>
    <s v="Hot"/>
    <n v="20166"/>
    <n v="22687"/>
    <d v="2026-05-20T00:00:00"/>
    <s v="00HSA06000003047"/>
    <x v="3"/>
    <s v="Received at HO"/>
    <m/>
    <d v="2026-05-30T00:00:00"/>
    <x v="1"/>
    <m/>
    <m/>
    <m/>
  </r>
  <r>
    <d v="2026-05-20T00:00:00"/>
    <s v="Sameer"/>
    <s v="Hyderabad"/>
    <x v="156"/>
    <s v="F2F"/>
    <s v="Aggregator"/>
    <x v="2"/>
    <s v="Bulk Order"/>
    <s v="New"/>
    <s v="F&amp;B Aggregator"/>
    <s v="Srinivas"/>
    <m/>
    <s v="Bulk order on 20-05-2026"/>
    <s v="Closed(C4)"/>
    <m/>
    <m/>
    <m/>
    <m/>
    <s v="Hot"/>
    <n v="500000"/>
    <n v="420000"/>
    <d v="2026-05-20T00:00:00"/>
    <s v="CIFSPL20052026"/>
    <x v="26"/>
    <s v="Received at HO"/>
    <m/>
    <m/>
    <x v="1"/>
    <m/>
    <s v=""/>
    <s v="Takeaway-Bulk-Insti"/>
  </r>
  <r>
    <d v="2026-05-20T00:00:00"/>
    <s v="Pradeep"/>
    <s v="Hyderabad"/>
    <x v="166"/>
    <s v="F2F"/>
    <s v="Corporate"/>
    <x v="5"/>
    <s v="Bulk Order"/>
    <s v="New"/>
    <s v="Realestate"/>
    <s v="Kiran"/>
    <m/>
    <s v="Delivery from Shamshabad 5-9 April 2026"/>
    <s v="Closed(C4)"/>
    <m/>
    <m/>
    <s v=""/>
    <s v=""/>
    <s v="Hot"/>
    <n v="300000"/>
    <n v="139998"/>
    <d v="2026-05-09T00:00:00"/>
    <s v="00SSBTA000150012"/>
    <x v="26"/>
    <s v="Received at HO"/>
    <m/>
    <m/>
    <x v="1"/>
    <m/>
    <s v=""/>
    <s v="Takeaway-Bulk-Insti"/>
  </r>
  <r>
    <d v="2026-05-21T00:00:00"/>
    <s v="Pradeep"/>
    <s v="Hyderabad"/>
    <x v="148"/>
    <s v="F2F"/>
    <s v="Corporate"/>
    <x v="5"/>
    <s v="Bulk Order"/>
    <s v="New"/>
    <s v="Government"/>
    <s v="Shashidar Reddy"/>
    <m/>
    <s v="Business Closed"/>
    <s v="Closed(C4)"/>
    <m/>
    <m/>
    <s v=""/>
    <s v=""/>
    <s v="Hot"/>
    <n v="50000"/>
    <n v="12780"/>
    <d v="2026-05-21T00:00:00"/>
    <s v="COKKPTB000485574"/>
    <x v="17"/>
    <s v="Received at Store"/>
    <m/>
    <d v="2026-05-21T00:00:00"/>
    <x v="1"/>
    <m/>
    <s v=""/>
    <s v="Takeaway-Bulk-Insti"/>
  </r>
  <r>
    <d v="2026-05-21T00:00:00"/>
    <s v="Pradeep"/>
    <s v="Hyderabad"/>
    <x v="167"/>
    <s v="F2F"/>
    <s v="Corporate"/>
    <x v="5"/>
    <s v="Bulk Order"/>
    <s v="New"/>
    <s v="Healthcare"/>
    <s v="Azam Khan"/>
    <m/>
    <s v="Proposed for Bulk order and Biryani Kits for Gifting"/>
    <s v="Cancelled"/>
    <m/>
    <m/>
    <n v="151"/>
    <s v=""/>
    <s v="Cold"/>
    <n v="50000"/>
    <m/>
    <m/>
    <m/>
    <x v="5"/>
    <m/>
    <m/>
    <m/>
    <x v="1"/>
    <m/>
    <s v=""/>
    <m/>
  </r>
  <r>
    <d v="2026-05-21T00:00:00"/>
    <s v="Pradeep"/>
    <s v="Hyderabad"/>
    <x v="168"/>
    <s v="F2F"/>
    <s v="Corporate"/>
    <x v="5"/>
    <s v="Bulk Order"/>
    <s v="New"/>
    <s v="Healthcare"/>
    <s v="Ravi"/>
    <m/>
    <s v="Proposed for Bulk order and Biryani Kits for Gifting"/>
    <s v="Cancelled"/>
    <m/>
    <m/>
    <n v="151"/>
    <s v=""/>
    <s v="Cold"/>
    <n v="30000"/>
    <m/>
    <m/>
    <m/>
    <x v="5"/>
    <m/>
    <m/>
    <m/>
    <x v="1"/>
    <m/>
    <s v=""/>
    <m/>
  </r>
  <r>
    <d v="2026-05-21T00:00:00"/>
    <s v="Bashab"/>
    <s v="Bangalore"/>
    <x v="66"/>
    <s v="Call"/>
    <s v="Aggregator"/>
    <x v="3"/>
    <s v="Pop Up Counter"/>
    <s v="Repeat"/>
    <s v="It"/>
    <s v="Navya"/>
    <m/>
    <s v="Business Closed"/>
    <s v="Closed(C4)"/>
    <m/>
    <m/>
    <s v=""/>
    <s v=""/>
    <s v="Hot"/>
    <n v="30000"/>
    <n v="28815"/>
    <d v="2026-05-21T00:00:00"/>
    <s v="00MRA08000005743"/>
    <x v="11"/>
    <s v="Received at HO"/>
    <m/>
    <m/>
    <x v="1"/>
    <m/>
    <s v=""/>
    <m/>
  </r>
  <r>
    <d v="2026-05-21T00:00:00"/>
    <s v="Bashab"/>
    <s v="Bangalore"/>
    <x v="40"/>
    <s v="F2F"/>
    <s v="Corporate"/>
    <x v="5"/>
    <s v="Popup Counter"/>
    <s v="Repeat"/>
    <s v="Retail"/>
    <s v="Srinivas"/>
    <m/>
    <s v="Business Closed"/>
    <s v="Closed(C4)"/>
    <m/>
    <m/>
    <m/>
    <s v=""/>
    <s v="Hot"/>
    <n v="20000"/>
    <n v="22114"/>
    <d v="2026-05-21T00:00:00"/>
    <s v="00WFC01000027318"/>
    <x v="7"/>
    <s v="Received at Store"/>
    <m/>
    <d v="2026-05-21T00:00:00"/>
    <x v="1"/>
    <m/>
    <s v=""/>
    <m/>
  </r>
  <r>
    <d v="2026-05-21T00:00:00"/>
    <s v="Sameer"/>
    <s v="Hyderabad"/>
    <x v="20"/>
    <s v="Call"/>
    <s v="Aggregator"/>
    <x v="1"/>
    <s v="Bulk Order"/>
    <s v="New"/>
    <s v="F&amp;B Aggregator"/>
    <s v="Sekhar"/>
    <m/>
    <s v="Business Closed"/>
    <s v="Closed(C4)"/>
    <m/>
    <m/>
    <s v=""/>
    <s v=""/>
    <s v="Hot"/>
    <n v="50000"/>
    <n v="66388"/>
    <d v="2026-05-21T00:00:00"/>
    <s v="00GCBTA0002897"/>
    <x v="2"/>
    <s v="Received at HO"/>
    <m/>
    <m/>
    <x v="1"/>
    <m/>
    <s v=""/>
    <s v="Takeaway-Bulk-Insti"/>
  </r>
  <r>
    <d v="2026-05-21T00:00:00"/>
    <s v="Bashab"/>
    <s v="Bangalore"/>
    <x v="118"/>
    <s v="F2F"/>
    <s v="Corporate"/>
    <x v="5"/>
    <s v="Bulk Order"/>
    <s v="New"/>
    <s v="Retail"/>
    <s v="Gagan sagar"/>
    <m/>
    <s v="Looking for 400+ Biryani next week."/>
    <s v="Follow-up( C1 )"/>
    <d v="2026-09-25T00:00:00"/>
    <s v="F2F"/>
    <n v="151"/>
    <s v="Yes"/>
    <s v="Hot"/>
    <m/>
    <m/>
    <m/>
    <m/>
    <x v="5"/>
    <m/>
    <m/>
    <m/>
    <x v="1"/>
    <m/>
    <s v=""/>
    <m/>
  </r>
  <r>
    <d v="2026-05-22T00:00:00"/>
    <s v="Sameer"/>
    <s v="Hyderabad"/>
    <x v="20"/>
    <s v="Call"/>
    <s v="Aggregator"/>
    <x v="1"/>
    <s v="Pop Up Counter"/>
    <s v="Repeat"/>
    <s v="F&amp;B Aggregator"/>
    <s v="Sekhar"/>
    <m/>
    <s v="Business Closed"/>
    <s v="Closed(C4)"/>
    <m/>
    <m/>
    <s v=""/>
    <s v=""/>
    <s v="Hot"/>
    <n v="60000"/>
    <n v="71998"/>
    <d v="2026-05-22T00:00:00"/>
    <s v="00GCBTA000289798"/>
    <x v="2"/>
    <s v="Received at HO"/>
    <m/>
    <m/>
    <x v="1"/>
    <m/>
    <s v=""/>
    <s v="Takeaway-Bulk-Insti"/>
  </r>
  <r>
    <d v="2026-05-22T00:00:00"/>
    <s v="Pradeep"/>
    <s v="Hyderabad"/>
    <x v="169"/>
    <s v="F2F"/>
    <s v="Corporate"/>
    <x v="5"/>
    <s v="Bulk Order"/>
    <s v="New"/>
    <s v="Manufacturing"/>
    <s v="Chari"/>
    <m/>
    <s v="Proposed for Bulk order and Biryani Kits for Gifting"/>
    <s v="Cancelled"/>
    <d v="2026-08-17T00:00:00"/>
    <s v="Call"/>
    <n v="150"/>
    <s v=""/>
    <s v="Cold"/>
    <n v="40000"/>
    <m/>
    <m/>
    <m/>
    <x v="5"/>
    <m/>
    <m/>
    <m/>
    <x v="1"/>
    <m/>
    <s v=""/>
    <m/>
  </r>
  <r>
    <d v="2026-05-22T00:00:00"/>
    <s v="Sameer"/>
    <s v="Hyderabad"/>
    <x v="61"/>
    <s v="F2F"/>
    <s v="Bulk Order"/>
    <x v="5"/>
    <s v="Bulk Order"/>
    <s v="New"/>
    <s v="Family Group"/>
    <s v="Srinivas"/>
    <m/>
    <s v="Bulk order for 50 pax"/>
    <s v="Cancelled"/>
    <m/>
    <m/>
    <m/>
    <s v=""/>
    <s v="Cold"/>
    <n v="15000"/>
    <m/>
    <m/>
    <m/>
    <x v="5"/>
    <m/>
    <m/>
    <m/>
    <x v="1"/>
    <m/>
    <s v=""/>
    <m/>
  </r>
  <r>
    <d v="2026-05-22T00:00:00"/>
    <s v="Pradeep"/>
    <s v="Hyderabad"/>
    <x v="170"/>
    <s v="F2F"/>
    <s v="Corporate"/>
    <x v="5"/>
    <s v="Bulk Order"/>
    <s v="New"/>
    <s v="Healthcare"/>
    <s v="Reddy"/>
    <m/>
    <s v="Proposed for Bulk order and Biryani Kits for Gifting"/>
    <s v="Cancelled"/>
    <m/>
    <m/>
    <m/>
    <s v=""/>
    <s v="Cold"/>
    <n v="50000"/>
    <m/>
    <m/>
    <m/>
    <x v="5"/>
    <m/>
    <m/>
    <m/>
    <x v="1"/>
    <m/>
    <s v=""/>
    <m/>
  </r>
  <r>
    <d v="2026-05-22T00:00:00"/>
    <s v="Bashab"/>
    <s v="Bangalore"/>
    <x v="37"/>
    <s v="Call"/>
    <s v="Aggregator"/>
    <x v="1"/>
    <s v="Pop Up Counter"/>
    <s v="Repeat"/>
    <s v="It"/>
    <s v="Harish"/>
    <m/>
    <s v="Pop-up counter business closed"/>
    <s v="Closed(C4)"/>
    <m/>
    <m/>
    <s v=""/>
    <s v=""/>
    <s v="Hot"/>
    <n v="15000"/>
    <n v="13870"/>
    <d v="2026-05-22T00:00:00"/>
    <m/>
    <x v="12"/>
    <s v="Received at HO"/>
    <m/>
    <m/>
    <x v="1"/>
    <m/>
    <s v=""/>
    <m/>
  </r>
  <r>
    <d v="2026-05-22T00:00:00"/>
    <s v="Bashab"/>
    <s v="Bangalore"/>
    <x v="41"/>
    <s v="Call"/>
    <s v="Aggregator"/>
    <x v="1"/>
    <s v="Pop Up Counter"/>
    <s v="Repeat"/>
    <s v="It"/>
    <s v="Harish"/>
    <m/>
    <s v="Pop-up counter business closed"/>
    <s v="Closed(C4)"/>
    <m/>
    <m/>
    <s v=""/>
    <s v=""/>
    <s v="Hot"/>
    <n v="30000"/>
    <n v="27680"/>
    <d v="2026-05-22T00:00:00"/>
    <m/>
    <x v="12"/>
    <s v="Received at HO"/>
    <m/>
    <m/>
    <x v="1"/>
    <m/>
    <s v=""/>
    <m/>
  </r>
  <r>
    <d v="2026-05-22T00:00:00"/>
    <s v="Bashab"/>
    <s v="Bangalore"/>
    <x v="28"/>
    <s v="F2F"/>
    <s v="Aggregator"/>
    <x v="3"/>
    <s v="Bulk Order"/>
    <s v="Repeat"/>
    <s v="F&amp;B Aggregator"/>
    <s v="Navya"/>
    <m/>
    <s v="Business Confirmed"/>
    <s v="Confirmed( C3 )"/>
    <m/>
    <m/>
    <m/>
    <s v=""/>
    <s v="Hot"/>
    <m/>
    <m/>
    <m/>
    <m/>
    <x v="5"/>
    <m/>
    <m/>
    <m/>
    <x v="1"/>
    <m/>
    <s v=""/>
    <m/>
  </r>
  <r>
    <d v="2026-05-23T00:00:00"/>
    <s v="Bashab"/>
    <s v="Bangalore"/>
    <x v="98"/>
    <s v="F2F"/>
    <s v="Corporate"/>
    <x v="5"/>
    <s v="Bulk Order"/>
    <s v="New"/>
    <s v="Banking Finance &amp; Insurance"/>
    <s v="Rohit"/>
    <m/>
    <s v="Business Closed"/>
    <s v="Closed(C4)"/>
    <m/>
    <m/>
    <m/>
    <m/>
    <s v="Hot"/>
    <n v="45000"/>
    <n v="41040"/>
    <d v="2026-05-22T00:00:00"/>
    <m/>
    <x v="3"/>
    <s v="Received at HO"/>
    <m/>
    <m/>
    <x v="1"/>
    <m/>
    <m/>
    <m/>
  </r>
  <r>
    <d v="2026-05-24T00:00:00"/>
    <s v="Bashab"/>
    <s v="Bangalore"/>
    <x v="98"/>
    <s v="F2F"/>
    <s v="Corporate"/>
    <x v="5"/>
    <s v="Bulk Order"/>
    <s v="New"/>
    <s v="Banking Finance &amp; Insurance"/>
    <s v="Rohit"/>
    <m/>
    <s v="Business Closed"/>
    <s v="Closed(C4)"/>
    <m/>
    <m/>
    <m/>
    <m/>
    <s v="Hot"/>
    <n v="35910"/>
    <n v="35910"/>
    <d v="2026-05-23T00:00:00"/>
    <m/>
    <x v="3"/>
    <s v="Received at HO"/>
    <m/>
    <m/>
    <x v="1"/>
    <m/>
    <m/>
    <m/>
  </r>
  <r>
    <d v="2026-05-24T00:00:00"/>
    <s v="Pradeep"/>
    <s v="Hyderabad"/>
    <x v="61"/>
    <s v="Call"/>
    <s v="Bulk Order"/>
    <x v="5"/>
    <s v="Bulk Order"/>
    <s v="New"/>
    <s v="Family Group"/>
    <s v="Sam"/>
    <m/>
    <s v="Bulk order Business Closed"/>
    <s v="Closed(C4)"/>
    <m/>
    <m/>
    <m/>
    <m/>
    <s v="Hot"/>
    <n v="5000"/>
    <n v="1952"/>
    <d v="2026-04-24T00:00:00"/>
    <s v="00STA02000020177"/>
    <x v="14"/>
    <s v="Received at Store"/>
    <m/>
    <m/>
    <x v="0"/>
    <m/>
    <m/>
    <m/>
  </r>
  <r>
    <d v="2026-05-25T00:00:00"/>
    <s v="Bashab"/>
    <s v="Bangalore"/>
    <x v="28"/>
    <s v="F2F"/>
    <s v="Aggregator"/>
    <x v="3"/>
    <s v="Bulk Order"/>
    <s v="Repeat"/>
    <s v="F&amp;B Aggregator"/>
    <s v="Navya"/>
    <m/>
    <s v="Business Confirmed"/>
    <s v="Closed(C4)"/>
    <m/>
    <m/>
    <s v=""/>
    <s v=""/>
    <s v="Hot"/>
    <n v="38000"/>
    <n v="40535"/>
    <d v="2026-05-25T00:00:00"/>
    <m/>
    <x v="8"/>
    <s v="Received at HO"/>
    <m/>
    <m/>
    <x v="1"/>
    <m/>
    <s v=""/>
    <m/>
  </r>
  <r>
    <d v="2026-05-25T00:00:00"/>
    <s v="Bashab"/>
    <s v="Bangalore"/>
    <x v="131"/>
    <s v="F2F"/>
    <s v="Bulk Order"/>
    <x v="5"/>
    <s v="Bulk Order"/>
    <s v="New"/>
    <s v="Healthcare"/>
    <s v="Pallavi"/>
    <m/>
    <s v="Follow-up for requirements."/>
    <s v="Follow-up( C1 )"/>
    <d v="2026-09-25T00:00:00"/>
    <s v="F2F"/>
    <n v="147"/>
    <s v="Yes"/>
    <s v="Cold"/>
    <m/>
    <m/>
    <m/>
    <m/>
    <x v="5"/>
    <m/>
    <m/>
    <m/>
    <x v="1"/>
    <m/>
    <s v=""/>
    <m/>
  </r>
  <r>
    <d v="2026-05-25T00:00:00"/>
    <s v="Bashab"/>
    <s v="Bangalore"/>
    <x v="140"/>
    <s v="F2F"/>
    <s v="Corporate"/>
    <x v="5"/>
    <s v="Bulk Order"/>
    <s v="New"/>
    <s v="It"/>
    <s v="Kavitha"/>
    <m/>
    <s v="Follow-up for requirements."/>
    <s v="Follow-up( C1 )"/>
    <d v="2026-09-25T00:00:00"/>
    <s v="F2F"/>
    <n v="147"/>
    <s v="Yes"/>
    <s v="Cold"/>
    <m/>
    <m/>
    <m/>
    <m/>
    <x v="5"/>
    <m/>
    <m/>
    <m/>
    <x v="1"/>
    <m/>
    <s v=""/>
    <m/>
  </r>
  <r>
    <d v="2026-05-25T00:00:00"/>
    <s v="Sameer"/>
    <s v="Hyderabad"/>
    <x v="20"/>
    <s v="Call"/>
    <s v="Aggregator"/>
    <x v="1"/>
    <s v="Bulk Order"/>
    <s v="Repeat"/>
    <s v="F&amp;B Aggregator"/>
    <s v="Sekhar"/>
    <m/>
    <s v="Business Closed"/>
    <s v="Closed(C4)"/>
    <m/>
    <m/>
    <s v=""/>
    <s v=""/>
    <s v="Hot"/>
    <n v="40000"/>
    <n v="49150"/>
    <d v="2026-05-25T00:00:00"/>
    <m/>
    <x v="2"/>
    <s v="Received at HO"/>
    <m/>
    <m/>
    <x v="1"/>
    <m/>
    <s v=""/>
    <s v="Takeaway-Bulk-Insti"/>
  </r>
  <r>
    <d v="2026-05-25T00:00:00"/>
    <s v="Pradeep"/>
    <s v="Hyderabad"/>
    <x v="156"/>
    <s v="F2F"/>
    <s v="Aggregator"/>
    <x v="2"/>
    <s v="Bulk Order"/>
    <s v="New"/>
    <s v="F&amp;B Aggregator"/>
    <s v="Rahul"/>
    <m/>
    <s v="Meeting with Head Chef  &amp; team for  Sensory and  then discussed for new Business 2000 Kgs of Chicken Biryani."/>
    <s v="Closed(C4)"/>
    <m/>
    <m/>
    <s v=""/>
    <s v=""/>
    <s v="Hot"/>
    <n v="0"/>
    <n v="0"/>
    <m/>
    <m/>
    <x v="5"/>
    <m/>
    <m/>
    <m/>
    <x v="1"/>
    <m/>
    <s v=""/>
    <m/>
  </r>
  <r>
    <d v="2026-05-25T00:00:00"/>
    <s v="Pradeep"/>
    <s v="Hyderabad"/>
    <x v="171"/>
    <s v="F2F"/>
    <s v="Corporate"/>
    <x v="5"/>
    <s v="Bulk Order"/>
    <s v="New"/>
    <s v="Banking Finance &amp; Insurance"/>
    <s v="Harsha"/>
    <m/>
    <s v="Proposed for Bulk order and Biryani Kits for Gifting"/>
    <s v="Cancelled"/>
    <m/>
    <m/>
    <m/>
    <m/>
    <s v="Cold"/>
    <n v="50000"/>
    <m/>
    <m/>
    <m/>
    <x v="5"/>
    <m/>
    <m/>
    <m/>
    <x v="1"/>
    <m/>
    <m/>
    <m/>
  </r>
  <r>
    <d v="2026-05-26T00:00:00"/>
    <s v="Bashab"/>
    <s v="Bangalore"/>
    <x v="172"/>
    <s v="F2F"/>
    <s v="Corporate"/>
    <x v="5"/>
    <s v="Bulk Order"/>
    <s v="New"/>
    <s v="It"/>
    <s v="Mohamad ashif"/>
    <m/>
    <s v="Follow-up for requirements."/>
    <s v="Follow-up( C1 )"/>
    <d v="2026-09-18T00:00:00"/>
    <s v="F2F"/>
    <n v="146"/>
    <s v="Yes"/>
    <s v="Cold"/>
    <m/>
    <m/>
    <m/>
    <m/>
    <x v="5"/>
    <m/>
    <m/>
    <m/>
    <x v="1"/>
    <m/>
    <s v=""/>
    <m/>
  </r>
  <r>
    <d v="2026-05-26T00:00:00"/>
    <s v="Bashab"/>
    <s v="Bangalore"/>
    <x v="119"/>
    <s v="F2F"/>
    <s v="Corporate"/>
    <x v="5"/>
    <s v="Bulk Order"/>
    <s v="New"/>
    <s v="It"/>
    <s v="Shaik ali"/>
    <m/>
    <s v="Follow-up for requirements."/>
    <s v="Follow-up( C1 )"/>
    <d v="2026-09-18T00:00:00"/>
    <s v="F2F"/>
    <n v="146"/>
    <s v="Yes"/>
    <s v="Warm"/>
    <m/>
    <m/>
    <m/>
    <m/>
    <x v="5"/>
    <m/>
    <m/>
    <m/>
    <x v="1"/>
    <m/>
    <s v=""/>
    <m/>
  </r>
  <r>
    <d v="2026-05-26T00:00:00"/>
    <s v="Pradeep"/>
    <s v="Hyderabad"/>
    <x v="173"/>
    <s v="F2F"/>
    <s v="Corporate"/>
    <x v="5"/>
    <s v="Bulk Order"/>
    <s v="New"/>
    <s v="It"/>
    <s v="Sri"/>
    <m/>
    <s v="Proposed for Bulk order and Biryani Kits for Gifting"/>
    <s v="Cancelled"/>
    <m/>
    <m/>
    <m/>
    <m/>
    <s v="Cold"/>
    <n v="50000"/>
    <m/>
    <m/>
    <m/>
    <x v="5"/>
    <m/>
    <m/>
    <m/>
    <x v="1"/>
    <m/>
    <m/>
    <m/>
  </r>
  <r>
    <d v="2026-05-26T00:00:00"/>
    <s v="Bashab"/>
    <s v="Bangalore"/>
    <x v="174"/>
    <s v="Call"/>
    <s v="Aggregator"/>
    <x v="3"/>
    <s v="Pop Up Counter"/>
    <s v="New"/>
    <s v="It"/>
    <s v="Navya"/>
    <m/>
    <s v="Business Closed"/>
    <s v="Closed(C4)"/>
    <m/>
    <m/>
    <s v=""/>
    <s v=""/>
    <s v="Hot"/>
    <n v="15000"/>
    <n v="15141"/>
    <d v="2026-05-26T00:00:00"/>
    <m/>
    <x v="11"/>
    <s v="Received at HO"/>
    <m/>
    <m/>
    <x v="1"/>
    <m/>
    <s v=""/>
    <m/>
  </r>
  <r>
    <d v="2026-05-26T00:00:00"/>
    <s v="Pradeep"/>
    <s v="Hyderabad"/>
    <x v="175"/>
    <s v="F2F"/>
    <s v="Aggregator"/>
    <x v="1"/>
    <s v="Bulk Order"/>
    <s v="New"/>
    <s v="F&amp;B Aggregator"/>
    <s v="Priyansh"/>
    <m/>
    <s v="Bulk Delivery at HDC-3 from Lingampally"/>
    <s v="Closed(C4)"/>
    <m/>
    <m/>
    <s v=""/>
    <s v=""/>
    <s v="Hot"/>
    <n v="25000"/>
    <n v="10670"/>
    <d v="2026-05-26T00:00:00"/>
    <s v="00LPDE1000047157"/>
    <x v="16"/>
    <s v="Received at HO"/>
    <m/>
    <m/>
    <x v="1"/>
    <m/>
    <s v=""/>
    <s v="Takeaway-Bulk-Insti"/>
  </r>
  <r>
    <d v="2026-05-26T00:00:00"/>
    <s v="Pradeep"/>
    <s v="Hyderabad"/>
    <x v="156"/>
    <s v="F2F"/>
    <s v="Aggregator"/>
    <x v="2"/>
    <s v="Bulk Order"/>
    <s v="New"/>
    <s v="F&amp;B Aggregator"/>
    <s v="Rahul"/>
    <m/>
    <s v="New Requirement apart from 2000 kgs of Chicken Biryani additional 500 Kg required for wednesday order. Senosry done along with our team members cleared their doubts ."/>
    <s v="Closed(C4)"/>
    <m/>
    <m/>
    <s v=""/>
    <s v=""/>
    <s v="Hot"/>
    <n v="0"/>
    <n v="0"/>
    <m/>
    <m/>
    <x v="5"/>
    <m/>
    <m/>
    <m/>
    <x v="1"/>
    <m/>
    <s v=""/>
    <m/>
  </r>
  <r>
    <d v="2026-05-26T00:00:00"/>
    <s v="Sameer"/>
    <s v="Hyderabad"/>
    <x v="20"/>
    <s v="Call"/>
    <s v="Aggregator"/>
    <x v="1"/>
    <s v="Bulk Order"/>
    <s v="New"/>
    <s v="F&amp;B Aggregator"/>
    <s v="Sekhar"/>
    <m/>
    <s v="Business Closed"/>
    <s v="Closed(C4)"/>
    <m/>
    <m/>
    <s v=""/>
    <s v=""/>
    <s v="Hot"/>
    <n v="50000"/>
    <n v="54730"/>
    <d v="2026-05-26T00:00:00"/>
    <m/>
    <x v="2"/>
    <s v="Received at HO"/>
    <m/>
    <m/>
    <x v="1"/>
    <m/>
    <s v=""/>
    <s v="Takeaway-Bulk-Insti"/>
  </r>
  <r>
    <d v="2026-05-26T00:00:00"/>
    <s v="Pradeep"/>
    <s v="Hyderabad"/>
    <x v="176"/>
    <s v="Call"/>
    <s v="Corporate"/>
    <x v="5"/>
    <s v="Bulk Order"/>
    <s v="New"/>
    <s v="It"/>
    <s v="Srinivas"/>
    <m/>
    <s v="Proposed for Bulk order and Biryani Kits for Gifting"/>
    <s v="Cancelled"/>
    <d v="2026-08-15T00:00:00"/>
    <s v="Call"/>
    <n v="146"/>
    <s v=""/>
    <s v="Cold"/>
    <n v="50000"/>
    <m/>
    <m/>
    <m/>
    <x v="5"/>
    <m/>
    <m/>
    <m/>
    <x v="1"/>
    <m/>
    <s v=""/>
    <m/>
  </r>
  <r>
    <d v="2026-05-27T00:00:00"/>
    <s v="Bashab"/>
    <s v="Hyderabad"/>
    <x v="156"/>
    <s v="F2F"/>
    <s v="Aggregator"/>
    <x v="2"/>
    <s v="Bulk Order"/>
    <s v="New"/>
    <s v="F&amp;B Aggregator"/>
    <s v="Srinivas"/>
    <m/>
    <s v="Business Closed"/>
    <s v="Closed(C4)"/>
    <m/>
    <m/>
    <s v=""/>
    <s v=""/>
    <s v="Hot"/>
    <n v="420000"/>
    <n v="525000"/>
    <d v="2026-05-27T00:00:00"/>
    <s v="CIFSPL27052026"/>
    <x v="26"/>
    <s v="Received at HO"/>
    <m/>
    <m/>
    <x v="1"/>
    <m/>
    <s v=""/>
    <m/>
  </r>
  <r>
    <d v="2026-05-27T00:00:00"/>
    <s v="Sameer"/>
    <s v="Hyderabad"/>
    <x v="156"/>
    <s v="F2F"/>
    <s v="Aggregator"/>
    <x v="2"/>
    <s v="Bulk Order"/>
    <s v="New"/>
    <s v="F&amp;B Aggregator"/>
    <s v="Rahul"/>
    <m/>
    <s v="Business Closed"/>
    <s v="Closed(C4)"/>
    <m/>
    <m/>
    <s v=""/>
    <s v=""/>
    <s v="Hot"/>
    <n v="300000"/>
    <n v="525000"/>
    <d v="2026-05-27T00:00:00"/>
    <s v="CIFSPL27052026"/>
    <x v="26"/>
    <s v="Received at HO"/>
    <m/>
    <m/>
    <x v="1"/>
    <m/>
    <s v=""/>
    <s v="Takeaway-Bulk-Insti"/>
  </r>
  <r>
    <d v="2026-05-27T00:00:00"/>
    <s v="Bashab"/>
    <s v="Bangalore"/>
    <x v="37"/>
    <s v="Call"/>
    <s v="Aggregator"/>
    <x v="1"/>
    <s v="Pop Up Counter"/>
    <s v="Repeat"/>
    <s v="It"/>
    <s v="Harish"/>
    <m/>
    <s v="Pop-up counter business closed"/>
    <s v="Closed(C4)"/>
    <m/>
    <m/>
    <s v=""/>
    <s v=""/>
    <s v="Hot"/>
    <n v="15000"/>
    <n v="15735"/>
    <d v="2026-05-27T00:00:00"/>
    <m/>
    <x v="12"/>
    <s v="Received at HO"/>
    <m/>
    <m/>
    <x v="1"/>
    <m/>
    <s v=""/>
    <m/>
  </r>
  <r>
    <d v="2026-05-27T00:00:00"/>
    <s v="Bashab"/>
    <s v="Bangalore"/>
    <x v="41"/>
    <s v="Call"/>
    <s v="Aggregator"/>
    <x v="1"/>
    <s v="Pop Up Counter"/>
    <s v="Repeat"/>
    <s v="It"/>
    <s v="Harish"/>
    <m/>
    <s v="Pop-up counter business closed"/>
    <s v="Closed(C4)"/>
    <m/>
    <m/>
    <s v=""/>
    <s v=""/>
    <s v="Hot"/>
    <n v="15000"/>
    <n v="12885"/>
    <d v="2026-05-27T00:00:00"/>
    <m/>
    <x v="12"/>
    <s v="Received at HO"/>
    <m/>
    <m/>
    <x v="1"/>
    <m/>
    <s v=""/>
    <m/>
  </r>
  <r>
    <d v="2026-05-27T00:00:00"/>
    <s v="Bashab"/>
    <s v="Bangalore"/>
    <x v="31"/>
    <s v="Call"/>
    <s v="Corporate"/>
    <x v="5"/>
    <s v="Popup Counter"/>
    <s v="Repeat"/>
    <s v="Retail"/>
    <s v="Mueenudheen"/>
    <m/>
    <s v="Business Closed"/>
    <s v="Closed(C4)"/>
    <m/>
    <m/>
    <s v=""/>
    <s v=""/>
    <s v="Hot"/>
    <n v="15000"/>
    <n v="2065"/>
    <d v="2026-05-27T00:00:00"/>
    <m/>
    <x v="7"/>
    <s v="Received at Store"/>
    <m/>
    <m/>
    <x v="1"/>
    <m/>
    <s v=""/>
    <m/>
  </r>
  <r>
    <d v="2026-05-27T00:00:00"/>
    <s v="Bashab"/>
    <s v="Bangalore"/>
    <x v="163"/>
    <s v="F2F"/>
    <s v="ODC"/>
    <x v="6"/>
    <s v="ODC"/>
    <s v="New"/>
    <s v="Pharma"/>
    <s v="Devendra"/>
    <m/>
    <s v="Business confirmed"/>
    <s v="Closed(C4)"/>
    <m/>
    <m/>
    <s v=""/>
    <s v=""/>
    <s v="Hot"/>
    <n v="40000"/>
    <n v="37550"/>
    <d v="2026-05-27T00:00:00"/>
    <m/>
    <x v="8"/>
    <s v="Received at HO"/>
    <m/>
    <m/>
    <x v="1"/>
    <m/>
    <s v=""/>
    <m/>
  </r>
  <r>
    <d v="2026-05-27T00:00:00"/>
    <s v="Bashab"/>
    <s v="Bangalore"/>
    <x v="16"/>
    <s v="Call"/>
    <s v="Corporate"/>
    <x v="5"/>
    <s v="Bulk Order"/>
    <s v="Repeat"/>
    <s v="Retail"/>
    <s v="Mohammed"/>
    <m/>
    <s v="Business Closed"/>
    <s v="Closed(C4)"/>
    <m/>
    <m/>
    <s v=""/>
    <s v=""/>
    <s v="Hot"/>
    <n v="20000"/>
    <n v="22916"/>
    <d v="2026-05-27T00:00:00"/>
    <s v="00HSA06000003072"/>
    <x v="3"/>
    <s v="Received at HO"/>
    <m/>
    <m/>
    <x v="1"/>
    <m/>
    <s v=""/>
    <m/>
  </r>
  <r>
    <d v="2026-05-27T00:00:00"/>
    <s v="Bashab"/>
    <s v="Bangalore"/>
    <x v="118"/>
    <s v="F2F"/>
    <s v="Corporate"/>
    <x v="5"/>
    <s v="Bulk Order"/>
    <s v="New"/>
    <s v="Retail"/>
    <s v="Gagan sagar"/>
    <m/>
    <s v="Business Closed"/>
    <s v="Closed(C4)"/>
    <m/>
    <m/>
    <s v=""/>
    <s v=""/>
    <s v="Hot"/>
    <n v="50000"/>
    <n v="56569"/>
    <d v="2026-05-27T00:00:00"/>
    <m/>
    <x v="11"/>
    <s v="Received at HO"/>
    <m/>
    <m/>
    <x v="1"/>
    <m/>
    <s v=""/>
    <m/>
  </r>
  <r>
    <d v="2026-05-27T00:00:00"/>
    <s v="Sameer"/>
    <s v="Hyderabad"/>
    <x v="20"/>
    <s v="Call"/>
    <s v="Aggregator"/>
    <x v="1"/>
    <s v="Pop Up Counter"/>
    <s v="New"/>
    <s v="F&amp;B Aggregator"/>
    <s v="Sekhar"/>
    <m/>
    <s v="Business Closed"/>
    <s v="Closed(C4)"/>
    <m/>
    <m/>
    <s v=""/>
    <s v=""/>
    <s v="Hot"/>
    <n v="60000"/>
    <n v="55000"/>
    <d v="2026-05-27T00:00:00"/>
    <m/>
    <x v="2"/>
    <s v="Received at HO"/>
    <m/>
    <m/>
    <x v="1"/>
    <m/>
    <s v=""/>
    <s v="Takeaway-Bulk-Insti"/>
  </r>
  <r>
    <d v="2026-05-27T00:00:00"/>
    <s v="Sameer"/>
    <s v="Bangalore"/>
    <x v="3"/>
    <s v="Call"/>
    <s v="Aggregator"/>
    <x v="2"/>
    <s v="Bulk Order"/>
    <s v="Repeat"/>
    <s v="F&amp;B Agrigator"/>
    <s v="Saad"/>
    <m/>
    <s v="Delivery on 1-4-2026 from HSR"/>
    <s v="Closed(C4)"/>
    <m/>
    <m/>
    <s v=""/>
    <s v=""/>
    <s v="Hot"/>
    <n v="22456"/>
    <n v="22916"/>
    <d v="2026-05-27T00:00:00"/>
    <s v="00HSA06000003072"/>
    <x v="3"/>
    <s v="Received at HO"/>
    <m/>
    <m/>
    <x v="1"/>
    <m/>
    <s v=""/>
    <s v="Takeaway-Bulk-Insti"/>
  </r>
  <r>
    <d v="2026-05-27T00:00:00"/>
    <s v="Pradeep"/>
    <s v="Hyderabad"/>
    <x v="156"/>
    <s v="F2F"/>
    <s v="Aggregator"/>
    <x v="2"/>
    <s v="Bulk Order"/>
    <s v="New"/>
    <s v="F&amp;B Aggregator"/>
    <s v="Sanjay Chuwan"/>
    <m/>
    <s v="Delivered 2500 Kgs Chicken biryani order by morning 9 A.m"/>
    <s v="Closed(C4)"/>
    <m/>
    <m/>
    <s v=""/>
    <s v=""/>
    <s v="Hot"/>
    <n v="0"/>
    <n v="0"/>
    <m/>
    <m/>
    <x v="5"/>
    <m/>
    <m/>
    <m/>
    <x v="1"/>
    <m/>
    <s v=""/>
    <m/>
  </r>
  <r>
    <d v="2026-05-27T00:00:00"/>
    <s v="Pradeep"/>
    <s v="Hyderabad"/>
    <x v="177"/>
    <s v="F2F"/>
    <s v="Corporate"/>
    <x v="5"/>
    <s v="Bulk Order"/>
    <s v="New"/>
    <s v="Events"/>
    <s v="Sai Kiran"/>
    <m/>
    <s v="Proposed for Bulk order and Biryani Kits for Gifting"/>
    <s v="Cancelled"/>
    <m/>
    <m/>
    <n v="145"/>
    <s v=""/>
    <s v="Cold"/>
    <n v="100000"/>
    <m/>
    <m/>
    <m/>
    <x v="5"/>
    <m/>
    <m/>
    <m/>
    <x v="1"/>
    <m/>
    <s v=""/>
    <m/>
  </r>
  <r>
    <d v="2026-05-28T00:00:00"/>
    <s v="Pradeep"/>
    <s v="Hyderabad"/>
    <x v="178"/>
    <s v="F2F"/>
    <s v="Corporate"/>
    <x v="5"/>
    <s v="Bulk Order"/>
    <s v="New"/>
    <s v="It"/>
    <s v="Venkat"/>
    <m/>
    <s v="Proposed for Bulk order and Biryani Kits for Gifting"/>
    <s v="Cancelled"/>
    <m/>
    <m/>
    <n v="144"/>
    <s v=""/>
    <s v="Cold"/>
    <n v="40000"/>
    <m/>
    <m/>
    <m/>
    <x v="5"/>
    <m/>
    <m/>
    <m/>
    <x v="1"/>
    <m/>
    <s v=""/>
    <m/>
  </r>
  <r>
    <d v="2026-05-28T00:00:00"/>
    <s v="Bashab"/>
    <s v="Bangalore"/>
    <x v="163"/>
    <s v="F2F"/>
    <s v="ODC"/>
    <x v="6"/>
    <s v="ODC"/>
    <s v="New"/>
    <s v="Pharma"/>
    <s v="Devendra"/>
    <m/>
    <s v="Business confirmed"/>
    <s v="Closed(C4)"/>
    <m/>
    <m/>
    <s v=""/>
    <s v=""/>
    <s v="Hot"/>
    <n v="50000"/>
    <n v="56450"/>
    <d v="2026-05-28T00:00:00"/>
    <m/>
    <x v="8"/>
    <s v="Received at HO"/>
    <m/>
    <m/>
    <x v="1"/>
    <m/>
    <s v=""/>
    <m/>
  </r>
  <r>
    <d v="2026-05-28T00:00:00"/>
    <s v="Bashab"/>
    <s v="Bangalore"/>
    <x v="118"/>
    <s v="F2F"/>
    <s v="Corporate"/>
    <x v="5"/>
    <s v="Bulk Order"/>
    <s v="New"/>
    <s v="Retail"/>
    <s v="Gagan sagar"/>
    <m/>
    <s v="Business Closed"/>
    <s v="Closed(C4)"/>
    <m/>
    <m/>
    <s v=""/>
    <s v=""/>
    <s v="Hot"/>
    <n v="50000"/>
    <n v="54863"/>
    <d v="2026-05-28T00:00:00"/>
    <m/>
    <x v="11"/>
    <s v="Received at HO"/>
    <m/>
    <m/>
    <x v="1"/>
    <m/>
    <s v=""/>
    <m/>
  </r>
  <r>
    <d v="2026-05-28T00:00:00"/>
    <s v="Bashab"/>
    <s v="Bangalore"/>
    <x v="15"/>
    <s v="F2F"/>
    <s v="Corporate"/>
    <x v="5"/>
    <s v="Popup Counter"/>
    <s v="Repeat"/>
    <s v="Retail"/>
    <s v="James"/>
    <m/>
    <s v="Business Closed"/>
    <s v="Closed(C4)"/>
    <m/>
    <m/>
    <s v=""/>
    <s v=""/>
    <s v="Hot"/>
    <n v="15000"/>
    <n v="13310"/>
    <d v="2026-05-28T00:00:00"/>
    <m/>
    <x v="7"/>
    <s v="Received at HO"/>
    <m/>
    <d v="2026-05-28T00:00:00"/>
    <x v="1"/>
    <m/>
    <s v=""/>
    <m/>
  </r>
  <r>
    <d v="2026-05-28T00:00:00"/>
    <s v="Pradeep"/>
    <s v="Hyderabad"/>
    <x v="179"/>
    <s v="F2F"/>
    <s v="Corporate"/>
    <x v="5"/>
    <s v="Bulk Order"/>
    <s v="New"/>
    <s v="It"/>
    <s v="Venkat "/>
    <m/>
    <s v="Proposed for Bulk order and Biryani Kits for Gifting"/>
    <s v="Cancelled"/>
    <m/>
    <m/>
    <n v="144"/>
    <s v=""/>
    <s v="Warm"/>
    <n v="50000"/>
    <m/>
    <m/>
    <m/>
    <x v="5"/>
    <m/>
    <m/>
    <m/>
    <x v="1"/>
    <m/>
    <s v=""/>
    <m/>
  </r>
  <r>
    <d v="2026-05-28T00:00:00"/>
    <s v="Sameer"/>
    <s v="Hyderabad"/>
    <x v="20"/>
    <s v="Call"/>
    <s v="Aggregator"/>
    <x v="1"/>
    <s v="Pop Up Counter"/>
    <s v="New"/>
    <s v="F&amp;B Aggregator"/>
    <s v="Sekhar"/>
    <m/>
    <s v="Business Closed"/>
    <s v="Closed(C4)"/>
    <m/>
    <m/>
    <s v=""/>
    <s v=""/>
    <s v="Hot"/>
    <n v="60000"/>
    <n v="30720"/>
    <d v="2026-05-28T00:00:00"/>
    <s v="00GCBTA000290033"/>
    <x v="2"/>
    <s v="Received at HO"/>
    <m/>
    <m/>
    <x v="1"/>
    <m/>
    <s v=""/>
    <m/>
  </r>
  <r>
    <d v="2026-05-29T00:00:00"/>
    <s v="Sameer"/>
    <s v="Hyderabad"/>
    <x v="20"/>
    <s v="Call"/>
    <s v="Aggregator"/>
    <x v="1"/>
    <s v="Pop Up Counter"/>
    <s v="Repeat"/>
    <s v="F&amp;B Aggregator"/>
    <s v="Sekhar"/>
    <m/>
    <s v="Business Closed"/>
    <s v="Closed(C4)"/>
    <m/>
    <m/>
    <m/>
    <m/>
    <s v="Hot"/>
    <n v="60000"/>
    <n v="71350"/>
    <d v="2026-05-29T00:00:00"/>
    <s v="00GCBTA000290133"/>
    <x v="2"/>
    <s v="Received at HO"/>
    <m/>
    <m/>
    <x v="1"/>
    <m/>
    <m/>
    <s v="Takeaway-Bulk-Insti"/>
  </r>
  <r>
    <d v="2026-05-29T00:00:00"/>
    <s v="Pradeep"/>
    <s v="Hyderabad"/>
    <x v="180"/>
    <s v="F2F"/>
    <s v="Bulk Order"/>
    <x v="5"/>
    <s v="Bulk Order"/>
    <s v="New"/>
    <s v="Community"/>
    <s v="Srikanth"/>
    <m/>
    <s v="BUlk order Business Closed"/>
    <s v="Closed(C4)"/>
    <m/>
    <m/>
    <s v=""/>
    <s v=""/>
    <s v="Hot"/>
    <n v="10000"/>
    <n v="2790"/>
    <d v="2026-05-29T00:00:00"/>
    <s v="00HCA05000020150"/>
    <x v="4"/>
    <s v="Received at Store"/>
    <m/>
    <d v="2026-05-29T00:00:00"/>
    <x v="1"/>
    <m/>
    <s v=""/>
    <s v="Takeaway-Bulk-Insti"/>
  </r>
  <r>
    <d v="2026-05-29T00:00:00"/>
    <s v="Bashab"/>
    <s v="Bangalore"/>
    <x v="163"/>
    <s v="F2F"/>
    <s v="ODC"/>
    <x v="6"/>
    <s v="ODC"/>
    <s v="New"/>
    <s v="Pharma"/>
    <s v="Devendra"/>
    <m/>
    <s v="Business confirmed"/>
    <s v="Closed(C4)"/>
    <m/>
    <m/>
    <s v=""/>
    <s v=""/>
    <s v="Hot"/>
    <n v="40000"/>
    <n v="35150"/>
    <d v="2026-05-29T00:00:00"/>
    <m/>
    <x v="8"/>
    <s v="Received at HO"/>
    <m/>
    <m/>
    <x v="1"/>
    <m/>
    <s v=""/>
    <m/>
  </r>
  <r>
    <d v="2026-06-01T00:00:00"/>
    <s v="Bashab"/>
    <s v="Bangalore"/>
    <x v="37"/>
    <s v="Call"/>
    <s v="Aggregator"/>
    <x v="1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2"/>
    <m/>
    <s v=""/>
    <m/>
  </r>
  <r>
    <d v="2026-06-01T00:00:00"/>
    <s v="Bashab"/>
    <s v="Bangalore"/>
    <x v="41"/>
    <s v="Call"/>
    <s v="Aggregator"/>
    <x v="1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2"/>
    <m/>
    <s v=""/>
    <m/>
  </r>
  <r>
    <d v="2026-06-01T00:00:00"/>
    <s v="Bashab"/>
    <s v="Bangalore"/>
    <x v="122"/>
    <s v="Call"/>
    <s v="Aggregator"/>
    <x v="1"/>
    <s v="Pop Up Counter"/>
    <s v="Repeat"/>
    <s v="It"/>
    <s v="Naveen"/>
    <m/>
    <s v="Pop-up counter done"/>
    <s v="Confirmed( C3 )"/>
    <m/>
    <m/>
    <m/>
    <s v=""/>
    <s v="Hot"/>
    <m/>
    <m/>
    <m/>
    <m/>
    <x v="11"/>
    <m/>
    <m/>
    <m/>
    <x v="2"/>
    <m/>
    <s v=""/>
    <m/>
  </r>
  <r>
    <d v="2026-06-01T00:00:00"/>
    <s v="Bashab"/>
    <s v="Bangalore"/>
    <x v="40"/>
    <s v="F2F"/>
    <s v="Corporate"/>
    <x v="5"/>
    <s v="Popup Counter"/>
    <s v="Repeat"/>
    <s v="Retail"/>
    <s v="Srinivas"/>
    <m/>
    <s v="Popup Confirmed"/>
    <s v="Confirmed( C3 )"/>
    <m/>
    <m/>
    <m/>
    <s v=""/>
    <s v="Hot"/>
    <m/>
    <m/>
    <m/>
    <m/>
    <x v="7"/>
    <m/>
    <m/>
    <m/>
    <x v="2"/>
    <m/>
    <s v=""/>
    <m/>
  </r>
  <r>
    <d v="2026-06-01T00:00:00"/>
    <s v="Bashab"/>
    <s v="Bangalore"/>
    <x v="18"/>
    <s v="F2F"/>
    <s v="Corporate"/>
    <x v="5"/>
    <s v="Popup Counter"/>
    <s v="Repeat"/>
    <s v="Retail"/>
    <s v="Vinod"/>
    <m/>
    <s v="Popup Confirmed"/>
    <s v="Confirmed( C3 )"/>
    <m/>
    <m/>
    <m/>
    <s v=""/>
    <s v="Hot"/>
    <m/>
    <m/>
    <m/>
    <m/>
    <x v="7"/>
    <m/>
    <m/>
    <m/>
    <x v="2"/>
    <m/>
    <s v=""/>
    <m/>
  </r>
  <r>
    <d v="2026-06-01T00:00:00"/>
    <s v="Bashab"/>
    <s v="Bangalore"/>
    <x v="15"/>
    <s v="F2F"/>
    <s v="Corporate"/>
    <x v="5"/>
    <s v="Popup Counter"/>
    <s v="Repeat"/>
    <s v="Retail"/>
    <s v="James"/>
    <m/>
    <s v="Popup Confirmed"/>
    <s v="Confirmed( C3 )"/>
    <m/>
    <m/>
    <m/>
    <s v=""/>
    <s v="Hot"/>
    <m/>
    <m/>
    <m/>
    <m/>
    <x v="7"/>
    <m/>
    <m/>
    <m/>
    <x v="2"/>
    <m/>
    <s v=""/>
    <m/>
  </r>
  <r>
    <d v="2026-06-01T00:00:00"/>
    <s v="Bashab"/>
    <s v="Bangalore"/>
    <x v="31"/>
    <s v="F2F"/>
    <s v="Corporate"/>
    <x v="5"/>
    <s v="Popup Counter"/>
    <s v="Repeat"/>
    <s v="Retail"/>
    <s v="Mueenudheen"/>
    <m/>
    <s v="Popup Confirmed"/>
    <s v="Confirmed( C3 )"/>
    <m/>
    <m/>
    <m/>
    <s v=""/>
    <s v="Hot"/>
    <m/>
    <m/>
    <m/>
    <m/>
    <x v="7"/>
    <m/>
    <m/>
    <m/>
    <x v="2"/>
    <m/>
    <s v=""/>
    <m/>
  </r>
  <r>
    <d v="2026-06-01T00:00:00"/>
    <s v="Bashab"/>
    <s v="Bangalore"/>
    <x v="123"/>
    <s v="Call"/>
    <s v="Corporate"/>
    <x v="5"/>
    <s v="Pop Up Counter"/>
    <s v="Repeat"/>
    <s v="It"/>
    <s v="Anand"/>
    <m/>
    <s v="Pop-up counter confirmed"/>
    <s v="Confirmed( C3 )"/>
    <m/>
    <m/>
    <m/>
    <s v=""/>
    <s v="Hot"/>
    <m/>
    <m/>
    <m/>
    <m/>
    <x v="21"/>
    <m/>
    <m/>
    <m/>
    <x v="2"/>
    <m/>
    <s v=""/>
    <m/>
  </r>
  <r>
    <d v="2026-06-01T00:00:00"/>
    <s v="Bashab"/>
    <s v="Hyderabad"/>
    <x v="156"/>
    <s v="F2F"/>
    <s v="Aggregator"/>
    <x v="2"/>
    <s v="Bulk Order"/>
    <s v="New"/>
    <s v="F&amp;B Aggregator"/>
    <s v="Srinivas"/>
    <m/>
    <s v="Business Closed"/>
    <s v="Confirmed( C3 )"/>
    <m/>
    <m/>
    <m/>
    <s v=""/>
    <s v="Hot"/>
    <m/>
    <m/>
    <m/>
    <m/>
    <x v="5"/>
    <m/>
    <m/>
    <m/>
    <x v="2"/>
    <m/>
    <s v=""/>
    <m/>
  </r>
  <r>
    <d v="2026-06-01T00:00:00"/>
    <s v="Bashab"/>
    <s v="Bangalore"/>
    <x v="28"/>
    <s v="F2F"/>
    <s v="Aggregator"/>
    <x v="3"/>
    <s v="Bulk Order"/>
    <s v="Repeat"/>
    <s v="F&amp;B Aggregator"/>
    <s v="Navya"/>
    <m/>
    <s v="Business Confirmed"/>
    <s v="Confirmed( C3 )"/>
    <m/>
    <m/>
    <m/>
    <s v=""/>
    <s v="Hot"/>
    <m/>
    <m/>
    <m/>
    <m/>
    <x v="8"/>
    <m/>
    <m/>
    <m/>
    <x v="2"/>
    <m/>
    <s v=""/>
    <m/>
  </r>
  <r>
    <d v="2026-06-01T00:00:00"/>
    <s v="Bashab"/>
    <s v="Bangalore"/>
    <x v="66"/>
    <s v="Call"/>
    <s v="Aggregator"/>
    <x v="3"/>
    <s v="Pop Up Counter"/>
    <s v="Repeat"/>
    <s v="It"/>
    <s v="Navya"/>
    <m/>
    <s v="Popup Confirmed"/>
    <s v="Confirmed( C3 )"/>
    <m/>
    <m/>
    <m/>
    <s v=""/>
    <s v="Hot"/>
    <m/>
    <m/>
    <m/>
    <m/>
    <x v="11"/>
    <m/>
    <m/>
    <m/>
    <x v="2"/>
    <m/>
    <s v=""/>
    <m/>
  </r>
  <r>
    <d v="2026-06-01T00:00:00"/>
    <s v="Bashab"/>
    <s v="Bangalore"/>
    <x v="181"/>
    <s v="F2F"/>
    <s v="Corporate"/>
    <x v="5"/>
    <s v="Bulk Order"/>
    <s v="New"/>
    <s v="It"/>
    <s v="Pramodh"/>
    <m/>
    <s v="Confirmed bulk order"/>
    <s v="Confirmed( C3 )"/>
    <m/>
    <m/>
    <m/>
    <s v=""/>
    <s v="Hot"/>
    <m/>
    <m/>
    <m/>
    <m/>
    <x v="13"/>
    <m/>
    <m/>
    <m/>
    <x v="2"/>
    <m/>
    <s v=""/>
    <m/>
  </r>
  <r>
    <d v="2026-06-01T00:00:00"/>
    <s v="Pradeep"/>
    <s v="Hyderabad"/>
    <x v="182"/>
    <s v="F2F"/>
    <s v="Corporate"/>
    <x v="5"/>
    <s v="Bulk Order"/>
    <s v="New"/>
    <s v="F&amp;B Aggregator"/>
    <s v="Suman"/>
    <m/>
    <s v="Has a Bulk order requirement , and requested for a sensory on wednesday i,e on 03/06/2026 1 veg &amp; 1 Chicken Biryani further order confirm."/>
    <s v="Confirmed( C3 )"/>
    <m/>
    <m/>
    <n v="140"/>
    <s v=""/>
    <s v="Warm"/>
    <n v="0"/>
    <n v="0"/>
    <m/>
    <m/>
    <x v="5"/>
    <m/>
    <m/>
    <m/>
    <x v="2"/>
    <m/>
    <s v=""/>
    <m/>
  </r>
  <r>
    <d v="2026-06-01T00:00:00"/>
    <s v="Pradeep"/>
    <s v="Hyderabad"/>
    <x v="183"/>
    <s v="F2F"/>
    <s v="Corporate"/>
    <x v="5"/>
    <s v="Bulk Order"/>
    <s v="New"/>
    <s v="Entertainment"/>
    <s v="Ravi Kumar"/>
    <m/>
    <s v="Has a bulk order requiremnt for 100 pax"/>
    <s v="Cancelled"/>
    <m/>
    <m/>
    <n v="140"/>
    <s v=""/>
    <s v="Warm"/>
    <n v="60000"/>
    <m/>
    <m/>
    <m/>
    <x v="5"/>
    <m/>
    <m/>
    <m/>
    <x v="2"/>
    <m/>
    <s v=""/>
    <m/>
  </r>
  <r>
    <d v="2026-06-01T00:00:00"/>
    <s v="Pradeep"/>
    <s v="Hyderabad"/>
    <x v="164"/>
    <s v="F2F"/>
    <s v="Corporate"/>
    <x v="5"/>
    <s v="Bulk Order"/>
    <s v="New"/>
    <s v="F&amp;B Aggregator"/>
    <s v="Ajay"/>
    <m/>
    <s v="Proposed for Bulk order and Biryani Kits for Gifting"/>
    <s v="Cancelled"/>
    <m/>
    <m/>
    <n v="140"/>
    <s v=""/>
    <s v="Cold"/>
    <n v="50000"/>
    <m/>
    <m/>
    <m/>
    <x v="5"/>
    <m/>
    <m/>
    <m/>
    <x v="2"/>
    <m/>
    <s v=""/>
    <m/>
  </r>
  <r>
    <d v="2026-06-01T00:00:00"/>
    <s v="Pradeep"/>
    <s v="Hyderabad"/>
    <x v="184"/>
    <s v="F2F"/>
    <s v="Corporate"/>
    <x v="5"/>
    <s v="Bulk Order"/>
    <s v="New"/>
    <s v="F&amp;B Aggregator"/>
    <s v="Ram"/>
    <m/>
    <s v="Proposed for Bulk order and Biryani Kits for Gifting"/>
    <s v="Cancelled"/>
    <m/>
    <m/>
    <n v="140"/>
    <s v=""/>
    <s v="Warm"/>
    <n v="70000"/>
    <m/>
    <m/>
    <m/>
    <x v="5"/>
    <m/>
    <m/>
    <m/>
    <x v="2"/>
    <m/>
    <s v=""/>
    <m/>
  </r>
  <r>
    <d v="2026-06-01T00:00:00"/>
    <s v="Bashab"/>
    <s v="Bangalore"/>
    <x v="185"/>
    <s v="F2F"/>
    <s v="Corporate"/>
    <x v="5"/>
    <s v="Bulk Order"/>
    <s v="New"/>
    <s v="It"/>
    <s v="Subhi"/>
    <m/>
    <s v="Confirmed bulk order"/>
    <s v="Introduction( C0 )"/>
    <m/>
    <m/>
    <n v="140"/>
    <s v=""/>
    <s v="Hot"/>
    <m/>
    <m/>
    <m/>
    <m/>
    <x v="5"/>
    <m/>
    <m/>
    <m/>
    <x v="2"/>
    <m/>
    <s v=""/>
    <m/>
  </r>
  <r>
    <d v="2026-06-01T00:00:00"/>
    <s v="Sameer"/>
    <s v="Hyderabad"/>
    <x v="156"/>
    <s v="F2F"/>
    <s v="Aggregator"/>
    <x v="2"/>
    <s v="Bulk Order"/>
    <s v="New"/>
    <s v="F&amp;B Aggregator"/>
    <s v="Subhadeep/Srinivas"/>
    <m/>
    <s v="Confirmed  for 3000 kgs chicken biryani on wenesday."/>
    <s v="Closed(C4)"/>
    <m/>
    <m/>
    <s v=""/>
    <s v=""/>
    <s v="Hot"/>
    <n v="0"/>
    <n v="0"/>
    <m/>
    <m/>
    <x v="5"/>
    <m/>
    <m/>
    <m/>
    <x v="2"/>
    <m/>
    <s v=""/>
    <m/>
  </r>
  <r>
    <d v="2026-06-01T00:00:00"/>
    <s v="Sameer"/>
    <s v="Hyderabad"/>
    <x v="20"/>
    <s v="Call"/>
    <s v="Aggregator"/>
    <x v="1"/>
    <s v="Pop Up Counter"/>
    <s v="Repeat"/>
    <s v="F&amp;B Aggregator"/>
    <s v="Sekhar"/>
    <m/>
    <s v="Business Closed"/>
    <s v="Closed(C4)"/>
    <m/>
    <m/>
    <m/>
    <m/>
    <s v="Hot"/>
    <n v="35000"/>
    <n v="18350"/>
    <d v="2026-06-01T00:00:00"/>
    <m/>
    <x v="17"/>
    <s v="Received at HO"/>
    <m/>
    <m/>
    <x v="2"/>
    <m/>
    <s v=""/>
    <m/>
  </r>
  <r>
    <d v="2026-06-02T00:00:00"/>
    <s v="Bashab"/>
    <s v="Bangalore"/>
    <x v="185"/>
    <s v="F2F"/>
    <s v="Corporate"/>
    <x v="5"/>
    <s v="Bulk Order"/>
    <s v="New"/>
    <s v="It"/>
    <s v="Subhi"/>
    <m/>
    <s v="Business Closed"/>
    <s v="Closed(C4)"/>
    <m/>
    <m/>
    <s v=""/>
    <s v=""/>
    <s v="Hot"/>
    <n v="18220"/>
    <n v="18220"/>
    <d v="2026-06-02T00:00:00"/>
    <s v="00BHA01000002749"/>
    <x v="27"/>
    <s v="Received at Store"/>
    <m/>
    <d v="2026-06-02T00:00:00"/>
    <x v="2"/>
    <m/>
    <s v=""/>
    <m/>
  </r>
  <r>
    <d v="2026-06-02T00:00:00"/>
    <s v="Bashab"/>
    <s v="Bangalore"/>
    <x v="31"/>
    <s v="F2F"/>
    <s v="Corporate"/>
    <x v="5"/>
    <s v="Popup Counter"/>
    <s v="Repeat"/>
    <s v="Retail"/>
    <s v="Mueenudheen"/>
    <m/>
    <s v="Popup Confirmed"/>
    <s v="Closed(C4)"/>
    <m/>
    <m/>
    <m/>
    <s v=""/>
    <s v="Hot"/>
    <n v="15000"/>
    <n v="10695"/>
    <d v="2026-06-02T00:00:00"/>
    <s v="00WFC01000027642"/>
    <x v="7"/>
    <s v="Received at Store"/>
    <m/>
    <d v="2026-06-02T00:00:00"/>
    <x v="2"/>
    <m/>
    <s v=""/>
    <m/>
  </r>
  <r>
    <d v="2026-06-02T00:00:00"/>
    <s v="Pradeep"/>
    <s v="Hyderabad"/>
    <x v="186"/>
    <s v="F2F"/>
    <s v="Corporate"/>
    <x v="5"/>
    <s v="Bulk Order"/>
    <s v="New"/>
    <s v="Healthcare"/>
    <s v="Renu"/>
    <m/>
    <s v="Proposed for Bulk order and Biryani Kits for Gifting"/>
    <s v="Cancelled"/>
    <m/>
    <m/>
    <m/>
    <m/>
    <s v="Warm"/>
    <n v="40000"/>
    <m/>
    <m/>
    <m/>
    <x v="5"/>
    <m/>
    <m/>
    <m/>
    <x v="2"/>
    <m/>
    <m/>
    <m/>
  </r>
  <r>
    <d v="2026-06-02T00:00:00"/>
    <s v="Pradeep"/>
    <s v="Hyderabad"/>
    <x v="187"/>
    <s v="F2F"/>
    <s v="Corporate"/>
    <x v="5"/>
    <s v="Bulk Order"/>
    <s v="New"/>
    <s v="Manufacturing"/>
    <s v="Shivam"/>
    <m/>
    <s v="Proposed for Bulk order and Biryani Kits for Gifting"/>
    <s v="Cancelled"/>
    <d v="2026-09-04T00:00:00"/>
    <s v="Call"/>
    <m/>
    <m/>
    <s v="Warm"/>
    <n v="100000"/>
    <m/>
    <m/>
    <m/>
    <x v="5"/>
    <m/>
    <m/>
    <m/>
    <x v="2"/>
    <m/>
    <m/>
    <m/>
  </r>
  <r>
    <d v="2026-06-02T00:00:00"/>
    <s v="Pradeep"/>
    <s v="Hyderabad"/>
    <x v="188"/>
    <s v="F2F"/>
    <s v="Corporate"/>
    <x v="5"/>
    <s v="Bulk Order"/>
    <s v="New"/>
    <s v="Healthcare"/>
    <s v="suresh"/>
    <m/>
    <s v="Proposed for Bulk order and Biryani Kits for Gifting"/>
    <s v="Cancelled"/>
    <m/>
    <m/>
    <m/>
    <m/>
    <s v="Hot"/>
    <n v="25000"/>
    <m/>
    <m/>
    <m/>
    <x v="5"/>
    <m/>
    <m/>
    <m/>
    <x v="2"/>
    <m/>
    <m/>
    <m/>
  </r>
  <r>
    <d v="2026-06-02T00:00:00"/>
    <s v="Bashab"/>
    <s v="Bangalore"/>
    <x v="76"/>
    <s v="Call"/>
    <s v="Aggregator"/>
    <x v="0"/>
    <s v="Bulk Order"/>
    <s v="New"/>
    <m/>
    <s v="Yashi"/>
    <m/>
    <s v="Business Closed"/>
    <s v="Closed(C4)"/>
    <m/>
    <m/>
    <s v=""/>
    <s v=""/>
    <s v="Hot"/>
    <n v="5000"/>
    <n v="8250"/>
    <d v="2026-06-02T00:00:00"/>
    <m/>
    <x v="8"/>
    <s v="Received at HO"/>
    <m/>
    <d v="2026-06-02T00:00:00"/>
    <x v="2"/>
    <m/>
    <s v=""/>
    <m/>
  </r>
  <r>
    <d v="2026-06-03T00:00:00"/>
    <s v="Bashab"/>
    <s v="Bangalore"/>
    <x v="181"/>
    <s v="F2F"/>
    <s v="Corporate"/>
    <x v="5"/>
    <s v="Bulk Order"/>
    <s v="New"/>
    <s v="It"/>
    <s v="Pramodh"/>
    <m/>
    <s v="Confirmed bulk order"/>
    <s v="Closed(C4)"/>
    <m/>
    <m/>
    <m/>
    <s v=""/>
    <s v="Hot"/>
    <n v="150000"/>
    <n v="192100"/>
    <d v="2026-06-03T00:00:00"/>
    <s v="00DDTA1000022461"/>
    <x v="13"/>
    <s v="Received at Store"/>
    <m/>
    <d v="2026-06-03T00:00:00"/>
    <x v="2"/>
    <m/>
    <s v=""/>
    <m/>
  </r>
  <r>
    <d v="2026-06-03T00:00:00"/>
    <s v="Pradeep"/>
    <s v="Hyderabad"/>
    <x v="156"/>
    <s v="F2F"/>
    <s v="Aggregator"/>
    <x v="2"/>
    <s v="Bulk Order"/>
    <s v="New"/>
    <s v="F&amp;B Aggregator"/>
    <s v="Sanjay"/>
    <m/>
    <s v="Confirmed bulk order"/>
    <s v="Closed(C4)"/>
    <m/>
    <m/>
    <s v=""/>
    <s v=""/>
    <s v="Hot"/>
    <n v="0"/>
    <n v="0"/>
    <m/>
    <m/>
    <x v="5"/>
    <m/>
    <m/>
    <m/>
    <x v="2"/>
    <m/>
    <s v=""/>
    <m/>
  </r>
  <r>
    <d v="2026-06-03T00:00:00"/>
    <s v="Pradeep"/>
    <s v="Hyderabad"/>
    <x v="189"/>
    <s v="F2F"/>
    <s v="Corporate"/>
    <x v="5"/>
    <s v="Bulk Order"/>
    <s v="New"/>
    <s v="It"/>
    <s v="Reddy"/>
    <m/>
    <s v="Has a Requirement for Bulk order , Sensory done waiting for further update"/>
    <s v="Cancelled"/>
    <m/>
    <m/>
    <n v="138"/>
    <s v=""/>
    <s v="Hot"/>
    <n v="200000"/>
    <n v="0"/>
    <d v="2026-06-11T00:00:00"/>
    <m/>
    <x v="5"/>
    <m/>
    <m/>
    <m/>
    <x v="2"/>
    <m/>
    <s v=""/>
    <m/>
  </r>
  <r>
    <d v="2026-06-03T00:00:00"/>
    <s v="Bashab"/>
    <s v="Bangalore"/>
    <x v="185"/>
    <s v="F2F"/>
    <s v="Corporate"/>
    <x v="5"/>
    <s v="Bulk Order"/>
    <s v="New"/>
    <s v="It"/>
    <s v="Subhi"/>
    <m/>
    <s v="Business Closed"/>
    <s v="Closed(C4)"/>
    <m/>
    <m/>
    <s v=""/>
    <s v=""/>
    <s v="Hot"/>
    <n v="10000"/>
    <n v="9015"/>
    <d v="2026-06-03T00:00:00"/>
    <s v="00BHA01000002750"/>
    <x v="27"/>
    <s v="Received at Store"/>
    <m/>
    <d v="2026-06-03T00:00:00"/>
    <x v="2"/>
    <m/>
    <s v=""/>
    <m/>
  </r>
  <r>
    <d v="2026-06-03T00:00:00"/>
    <s v="Bashab"/>
    <s v="Bangalore"/>
    <x v="18"/>
    <s v="F2F"/>
    <s v="Corporate"/>
    <x v="5"/>
    <s v="Popup Counter"/>
    <s v="Repeat"/>
    <s v="Retail"/>
    <s v="Vinod"/>
    <m/>
    <s v="Business Closed"/>
    <s v="Closed(C4)"/>
    <m/>
    <m/>
    <m/>
    <s v=""/>
    <s v="Hot"/>
    <n v="15000"/>
    <n v="14719"/>
    <d v="2026-06-03T00:00:00"/>
    <s v="00WFC01000027667"/>
    <x v="7"/>
    <s v="Received at Store"/>
    <m/>
    <d v="2026-06-03T00:00:00"/>
    <x v="2"/>
    <m/>
    <s v=""/>
    <m/>
  </r>
  <r>
    <d v="2026-06-03T00:00:00"/>
    <s v="Bashab"/>
    <s v="Bangalore"/>
    <x v="37"/>
    <s v="Call"/>
    <s v="Aggregator"/>
    <x v="1"/>
    <s v="Pop Up Counter"/>
    <s v="Repeat"/>
    <s v="It"/>
    <s v="Harish"/>
    <m/>
    <s v="Popup Confirmed"/>
    <s v="Closed(C4)"/>
    <m/>
    <m/>
    <m/>
    <s v=""/>
    <s v="Hot"/>
    <n v="10000"/>
    <n v="5905"/>
    <d v="2026-06-03T00:00:00"/>
    <m/>
    <x v="12"/>
    <s v="Received at HO"/>
    <m/>
    <m/>
    <x v="2"/>
    <m/>
    <s v=""/>
    <m/>
  </r>
  <r>
    <d v="2026-06-03T00:00:00"/>
    <s v="Bashab"/>
    <s v="Bangalore"/>
    <x v="41"/>
    <s v="Call"/>
    <s v="Aggregator"/>
    <x v="1"/>
    <s v="Pop Up Counter"/>
    <s v="Repeat"/>
    <s v="It"/>
    <s v="Harish"/>
    <m/>
    <s v="Popup Confirmed"/>
    <s v="Closed(C4)"/>
    <m/>
    <m/>
    <m/>
    <s v=""/>
    <s v="Hot"/>
    <n v="15000"/>
    <n v="13995"/>
    <d v="2026-06-03T00:00:00"/>
    <m/>
    <x v="12"/>
    <s v="Received at HO"/>
    <m/>
    <m/>
    <x v="2"/>
    <m/>
    <s v=""/>
    <m/>
  </r>
  <r>
    <d v="2026-06-03T00:00:00"/>
    <s v="Bashab"/>
    <s v="Bangalore"/>
    <x v="122"/>
    <s v="Call"/>
    <s v="Aggregator"/>
    <x v="1"/>
    <s v="Pop Up Counter"/>
    <s v="Repeat"/>
    <s v="It"/>
    <s v="Naveen"/>
    <m/>
    <s v="Pop-up counter done"/>
    <s v="Closed(C4)"/>
    <m/>
    <m/>
    <m/>
    <s v=""/>
    <s v="Hot"/>
    <n v="10000"/>
    <n v="13725"/>
    <d v="2026-06-03T00:00:00"/>
    <m/>
    <x v="12"/>
    <s v="Received at HO"/>
    <m/>
    <m/>
    <x v="2"/>
    <m/>
    <s v=""/>
    <m/>
  </r>
  <r>
    <d v="2026-06-03T00:00:00"/>
    <s v="Bashab"/>
    <s v="Hyderabad"/>
    <x v="156"/>
    <s v="F2F"/>
    <s v="Aggregator"/>
    <x v="2"/>
    <s v="Bulk Order"/>
    <s v="New"/>
    <s v="F&amp;B Aggregator"/>
    <s v="Srinivas"/>
    <m/>
    <s v="Business Closed"/>
    <s v="Closed(C4)"/>
    <m/>
    <m/>
    <m/>
    <s v=""/>
    <s v="Hot"/>
    <n v="700000"/>
    <n v="637560"/>
    <d v="2026-06-03T00:00:00"/>
    <s v="CIFSPL27050616"/>
    <x v="17"/>
    <s v="Received at HO"/>
    <m/>
    <m/>
    <x v="2"/>
    <m/>
    <s v=""/>
    <m/>
  </r>
  <r>
    <d v="2026-06-03T00:00:00"/>
    <s v="Sameer"/>
    <s v="Hyderabad"/>
    <x v="156"/>
    <s v="F2F"/>
    <s v="Aggregator"/>
    <x v="2"/>
    <s v="Bulk Order"/>
    <s v="New"/>
    <s v="F&amp;B Aggregator"/>
    <s v="Srinivas"/>
    <m/>
    <s v="Business Closed"/>
    <s v="Closed(C4)"/>
    <m/>
    <m/>
    <m/>
    <s v=""/>
    <s v="Hot"/>
    <n v="700000"/>
    <n v="637560"/>
    <d v="2026-06-03T00:00:00"/>
    <s v="CIFSPL27050616"/>
    <x v="17"/>
    <s v="Received at HO"/>
    <m/>
    <m/>
    <x v="2"/>
    <m/>
    <s v=""/>
    <m/>
  </r>
  <r>
    <d v="2026-06-03T00:00:00"/>
    <s v="Sameer"/>
    <s v="Hyderabad"/>
    <x v="20"/>
    <s v="Call"/>
    <s v="Aggregator"/>
    <x v="1"/>
    <s v="Pop Up Counter"/>
    <s v="Repeat"/>
    <s v="F&amp;B Aggregator"/>
    <s v="Sekhar"/>
    <m/>
    <s v="Business Closed"/>
    <s v="Closed(C4)"/>
    <m/>
    <m/>
    <m/>
    <m/>
    <s v="Hot"/>
    <n v="60000"/>
    <n v="38620"/>
    <d v="2026-06-03T00:00:00"/>
    <m/>
    <x v="2"/>
    <s v="Received at HO"/>
    <m/>
    <m/>
    <x v="2"/>
    <m/>
    <s v=""/>
    <m/>
  </r>
  <r>
    <d v="2026-06-03T00:00:00"/>
    <s v="Sameer"/>
    <s v="Hyderabad"/>
    <x v="190"/>
    <s v="F2F"/>
    <s v="Corporate"/>
    <x v="5"/>
    <s v="Bulk Order"/>
    <s v="New"/>
    <s v="Manufacturing"/>
    <s v="Srinivas"/>
    <m/>
    <s v="Followup"/>
    <s v="Cancelled"/>
    <m/>
    <m/>
    <n v="138"/>
    <s v=""/>
    <s v="Hot"/>
    <n v="50000"/>
    <m/>
    <m/>
    <m/>
    <x v="5"/>
    <m/>
    <m/>
    <m/>
    <x v="2"/>
    <m/>
    <s v=""/>
    <m/>
  </r>
  <r>
    <d v="2026-06-03T00:00:00"/>
    <s v="Pradeep"/>
    <s v="Hyderabad"/>
    <x v="130"/>
    <s v="F2F"/>
    <s v="Corporate"/>
    <x v="5"/>
    <s v="Bulk Order"/>
    <s v="New"/>
    <s v="Manufacturing"/>
    <s v="Kumar"/>
    <m/>
    <s v="Business Closed"/>
    <s v="Closed(C4)"/>
    <m/>
    <m/>
    <m/>
    <m/>
    <s v="Hot"/>
    <n v="5000"/>
    <n v="973"/>
    <d v="2026-06-03T00:00:00"/>
    <s v="00SGA13000016763"/>
    <x v="14"/>
    <s v="Received at Store"/>
    <m/>
    <d v="2026-06-03T00:00:00"/>
    <x v="2"/>
    <m/>
    <m/>
    <s v="Takeaway-Bulk-Insti"/>
  </r>
  <r>
    <d v="2026-06-03T00:00:00"/>
    <s v="Bashab"/>
    <s v="Chennai"/>
    <x v="9"/>
    <s v="Call"/>
    <s v="Aggregator"/>
    <x v="0"/>
    <s v="Pop Up Counter"/>
    <s v="New"/>
    <s v="F&amp;B Aggregator"/>
    <s v="Raj"/>
    <m/>
    <s v="Followup"/>
    <s v="Follow-up( C1 )"/>
    <d v="2026-09-18T00:00:00"/>
    <s v="F2F"/>
    <n v="138"/>
    <s v="Yes"/>
    <s v="Warm"/>
    <m/>
    <m/>
    <m/>
    <m/>
    <x v="5"/>
    <m/>
    <m/>
    <m/>
    <x v="2"/>
    <m/>
    <s v=""/>
    <m/>
  </r>
  <r>
    <d v="2026-06-03T00:00:00"/>
    <s v="Bashab"/>
    <s v="Bangalore"/>
    <x v="191"/>
    <s v="F2F"/>
    <s v="Aggregator"/>
    <x v="4"/>
    <s v="ODC"/>
    <s v="New"/>
    <s v="F&amp;B Aggregator"/>
    <s v="Rawath"/>
    <m/>
    <s v="Followup"/>
    <s v="Follow-up( C1 )"/>
    <d v="2026-09-18T00:00:00"/>
    <s v="Call"/>
    <n v="138"/>
    <s v="Yes"/>
    <s v="Warm"/>
    <m/>
    <m/>
    <m/>
    <m/>
    <x v="5"/>
    <m/>
    <m/>
    <m/>
    <x v="2"/>
    <m/>
    <s v=""/>
    <m/>
  </r>
  <r>
    <d v="2026-06-03T00:00:00"/>
    <s v="Bashab"/>
    <s v="Bangalore"/>
    <x v="16"/>
    <s v="Call"/>
    <s v="Corporate"/>
    <x v="5"/>
    <s v="Bulk Order"/>
    <s v="Repeat"/>
    <s v="Retail"/>
    <s v="Mohammed"/>
    <m/>
    <s v="Business Closed"/>
    <s v="Closed(C4)"/>
    <m/>
    <m/>
    <s v=""/>
    <s v=""/>
    <s v="Hot"/>
    <n v="20000"/>
    <n v="22916"/>
    <d v="2026-06-03T00:00:00"/>
    <s v="00HSA06000003320"/>
    <x v="3"/>
    <s v="Received at HO"/>
    <m/>
    <m/>
    <x v="2"/>
    <m/>
    <s v=""/>
    <m/>
  </r>
  <r>
    <d v="2026-06-03T00:00:00"/>
    <s v="Sameer"/>
    <s v="Bangalore"/>
    <x v="3"/>
    <s v="Call"/>
    <s v="Aggregator"/>
    <x v="2"/>
    <s v="Bulk Order"/>
    <s v="Repeat"/>
    <s v="F&amp;B Agrigator"/>
    <s v="Saad"/>
    <m/>
    <s v="Delivery in June Month from HSR"/>
    <s v="Closed(C4)"/>
    <m/>
    <m/>
    <s v=""/>
    <s v=""/>
    <s v="Hot"/>
    <n v="22687"/>
    <n v="22916"/>
    <d v="2026-06-03T00:00:00"/>
    <s v="00HSA06000003320"/>
    <x v="3"/>
    <s v="Received at HO"/>
    <m/>
    <m/>
    <x v="2"/>
    <m/>
    <m/>
    <m/>
  </r>
  <r>
    <d v="2026-06-04T00:00:00"/>
    <s v="Pradeep"/>
    <s v="Hyderabad"/>
    <x v="11"/>
    <s v="F2F"/>
    <s v="Corporate"/>
    <x v="5"/>
    <s v="Bulk Order"/>
    <s v="New"/>
    <s v="It"/>
    <s v="Naveen"/>
    <m/>
    <s v="Business Closed"/>
    <s v="Closed(C4)"/>
    <m/>
    <m/>
    <s v=""/>
    <s v=""/>
    <s v="Hot"/>
    <n v="10000"/>
    <n v="8005"/>
    <d v="2026-06-04T00:00:00"/>
    <s v="00BGA09000031180"/>
    <x v="15"/>
    <s v="Received at Store"/>
    <m/>
    <d v="2026-06-04T00:00:00"/>
    <x v="2"/>
    <m/>
    <s v=""/>
    <s v="Takeaway-Bulk-Insti"/>
  </r>
  <r>
    <d v="2026-06-04T00:00:00"/>
    <s v="Pradeep"/>
    <s v="Hyderabad"/>
    <x v="83"/>
    <s v="F2F"/>
    <s v="Corporate"/>
    <x v="5"/>
    <s v="Bulk Order"/>
    <s v="New"/>
    <s v="It"/>
    <s v="Vijay Kumar"/>
    <m/>
    <s v="Business Closed"/>
    <s v="Closed(C4)"/>
    <m/>
    <m/>
    <s v=""/>
    <s v=""/>
    <s v="Hot"/>
    <n v="15000"/>
    <n v="5553"/>
    <d v="2026-06-04T00:00:00"/>
    <s v="00MALT1000087439"/>
    <x v="20"/>
    <s v="Received at Store"/>
    <m/>
    <d v="2026-06-04T00:00:00"/>
    <x v="2"/>
    <m/>
    <s v=""/>
    <s v="Takeaway-Bulk-Insti"/>
  </r>
  <r>
    <d v="2026-06-04T00:00:00"/>
    <s v="Sameer"/>
    <s v="Hyderabad"/>
    <x v="20"/>
    <s v="Call"/>
    <s v="Aggregator"/>
    <x v="1"/>
    <s v="Pop Up Counter"/>
    <s v="Repeat"/>
    <s v="F&amp;B Aggregator"/>
    <s v="Sekhar"/>
    <m/>
    <s v="Business Closed"/>
    <s v="Closed(C4)"/>
    <m/>
    <m/>
    <m/>
    <m/>
    <s v="Hot"/>
    <n v="60000"/>
    <n v="58650"/>
    <d v="2026-06-04T00:00:00"/>
    <s v="00GCBTA000290486"/>
    <x v="2"/>
    <s v="Received at HO"/>
    <m/>
    <m/>
    <x v="2"/>
    <m/>
    <s v=""/>
    <s v="Takeaway-Bulk-Insti"/>
  </r>
  <r>
    <d v="2026-06-04T00:00:00"/>
    <s v="Sameer"/>
    <s v="Hyderabad"/>
    <x v="192"/>
    <s v="F2F"/>
    <s v="Corporate"/>
    <x v="5"/>
    <s v="Bulk Order"/>
    <s v="New"/>
    <s v="Manufacturing"/>
    <s v="Madhu mohan"/>
    <m/>
    <s v="Proposed for Bulk order and Biryani Kits for Gifting"/>
    <s v="Cancelled"/>
    <m/>
    <m/>
    <n v="137"/>
    <s v=""/>
    <s v="Cold"/>
    <n v="50000"/>
    <m/>
    <m/>
    <m/>
    <x v="5"/>
    <m/>
    <m/>
    <m/>
    <x v="2"/>
    <m/>
    <s v=""/>
    <m/>
  </r>
  <r>
    <d v="2026-06-04T00:00:00"/>
    <s v="Pradeep"/>
    <s v="Hyderabad"/>
    <x v="114"/>
    <s v="F2F"/>
    <s v="Corporate"/>
    <x v="5"/>
    <s v="Bulk Order"/>
    <s v="New"/>
    <s v="Manufacturing"/>
    <s v="Vanaja"/>
    <m/>
    <s v="Bulk order requirement for 1200 pax Chicken Biryani"/>
    <s v="Cancelled"/>
    <m/>
    <m/>
    <n v="137"/>
    <s v=""/>
    <s v="Hot"/>
    <n v="280000"/>
    <m/>
    <m/>
    <m/>
    <x v="5"/>
    <m/>
    <m/>
    <m/>
    <x v="2"/>
    <m/>
    <s v=""/>
    <m/>
  </r>
  <r>
    <d v="2026-06-04T00:00:00"/>
    <s v="Pradeep"/>
    <s v="Hyderabad"/>
    <x v="193"/>
    <s v="F2F"/>
    <s v="Corporate"/>
    <x v="5"/>
    <s v="Bulk Order"/>
    <s v="New"/>
    <s v="Realestate"/>
    <s v="Sai"/>
    <m/>
    <s v="Proposed for Bulk order and Biryani Kits for Gifting"/>
    <s v="Cancelled"/>
    <d v="2026-08-22T00:00:00"/>
    <s v="Call"/>
    <n v="137"/>
    <s v=""/>
    <s v="Warm"/>
    <n v="55000"/>
    <m/>
    <m/>
    <m/>
    <x v="5"/>
    <m/>
    <m/>
    <m/>
    <x v="2"/>
    <m/>
    <s v=""/>
    <m/>
  </r>
  <r>
    <d v="2026-06-04T00:00:00"/>
    <s v="Pradeep"/>
    <s v="Hyderabad"/>
    <x v="194"/>
    <s v="F2F"/>
    <s v="Corporate"/>
    <x v="5"/>
    <s v="Bulk Order"/>
    <s v="New"/>
    <s v="Healthcare"/>
    <s v="Srishilyam"/>
    <m/>
    <s v="Proposed for Bulk order and Biryani Kits for Gifting"/>
    <s v="Cancelled"/>
    <m/>
    <m/>
    <n v="137"/>
    <s v=""/>
    <s v="Warm"/>
    <n v="60000"/>
    <m/>
    <m/>
    <m/>
    <x v="5"/>
    <m/>
    <m/>
    <m/>
    <x v="2"/>
    <m/>
    <s v=""/>
    <m/>
  </r>
  <r>
    <d v="2026-06-05T00:00:00"/>
    <s v="Sameer"/>
    <s v="Hyderabad"/>
    <x v="20"/>
    <s v="Call"/>
    <s v="Aggregator"/>
    <x v="1"/>
    <s v="Pop Up Counter"/>
    <s v="Repeat"/>
    <s v="F&amp;B Aggregator"/>
    <s v="Sekhar"/>
    <m/>
    <s v="Business Closed"/>
    <s v="Cancelled"/>
    <m/>
    <m/>
    <m/>
    <m/>
    <s v="Hot"/>
    <n v="60000"/>
    <n v="65940"/>
    <d v="2026-06-05T00:00:00"/>
    <m/>
    <x v="2"/>
    <s v="Received at HO"/>
    <m/>
    <m/>
    <x v="2"/>
    <m/>
    <s v=""/>
    <m/>
  </r>
  <r>
    <d v="2026-06-05T00:00:00"/>
    <s v="Bashab"/>
    <s v="Hyderabad"/>
    <x v="156"/>
    <s v="F2F"/>
    <s v="Aggregator"/>
    <x v="2"/>
    <s v="Bulk Order"/>
    <s v="New"/>
    <s v="F&amp;B Aggregator"/>
    <s v="Srinivas"/>
    <m/>
    <s v="Followup"/>
    <s v="Confirmed( C3 )"/>
    <m/>
    <m/>
    <m/>
    <s v=""/>
    <s v="Hot"/>
    <m/>
    <m/>
    <m/>
    <m/>
    <x v="5"/>
    <m/>
    <m/>
    <m/>
    <x v="2"/>
    <m/>
    <s v=""/>
    <m/>
  </r>
  <r>
    <d v="2026-06-05T00:00:00"/>
    <s v="Pradeep"/>
    <s v="Hyderabad"/>
    <x v="195"/>
    <s v="F2F"/>
    <s v="Corporate"/>
    <x v="5"/>
    <s v="Bulk Order"/>
    <s v="New"/>
    <s v="Manufacturing"/>
    <s v="Padmini"/>
    <m/>
    <s v="Proposed for Bulk order and Biryani Kits for Gifting"/>
    <s v="Cancelled"/>
    <d v="2026-08-22T00:00:00"/>
    <s v="Call"/>
    <n v="136"/>
    <s v=""/>
    <s v="Warm"/>
    <n v="100000"/>
    <m/>
    <m/>
    <m/>
    <x v="5"/>
    <m/>
    <m/>
    <m/>
    <x v="2"/>
    <m/>
    <s v=""/>
    <m/>
  </r>
  <r>
    <d v="2026-06-05T00:00:00"/>
    <s v="Pradeep"/>
    <s v="Hyderabad"/>
    <x v="196"/>
    <s v="F2F"/>
    <s v="Corporate"/>
    <x v="5"/>
    <s v="Bulk Order"/>
    <s v="New"/>
    <s v="Manufacturing"/>
    <s v="Vanaja"/>
    <m/>
    <s v="Bulk order for 1200 pax on 10 june"/>
    <s v="Cancelled"/>
    <m/>
    <m/>
    <n v="136"/>
    <s v=""/>
    <s v="Hot"/>
    <n v="250000"/>
    <m/>
    <m/>
    <m/>
    <x v="5"/>
    <m/>
    <m/>
    <m/>
    <x v="2"/>
    <m/>
    <s v=""/>
    <m/>
  </r>
  <r>
    <d v="2026-06-05T00:00:00"/>
    <s v="Pradeep"/>
    <s v="Hyderabad"/>
    <x v="197"/>
    <s v="F2F"/>
    <s v="Corporate"/>
    <x v="5"/>
    <s v="Bulk Order"/>
    <s v="New"/>
    <s v="It"/>
    <s v="Sandeep"/>
    <m/>
    <s v="Proposed for Bulk order and Biryani Kits for Gifting"/>
    <s v="Cancelled"/>
    <m/>
    <m/>
    <n v="136"/>
    <s v=""/>
    <s v="Warm"/>
    <n v="60000"/>
    <m/>
    <m/>
    <m/>
    <x v="5"/>
    <m/>
    <m/>
    <m/>
    <x v="2"/>
    <m/>
    <s v=""/>
    <m/>
  </r>
  <r>
    <d v="2026-06-05T00:00:00"/>
    <s v="Pradeep"/>
    <s v="Hyderabad"/>
    <x v="198"/>
    <s v="F2F"/>
    <s v="Corporate"/>
    <x v="5"/>
    <s v="Bulk Order"/>
    <s v="New"/>
    <s v="Manufacturing"/>
    <s v="Sandeep"/>
    <m/>
    <s v="Proposed for Bulk order and Biryani Kits for Gifting"/>
    <s v="Cancelled"/>
    <m/>
    <m/>
    <n v="136"/>
    <s v=""/>
    <s v="Cold"/>
    <n v="50000"/>
    <m/>
    <m/>
    <m/>
    <x v="5"/>
    <m/>
    <m/>
    <m/>
    <x v="2"/>
    <m/>
    <s v=""/>
    <m/>
  </r>
  <r>
    <d v="2026-06-05T00:00:00"/>
    <s v="Pradeep"/>
    <s v="Hyderabad"/>
    <x v="199"/>
    <s v="F2F"/>
    <s v="Corporate"/>
    <x v="5"/>
    <s v="Bulk Order"/>
    <s v="New"/>
    <s v="It"/>
    <s v="Faridha"/>
    <m/>
    <s v="Proposed for Bulk order and Biryani Kits for Gifting"/>
    <s v="Cancelled"/>
    <m/>
    <m/>
    <n v="136"/>
    <s v=""/>
    <s v="Cold"/>
    <n v="50000"/>
    <m/>
    <m/>
    <m/>
    <x v="5"/>
    <m/>
    <m/>
    <m/>
    <x v="2"/>
    <m/>
    <s v=""/>
    <m/>
  </r>
  <r>
    <d v="2026-06-08T00:00:00"/>
    <s v="Sameer"/>
    <s v="Hyderabad"/>
    <x v="20"/>
    <s v="Call"/>
    <s v="Aggregator"/>
    <x v="1"/>
    <s v="Pop Up Counter"/>
    <s v="Repeat"/>
    <s v="F&amp;B Aggregator"/>
    <s v="Sekhar"/>
    <m/>
    <s v="Business Closed"/>
    <s v="Closed(C4)"/>
    <m/>
    <m/>
    <m/>
    <m/>
    <s v="Hot"/>
    <n v="30000"/>
    <n v="36640"/>
    <d v="2026-06-08T00:00:00"/>
    <s v="00GCBTA000290835"/>
    <x v="2"/>
    <s v="Received at HO"/>
    <m/>
    <m/>
    <x v="2"/>
    <m/>
    <s v=""/>
    <s v="Takeaway-Bulk-Insti"/>
  </r>
  <r>
    <d v="2026-06-08T00:00:00"/>
    <s v="Sameer"/>
    <s v="Hyderabad"/>
    <x v="200"/>
    <s v="F2F"/>
    <s v="Corporate"/>
    <x v="5"/>
    <s v="Bulk Order"/>
    <s v="New"/>
    <s v="It"/>
    <s v="Anil Reddy"/>
    <m/>
    <s v="Proposed for Bulk order and Biryani Kits for Gifting"/>
    <s v="Cancelled"/>
    <m/>
    <m/>
    <m/>
    <m/>
    <m/>
    <m/>
    <m/>
    <m/>
    <m/>
    <x v="5"/>
    <m/>
    <m/>
    <m/>
    <x v="2"/>
    <m/>
    <m/>
    <m/>
  </r>
  <r>
    <d v="2026-06-08T00:00:00"/>
    <s v="Sameer"/>
    <s v="Hyderabad"/>
    <x v="201"/>
    <s v="F2F"/>
    <s v="Corporate"/>
    <x v="5"/>
    <s v="Bulk Order"/>
    <s v="New"/>
    <s v="It"/>
    <s v="Prasad"/>
    <m/>
    <s v="Proposed for Bulk order and Biryani Kits for Gifting"/>
    <s v="Cancelled"/>
    <m/>
    <m/>
    <m/>
    <m/>
    <m/>
    <m/>
    <m/>
    <m/>
    <m/>
    <x v="5"/>
    <m/>
    <m/>
    <m/>
    <x v="2"/>
    <m/>
    <m/>
    <m/>
  </r>
  <r>
    <d v="2026-06-08T00:00:00"/>
    <s v="Sameer"/>
    <s v="Hyderabad"/>
    <x v="202"/>
    <s v="F2F"/>
    <s v="Corporate"/>
    <x v="5"/>
    <s v="Bulk Order"/>
    <s v="New"/>
    <s v="Education"/>
    <s v="Ardash Reddy"/>
    <m/>
    <s v="Proposed for Bulk order and Biryani Kits for Gifting"/>
    <s v="Follow-up( C1 )"/>
    <m/>
    <m/>
    <m/>
    <m/>
    <m/>
    <m/>
    <m/>
    <m/>
    <m/>
    <x v="5"/>
    <m/>
    <m/>
    <m/>
    <x v="2"/>
    <m/>
    <m/>
    <m/>
  </r>
  <r>
    <d v="2026-06-08T00:00:00"/>
    <s v="Pradeep"/>
    <s v="Hyderabad"/>
    <x v="114"/>
    <s v="F2F"/>
    <s v="Corporate"/>
    <x v="5"/>
    <s v="Bulk Order"/>
    <s v="New"/>
    <s v="Manufacturing"/>
    <s v="Vanaja"/>
    <m/>
    <s v="Bulk order for 1200 pax on 10 june"/>
    <s v="Cancelled"/>
    <m/>
    <m/>
    <n v="133"/>
    <s v=""/>
    <s v="Cold"/>
    <n v="250000"/>
    <m/>
    <m/>
    <m/>
    <x v="5"/>
    <m/>
    <m/>
    <m/>
    <x v="2"/>
    <m/>
    <s v=""/>
    <m/>
  </r>
  <r>
    <d v="2026-06-08T00:00:00"/>
    <s v="Pradeep"/>
    <s v="Hyderabad"/>
    <x v="102"/>
    <s v="F2F"/>
    <s v="Corporate"/>
    <x v="5"/>
    <s v="Bulk Order"/>
    <s v="New"/>
    <s v="Healthcare"/>
    <s v="Shiva"/>
    <m/>
    <s v="Proposed for Bulk order and Biryani Kits for Gifting"/>
    <s v="Cancelled"/>
    <d v="2026-09-02T00:00:00"/>
    <s v="Call"/>
    <n v="133"/>
    <s v=""/>
    <s v="Cold"/>
    <n v="40000"/>
    <m/>
    <m/>
    <m/>
    <x v="5"/>
    <m/>
    <m/>
    <m/>
    <x v="2"/>
    <m/>
    <s v=""/>
    <m/>
  </r>
  <r>
    <d v="2026-06-08T00:00:00"/>
    <s v="Pradeep"/>
    <s v="Hyderabad"/>
    <x v="203"/>
    <s v="F2F"/>
    <s v="Corporate"/>
    <x v="5"/>
    <s v="Bulk Order"/>
    <s v="New"/>
    <s v="Events"/>
    <s v="Nishita"/>
    <m/>
    <s v="Bulk order requirement on13th june"/>
    <s v="Closed(C4)"/>
    <m/>
    <m/>
    <s v=""/>
    <s v=""/>
    <s v="Hot"/>
    <n v="40000"/>
    <m/>
    <m/>
    <m/>
    <x v="5"/>
    <m/>
    <m/>
    <m/>
    <x v="2"/>
    <m/>
    <s v=""/>
    <m/>
  </r>
  <r>
    <d v="2026-06-08T00:00:00"/>
    <s v="Pradeep"/>
    <s v="Hyderabad"/>
    <x v="148"/>
    <s v="F2F"/>
    <s v="Corporate"/>
    <x v="5"/>
    <s v="Bulk Order"/>
    <s v="New"/>
    <s v="Government"/>
    <s v="Reddy"/>
    <m/>
    <s v="Bulkorder closed"/>
    <s v="Closed(C4)"/>
    <m/>
    <m/>
    <s v=""/>
    <s v=""/>
    <s v="Hot"/>
    <n v="25000"/>
    <n v="18360"/>
    <d v="2026-06-08T00:00:00"/>
    <s v="C0KKPTB000487540"/>
    <x v="17"/>
    <s v="Received at Store"/>
    <m/>
    <d v="2026-06-08T00:00:00"/>
    <x v="2"/>
    <m/>
    <s v=""/>
    <s v="Takeaway-Bulk-Insti"/>
  </r>
  <r>
    <d v="2026-06-08T00:00:00"/>
    <s v="Pradeep"/>
    <s v="Hyderabad"/>
    <x v="148"/>
    <s v="F2F"/>
    <s v="Corporate"/>
    <x v="5"/>
    <s v="Bulk Order"/>
    <s v="New"/>
    <s v="Government"/>
    <s v="Reddy"/>
    <m/>
    <s v="Bulkorder closed"/>
    <s v="Closed(C4)"/>
    <m/>
    <m/>
    <s v=""/>
    <s v=""/>
    <s v="Hot"/>
    <n v="20000"/>
    <n v="4260"/>
    <d v="2026-06-08T00:00:00"/>
    <s v="C0KKPTB000487542"/>
    <x v="17"/>
    <s v="Received at Store"/>
    <m/>
    <d v="2026-06-08T00:00:00"/>
    <x v="2"/>
    <m/>
    <s v=""/>
    <s v="Takeaway-Bulk-Insti"/>
  </r>
  <r>
    <d v="2026-06-09T00:00:00"/>
    <s v="Sameer"/>
    <s v="Hyderabad"/>
    <x v="204"/>
    <s v="F2F"/>
    <s v="Corporate"/>
    <x v="5"/>
    <s v="Bulk Order"/>
    <s v="New"/>
    <s v="Events"/>
    <s v="Venu"/>
    <m/>
    <s v="Bulk order on 18th june"/>
    <s v="Negotitaion( C2 )"/>
    <m/>
    <m/>
    <n v="132"/>
    <s v=""/>
    <m/>
    <m/>
    <m/>
    <m/>
    <m/>
    <x v="5"/>
    <m/>
    <m/>
    <m/>
    <x v="2"/>
    <m/>
    <s v=""/>
    <m/>
  </r>
  <r>
    <d v="2026-06-09T00:00:00"/>
    <s v="Pradeep"/>
    <s v="Hyderabad"/>
    <x v="148"/>
    <s v="F2F"/>
    <s v="Corporate"/>
    <x v="5"/>
    <s v="Bulk Order"/>
    <s v="New"/>
    <s v="Government"/>
    <s v="Shahidhar"/>
    <m/>
    <s v="Business Closed"/>
    <s v="Closed(C4)"/>
    <m/>
    <m/>
    <m/>
    <m/>
    <s v="Hot"/>
    <n v="5000"/>
    <n v="3905"/>
    <d v="2026-06-09T00:00:00"/>
    <s v="C0KKFTB000487616"/>
    <x v="17"/>
    <s v="Received at Store"/>
    <m/>
    <d v="2026-06-09T00:00:00"/>
    <x v="2"/>
    <m/>
    <m/>
    <s v="Takeaway-Bulk-Insti"/>
  </r>
  <r>
    <d v="2026-06-09T00:00:00"/>
    <s v="Sameer"/>
    <s v="Hyderabad"/>
    <x v="20"/>
    <s v="Call"/>
    <s v="Aggregator"/>
    <x v="1"/>
    <s v="Pop Up Counter"/>
    <s v="Repeat"/>
    <s v="F&amp;B Aggregator"/>
    <s v="Sekhar"/>
    <m/>
    <s v="Business Closed"/>
    <s v="Closed(C4)"/>
    <m/>
    <m/>
    <m/>
    <m/>
    <s v="Hot"/>
    <n v="50000"/>
    <n v="48030"/>
    <d v="2026-06-08T00:00:00"/>
    <s v="00GCBTA000290836"/>
    <x v="2"/>
    <s v="Received at HO"/>
    <m/>
    <m/>
    <x v="2"/>
    <m/>
    <s v=""/>
    <s v="Takeaway-Bulk-Insti"/>
  </r>
  <r>
    <d v="2026-06-09T00:00:00"/>
    <s v="Sameer"/>
    <s v="Hyderabad"/>
    <x v="205"/>
    <s v="F2F"/>
    <s v="Corporate"/>
    <x v="5"/>
    <s v="Pop Up Counter"/>
    <s v="New"/>
    <s v="Events"/>
    <s v="Giridhar"/>
    <m/>
    <s v="Bulk order pop-up on 17th "/>
    <s v="Negotitaion( C2 )"/>
    <m/>
    <m/>
    <n v="132"/>
    <s v=""/>
    <s v="Hot"/>
    <n v="100000"/>
    <m/>
    <m/>
    <m/>
    <x v="5"/>
    <m/>
    <m/>
    <m/>
    <x v="2"/>
    <m/>
    <s v=""/>
    <m/>
  </r>
  <r>
    <d v="2026-06-09T00:00:00"/>
    <s v="Pradeep"/>
    <s v="Hyderabad"/>
    <x v="148"/>
    <s v="F2F"/>
    <s v="Corporate"/>
    <x v="5"/>
    <s v="Bulk Order"/>
    <s v="New"/>
    <s v="Government"/>
    <s v="Shahidhar"/>
    <m/>
    <s v="Business Closed"/>
    <s v="Closed(C4)"/>
    <m/>
    <m/>
    <m/>
    <m/>
    <s v="Hot"/>
    <n v="15000"/>
    <n v="3905"/>
    <d v="2026-06-09T00:00:00"/>
    <s v="COKKFTB000487615"/>
    <x v="17"/>
    <s v="Received at Store"/>
    <m/>
    <d v="2026-06-09T00:00:00"/>
    <x v="2"/>
    <m/>
    <m/>
    <s v="Takeaway-Bulk-Insti"/>
  </r>
  <r>
    <d v="2026-06-09T00:00:00"/>
    <s v="Bashab"/>
    <s v="Bangalore"/>
    <x v="206"/>
    <s v="F2F"/>
    <s v="Corporate"/>
    <x v="5"/>
    <s v="Bulk Order"/>
    <s v="New"/>
    <s v="Banking Finance &amp; Insurance"/>
    <s v="Keshav"/>
    <m/>
    <s v="Business Confirmed"/>
    <s v="Confirmed( C3 )"/>
    <m/>
    <m/>
    <n v="132"/>
    <s v=""/>
    <s v="Hot"/>
    <m/>
    <m/>
    <m/>
    <m/>
    <x v="5"/>
    <m/>
    <m/>
    <m/>
    <x v="2"/>
    <m/>
    <s v=""/>
    <m/>
  </r>
  <r>
    <d v="2026-06-09T00:00:00"/>
    <s v="Bashab"/>
    <s v="Bangalore"/>
    <x v="15"/>
    <s v="F2F"/>
    <s v="Corporate"/>
    <x v="5"/>
    <s v="Popup Counter"/>
    <s v="Repeat"/>
    <s v="Retail"/>
    <s v="James"/>
    <m/>
    <s v="Popup Confirmed"/>
    <s v="Closed(C4)"/>
    <m/>
    <m/>
    <m/>
    <s v=""/>
    <s v="Hot"/>
    <n v="10000"/>
    <n v="10142"/>
    <d v="2026-06-09T00:00:00"/>
    <s v="00WFC01000027840"/>
    <x v="7"/>
    <s v="Received at Store"/>
    <m/>
    <d v="2026-06-09T00:00:00"/>
    <x v="2"/>
    <m/>
    <s v=""/>
    <m/>
  </r>
  <r>
    <d v="2026-06-10T00:00:00"/>
    <s v="Bashab"/>
    <s v="Hyderabad"/>
    <x v="156"/>
    <s v="F2F"/>
    <s v="Aggregator"/>
    <x v="2"/>
    <s v="Bulk Order"/>
    <s v="New"/>
    <s v="F&amp;B Aggregator"/>
    <s v="Srinivas"/>
    <m/>
    <s v="Business Closed"/>
    <s v="Closed(C4)"/>
    <m/>
    <m/>
    <m/>
    <s v=""/>
    <s v="Hot"/>
    <n v="600000"/>
    <n v="617400"/>
    <d v="2026-06-10T00:00:00"/>
    <s v="CIFSPL270616"/>
    <x v="17"/>
    <s v="Received at HO"/>
    <m/>
    <m/>
    <x v="2"/>
    <m/>
    <s v=""/>
    <m/>
  </r>
  <r>
    <d v="2026-06-10T00:00:00"/>
    <s v="Bashab"/>
    <s v="Bangalore"/>
    <x v="206"/>
    <s v="F2F"/>
    <s v="Corporate"/>
    <x v="5"/>
    <s v="Bulk Order"/>
    <s v="New"/>
    <s v="Banking Finance &amp; Insurance"/>
    <s v="Keshav"/>
    <m/>
    <s v="Business Confirmed"/>
    <s v="Closed(C4)"/>
    <m/>
    <m/>
    <s v=""/>
    <s v=""/>
    <s v="Hot"/>
    <n v="30000"/>
    <n v="31570"/>
    <d v="2026-06-10T00:00:00"/>
    <m/>
    <x v="7"/>
    <s v="Received at Store"/>
    <m/>
    <d v="2026-06-10T00:00:00"/>
    <x v="2"/>
    <m/>
    <s v=""/>
    <m/>
  </r>
  <r>
    <d v="2026-06-10T00:00:00"/>
    <s v="Bashab"/>
    <s v="Bangalore"/>
    <x v="40"/>
    <s v="F2F"/>
    <s v="Corporate"/>
    <x v="5"/>
    <s v="Popup Counter"/>
    <s v="Repeat"/>
    <s v="Retail"/>
    <s v="Srinivas"/>
    <m/>
    <s v="Popup Confirmed"/>
    <s v="Closed(C4)"/>
    <m/>
    <m/>
    <m/>
    <s v=""/>
    <s v="Hot"/>
    <n v="15000"/>
    <n v="20120"/>
    <d v="2026-06-10T00:00:00"/>
    <s v="00WFC01000037740"/>
    <x v="7"/>
    <s v="Received at Store"/>
    <m/>
    <d v="2026-06-10T00:00:00"/>
    <x v="2"/>
    <m/>
    <s v=""/>
    <m/>
  </r>
  <r>
    <d v="2026-06-10T00:00:00"/>
    <s v="Pradeep"/>
    <s v="Hyderabad"/>
    <x v="207"/>
    <s v="F2F"/>
    <s v="Corporate"/>
    <x v="5"/>
    <s v="Bulk Order"/>
    <s v="New"/>
    <s v="It"/>
    <s v="Shahsi"/>
    <m/>
    <s v="Business Closed"/>
    <s v="Closed(C4)"/>
    <m/>
    <m/>
    <s v=""/>
    <s v=""/>
    <s v="Hot"/>
    <n v="5000"/>
    <n v="3905"/>
    <d v="2026-06-10T00:00:00"/>
    <s v="C0KKPTB000487768"/>
    <x v="17"/>
    <s v="Received at Store"/>
    <m/>
    <d v="2026-06-10T00:00:00"/>
    <x v="2"/>
    <m/>
    <s v=""/>
    <m/>
  </r>
  <r>
    <d v="2026-06-10T00:00:00"/>
    <s v="Pradeep"/>
    <s v="Hyderabad"/>
    <x v="208"/>
    <s v="F2F"/>
    <s v="Corporate"/>
    <x v="5"/>
    <s v="Bulk Order"/>
    <s v="New"/>
    <s v="Manufacturing"/>
    <s v="Narayana"/>
    <m/>
    <s v="Proposed for Bulk order and Biryani Kits for Gifting"/>
    <s v="Cancelled"/>
    <d v="2026-08-28T00:00:00"/>
    <s v="Call"/>
    <n v="131"/>
    <s v=""/>
    <s v="Cold"/>
    <n v="40000"/>
    <m/>
    <m/>
    <m/>
    <x v="5"/>
    <m/>
    <m/>
    <m/>
    <x v="2"/>
    <m/>
    <s v=""/>
    <m/>
  </r>
  <r>
    <d v="2026-06-10T00:00:00"/>
    <s v="Pradeep"/>
    <s v="Hyderabad"/>
    <x v="209"/>
    <s v="F2F"/>
    <s v="Corporate"/>
    <x v="5"/>
    <s v="Bulk Order"/>
    <s v="New"/>
    <s v="Manufacturing"/>
    <s v="Hari"/>
    <m/>
    <s v="Proposed for Bulk order and Biryani Kits for Gifting"/>
    <s v="Cancelled"/>
    <d v="2026-08-22T00:00:00"/>
    <s v="Call"/>
    <n v="131"/>
    <s v=""/>
    <s v="Warm"/>
    <n v="70000"/>
    <m/>
    <m/>
    <m/>
    <x v="5"/>
    <m/>
    <m/>
    <m/>
    <x v="2"/>
    <m/>
    <s v=""/>
    <m/>
  </r>
  <r>
    <d v="2026-06-10T00:00:00"/>
    <s v="Pradeep"/>
    <s v="Hyderabad"/>
    <x v="210"/>
    <s v="F2F"/>
    <s v="Corporate"/>
    <x v="5"/>
    <s v="Bulk Order"/>
    <s v="New"/>
    <s v="Events"/>
    <s v="subbha Rao"/>
    <m/>
    <s v="Bulk order requirement"/>
    <s v="Cancelled"/>
    <m/>
    <m/>
    <n v="131"/>
    <s v=""/>
    <s v="Warm"/>
    <n v="25000"/>
    <m/>
    <m/>
    <m/>
    <x v="5"/>
    <m/>
    <m/>
    <m/>
    <x v="2"/>
    <m/>
    <s v=""/>
    <m/>
  </r>
  <r>
    <d v="2026-06-10T00:00:00"/>
    <s v="Sameer"/>
    <s v="Hyderabad"/>
    <x v="211"/>
    <s v="F2F"/>
    <s v="Corporate"/>
    <x v="5"/>
    <s v="Bulk Order"/>
    <s v="New"/>
    <s v="Family Group"/>
    <s v="Kiran"/>
    <m/>
    <s v="Bulk order requirement"/>
    <s v="Negotitaion( C2 )"/>
    <m/>
    <m/>
    <n v="131"/>
    <s v=""/>
    <s v="Warm"/>
    <n v="20000"/>
    <m/>
    <m/>
    <m/>
    <x v="5"/>
    <m/>
    <m/>
    <m/>
    <x v="2"/>
    <m/>
    <s v=""/>
    <m/>
  </r>
  <r>
    <d v="2026-06-10T00:00:00"/>
    <s v="Sameer"/>
    <s v="Hyderabad"/>
    <x v="20"/>
    <s v="Call"/>
    <s v="Aggregator"/>
    <x v="1"/>
    <s v="Pop Up Counter"/>
    <s v="Repeat"/>
    <s v="F&amp;B Aggregator"/>
    <s v="Sekhar"/>
    <m/>
    <s v="Business Closed"/>
    <s v="Closed(C4)"/>
    <m/>
    <m/>
    <m/>
    <m/>
    <s v="Hot"/>
    <n v="50000"/>
    <n v="47930"/>
    <d v="2026-06-10T00:00:00"/>
    <s v="00GCBTA000290837"/>
    <x v="2"/>
    <s v="Received at HO"/>
    <m/>
    <m/>
    <x v="2"/>
    <m/>
    <s v=""/>
    <s v="Takeaway-Bulk-Insti"/>
  </r>
  <r>
    <d v="2026-06-10T00:00:00"/>
    <s v="Sameer"/>
    <s v="Hyderabad"/>
    <x v="156"/>
    <s v="F2F"/>
    <s v="Aggregator"/>
    <x v="2"/>
    <s v="Bulk Order"/>
    <s v="New"/>
    <s v="F&amp;B Aggregator"/>
    <s v="Srinivas"/>
    <m/>
    <s v="Business Closed"/>
    <s v="Closed(C4)"/>
    <m/>
    <m/>
    <m/>
    <s v=""/>
    <s v="Hot"/>
    <n v="600000"/>
    <n v="617400"/>
    <d v="2026-06-10T00:00:00"/>
    <s v="CIFSPL270616"/>
    <x v="17"/>
    <s v="Received at HO"/>
    <m/>
    <m/>
    <x v="2"/>
    <m/>
    <s v=""/>
    <m/>
  </r>
  <r>
    <d v="2026-06-10T00:00:00"/>
    <s v="Bashab"/>
    <s v="Bangalore"/>
    <x v="16"/>
    <s v="Call"/>
    <s v="Corporate"/>
    <x v="5"/>
    <s v="Bulk Order"/>
    <s v="Repeat"/>
    <s v="Retail"/>
    <s v="Mohammed"/>
    <m/>
    <s v="Business Closed"/>
    <s v="Closed(C4)"/>
    <m/>
    <m/>
    <s v=""/>
    <s v=""/>
    <s v="Hot"/>
    <n v="20000"/>
    <n v="25666"/>
    <d v="2026-06-10T00:00:00"/>
    <s v="00HSA06000003251"/>
    <x v="3"/>
    <s v="Received at HO"/>
    <m/>
    <m/>
    <x v="2"/>
    <m/>
    <s v=""/>
    <m/>
  </r>
  <r>
    <d v="2026-06-10T00:00:00"/>
    <s v="Sameer"/>
    <s v="Bangalore"/>
    <x v="3"/>
    <s v="Call"/>
    <s v="Aggregator"/>
    <x v="2"/>
    <s v="Bulk Order"/>
    <s v="Repeat"/>
    <s v="F&amp;B Agrigator"/>
    <s v="Saad"/>
    <m/>
    <s v="Delivery in June Month from HSR"/>
    <s v="Closed(C4)"/>
    <m/>
    <m/>
    <s v=""/>
    <s v=""/>
    <s v="Hot"/>
    <n v="22687"/>
    <n v="25666"/>
    <d v="2026-06-10T00:00:00"/>
    <s v="00HSA06000003251"/>
    <x v="3"/>
    <s v="Received at HO"/>
    <m/>
    <m/>
    <x v="2"/>
    <m/>
    <m/>
    <m/>
  </r>
  <r>
    <d v="2026-06-11T00:00:00"/>
    <s v="Pradeep"/>
    <s v="Hyderabad"/>
    <x v="148"/>
    <s v="F2F"/>
    <s v="Corporate"/>
    <x v="5"/>
    <s v="Bulk Order"/>
    <s v="New"/>
    <s v="Government"/>
    <s v="Shasshi"/>
    <m/>
    <s v="Business Closed"/>
    <s v="Closed(C4)"/>
    <m/>
    <m/>
    <s v=""/>
    <s v=""/>
    <s v="Hot"/>
    <n v="25000"/>
    <n v="3660"/>
    <d v="2026-06-11T00:00:00"/>
    <s v="C0KKPTB000487854"/>
    <x v="17"/>
    <s v="Received at HO"/>
    <m/>
    <d v="2026-06-11T00:00:00"/>
    <x v="2"/>
    <m/>
    <s v=""/>
    <s v="Takeaway-Bulk-Insti"/>
  </r>
  <r>
    <d v="2026-06-11T00:00:00"/>
    <s v="Pradeep"/>
    <s v="Hyderabad"/>
    <x v="212"/>
    <s v="F2F"/>
    <s v="Corporate"/>
    <x v="5"/>
    <s v="Bulk Order"/>
    <s v="New"/>
    <s v="It"/>
    <s v="Suman"/>
    <m/>
    <s v="Cancelled bcoz of stock not available in Hitechcity for 50 portions of Nizami special Biryani &amp; 40 portions of veg Biryani."/>
    <s v="Cancelled"/>
    <m/>
    <m/>
    <n v="130"/>
    <s v=""/>
    <s v="Hot"/>
    <n v="60000"/>
    <m/>
    <m/>
    <m/>
    <x v="5"/>
    <m/>
    <m/>
    <m/>
    <x v="2"/>
    <m/>
    <s v=""/>
    <m/>
  </r>
  <r>
    <d v="2026-06-11T00:00:00"/>
    <s v="Pradeep"/>
    <s v="Hyderabad"/>
    <x v="213"/>
    <s v="F2F"/>
    <s v="Corporate"/>
    <x v="5"/>
    <s v="Bulk Order"/>
    <s v="New"/>
    <s v="Government"/>
    <s v="Vani"/>
    <m/>
    <s v="Business Closed"/>
    <s v="Closed(C4)"/>
    <m/>
    <m/>
    <s v=""/>
    <s v=""/>
    <s v="Hot"/>
    <n v="30000"/>
    <n v="8873"/>
    <d v="2026-06-11T00:00:00"/>
    <s v="00SGA05000011456"/>
    <x v="14"/>
    <s v="Received at Store"/>
    <m/>
    <d v="2026-06-11T00:00:00"/>
    <x v="2"/>
    <m/>
    <s v=""/>
    <s v="Dine-in"/>
  </r>
  <r>
    <d v="2026-06-11T00:00:00"/>
    <s v="Pradeep"/>
    <s v="Hyderabad"/>
    <x v="214"/>
    <s v="F2F"/>
    <s v="Corporate"/>
    <x v="5"/>
    <s v="Bulk Order"/>
    <s v="New"/>
    <s v="It"/>
    <s v="Suresh"/>
    <m/>
    <s v="Bulk order on 12th june"/>
    <s v="Closed(C4)"/>
    <m/>
    <m/>
    <s v=""/>
    <s v=""/>
    <s v="Hot"/>
    <n v="25000"/>
    <n v="7952"/>
    <d v="2026-06-12T00:00:00"/>
    <m/>
    <x v="5"/>
    <s v="Received at Store"/>
    <m/>
    <d v="2026-06-12T00:00:00"/>
    <x v="2"/>
    <m/>
    <s v=""/>
    <s v="Takeaway-Bulk-Insti"/>
  </r>
  <r>
    <d v="2026-06-11T00:00:00"/>
    <s v="Sameer"/>
    <s v="Hyderabad"/>
    <x v="20"/>
    <s v="Call"/>
    <s v="Aggregator"/>
    <x v="1"/>
    <s v="Pop Up Counter"/>
    <s v="Repeat"/>
    <s v="F&amp;B Aggregator"/>
    <s v="Sekhar"/>
    <m/>
    <s v="Business Closed"/>
    <s v="Closed(C4)"/>
    <m/>
    <m/>
    <m/>
    <m/>
    <s v="Hot"/>
    <n v="50000"/>
    <n v="60220"/>
    <d v="2026-06-11T00:00:00"/>
    <s v="00GCBTA000290849"/>
    <x v="2"/>
    <s v="Received at HO"/>
    <m/>
    <m/>
    <x v="2"/>
    <m/>
    <s v=""/>
    <s v="Takeaway-Bulk-Insti"/>
  </r>
  <r>
    <d v="2026-06-11T00:00:00"/>
    <s v="Bashab"/>
    <s v="Bangalore"/>
    <x v="31"/>
    <s v="F2F"/>
    <s v="Corporate"/>
    <x v="5"/>
    <s v="Popup Counter"/>
    <s v="Repeat"/>
    <s v="Retail"/>
    <s v="Mueenudheen"/>
    <m/>
    <s v="Popup Confirmed"/>
    <s v="Closed(C4)"/>
    <m/>
    <m/>
    <m/>
    <s v=""/>
    <s v="Hot"/>
    <n v="15000"/>
    <n v="12348"/>
    <d v="2026-06-11T00:00:00"/>
    <s v="00WFTA1000037837"/>
    <x v="7"/>
    <s v="Received at Store"/>
    <m/>
    <d v="2026-06-11T00:00:00"/>
    <x v="2"/>
    <m/>
    <s v=""/>
    <m/>
  </r>
  <r>
    <d v="2026-06-11T00:00:00"/>
    <s v="Bashab"/>
    <s v="Chennai"/>
    <x v="215"/>
    <s v="Call"/>
    <s v="Corporate"/>
    <x v="5"/>
    <s v="Popup Counter"/>
    <s v="New"/>
    <m/>
    <s v="Raj"/>
    <m/>
    <s v="Business Closed"/>
    <s v="Closed(C4)"/>
    <m/>
    <m/>
    <s v=""/>
    <s v=""/>
    <s v="Hot"/>
    <n v="100000"/>
    <n v="105592"/>
    <d v="2026-06-11T00:00:00"/>
    <s v="00LBA02000005967"/>
    <x v="28"/>
    <s v="Received at HO"/>
    <m/>
    <d v="2026-06-11T00:00:00"/>
    <x v="2"/>
    <m/>
    <s v=""/>
    <m/>
  </r>
  <r>
    <d v="2026-06-12T00:00:00"/>
    <s v="Pradeep"/>
    <s v="Hyderabad"/>
    <x v="216"/>
    <s v="F2F"/>
    <s v="Corporate"/>
    <x v="5"/>
    <s v="Bulk Order"/>
    <s v="New"/>
    <s v="Education"/>
    <s v="Ravi"/>
    <m/>
    <s v="Has a Bulk order requirement"/>
    <s v="Cancelled"/>
    <m/>
    <m/>
    <m/>
    <m/>
    <s v="Warm"/>
    <n v="60000"/>
    <n v="0"/>
    <m/>
    <m/>
    <x v="5"/>
    <m/>
    <m/>
    <m/>
    <x v="2"/>
    <m/>
    <m/>
    <m/>
  </r>
  <r>
    <d v="2026-06-12T00:00:00"/>
    <s v="Pradeep"/>
    <s v="Hyderabad"/>
    <x v="93"/>
    <s v="F2F"/>
    <s v="Corporate"/>
    <x v="5"/>
    <s v="Bulk Order"/>
    <s v="New"/>
    <s v="It"/>
    <s v="Vikas"/>
    <m/>
    <s v="Has a bulk order requirement"/>
    <s v="Cancelled"/>
    <m/>
    <m/>
    <m/>
    <m/>
    <s v="Warm"/>
    <n v="40000"/>
    <n v="0"/>
    <m/>
    <m/>
    <x v="5"/>
    <m/>
    <m/>
    <m/>
    <x v="2"/>
    <m/>
    <m/>
    <m/>
  </r>
  <r>
    <d v="2026-06-12T00:00:00"/>
    <s v="Pradeep"/>
    <s v="Hyderabad"/>
    <x v="217"/>
    <s v="Call"/>
    <s v="Corporate"/>
    <x v="5"/>
    <s v="Bulk Order"/>
    <s v="New"/>
    <s v="It"/>
    <s v="Vivek jeswal"/>
    <m/>
    <s v="Bulk order Requirement"/>
    <s v="Closed(C4)"/>
    <m/>
    <m/>
    <s v=""/>
    <s v=""/>
    <s v="Hot"/>
    <n v="0"/>
    <n v="0"/>
    <m/>
    <m/>
    <x v="5"/>
    <m/>
    <m/>
    <m/>
    <x v="2"/>
    <m/>
    <s v=""/>
    <m/>
  </r>
  <r>
    <d v="2026-06-12T00:00:00"/>
    <s v="Pradeep"/>
    <s v="Hyderabad"/>
    <x v="173"/>
    <s v="Call"/>
    <s v="Corporate"/>
    <x v="5"/>
    <s v="Bulk Order"/>
    <s v="New"/>
    <s v="It"/>
    <s v="Vijay"/>
    <m/>
    <s v="Proposed for Bulk order and Biryani Kits for Gifting"/>
    <s v="Cancelled"/>
    <m/>
    <m/>
    <m/>
    <m/>
    <s v="Warm"/>
    <n v="100000"/>
    <m/>
    <m/>
    <m/>
    <x v="5"/>
    <m/>
    <m/>
    <m/>
    <x v="2"/>
    <m/>
    <m/>
    <m/>
  </r>
  <r>
    <d v="2026-06-12T00:00:00"/>
    <s v="Sameer"/>
    <s v="Hyderabad"/>
    <x v="20"/>
    <s v="Call"/>
    <s v="Aggregator"/>
    <x v="1"/>
    <s v="Pop Up Counter"/>
    <s v="Repeat"/>
    <s v="F&amp;B Aggregator"/>
    <s v="Sekhar"/>
    <m/>
    <s v="Business Closed"/>
    <s v="Closed(C4)"/>
    <m/>
    <m/>
    <m/>
    <m/>
    <s v="Hot"/>
    <n v="70000"/>
    <n v="61250"/>
    <d v="2026-06-12T00:00:00"/>
    <s v="00GCBTA000290901"/>
    <x v="2"/>
    <s v="Received at HO"/>
    <m/>
    <m/>
    <x v="2"/>
    <m/>
    <s v=""/>
    <s v="Takeaway-Bulk-Insti"/>
  </r>
  <r>
    <d v="2026-06-13T00:00:00"/>
    <s v="Pradeep"/>
    <s v="Hyderabad"/>
    <x v="217"/>
    <s v="Call"/>
    <s v="Corporate"/>
    <x v="5"/>
    <s v="Bulk Order"/>
    <s v="New"/>
    <s v="It"/>
    <s v="Vivek jeswal"/>
    <m/>
    <s v="Business Closed"/>
    <s v="Closed(C4)"/>
    <m/>
    <m/>
    <s v=""/>
    <s v=""/>
    <s v="Hot"/>
    <n v="20000"/>
    <n v="24004"/>
    <d v="2026-06-13T00:00:00"/>
    <s v="00BGA09000032343"/>
    <x v="15"/>
    <s v="Received at HO"/>
    <m/>
    <d v="2026-06-13T00:00:00"/>
    <x v="2"/>
    <m/>
    <s v=""/>
    <s v="Takeaway-Bulk-Insti"/>
  </r>
  <r>
    <d v="2026-06-13T00:00:00"/>
    <s v="Bashab"/>
    <s v="Bangalore"/>
    <x v="218"/>
    <s v="Call"/>
    <s v="Corporate"/>
    <x v="5"/>
    <s v="Bulk Order"/>
    <s v="New"/>
    <s v="It"/>
    <s v="Anujpratap"/>
    <m/>
    <s v="Business Closed"/>
    <s v="Closed(C4)"/>
    <m/>
    <m/>
    <m/>
    <m/>
    <s v="Hot"/>
    <n v="5000"/>
    <n v="6030"/>
    <d v="2026-06-13T00:00:00"/>
    <s v="00JNC01000018238"/>
    <x v="8"/>
    <s v="Received at Store"/>
    <m/>
    <d v="2026-06-13T00:00:00"/>
    <x v="2"/>
    <m/>
    <m/>
    <m/>
  </r>
  <r>
    <d v="2026-06-15T00:00:00"/>
    <s v="Sameer"/>
    <s v="Hyderabad"/>
    <x v="219"/>
    <s v="F2F"/>
    <s v="Corporate"/>
    <x v="5"/>
    <s v="Bulk Order"/>
    <s v="New"/>
    <s v="Exhibition"/>
    <s v="Gopal"/>
    <m/>
    <s v="Bulk order on 18,19,20 June"/>
    <s v="Negotitaion( C2 )"/>
    <m/>
    <m/>
    <n v="126"/>
    <s v=""/>
    <s v="Hot"/>
    <n v="200000"/>
    <m/>
    <d v="2026-06-18T00:00:00"/>
    <m/>
    <x v="5"/>
    <m/>
    <m/>
    <m/>
    <x v="2"/>
    <m/>
    <s v=""/>
    <m/>
  </r>
  <r>
    <d v="2026-06-15T00:00:00"/>
    <s v="Pradeep"/>
    <s v="Hyderabad"/>
    <x v="220"/>
    <s v="F2F"/>
    <s v="Corporate"/>
    <x v="5"/>
    <s v="Bulk Order"/>
    <s v="New"/>
    <s v="It"/>
    <s v="Swaroop"/>
    <m/>
    <s v="Has a bulk order requirement on 19th june"/>
    <s v="Closed(C4)"/>
    <m/>
    <m/>
    <s v=""/>
    <s v=""/>
    <s v="Warm"/>
    <n v="15000"/>
    <m/>
    <m/>
    <m/>
    <x v="5"/>
    <m/>
    <m/>
    <m/>
    <x v="2"/>
    <m/>
    <s v=""/>
    <m/>
  </r>
  <r>
    <d v="2026-06-15T00:00:00"/>
    <s v="Pradeep"/>
    <s v="Hyderabad"/>
    <x v="61"/>
    <s v="F2F"/>
    <s v="Corporate"/>
    <x v="5"/>
    <s v="Bulk Order"/>
    <s v="New"/>
    <s v="Family Group"/>
    <s v="Ramesh"/>
    <m/>
    <s v="Has a bulk order requirement on 21st june"/>
    <s v="Cancelled"/>
    <m/>
    <m/>
    <n v="126"/>
    <s v=""/>
    <s v="Warm"/>
    <n v="25000"/>
    <m/>
    <m/>
    <m/>
    <x v="5"/>
    <m/>
    <m/>
    <m/>
    <x v="2"/>
    <m/>
    <s v=""/>
    <m/>
  </r>
  <r>
    <d v="2026-06-15T00:00:00"/>
    <s v="Pradeep"/>
    <s v="Hyderabad"/>
    <x v="221"/>
    <s v="F2F"/>
    <s v="Corporate"/>
    <x v="5"/>
    <s v="Bulk Order"/>
    <s v="New"/>
    <s v="It"/>
    <s v="Kiran "/>
    <m/>
    <s v="Proposed for Bulk order and Biryani Kits for Gifting"/>
    <s v="Cancelled"/>
    <d v="2026-08-29T00:00:00"/>
    <s v="Call"/>
    <n v="126"/>
    <s v=""/>
    <s v="Cold"/>
    <n v="45000"/>
    <m/>
    <m/>
    <m/>
    <x v="5"/>
    <m/>
    <m/>
    <m/>
    <x v="2"/>
    <m/>
    <s v=""/>
    <m/>
  </r>
  <r>
    <d v="2026-06-16T00:00:00"/>
    <s v="Pradeep"/>
    <s v="Hyderabad"/>
    <x v="222"/>
    <s v="F2F"/>
    <s v="Corporate"/>
    <x v="5"/>
    <s v="Bulk Order"/>
    <s v="New"/>
    <s v="It"/>
    <s v="Sruthi Rao"/>
    <m/>
    <s v="Proposed for Bulk order and Biryani Kits for Gifting"/>
    <s v="Cancelled"/>
    <m/>
    <m/>
    <n v="125"/>
    <s v=""/>
    <s v="Warm"/>
    <n v="55000"/>
    <m/>
    <m/>
    <m/>
    <x v="5"/>
    <m/>
    <m/>
    <m/>
    <x v="2"/>
    <m/>
    <s v=""/>
    <m/>
  </r>
  <r>
    <d v="2026-06-16T00:00:00"/>
    <s v="Pradeep"/>
    <s v="Hyderabad"/>
    <x v="223"/>
    <s v="F2F"/>
    <s v="Corporate"/>
    <x v="5"/>
    <s v="Bulk Order"/>
    <s v="New"/>
    <s v="It"/>
    <s v="Arif"/>
    <m/>
    <s v="Proposed for Bulk order and Biryani Kits for Gifting"/>
    <s v="Cancelled"/>
    <m/>
    <m/>
    <n v="125"/>
    <s v=""/>
    <s v="Warm"/>
    <n v="35000"/>
    <m/>
    <m/>
    <m/>
    <x v="5"/>
    <m/>
    <m/>
    <m/>
    <x v="2"/>
    <m/>
    <s v=""/>
    <m/>
  </r>
  <r>
    <d v="2026-06-16T00:00:00"/>
    <s v="Pradeep"/>
    <s v="Hyderabad"/>
    <x v="224"/>
    <s v="F2F"/>
    <s v="Corporate"/>
    <x v="5"/>
    <s v="Bulk Order"/>
    <s v="New"/>
    <s v="Manufacturing"/>
    <s v="Giridhar"/>
    <m/>
    <s v="Proposed for Bulk order and Biryani Kits for Gifting"/>
    <s v="Cancelled"/>
    <m/>
    <m/>
    <n v="125"/>
    <s v=""/>
    <s v="Cold"/>
    <n v="60000"/>
    <m/>
    <m/>
    <m/>
    <x v="5"/>
    <m/>
    <m/>
    <m/>
    <x v="2"/>
    <m/>
    <s v=""/>
    <m/>
  </r>
  <r>
    <d v="2026-06-16T00:00:00"/>
    <s v="Bashab"/>
    <s v="Bangalore"/>
    <x v="225"/>
    <s v="Call"/>
    <s v="Aggregator"/>
    <x v="1"/>
    <s v="Pop Up Counter"/>
    <s v="Repeat"/>
    <s v="It"/>
    <s v="Naveen"/>
    <m/>
    <s v="Pop-up counter done"/>
    <s v="Closed(C4)"/>
    <m/>
    <m/>
    <m/>
    <s v=""/>
    <s v="Hot"/>
    <n v="15000"/>
    <n v="22603"/>
    <d v="2026-06-16T00:00:00"/>
    <m/>
    <x v="12"/>
    <s v="Received at HO"/>
    <m/>
    <d v="2026-06-16T00:00:00"/>
    <x v="2"/>
    <m/>
    <s v=""/>
    <m/>
  </r>
  <r>
    <d v="2026-06-17T00:00:00"/>
    <s v="Pradeep"/>
    <s v="Hyderabad"/>
    <x v="226"/>
    <s v="F2F"/>
    <s v="Corporate"/>
    <x v="5"/>
    <s v="Bulk Order"/>
    <s v="New"/>
    <s v="Healthcare"/>
    <s v="Sunil"/>
    <m/>
    <s v="Bulk order Business Closed"/>
    <s v="Closed(C4)"/>
    <m/>
    <m/>
    <s v=""/>
    <s v=""/>
    <s v="Hot"/>
    <n v="15000"/>
    <n v="7494"/>
    <d v="2026-06-17T00:00:00"/>
    <s v="00SGA02000025219"/>
    <x v="5"/>
    <s v="Received at Store"/>
    <m/>
    <d v="2026-06-17T00:00:00"/>
    <x v="2"/>
    <m/>
    <s v=""/>
    <s v="Takeaway-Bulk-Insti"/>
  </r>
  <r>
    <d v="2026-06-17T00:00:00"/>
    <s v="Pradeep"/>
    <s v="Hyderabad"/>
    <x v="227"/>
    <s v="F2F"/>
    <s v="Corporate"/>
    <x v="5"/>
    <s v="Bulk Order"/>
    <s v="New"/>
    <s v="Healthcare"/>
    <s v="Asad"/>
    <m/>
    <s v="Bulk order Business Closed"/>
    <s v="Closed(C4)"/>
    <m/>
    <m/>
    <s v=""/>
    <s v=""/>
    <s v="Hot"/>
    <n v="30000"/>
    <n v="28000"/>
    <d v="2026-06-17T00:00:00"/>
    <s v="00PRTA1000054880"/>
    <x v="29"/>
    <s v="Received at Store"/>
    <m/>
    <d v="2026-06-17T00:00:00"/>
    <x v="2"/>
    <m/>
    <s v=""/>
    <s v="Takeaway-Bulk-Insti"/>
  </r>
  <r>
    <d v="2026-06-17T00:00:00"/>
    <s v="Bashab"/>
    <s v="Hyderabad"/>
    <x v="156"/>
    <s v="F2F"/>
    <s v="Aggregator"/>
    <x v="2"/>
    <s v="Bulk Order"/>
    <s v="New"/>
    <s v="F&amp;B Aggregator"/>
    <s v="Srinivas"/>
    <m/>
    <s v="Business Closed"/>
    <s v="Closed(C4)"/>
    <m/>
    <m/>
    <m/>
    <s v=""/>
    <s v="Hot"/>
    <n v="600000"/>
    <n v="602875"/>
    <d v="2026-06-17T00:00:00"/>
    <s v="CIFSPL270617"/>
    <x v="17"/>
    <s v="Received at HO"/>
    <m/>
    <m/>
    <x v="2"/>
    <m/>
    <s v=""/>
    <m/>
  </r>
  <r>
    <d v="2026-06-17T00:00:00"/>
    <s v="Pradeep"/>
    <s v="Hyderabad"/>
    <x v="156"/>
    <s v="F2F"/>
    <s v="Aggregator"/>
    <x v="2"/>
    <s v="Bulk Order"/>
    <s v="New"/>
    <s v="F&amp;B Aggregator"/>
    <s v="Srinivas"/>
    <m/>
    <s v="Business Closed"/>
    <s v="Closed(C4)"/>
    <m/>
    <m/>
    <m/>
    <s v=""/>
    <s v="Hot"/>
    <n v="600000"/>
    <n v="602875"/>
    <d v="2026-06-17T00:00:00"/>
    <s v="CIFSPL270617"/>
    <x v="17"/>
    <s v="Received at HO"/>
    <m/>
    <m/>
    <x v="2"/>
    <m/>
    <s v=""/>
    <m/>
  </r>
  <r>
    <d v="2026-06-17T00:00:00"/>
    <s v="Bashab"/>
    <s v="Bangalore"/>
    <x v="18"/>
    <s v="F2F"/>
    <s v="Corporate"/>
    <x v="5"/>
    <s v="Popup Counter"/>
    <s v="Repeat"/>
    <s v="Retail"/>
    <s v="Vinod"/>
    <m/>
    <s v="Business Closed"/>
    <s v="Closed(C4)"/>
    <m/>
    <m/>
    <m/>
    <s v=""/>
    <s v="Hot"/>
    <n v="15000"/>
    <n v="13898"/>
    <d v="2026-06-17T00:00:00"/>
    <s v="00WFC01000028006"/>
    <x v="7"/>
    <s v="Received at Store"/>
    <m/>
    <d v="2026-06-17T00:00:00"/>
    <x v="2"/>
    <m/>
    <s v=""/>
    <m/>
  </r>
  <r>
    <d v="2026-06-17T00:00:00"/>
    <s v="Bashab"/>
    <s v="Bangalore"/>
    <x v="16"/>
    <s v="Call"/>
    <s v="Corporate"/>
    <x v="5"/>
    <s v="Bulk Order"/>
    <s v="Repeat"/>
    <s v="Retail"/>
    <s v="Mohammed"/>
    <m/>
    <s v="Business Closed"/>
    <s v="Closed(C4)"/>
    <m/>
    <m/>
    <s v=""/>
    <s v=""/>
    <s v="Hot"/>
    <n v="20000"/>
    <n v="34832"/>
    <d v="2026-06-17T00:00:00"/>
    <s v="00HSA06000003468"/>
    <x v="3"/>
    <s v="Received at HO"/>
    <m/>
    <m/>
    <x v="2"/>
    <m/>
    <s v=""/>
    <m/>
  </r>
  <r>
    <d v="2026-06-17T00:00:00"/>
    <s v="Sameer"/>
    <s v="Bangalore"/>
    <x v="16"/>
    <s v="Call"/>
    <s v="Aggregator"/>
    <x v="2"/>
    <s v="Bulk Order"/>
    <s v="Repeat"/>
    <s v="F&amp;B Agrigator"/>
    <s v="Saad"/>
    <m/>
    <s v="Delivery in June Month from HSR"/>
    <s v="Closed(C4)"/>
    <m/>
    <m/>
    <s v=""/>
    <s v=""/>
    <s v="Hot"/>
    <n v="22687"/>
    <n v="34832"/>
    <d v="2026-06-17T00:00:00"/>
    <s v="00HSA06000003467"/>
    <x v="3"/>
    <s v="Received at HO"/>
    <m/>
    <m/>
    <x v="2"/>
    <m/>
    <m/>
    <m/>
  </r>
  <r>
    <d v="2026-06-18T00:00:00"/>
    <s v="Pradeep"/>
    <s v="Hyderabad"/>
    <x v="228"/>
    <s v="F2F"/>
    <s v="Bulk Order"/>
    <x v="5"/>
    <s v="Bulk Order"/>
    <s v="New"/>
    <s v="Church"/>
    <s v="Ishea"/>
    <m/>
    <s v="Business Closed"/>
    <s v="Closed(C4)"/>
    <m/>
    <m/>
    <s v=""/>
    <s v=""/>
    <s v="Hot"/>
    <n v="25000"/>
    <n v="13492"/>
    <d v="2026-06-18T00:00:00"/>
    <s v="C0KKPTB000488684"/>
    <x v="17"/>
    <s v="Received at Store"/>
    <m/>
    <d v="2026-06-18T00:00:00"/>
    <x v="2"/>
    <m/>
    <s v=""/>
    <s v="Takeaway-Bulk-Insti"/>
  </r>
  <r>
    <d v="2026-06-18T00:00:00"/>
    <s v="Pradeep"/>
    <s v="Hyderabad"/>
    <x v="229"/>
    <s v="F2F"/>
    <s v="Corporate"/>
    <x v="5"/>
    <s v="Bulk Order"/>
    <s v="New"/>
    <s v="Gifting"/>
    <s v="Jasebeer"/>
    <m/>
    <s v="Bulk order Business"/>
    <s v="Cancelled"/>
    <m/>
    <m/>
    <n v="123"/>
    <s v=""/>
    <s v="Warm"/>
    <n v="30000"/>
    <m/>
    <m/>
    <m/>
    <x v="5"/>
    <m/>
    <m/>
    <m/>
    <x v="2"/>
    <m/>
    <s v=""/>
    <m/>
  </r>
  <r>
    <d v="2026-06-18T00:00:00"/>
    <s v="Pradeep"/>
    <s v="Hyderabad"/>
    <x v="230"/>
    <s v="F2F"/>
    <s v="Corporate"/>
    <x v="5"/>
    <s v="Bulk Order"/>
    <s v="New"/>
    <s v="It"/>
    <s v="Preethi"/>
    <m/>
    <s v="Bulk order Business Closed"/>
    <s v="Cancelled"/>
    <m/>
    <m/>
    <n v="123"/>
    <s v=""/>
    <s v="Warm"/>
    <m/>
    <m/>
    <m/>
    <m/>
    <x v="5"/>
    <m/>
    <m/>
    <m/>
    <x v="2"/>
    <m/>
    <s v=""/>
    <m/>
  </r>
  <r>
    <d v="2026-06-18T00:00:00"/>
    <s v="Bashab"/>
    <s v="Bangalore"/>
    <x v="40"/>
    <s v="F2F"/>
    <s v="Corporate"/>
    <x v="5"/>
    <s v="Popup Counter"/>
    <s v="Repeat"/>
    <s v="Retail"/>
    <s v="Srinivas"/>
    <m/>
    <s v="Popup Confirmed"/>
    <s v="Closed(C4)"/>
    <m/>
    <m/>
    <m/>
    <s v=""/>
    <s v="Hot"/>
    <n v="15000"/>
    <n v="21245"/>
    <d v="2026-06-18T00:00:00"/>
    <s v="00WFC01000028021"/>
    <x v="7"/>
    <s v="Received at Store"/>
    <m/>
    <d v="2026-06-18T00:00:00"/>
    <x v="2"/>
    <m/>
    <s v=""/>
    <m/>
  </r>
  <r>
    <d v="2026-06-19T00:00:00"/>
    <s v="Pradeep"/>
    <s v="Hyderabad"/>
    <x v="204"/>
    <s v="F2F"/>
    <s v="Corporate"/>
    <x v="5"/>
    <s v="Bulk Order"/>
    <s v="New"/>
    <s v="Events"/>
    <s v="Venu"/>
    <m/>
    <s v="Bulk order Business Closed"/>
    <s v="Closed(C4)"/>
    <m/>
    <m/>
    <s v=""/>
    <s v=""/>
    <s v="Hot"/>
    <n v="50000"/>
    <n v="37580"/>
    <d v="2026-06-19T00:00:00"/>
    <s v="00STA02000024289"/>
    <x v="14"/>
    <s v="Received at Store"/>
    <m/>
    <d v="2026-06-19T00:00:00"/>
    <x v="2"/>
    <m/>
    <s v=""/>
    <s v="Takeaway-Bulk-Insti"/>
  </r>
  <r>
    <d v="2026-06-19T00:00:00"/>
    <s v="Pradeep"/>
    <s v="Hyderabad"/>
    <x v="231"/>
    <s v="F2F"/>
    <s v="Corporate"/>
    <x v="5"/>
    <s v="Bulk Order"/>
    <s v="New"/>
    <s v="Education"/>
    <s v="Jagan"/>
    <m/>
    <s v="Bulk order Business requirement on Saturday"/>
    <s v="Cancelled"/>
    <m/>
    <m/>
    <n v="122"/>
    <s v=""/>
    <s v="Hot"/>
    <n v="100000"/>
    <m/>
    <m/>
    <m/>
    <x v="5"/>
    <m/>
    <m/>
    <m/>
    <x v="2"/>
    <m/>
    <s v=""/>
    <m/>
  </r>
  <r>
    <d v="2026-06-19T00:00:00"/>
    <s v="Pradeep"/>
    <s v="Hyderabad"/>
    <x v="232"/>
    <s v="F2F"/>
    <s v="Corporate"/>
    <x v="5"/>
    <s v="Bulk Order"/>
    <s v="New"/>
    <s v="Church"/>
    <s v="Imanieal"/>
    <m/>
    <s v="Proposed for Bulk order and Biryani Kits for Gifting"/>
    <s v="Cancelled"/>
    <d v="2026-09-15T00:00:00"/>
    <s v="Call"/>
    <n v="122"/>
    <s v=""/>
    <s v="Warm"/>
    <n v="60000"/>
    <m/>
    <m/>
    <m/>
    <x v="5"/>
    <m/>
    <m/>
    <m/>
    <x v="2"/>
    <m/>
    <s v=""/>
    <m/>
  </r>
  <r>
    <d v="2026-06-19T00:00:00"/>
    <s v="Pradeep"/>
    <s v="Hyderabad"/>
    <x v="233"/>
    <s v="F2F"/>
    <s v="Corporate"/>
    <x v="5"/>
    <s v="Bulk Order"/>
    <s v="New"/>
    <s v="It"/>
    <s v="Ravinder"/>
    <m/>
    <s v="Proposed for Bulk Order and Biryani Kits for Gifting"/>
    <s v="Cancelled"/>
    <m/>
    <m/>
    <n v="122"/>
    <s v=""/>
    <s v="Cold"/>
    <n v="50000"/>
    <m/>
    <m/>
    <m/>
    <x v="5"/>
    <m/>
    <m/>
    <m/>
    <x v="2"/>
    <m/>
    <s v=""/>
    <m/>
  </r>
  <r>
    <d v="2026-06-19T00:00:00"/>
    <s v="Bashab"/>
    <s v="Bangalore"/>
    <x v="37"/>
    <s v="Call"/>
    <s v="Aggregator"/>
    <x v="1"/>
    <s v="Pop Up Counter"/>
    <s v="Repeat"/>
    <s v="It"/>
    <s v="Harish"/>
    <m/>
    <s v="Pop-up counter done"/>
    <s v="Closed(C4)"/>
    <m/>
    <m/>
    <m/>
    <s v=""/>
    <s v="Hot"/>
    <n v="15000"/>
    <n v="19190"/>
    <d v="2026-06-19T00:00:00"/>
    <m/>
    <x v="12"/>
    <s v="Received at HO"/>
    <m/>
    <m/>
    <x v="2"/>
    <m/>
    <s v=""/>
    <m/>
  </r>
  <r>
    <d v="2026-06-19T00:00:00"/>
    <s v="Bashab"/>
    <s v="Bangalore"/>
    <x v="41"/>
    <s v="Call"/>
    <s v="Aggregator"/>
    <x v="1"/>
    <s v="Pop Up Counter"/>
    <s v="Repeat"/>
    <s v="It"/>
    <s v="Harish"/>
    <m/>
    <s v="Pop-up counter done"/>
    <s v="Closed(C4)"/>
    <m/>
    <m/>
    <m/>
    <s v=""/>
    <s v="Hot"/>
    <n v="15000"/>
    <n v="22290"/>
    <d v="2026-06-19T00:00:00"/>
    <m/>
    <x v="12"/>
    <s v="Received at HO"/>
    <m/>
    <m/>
    <x v="2"/>
    <m/>
    <s v=""/>
    <m/>
  </r>
  <r>
    <d v="2026-06-19T00:00:00"/>
    <s v="Bashab"/>
    <s v="Bangalore"/>
    <x v="225"/>
    <s v="Call"/>
    <s v="Aggregator"/>
    <x v="1"/>
    <s v="Pop Up Counter"/>
    <s v="Repeat"/>
    <s v="It"/>
    <s v="Naveen"/>
    <m/>
    <s v="Pop-up counter done"/>
    <s v="Closed(C4)"/>
    <m/>
    <m/>
    <m/>
    <s v=""/>
    <s v="Hot"/>
    <n v="15000"/>
    <n v="25460"/>
    <d v="2026-06-19T00:00:00"/>
    <m/>
    <x v="12"/>
    <s v="Received at HO"/>
    <m/>
    <m/>
    <x v="2"/>
    <m/>
    <s v=""/>
    <m/>
  </r>
  <r>
    <d v="2026-06-22T00:00:00"/>
    <s v="Pradeep"/>
    <s v="Hyderabad"/>
    <x v="234"/>
    <s v="F2F"/>
    <s v="Corporate"/>
    <x v="5"/>
    <s v="Bulk Order"/>
    <s v="New"/>
    <s v="Manufacturing"/>
    <s v="Ravinder"/>
    <m/>
    <s v="Proposed for Bulk Order and Biryani Kits for Gifting"/>
    <s v="Cancelled"/>
    <m/>
    <m/>
    <n v="119"/>
    <s v=""/>
    <s v="Hot"/>
    <n v="60000"/>
    <m/>
    <m/>
    <m/>
    <x v="5"/>
    <m/>
    <m/>
    <m/>
    <x v="2"/>
    <m/>
    <s v=""/>
    <m/>
  </r>
  <r>
    <d v="2026-06-22T00:00:00"/>
    <s v="Pradeep"/>
    <s v="Hyderabad"/>
    <x v="80"/>
    <s v="F2F"/>
    <s v="Corporate"/>
    <x v="5"/>
    <s v="Bulk Order"/>
    <s v="Repeat"/>
    <s v="Healthcare"/>
    <s v="Sandeep"/>
    <m/>
    <s v="Bulk order of Biryani Kits"/>
    <s v="Closed(C4)"/>
    <m/>
    <m/>
    <s v=""/>
    <s v=""/>
    <s v="Hot"/>
    <m/>
    <n v="0"/>
    <m/>
    <m/>
    <x v="5"/>
    <m/>
    <m/>
    <m/>
    <x v="2"/>
    <m/>
    <s v=""/>
    <m/>
  </r>
  <r>
    <d v="2026-06-22T00:00:00"/>
    <s v="Pradeep"/>
    <s v="Hyderabad"/>
    <x v="235"/>
    <s v="F2F"/>
    <s v="Corporate"/>
    <x v="5"/>
    <s v="Bulk Order"/>
    <s v="New"/>
    <s v="Others"/>
    <s v="Kavya"/>
    <m/>
    <s v="Proposed for Bulk Order and Biryani Kits for Gifting"/>
    <s v="Cancelled"/>
    <m/>
    <m/>
    <n v="119"/>
    <s v=""/>
    <s v="Warm"/>
    <n v="60000"/>
    <m/>
    <m/>
    <m/>
    <x v="5"/>
    <m/>
    <m/>
    <m/>
    <x v="2"/>
    <m/>
    <s v=""/>
    <m/>
  </r>
  <r>
    <d v="2026-06-22T00:00:00"/>
    <s v="Pradeep"/>
    <s v="Hyderabad"/>
    <x v="236"/>
    <s v="F2F"/>
    <s v="Corporate"/>
    <x v="5"/>
    <s v="Bulk Order"/>
    <s v="New"/>
    <s v="It"/>
    <s v="Nandhini"/>
    <m/>
    <s v="Proposed for Bulk Order and Biryani Kits for Gifting"/>
    <s v="Cancelled"/>
    <m/>
    <m/>
    <n v="119"/>
    <s v=""/>
    <s v="Warm"/>
    <n v="35000"/>
    <m/>
    <m/>
    <m/>
    <x v="5"/>
    <m/>
    <m/>
    <m/>
    <x v="2"/>
    <m/>
    <s v=""/>
    <m/>
  </r>
  <r>
    <d v="2026-06-22T00:00:00"/>
    <s v="Pradeep"/>
    <s v="Hyderabad"/>
    <x v="237"/>
    <s v="F2F"/>
    <s v="Corporate"/>
    <x v="5"/>
    <s v="Bulk Order"/>
    <s v="New"/>
    <s v="Dealers &amp; Distributers"/>
    <s v="Shiva Krishna"/>
    <m/>
    <s v="Has a bulk order Requirement"/>
    <s v="Cancelled"/>
    <m/>
    <m/>
    <n v="119"/>
    <s v=""/>
    <s v="Warm"/>
    <n v="55000"/>
    <m/>
    <m/>
    <m/>
    <x v="5"/>
    <m/>
    <m/>
    <m/>
    <x v="2"/>
    <m/>
    <s v=""/>
    <m/>
  </r>
  <r>
    <d v="2026-06-22T00:00:00"/>
    <s v="Sameer"/>
    <s v="Hyderabad"/>
    <x v="80"/>
    <s v="F2F"/>
    <s v="Corporate"/>
    <x v="5"/>
    <s v="Bulk Order"/>
    <s v="Repeat"/>
    <s v="Healthcare"/>
    <s v="Sandeep"/>
    <m/>
    <s v="Business Closed Biryani Kits"/>
    <s v="Closed(C4)"/>
    <m/>
    <m/>
    <s v=""/>
    <s v=""/>
    <s v="Hot"/>
    <m/>
    <n v="0"/>
    <m/>
    <n v="22"/>
    <x v="5"/>
    <m/>
    <m/>
    <m/>
    <x v="2"/>
    <m/>
    <s v=""/>
    <m/>
  </r>
  <r>
    <d v="2026-06-23T00:00:00"/>
    <s v="Pradeep"/>
    <s v="Hyderabad"/>
    <x v="238"/>
    <s v="F2F"/>
    <s v="Corporate"/>
    <x v="5"/>
    <s v="Bulk Order"/>
    <s v="New"/>
    <s v="Healthcare"/>
    <s v="Jaya"/>
    <m/>
    <s v="Proposed for Bulk Order and Biryani Kits for Gifting"/>
    <s v="Cancelled"/>
    <m/>
    <m/>
    <m/>
    <m/>
    <s v="Warm"/>
    <n v="55000"/>
    <m/>
    <m/>
    <m/>
    <x v="5"/>
    <m/>
    <m/>
    <m/>
    <x v="2"/>
    <m/>
    <m/>
    <m/>
  </r>
  <r>
    <d v="2026-06-23T00:00:00"/>
    <s v="Pradeep"/>
    <s v="Hyderabad"/>
    <x v="239"/>
    <s v="F2F"/>
    <s v="Corporate"/>
    <x v="5"/>
    <s v="Bulk Order"/>
    <s v="New"/>
    <s v="Manufacturing"/>
    <s v="Karthik"/>
    <m/>
    <s v="Proposed for Bulk Order and Biryani Kits for Gifting"/>
    <s v="Cancelled"/>
    <m/>
    <m/>
    <m/>
    <m/>
    <s v="Cold"/>
    <n v="25000"/>
    <m/>
    <m/>
    <m/>
    <x v="5"/>
    <m/>
    <m/>
    <m/>
    <x v="2"/>
    <m/>
    <m/>
    <m/>
  </r>
  <r>
    <d v="2026-06-23T00:00:00"/>
    <s v="Pradeep"/>
    <s v="Hyderabad"/>
    <x v="240"/>
    <s v="F2F"/>
    <s v="Corporate"/>
    <x v="5"/>
    <s v="Bulk Order"/>
    <s v="New"/>
    <s v="It"/>
    <s v="Sandesh"/>
    <m/>
    <s v="Has a bulk order Requirement"/>
    <s v="Cancelled"/>
    <m/>
    <m/>
    <m/>
    <m/>
    <s v="Warm"/>
    <n v="42000"/>
    <m/>
    <m/>
    <m/>
    <x v="5"/>
    <m/>
    <m/>
    <m/>
    <x v="2"/>
    <m/>
    <m/>
    <m/>
  </r>
  <r>
    <d v="2026-06-23T00:00:00"/>
    <s v="Pradeep"/>
    <s v="Hyderabad"/>
    <x v="241"/>
    <s v="F2F"/>
    <s v="Corporate"/>
    <x v="5"/>
    <s v="Bulk Order"/>
    <s v="New"/>
    <s v="Manufacturing"/>
    <s v="Prasad"/>
    <m/>
    <s v="Proposed for Bulk Order and Biryani Kits for Gifting"/>
    <s v="Cancelled"/>
    <m/>
    <m/>
    <m/>
    <m/>
    <s v="Warm"/>
    <n v="30000"/>
    <m/>
    <m/>
    <m/>
    <x v="5"/>
    <m/>
    <m/>
    <m/>
    <x v="2"/>
    <m/>
    <m/>
    <m/>
  </r>
  <r>
    <d v="2026-06-24T00:00:00"/>
    <s v="Bashab"/>
    <s v="Bangalore"/>
    <x v="16"/>
    <s v="Call"/>
    <s v="Corporate"/>
    <x v="5"/>
    <s v="Bulk Order"/>
    <s v="Repeat"/>
    <s v="Retail"/>
    <s v="Mohammed"/>
    <m/>
    <s v="Business Closed"/>
    <s v="Closed(C4)"/>
    <m/>
    <m/>
    <s v=""/>
    <s v=""/>
    <s v="Hot"/>
    <n v="20000"/>
    <n v="26812"/>
    <d v="2026-06-24T00:00:00"/>
    <s v="00HSA06000003509"/>
    <x v="3"/>
    <s v="Received at HO"/>
    <m/>
    <m/>
    <x v="2"/>
    <m/>
    <m/>
    <m/>
  </r>
  <r>
    <d v="2026-06-24T00:00:00"/>
    <s v="Sameer"/>
    <s v="Bangalore"/>
    <x v="16"/>
    <s v="Call"/>
    <s v="Aggregator"/>
    <x v="2"/>
    <s v="Bulk Order"/>
    <s v="Repeat"/>
    <s v="F&amp;B Agrigator"/>
    <s v="Saad"/>
    <m/>
    <s v="Delivery in June Month from HSR"/>
    <s v="Closed(C4)"/>
    <m/>
    <m/>
    <s v=""/>
    <s v=""/>
    <s v="Hot"/>
    <n v="22687"/>
    <n v="26812"/>
    <d v="2026-06-24T00:00:00"/>
    <s v="00HSA06000003509"/>
    <x v="3"/>
    <s v="Received at HO"/>
    <m/>
    <m/>
    <x v="2"/>
    <m/>
    <m/>
    <m/>
  </r>
  <r>
    <d v="2026-06-24T00:00:00"/>
    <s v="Bashab"/>
    <s v="Hyderabad"/>
    <x v="156"/>
    <s v="F2F"/>
    <s v="Aggregator"/>
    <x v="2"/>
    <s v="Bulk Order"/>
    <s v="New"/>
    <s v="F&amp;B Aggregator"/>
    <s v="Srinivas"/>
    <m/>
    <s v="Business Closed"/>
    <s v="Closed(C4)"/>
    <m/>
    <m/>
    <m/>
    <s v=""/>
    <s v="Hot"/>
    <n v="700000"/>
    <n v="792400"/>
    <d v="2026-06-24T00:00:00"/>
    <s v="CIFSPL270624"/>
    <x v="17"/>
    <s v="Received at HO"/>
    <m/>
    <m/>
    <x v="2"/>
    <m/>
    <s v=""/>
    <m/>
  </r>
  <r>
    <d v="2026-06-24T00:00:00"/>
    <s v="Sameer"/>
    <s v="Hyderabad"/>
    <x v="156"/>
    <s v="F2F"/>
    <s v="Aggregator"/>
    <x v="2"/>
    <s v="Bulk Order"/>
    <s v="New"/>
    <s v="F&amp;B Aggregator"/>
    <s v="Srinivas"/>
    <m/>
    <s v="Business Closed"/>
    <s v="Closed(C4)"/>
    <m/>
    <m/>
    <m/>
    <s v=""/>
    <s v="Hot"/>
    <n v="700000"/>
    <n v="792400"/>
    <d v="2026-06-24T00:00:00"/>
    <s v="CIFSPL270624"/>
    <x v="17"/>
    <s v="Received at HO"/>
    <m/>
    <m/>
    <x v="2"/>
    <m/>
    <s v=""/>
    <m/>
  </r>
  <r>
    <d v="2026-06-24T00:00:00"/>
    <s v="Bashab"/>
    <s v="Bangalore"/>
    <x v="31"/>
    <s v="F2F"/>
    <s v="Corporate"/>
    <x v="5"/>
    <s v="Popup Counter"/>
    <s v="Repeat"/>
    <s v="Retail"/>
    <s v="Mueenudheen"/>
    <m/>
    <s v="Popup Confirmed"/>
    <s v="Closed(C4)"/>
    <m/>
    <m/>
    <m/>
    <s v=""/>
    <s v="Hot"/>
    <n v="15000"/>
    <n v="12853"/>
    <d v="2026-06-24T00:00:00"/>
    <s v="00WFTA1000038447"/>
    <x v="7"/>
    <s v="Received at Store"/>
    <m/>
    <d v="2026-06-24T00:00:00"/>
    <x v="2"/>
    <m/>
    <s v=""/>
    <m/>
  </r>
  <r>
    <d v="2026-06-24T00:00:00"/>
    <s v="Pradeep"/>
    <s v="Hyderabad"/>
    <x v="242"/>
    <s v="F2F"/>
    <s v="Corporate"/>
    <x v="5"/>
    <s v="Bulk Order"/>
    <s v="New"/>
    <s v="It"/>
    <s v="Prakesh"/>
    <m/>
    <s v="Proposed for Bulk Order and Biryani Kits for Gifting"/>
    <s v="Cancelled"/>
    <d v="2026-08-20T00:00:00"/>
    <s v="Call"/>
    <m/>
    <m/>
    <s v="Warm"/>
    <n v="100000"/>
    <m/>
    <m/>
    <m/>
    <x v="5"/>
    <m/>
    <m/>
    <m/>
    <x v="2"/>
    <m/>
    <m/>
    <m/>
  </r>
  <r>
    <d v="2026-06-24T00:00:00"/>
    <s v="Pradeep"/>
    <s v="Hyderabad"/>
    <x v="243"/>
    <s v="F2F"/>
    <s v="Corporate"/>
    <x v="5"/>
    <s v="Bulk Order"/>
    <s v="New"/>
    <s v="It"/>
    <s v="Shaliniu"/>
    <m/>
    <s v="Has a bulk order Requirement"/>
    <s v="Cancelled"/>
    <m/>
    <m/>
    <m/>
    <m/>
    <s v="Warm"/>
    <n v="40000"/>
    <m/>
    <m/>
    <m/>
    <x v="5"/>
    <m/>
    <m/>
    <m/>
    <x v="2"/>
    <m/>
    <m/>
    <m/>
  </r>
  <r>
    <d v="2026-06-24T00:00:00"/>
    <s v="Pradeep"/>
    <s v="Hyderabad"/>
    <x v="244"/>
    <s v="F2F"/>
    <s v="Corporate"/>
    <x v="5"/>
    <s v="Bulk Order"/>
    <s v="New"/>
    <s v="Manufacturing"/>
    <s v="Ravi"/>
    <m/>
    <s v="Proposed for Bulk Order and Biryani Kits for Gifting"/>
    <s v="Cancelled"/>
    <m/>
    <m/>
    <m/>
    <m/>
    <s v="Warm"/>
    <n v="70000"/>
    <m/>
    <m/>
    <m/>
    <x v="5"/>
    <m/>
    <m/>
    <m/>
    <x v="2"/>
    <m/>
    <m/>
    <m/>
  </r>
  <r>
    <d v="2026-06-24T00:00:00"/>
    <s v="Pradeep"/>
    <s v="Hyderabad"/>
    <x v="245"/>
    <s v="F2F"/>
    <s v="Corporate"/>
    <x v="5"/>
    <s v="Bulk Order"/>
    <s v="New"/>
    <s v="Manufacturing"/>
    <s v="Girisha"/>
    <m/>
    <s v="Proposed for Bulk Order and Biryani Kits for Gifting"/>
    <s v="Cancelled"/>
    <m/>
    <m/>
    <m/>
    <m/>
    <s v="Hot"/>
    <n v="35000"/>
    <m/>
    <m/>
    <m/>
    <x v="5"/>
    <m/>
    <m/>
    <m/>
    <x v="2"/>
    <m/>
    <m/>
    <m/>
  </r>
  <r>
    <d v="2026-06-25T00:00:00"/>
    <s v="Pradeep"/>
    <s v="Hyderabad"/>
    <x v="246"/>
    <s v="F2F"/>
    <s v="Corporate"/>
    <x v="5"/>
    <s v="Bulk Order"/>
    <s v="New"/>
    <s v="Manufacturing"/>
    <s v="Durga Prasad"/>
    <m/>
    <s v="Introduction and shared details of next order"/>
    <s v="Closed(C4)"/>
    <m/>
    <m/>
    <m/>
    <m/>
    <s v="Hot"/>
    <n v="0"/>
    <n v="0"/>
    <m/>
    <m/>
    <x v="5"/>
    <m/>
    <m/>
    <m/>
    <x v="2"/>
    <m/>
    <m/>
    <m/>
  </r>
  <r>
    <d v="2026-06-25T00:00:00"/>
    <s v="Vishwanath"/>
    <s v="Bangalore"/>
    <x v="247"/>
    <s v="F2F"/>
    <s v="Corporate"/>
    <x v="5"/>
    <s v="Bulk Order"/>
    <s v="New"/>
    <s v="Healthcare"/>
    <s v="Joe"/>
    <m/>
    <s v="Has a Bulk order Requirement"/>
    <s v="Closed(C4)"/>
    <m/>
    <m/>
    <s v=""/>
    <s v=""/>
    <s v="Hot"/>
    <n v="15000"/>
    <n v="24300"/>
    <d v="2026-06-25T00:00:00"/>
    <m/>
    <x v="5"/>
    <s v="Received at Store"/>
    <m/>
    <d v="2026-06-25T00:00:00"/>
    <x v="2"/>
    <m/>
    <s v=""/>
    <m/>
  </r>
  <r>
    <d v="2026-06-25T00:00:00"/>
    <s v="Bashab"/>
    <s v="Bangalore"/>
    <x v="40"/>
    <s v="F2F"/>
    <s v="Corporate"/>
    <x v="5"/>
    <s v="Popup Counter"/>
    <s v="Repeat"/>
    <s v="Retail"/>
    <s v="Srinivas"/>
    <m/>
    <s v="Popup Confirmed"/>
    <s v="Closed(C4)"/>
    <m/>
    <m/>
    <m/>
    <s v=""/>
    <s v="Hot"/>
    <n v="15000"/>
    <n v="20287"/>
    <d v="2026-06-25T00:00:00"/>
    <s v="00WFDE1000019173"/>
    <x v="7"/>
    <s v="Received at Store"/>
    <m/>
    <d v="2026-06-25T00:00:00"/>
    <x v="2"/>
    <m/>
    <s v=""/>
    <m/>
  </r>
  <r>
    <d v="2026-06-25T00:00:00"/>
    <s v="Pradeep"/>
    <s v="Hyderabad"/>
    <x v="248"/>
    <s v="F2F"/>
    <s v="Corporate"/>
    <x v="5"/>
    <s v="Bulk Order"/>
    <s v="New"/>
    <s v="Realestate"/>
    <s v="Rupa rani"/>
    <m/>
    <s v="Proposed for Bulk Order and Biryani Kits for Gifting"/>
    <s v="Cancelled"/>
    <m/>
    <m/>
    <m/>
    <m/>
    <s v="Cold"/>
    <n v="40000"/>
    <m/>
    <m/>
    <m/>
    <x v="5"/>
    <m/>
    <m/>
    <m/>
    <x v="2"/>
    <m/>
    <m/>
    <m/>
  </r>
  <r>
    <d v="2026-06-25T00:00:00"/>
    <s v="Pradeep"/>
    <s v="Hyderabad"/>
    <x v="249"/>
    <s v="F2F"/>
    <s v="Corporate"/>
    <x v="5"/>
    <s v="Bulk Order"/>
    <s v="New"/>
    <s v="It"/>
    <s v="Sandeep"/>
    <m/>
    <s v="Has a Bulk order Requirement"/>
    <s v="Cancelled"/>
    <m/>
    <m/>
    <m/>
    <m/>
    <s v="Warm"/>
    <n v="65000"/>
    <m/>
    <m/>
    <m/>
    <x v="5"/>
    <m/>
    <m/>
    <m/>
    <x v="2"/>
    <m/>
    <m/>
    <m/>
  </r>
  <r>
    <d v="2026-06-25T00:00:00"/>
    <s v="Pradeep"/>
    <s v="Hyderabad"/>
    <x v="250"/>
    <s v="F2F"/>
    <s v="Corporate"/>
    <x v="5"/>
    <s v="Bulk Order"/>
    <s v="New"/>
    <s v="It"/>
    <s v="Sravya"/>
    <m/>
    <s v="Proposed for Bulk Order and Biryani Kits for Gifting"/>
    <s v="Cancelled"/>
    <m/>
    <m/>
    <m/>
    <m/>
    <s v="Cold"/>
    <n v="40000"/>
    <m/>
    <m/>
    <m/>
    <x v="5"/>
    <m/>
    <m/>
    <m/>
    <x v="2"/>
    <m/>
    <m/>
    <m/>
  </r>
  <r>
    <d v="2026-06-26T00:00:00"/>
    <s v="Pradeep"/>
    <s v="Hyderabad"/>
    <x v="246"/>
    <s v="F2F"/>
    <s v="Corporate"/>
    <x v="5"/>
    <s v="Bulk Order"/>
    <s v="New"/>
    <s v="Manufacturing"/>
    <s v="Durga Prasad"/>
    <m/>
    <s v="Business Closed"/>
    <s v="Closed(C4)"/>
    <m/>
    <m/>
    <m/>
    <m/>
    <s v="Hot"/>
    <n v="20000"/>
    <n v="11487"/>
    <d v="2026-06-25T00:00:00"/>
    <s v="00BGA9000033931"/>
    <x v="15"/>
    <s v="Received at Store"/>
    <m/>
    <d v="2026-06-25T00:00:00"/>
    <x v="2"/>
    <m/>
    <m/>
    <s v="Takeaway-Bulk-Insti"/>
  </r>
  <r>
    <d v="2026-06-26T00:00:00"/>
    <s v="Pradeep"/>
    <s v="Hyderabad"/>
    <x v="251"/>
    <s v="F2F"/>
    <s v="Corporate"/>
    <x v="5"/>
    <s v="Bulk Order"/>
    <s v="New"/>
    <s v="Retail"/>
    <s v="Gladson"/>
    <m/>
    <s v="Business Closed"/>
    <s v="Closed(C4)"/>
    <m/>
    <m/>
    <s v=""/>
    <s v=""/>
    <s v="Hot"/>
    <n v="15000"/>
    <n v="11917"/>
    <d v="2026-06-26T00:00:00"/>
    <s v="00GCBTA000292416"/>
    <x v="2"/>
    <s v="Received at Store"/>
    <m/>
    <d v="2026-06-26T00:00:00"/>
    <x v="2"/>
    <m/>
    <s v=""/>
    <s v="Takeaway-Bulk-Insti"/>
  </r>
  <r>
    <d v="2026-06-26T00:00:00"/>
    <s v="Pradeep"/>
    <s v="Hyderabad"/>
    <x v="61"/>
    <s v="F2F"/>
    <s v="Corporate"/>
    <x v="5"/>
    <s v="Bulk Order"/>
    <s v="New"/>
    <s v="FMCG"/>
    <s v="Sana Ullaha Khan"/>
    <m/>
    <s v="Business Closed"/>
    <s v="Closed(C4)"/>
    <m/>
    <m/>
    <s v=""/>
    <s v=""/>
    <s v="Hot"/>
    <n v="20000"/>
    <n v="18507"/>
    <d v="2026-06-26T00:00:00"/>
    <s v="00BGA09000034014"/>
    <x v="15"/>
    <s v="Received at Store"/>
    <m/>
    <d v="2026-06-26T00:00:00"/>
    <x v="2"/>
    <m/>
    <s v=""/>
    <s v="Takeaway-Bulk-Insti"/>
  </r>
  <r>
    <d v="2026-06-26T00:00:00"/>
    <s v="Pradeep"/>
    <s v="Hyderabad"/>
    <x v="252"/>
    <s v="F2F"/>
    <s v="Corporate"/>
    <x v="5"/>
    <s v="Bulk Order"/>
    <s v="New"/>
    <s v="It"/>
    <s v="Swathi"/>
    <m/>
    <s v="Proposed for Bulk Order and Biryani Kits for Gifting"/>
    <s v="Cancelled"/>
    <m/>
    <m/>
    <n v="115"/>
    <s v=""/>
    <s v="Cold"/>
    <n v="100000"/>
    <m/>
    <m/>
    <m/>
    <x v="5"/>
    <m/>
    <m/>
    <m/>
    <x v="2"/>
    <m/>
    <s v=""/>
    <m/>
  </r>
  <r>
    <d v="2026-06-26T00:00:00"/>
    <s v="Pradeep"/>
    <s v="Hyderabad"/>
    <x v="253"/>
    <s v="F2F"/>
    <s v="Corporate"/>
    <x v="5"/>
    <s v="Bulk Order"/>
    <s v="New"/>
    <s v="Healthcare"/>
    <s v="Nadeem"/>
    <m/>
    <s v="Has a Bulk order Requirement, Negotitaion with client ."/>
    <s v="Cancelled"/>
    <m/>
    <m/>
    <n v="115"/>
    <s v=""/>
    <s v="Warm"/>
    <n v="50000"/>
    <m/>
    <m/>
    <m/>
    <x v="5"/>
    <m/>
    <m/>
    <m/>
    <x v="2"/>
    <m/>
    <s v=""/>
    <m/>
  </r>
  <r>
    <d v="2026-06-26T00:00:00"/>
    <s v="Pradeep"/>
    <s v="Hyderabad"/>
    <x v="189"/>
    <s v="F2F"/>
    <s v="Corporate"/>
    <x v="5"/>
    <s v="Bulk Order"/>
    <s v="New"/>
    <s v="It"/>
    <s v="Suman"/>
    <m/>
    <s v="Bulk Order for Mandi has cancelled coz we dont serve"/>
    <s v="Cancelled"/>
    <m/>
    <m/>
    <m/>
    <m/>
    <s v="Hot"/>
    <n v="200000"/>
    <m/>
    <m/>
    <m/>
    <x v="5"/>
    <m/>
    <m/>
    <m/>
    <x v="2"/>
    <m/>
    <m/>
    <m/>
  </r>
  <r>
    <d v="2026-06-28T00:00:00"/>
    <s v="Vishwanath"/>
    <s v="Bangalore"/>
    <x v="254"/>
    <s v="F2F"/>
    <s v="Corporate"/>
    <x v="5"/>
    <s v="Bulk Order"/>
    <s v="New"/>
    <s v="Events"/>
    <s v="Sujin"/>
    <m/>
    <s v="Business Closed"/>
    <s v="Closed(C4)"/>
    <m/>
    <m/>
    <s v=""/>
    <s v=""/>
    <s v="Hot"/>
    <n v="7000"/>
    <n v="5388"/>
    <d v="2026-06-28T00:00:00"/>
    <s v="00ENLC1000000355"/>
    <x v="6"/>
    <s v="Received at HO"/>
    <m/>
    <d v="2026-06-28T00:00:00"/>
    <x v="2"/>
    <m/>
    <s v=""/>
    <s v="Takeaway-Bulk-Insti"/>
  </r>
  <r>
    <d v="2026-06-28T00:00:00"/>
    <s v="Vishwanath"/>
    <s v="Bangalore"/>
    <x v="254"/>
    <s v="F2F"/>
    <s v="Corporate"/>
    <x v="5"/>
    <s v="Bulk Order"/>
    <s v="New"/>
    <s v="Events"/>
    <s v="Sujin"/>
    <m/>
    <s v="Business Closed"/>
    <s v="Closed(C4)"/>
    <m/>
    <m/>
    <s v=""/>
    <s v=""/>
    <s v="Hot"/>
    <n v="7000"/>
    <n v="8783"/>
    <d v="2026-06-28T00:00:00"/>
    <s v="00ENLC1000000360"/>
    <x v="6"/>
    <s v="Received at HO"/>
    <m/>
    <d v="2026-06-28T00:00:00"/>
    <x v="2"/>
    <m/>
    <s v=""/>
    <s v="Takeaway-Bulk-Insti"/>
  </r>
  <r>
    <d v="2026-06-29T00:00:00"/>
    <s v="Pradeep"/>
    <s v="Hyderabad"/>
    <x v="255"/>
    <s v="F2F"/>
    <s v="Corporate"/>
    <x v="5"/>
    <s v="Bulk Order"/>
    <s v="New"/>
    <s v="It"/>
    <s v="Priya"/>
    <m/>
    <s v="Proposed for Bulk Order and Biryani Kits for Gifting, in fallowup with client"/>
    <s v="Cancelled"/>
    <d v="2026-08-21T00:00:00"/>
    <s v="Call"/>
    <n v="112"/>
    <s v=""/>
    <s v="Cold"/>
    <n v="30000"/>
    <m/>
    <m/>
    <m/>
    <x v="5"/>
    <m/>
    <m/>
    <m/>
    <x v="2"/>
    <m/>
    <s v=""/>
    <m/>
  </r>
  <r>
    <d v="2026-06-29T00:00:00"/>
    <s v="Pradeep"/>
    <s v="Hyderabad"/>
    <x v="256"/>
    <s v="F2F"/>
    <s v="Corporate"/>
    <x v="5"/>
    <s v="Bulk Order"/>
    <s v="New"/>
    <s v="It"/>
    <s v="Sanjeev Sharma"/>
    <m/>
    <s v="Proposed for Bulk Order and Biryani Kits for Gifting"/>
    <s v="Cancelled"/>
    <m/>
    <s v="Call"/>
    <n v="112"/>
    <s v=""/>
    <s v="Warm"/>
    <n v="60000"/>
    <m/>
    <m/>
    <m/>
    <x v="5"/>
    <m/>
    <m/>
    <m/>
    <x v="2"/>
    <m/>
    <s v=""/>
    <m/>
  </r>
  <r>
    <d v="2026-06-29T00:00:00"/>
    <s v="Pradeep"/>
    <s v="Hyderabad"/>
    <x v="257"/>
    <s v="F2F"/>
    <s v="Corporate"/>
    <x v="5"/>
    <s v="Bulk Order"/>
    <s v="New"/>
    <s v="It"/>
    <s v="Rajesh"/>
    <m/>
    <s v="Proposed for Bulk Order and Biryani Kits for Gifting"/>
    <s v="Cancelled"/>
    <m/>
    <m/>
    <n v="112"/>
    <s v=""/>
    <s v="Cold"/>
    <n v="50000"/>
    <m/>
    <m/>
    <m/>
    <x v="5"/>
    <m/>
    <m/>
    <m/>
    <x v="2"/>
    <m/>
    <s v=""/>
    <m/>
  </r>
  <r>
    <d v="2026-06-29T00:00:00"/>
    <s v="Pradeep"/>
    <s v="Hyderabad"/>
    <x v="258"/>
    <s v="F2F"/>
    <s v="Aggregator"/>
    <x v="6"/>
    <s v="Bulk Order"/>
    <s v="New"/>
    <s v="Events"/>
    <s v="Naushad"/>
    <m/>
    <s v="Has a Bulk order Requirement in July 2nd week"/>
    <s v="Closed(C4)"/>
    <m/>
    <m/>
    <s v=""/>
    <s v=""/>
    <s v="Hot"/>
    <n v="40000"/>
    <m/>
    <m/>
    <m/>
    <x v="5"/>
    <m/>
    <m/>
    <m/>
    <x v="2"/>
    <m/>
    <s v=""/>
    <m/>
  </r>
  <r>
    <d v="2026-06-29T00:00:00"/>
    <s v="Pradeep"/>
    <s v="Hyderabad"/>
    <x v="259"/>
    <s v="F2F"/>
    <s v="Corporate"/>
    <x v="5"/>
    <s v="Bulk Order"/>
    <s v="New"/>
    <s v="It"/>
    <s v="Bhargav"/>
    <m/>
    <s v="Proposed for Bulk Order and Biryani Kits for Gifting"/>
    <s v="Cancelled"/>
    <m/>
    <m/>
    <n v="112"/>
    <s v=""/>
    <s v="Warm"/>
    <n v="40000"/>
    <m/>
    <m/>
    <m/>
    <x v="5"/>
    <m/>
    <m/>
    <m/>
    <x v="2"/>
    <m/>
    <s v=""/>
    <m/>
  </r>
  <r>
    <d v="2026-06-30T00:00:00"/>
    <s v="Sameer"/>
    <s v="Hyderabad"/>
    <x v="260"/>
    <s v="F2F"/>
    <s v="Aggregator"/>
    <x v="3"/>
    <s v="Pop Up Counter"/>
    <s v="New"/>
    <s v="It"/>
    <s v="Ajesh"/>
    <m/>
    <s v="Popup Counter"/>
    <s v="Closed(C4)"/>
    <m/>
    <m/>
    <s v=""/>
    <s v=""/>
    <s v="Hot"/>
    <n v="10000"/>
    <n v="13003"/>
    <d v="2026-06-30T00:00:00"/>
    <s v="00GCBTA000292799"/>
    <x v="2"/>
    <s v="Pending"/>
    <m/>
    <m/>
    <x v="2"/>
    <m/>
    <s v=""/>
    <m/>
  </r>
  <r>
    <d v="2026-06-30T00:00:00"/>
    <s v="Sameer"/>
    <s v="Hyderabad"/>
    <x v="261"/>
    <s v="F2F"/>
    <s v="Aggregator"/>
    <x v="3"/>
    <s v="Pop Up Counter"/>
    <s v="New"/>
    <s v="It"/>
    <s v="Sandhya"/>
    <m/>
    <s v="Popup Counter"/>
    <s v="Closed(C4)"/>
    <m/>
    <m/>
    <s v=""/>
    <s v=""/>
    <s v="Hot"/>
    <n v="12000"/>
    <n v="13441"/>
    <d v="2026-06-30T00:00:00"/>
    <s v="00GCBTA000292800"/>
    <x v="2"/>
    <s v="Pending"/>
    <m/>
    <m/>
    <x v="2"/>
    <m/>
    <s v=""/>
    <m/>
  </r>
  <r>
    <d v="2026-06-30T00:00:00"/>
    <s v="Bashab"/>
    <s v="Bangalore"/>
    <x v="31"/>
    <s v="F2F"/>
    <s v="Corporate"/>
    <x v="5"/>
    <s v="Popup Counter"/>
    <s v="Repeat"/>
    <s v="Retail"/>
    <s v="Mueenudheen"/>
    <m/>
    <s v="Popup Confirmed"/>
    <s v="Closed(C4)"/>
    <m/>
    <m/>
    <m/>
    <s v=""/>
    <s v="Hot"/>
    <n v="15000"/>
    <n v="8440"/>
    <d v="2026-06-30T00:00:00"/>
    <s v="00WFTA1000038589"/>
    <x v="7"/>
    <s v="Received at Store"/>
    <m/>
    <d v="2026-06-30T00:00:00"/>
    <x v="2"/>
    <m/>
    <s v=""/>
    <m/>
  </r>
  <r>
    <d v="2026-06-30T00:00:00"/>
    <s v="Pradeep"/>
    <s v="Hyderabad"/>
    <x v="262"/>
    <s v="F2F"/>
    <s v="Corporate"/>
    <x v="5"/>
    <s v="Bulk Order"/>
    <s v="New"/>
    <s v="It"/>
    <s v="Mena"/>
    <m/>
    <s v="Bulk order requirement for 1500 pax Biryani &amp; Mulbary Malai"/>
    <s v="Cancelled"/>
    <m/>
    <m/>
    <m/>
    <m/>
    <s v="Hot"/>
    <n v="200000"/>
    <m/>
    <m/>
    <m/>
    <x v="5"/>
    <m/>
    <m/>
    <m/>
    <x v="2"/>
    <m/>
    <m/>
    <m/>
  </r>
  <r>
    <d v="2026-06-30T00:00:00"/>
    <s v="Pradeep"/>
    <s v="Hyderabad"/>
    <x v="263"/>
    <s v="F2F"/>
    <s v="Corporate"/>
    <x v="5"/>
    <s v="Bulk Order"/>
    <s v="New"/>
    <s v="Events"/>
    <s v="Nawsad"/>
    <m/>
    <s v="Bulk order requirement  9th to 11th July"/>
    <s v="Closed(C4)"/>
    <m/>
    <m/>
    <m/>
    <m/>
    <s v="Hot"/>
    <n v="450000"/>
    <m/>
    <m/>
    <m/>
    <x v="5"/>
    <m/>
    <m/>
    <m/>
    <x v="2"/>
    <m/>
    <m/>
    <m/>
  </r>
  <r>
    <d v="2026-06-30T00:00:00"/>
    <s v="Pradeep"/>
    <s v="Hyderabad"/>
    <x v="264"/>
    <s v="F2F"/>
    <s v="Corporate"/>
    <x v="5"/>
    <s v="Bulk Order"/>
    <s v="New"/>
    <s v="It"/>
    <s v="Ruhi"/>
    <m/>
    <s v="Proposed for Bulk Order and Biryani Kits for Gifting"/>
    <s v="Cancelled"/>
    <d v="2026-08-24T00:00:00"/>
    <s v="Call"/>
    <m/>
    <m/>
    <s v="Warm"/>
    <n v="50000"/>
    <m/>
    <m/>
    <m/>
    <x v="5"/>
    <m/>
    <m/>
    <m/>
    <x v="2"/>
    <m/>
    <m/>
    <m/>
  </r>
  <r>
    <d v="2026-06-30T00:00:00"/>
    <s v="Pradeep"/>
    <s v="Hyderabad"/>
    <x v="265"/>
    <s v="F2F"/>
    <s v="Corporate"/>
    <x v="5"/>
    <s v="Bulk Order"/>
    <s v="New"/>
    <s v="It"/>
    <s v="Shailesh"/>
    <m/>
    <s v="Proposed for Bulk Order and Biryani Kits for Gifting"/>
    <s v="Cancelled"/>
    <m/>
    <m/>
    <m/>
    <m/>
    <s v="Warm"/>
    <n v="30000"/>
    <m/>
    <m/>
    <m/>
    <x v="5"/>
    <m/>
    <m/>
    <m/>
    <x v="2"/>
    <m/>
    <m/>
    <m/>
  </r>
  <r>
    <d v="2026-07-01T00:00:00"/>
    <s v="Bashab"/>
    <s v="Bangalore"/>
    <x v="15"/>
    <s v="F2F"/>
    <s v="Corporate"/>
    <x v="5"/>
    <s v="Popup Counter"/>
    <s v="Repeat"/>
    <s v="Retail"/>
    <s v="James"/>
    <m/>
    <s v="Popup Confirmed"/>
    <s v="Closed(C4)"/>
    <m/>
    <m/>
    <m/>
    <s v=""/>
    <s v="Hot"/>
    <n v="10000"/>
    <n v="12122"/>
    <d v="2026-07-01T00:00:00"/>
    <s v="00WFTA1000038600"/>
    <x v="7"/>
    <s v="Received at Store"/>
    <m/>
    <d v="2026-07-01T00:00:00"/>
    <x v="3"/>
    <m/>
    <s v=""/>
    <m/>
  </r>
  <r>
    <d v="2026-07-01T00:00:00"/>
    <s v="Bashab"/>
    <s v="Chennai"/>
    <x v="215"/>
    <s v="Call"/>
    <s v="Aggregator"/>
    <x v="0"/>
    <s v="Popup Counter"/>
    <s v="New"/>
    <s v="It"/>
    <s v="Raj"/>
    <m/>
    <s v="Business Closed"/>
    <s v="Closed(C4)"/>
    <m/>
    <m/>
    <s v=""/>
    <s v=""/>
    <s v="Hot"/>
    <n v="20000"/>
    <n v="23025"/>
    <d v="2026-07-01T00:00:00"/>
    <m/>
    <x v="5"/>
    <s v="Received at HO"/>
    <m/>
    <m/>
    <x v="3"/>
    <m/>
    <s v=""/>
    <m/>
  </r>
  <r>
    <d v="2026-07-01T00:00:00"/>
    <s v="Bashab"/>
    <s v="Chennai"/>
    <x v="266"/>
    <s v="Call"/>
    <s v="Aggregator"/>
    <x v="1"/>
    <s v="Popup Counter"/>
    <s v="New"/>
    <s v="It"/>
    <s v="Nagarajan"/>
    <m/>
    <s v="Business Closed"/>
    <s v="Closed(C4)"/>
    <m/>
    <m/>
    <s v=""/>
    <s v=""/>
    <s v="Hot"/>
    <n v="20000"/>
    <n v="34901"/>
    <d v="2026-07-01T00:00:00"/>
    <m/>
    <x v="30"/>
    <s v="Received at HO"/>
    <m/>
    <m/>
    <x v="3"/>
    <m/>
    <s v=""/>
    <m/>
  </r>
  <r>
    <d v="2026-07-01T00:00:00"/>
    <s v="Bashab"/>
    <s v="Bangalore"/>
    <x v="37"/>
    <s v="Call"/>
    <s v="Aggregator"/>
    <x v="1"/>
    <s v="Pop Up Counter"/>
    <s v="Repeat"/>
    <s v="It"/>
    <s v="Harish"/>
    <m/>
    <s v="Pop-up counter done"/>
    <s v="Closed(C4)"/>
    <m/>
    <m/>
    <m/>
    <s v=""/>
    <s v="Hot"/>
    <n v="15000"/>
    <n v="13000"/>
    <d v="2026-07-01T00:00:00"/>
    <m/>
    <x v="12"/>
    <s v="Received at HO"/>
    <m/>
    <m/>
    <x v="3"/>
    <m/>
    <s v=""/>
    <m/>
  </r>
  <r>
    <d v="2026-07-01T00:00:00"/>
    <s v="Bashab"/>
    <s v="Bangalore"/>
    <x v="41"/>
    <s v="Call"/>
    <s v="Aggregator"/>
    <x v="1"/>
    <s v="Pop Up Counter"/>
    <s v="Repeat"/>
    <s v="It"/>
    <s v="Harish"/>
    <m/>
    <s v="Pop-up counter done"/>
    <s v="Closed(C4)"/>
    <m/>
    <m/>
    <m/>
    <s v=""/>
    <s v="Hot"/>
    <n v="15000"/>
    <n v="13782"/>
    <d v="2026-07-01T00:00:00"/>
    <m/>
    <x v="12"/>
    <s v="Received at HO"/>
    <m/>
    <m/>
    <x v="3"/>
    <m/>
    <s v=""/>
    <m/>
  </r>
  <r>
    <d v="2026-07-01T00:00:00"/>
    <s v="Vishwanath"/>
    <s v="Bangalore"/>
    <x v="267"/>
    <s v="Call"/>
    <s v="Aggregator"/>
    <x v="1"/>
    <s v="Pop Up Counter"/>
    <s v="New"/>
    <s v="It"/>
    <s v="Naveen"/>
    <m/>
    <s v="Pop-up counter done"/>
    <s v="Closed(C4)"/>
    <m/>
    <m/>
    <s v=""/>
    <s v=""/>
    <s v="Hot"/>
    <n v="15000"/>
    <n v="25835"/>
    <d v="2026-07-01T00:00:00"/>
    <m/>
    <x v="8"/>
    <s v="Received at HO"/>
    <m/>
    <m/>
    <x v="3"/>
    <m/>
    <s v=""/>
    <m/>
  </r>
  <r>
    <d v="2026-07-01T00:00:00"/>
    <s v="Bashab"/>
    <s v="Hyderabad"/>
    <x v="156"/>
    <s v="F2F"/>
    <s v="Aggregator"/>
    <x v="2"/>
    <s v="Bulk Order"/>
    <s v="New"/>
    <s v="F&amp;B Aggregator"/>
    <s v="Srinivas"/>
    <m/>
    <s v="Business Closed"/>
    <s v="Closed(C4)"/>
    <m/>
    <m/>
    <m/>
    <s v=""/>
    <s v="Hot"/>
    <n v="600000"/>
    <n v="604800"/>
    <d v="2026-07-01T00:00:00"/>
    <s v="CIFSPL070626"/>
    <x v="17"/>
    <s v="Received at HO"/>
    <m/>
    <m/>
    <x v="3"/>
    <m/>
    <s v=""/>
    <m/>
  </r>
  <r>
    <d v="2026-07-01T00:00:00"/>
    <s v="Pradeep"/>
    <s v="Hyderabad"/>
    <x v="156"/>
    <s v="F2F"/>
    <s v="Aggregator"/>
    <x v="2"/>
    <s v="Bulk Order"/>
    <s v="New"/>
    <s v="F&amp;B Aggregator"/>
    <s v="Srinivas"/>
    <m/>
    <s v="Business Closed"/>
    <s v="Closed(C4)"/>
    <m/>
    <m/>
    <m/>
    <s v=""/>
    <s v="Hot"/>
    <n v="600000"/>
    <n v="604800"/>
    <d v="2026-07-01T00:00:00"/>
    <s v="CIFSPL070626"/>
    <x v="17"/>
    <s v="Received at HO"/>
    <m/>
    <m/>
    <x v="3"/>
    <m/>
    <s v=""/>
    <m/>
  </r>
  <r>
    <d v="2026-07-01T00:00:00"/>
    <s v="Bashab"/>
    <s v="Bangalore"/>
    <x v="16"/>
    <s v="Call"/>
    <s v="Corporate"/>
    <x v="2"/>
    <s v="Bulk Order"/>
    <s v="Repeat"/>
    <s v="Retail"/>
    <s v="Mohammed"/>
    <m/>
    <s v="Business Closed"/>
    <s v="Closed(C4)"/>
    <m/>
    <m/>
    <s v=""/>
    <s v=""/>
    <s v="Hot"/>
    <n v="20000"/>
    <n v="25208"/>
    <d v="2026-07-01T00:00:00"/>
    <s v="00HSA06000006678"/>
    <x v="3"/>
    <s v="Received at HO"/>
    <m/>
    <m/>
    <x v="3"/>
    <m/>
    <m/>
    <m/>
  </r>
  <r>
    <d v="2026-07-01T00:00:00"/>
    <s v="Sameer"/>
    <s v="Bangalore"/>
    <x v="3"/>
    <s v="Call"/>
    <s v="Aggregator"/>
    <x v="2"/>
    <s v="Bulk Order"/>
    <s v="Repeat"/>
    <s v="F&amp;B Agrigator"/>
    <s v="Saad"/>
    <m/>
    <s v="Delivery in July Month from HSR"/>
    <s v="Closed(C4)"/>
    <m/>
    <m/>
    <s v=""/>
    <s v=""/>
    <s v="Hot"/>
    <n v="20000"/>
    <n v="25208"/>
    <d v="2026-07-01T00:00:00"/>
    <s v="00HSA06000006678"/>
    <x v="3"/>
    <s v="Received at HO"/>
    <m/>
    <m/>
    <x v="3"/>
    <m/>
    <m/>
    <m/>
  </r>
  <r>
    <d v="2026-07-01T00:00:00"/>
    <s v="Pradeep"/>
    <s v="Hyderabad"/>
    <x v="268"/>
    <s v="F2F"/>
    <s v="Corporate"/>
    <x v="5"/>
    <s v="Bulk Order"/>
    <s v="New"/>
    <s v="It"/>
    <s v="Krithi"/>
    <m/>
    <s v="Proposed for Bulk Order and Biryani Kits for Gifting"/>
    <s v="Cancelled"/>
    <m/>
    <m/>
    <n v="110"/>
    <s v=""/>
    <s v="Warm"/>
    <n v="60000"/>
    <m/>
    <m/>
    <m/>
    <x v="5"/>
    <m/>
    <m/>
    <m/>
    <x v="3"/>
    <m/>
    <s v=""/>
    <m/>
  </r>
  <r>
    <d v="2026-07-01T00:00:00"/>
    <s v="Pradeep"/>
    <s v="Hyderabad"/>
    <x v="269"/>
    <s v="F2F"/>
    <s v="Corporate"/>
    <x v="5"/>
    <s v="Bulk Order"/>
    <s v="New"/>
    <s v="It"/>
    <s v="Rahul"/>
    <m/>
    <s v="Proposed for Bulk Order and Biryani Kits for Gifting"/>
    <s v="Cancelled"/>
    <m/>
    <s v="Call"/>
    <n v="110"/>
    <s v=""/>
    <s v="Warm"/>
    <n v="70000"/>
    <m/>
    <m/>
    <m/>
    <x v="5"/>
    <m/>
    <m/>
    <m/>
    <x v="3"/>
    <m/>
    <s v=""/>
    <m/>
  </r>
  <r>
    <d v="2026-07-01T00:00:00"/>
    <s v="Pradeep"/>
    <s v="Hyderabad"/>
    <x v="270"/>
    <s v="F2F"/>
    <s v="Corporate"/>
    <x v="5"/>
    <s v="Bulk Order"/>
    <s v="New"/>
    <s v="It"/>
    <s v="Sanjana"/>
    <m/>
    <s v="Proposed for Bulk Order and Biryani Kits for Gifting"/>
    <s v="Cancelled"/>
    <m/>
    <m/>
    <n v="110"/>
    <s v=""/>
    <s v="Warm"/>
    <n v="40000"/>
    <m/>
    <m/>
    <m/>
    <x v="5"/>
    <m/>
    <m/>
    <m/>
    <x v="3"/>
    <m/>
    <s v=""/>
    <m/>
  </r>
  <r>
    <d v="2026-07-01T00:00:00"/>
    <s v="Bashab"/>
    <s v="Bangalore"/>
    <x v="37"/>
    <s v="Call"/>
    <s v="Aggregator"/>
    <x v="1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3"/>
    <m/>
    <s v=""/>
    <m/>
  </r>
  <r>
    <d v="2026-07-01T00:00:00"/>
    <s v="Bashab"/>
    <s v="Bangalore"/>
    <x v="41"/>
    <s v="Call"/>
    <s v="Aggregator"/>
    <x v="1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3"/>
    <m/>
    <s v=""/>
    <m/>
  </r>
  <r>
    <d v="2026-07-01T00:00:00"/>
    <s v="Bashab"/>
    <s v="Bangalore"/>
    <x v="122"/>
    <s v="Call"/>
    <s v="Aggregator"/>
    <x v="1"/>
    <s v="Pop Up Counter"/>
    <s v="Repeat"/>
    <s v="It"/>
    <s v="Naveen"/>
    <m/>
    <s v="Pop-up counter done"/>
    <s v="Confirmed( C3 )"/>
    <m/>
    <m/>
    <m/>
    <s v=""/>
    <s v="Hot"/>
    <m/>
    <m/>
    <m/>
    <m/>
    <x v="11"/>
    <m/>
    <m/>
    <m/>
    <x v="3"/>
    <m/>
    <s v=""/>
    <m/>
  </r>
  <r>
    <d v="2026-07-01T00:00:00"/>
    <s v="Bashab"/>
    <s v="Bangalore"/>
    <x v="40"/>
    <s v="F2F"/>
    <s v="Corporate"/>
    <x v="5"/>
    <s v="Popup Counter"/>
    <s v="Repeat"/>
    <s v="Retail"/>
    <s v="Srinivas"/>
    <m/>
    <s v="Popup Confirmed"/>
    <s v="Confirmed( C3 )"/>
    <m/>
    <m/>
    <m/>
    <s v=""/>
    <s v="Hot"/>
    <m/>
    <m/>
    <m/>
    <m/>
    <x v="7"/>
    <m/>
    <m/>
    <m/>
    <x v="3"/>
    <m/>
    <s v=""/>
    <m/>
  </r>
  <r>
    <d v="2026-07-01T00:00:00"/>
    <s v="Bashab"/>
    <s v="Bangalore"/>
    <x v="18"/>
    <s v="F2F"/>
    <s v="Corporate"/>
    <x v="5"/>
    <s v="Popup Counter"/>
    <s v="Repeat"/>
    <s v="Retail"/>
    <s v="Vinod"/>
    <m/>
    <s v="Popup Confirmed"/>
    <s v="Confirmed( C3 )"/>
    <m/>
    <m/>
    <m/>
    <s v=""/>
    <s v="Hot"/>
    <m/>
    <m/>
    <m/>
    <m/>
    <x v="7"/>
    <m/>
    <m/>
    <m/>
    <x v="3"/>
    <m/>
    <s v=""/>
    <m/>
  </r>
  <r>
    <d v="2026-07-01T00:00:00"/>
    <s v="Bashab"/>
    <s v="Bangalore"/>
    <x v="15"/>
    <s v="F2F"/>
    <s v="Corporate"/>
    <x v="5"/>
    <s v="Popup Counter"/>
    <s v="Repeat"/>
    <s v="Retail"/>
    <s v="James"/>
    <m/>
    <s v="Popup Confirmed"/>
    <s v="Confirmed( C3 )"/>
    <m/>
    <m/>
    <m/>
    <s v=""/>
    <s v="Hot"/>
    <m/>
    <m/>
    <m/>
    <m/>
    <x v="7"/>
    <m/>
    <m/>
    <m/>
    <x v="3"/>
    <m/>
    <s v=""/>
    <m/>
  </r>
  <r>
    <d v="2026-07-01T00:00:00"/>
    <s v="Bashab"/>
    <s v="Bangalore"/>
    <x v="31"/>
    <s v="F2F"/>
    <s v="Corporate"/>
    <x v="5"/>
    <s v="Popup Counter"/>
    <s v="Repeat"/>
    <s v="Retail"/>
    <s v="Mueenudheen"/>
    <m/>
    <s v="Popup Confirmed"/>
    <s v="Confirmed( C3 )"/>
    <m/>
    <m/>
    <m/>
    <s v=""/>
    <s v="Hot"/>
    <m/>
    <m/>
    <m/>
    <m/>
    <x v="7"/>
    <m/>
    <m/>
    <m/>
    <x v="3"/>
    <m/>
    <s v=""/>
    <m/>
  </r>
  <r>
    <d v="2026-07-01T00:00:00"/>
    <s v="Bashab"/>
    <s v="Bangalore"/>
    <x v="123"/>
    <s v="Call"/>
    <s v="Corporate"/>
    <x v="5"/>
    <s v="Pop Up Counter"/>
    <s v="Repeat"/>
    <s v="It"/>
    <s v="Anand"/>
    <m/>
    <s v="Pop-up counter confirmed"/>
    <s v="Confirmed( C3 )"/>
    <m/>
    <m/>
    <m/>
    <s v=""/>
    <s v="Hot"/>
    <m/>
    <m/>
    <m/>
    <m/>
    <x v="21"/>
    <m/>
    <m/>
    <m/>
    <x v="3"/>
    <m/>
    <s v=""/>
    <m/>
  </r>
  <r>
    <d v="2026-07-01T00:00:00"/>
    <s v="Bashab"/>
    <s v="Hyderabad"/>
    <x v="156"/>
    <s v="F2F"/>
    <s v="Aggregator"/>
    <x v="2"/>
    <s v="Bulk Order"/>
    <s v="New"/>
    <s v="F&amp;B Aggregator"/>
    <s v="Srinivas"/>
    <m/>
    <s v="Business Closed"/>
    <s v="Confirmed( C3 )"/>
    <m/>
    <m/>
    <m/>
    <s v=""/>
    <s v="Hot"/>
    <m/>
    <m/>
    <m/>
    <m/>
    <x v="5"/>
    <m/>
    <m/>
    <m/>
    <x v="3"/>
    <m/>
    <s v=""/>
    <m/>
  </r>
  <r>
    <d v="2026-07-01T00:00:00"/>
    <s v="Bashab"/>
    <s v="Bangalore"/>
    <x v="66"/>
    <s v="Call"/>
    <s v="Aggregator"/>
    <x v="3"/>
    <s v="Pop Up Counter"/>
    <s v="Repeat"/>
    <s v="It"/>
    <s v="Navya"/>
    <m/>
    <s v="Popup Confirmed"/>
    <s v="Confirmed( C3 )"/>
    <m/>
    <m/>
    <m/>
    <s v=""/>
    <s v="Hot"/>
    <m/>
    <m/>
    <m/>
    <m/>
    <x v="11"/>
    <m/>
    <m/>
    <m/>
    <x v="3"/>
    <m/>
    <s v=""/>
    <m/>
  </r>
  <r>
    <d v="2026-07-01T00:00:00"/>
    <s v="Vishwanath"/>
    <s v="Bangalore"/>
    <x v="28"/>
    <s v="F2F"/>
    <s v="Aggregator"/>
    <x v="3"/>
    <s v="Bulk Order"/>
    <s v="Repeat"/>
    <s v="F&amp;B Aggregator"/>
    <s v="Navya"/>
    <m/>
    <s v="Business Confirmed"/>
    <s v="Confirmed( C3 )"/>
    <m/>
    <m/>
    <m/>
    <s v=""/>
    <s v="Hot"/>
    <m/>
    <m/>
    <m/>
    <m/>
    <x v="8"/>
    <m/>
    <m/>
    <m/>
    <x v="3"/>
    <m/>
    <s v=""/>
    <m/>
  </r>
  <r>
    <d v="2026-07-01T00:00:00"/>
    <s v="Sameer"/>
    <s v="Hyderabad"/>
    <x v="260"/>
    <s v="F2F"/>
    <s v="Aggregator"/>
    <x v="3"/>
    <s v="Pop Up Counter"/>
    <s v="New"/>
    <s v="It"/>
    <s v="Sandhya"/>
    <m/>
    <s v="Popup Counter"/>
    <s v="Closed(C4)"/>
    <m/>
    <m/>
    <s v=""/>
    <s v=""/>
    <s v="Hot"/>
    <n v="12000"/>
    <n v="8806"/>
    <d v="2026-07-01T00:00:00"/>
    <s v="00GCBTA000292881"/>
    <x v="2"/>
    <s v="Received at HO"/>
    <m/>
    <m/>
    <x v="3"/>
    <m/>
    <m/>
    <m/>
  </r>
  <r>
    <d v="2026-07-01T00:00:00"/>
    <s v="Sameer"/>
    <s v="Hyderabad"/>
    <x v="261"/>
    <s v="F2F"/>
    <s v="Aggregator"/>
    <x v="3"/>
    <s v="Pop Up Counter"/>
    <s v="New"/>
    <s v="It"/>
    <s v="Sandhya"/>
    <m/>
    <s v="Popup Counter"/>
    <s v="Closed(C4)"/>
    <m/>
    <m/>
    <s v=""/>
    <s v=""/>
    <s v="Hot"/>
    <n v="12000"/>
    <n v="22772"/>
    <d v="2026-07-01T00:00:00"/>
    <s v="00GCBTA000292882"/>
    <x v="2"/>
    <s v="Received at HO"/>
    <m/>
    <m/>
    <x v="3"/>
    <m/>
    <m/>
    <m/>
  </r>
  <r>
    <d v="2026-07-01T00:00:00"/>
    <s v="Bashab"/>
    <s v="Bangalore"/>
    <x v="40"/>
    <s v="F2F"/>
    <s v="Corporate"/>
    <x v="5"/>
    <s v="Popup Counter"/>
    <s v="Repeat"/>
    <s v="Retail"/>
    <s v="Srinivas"/>
    <m/>
    <s v="Popup Confirmed"/>
    <s v="Closed(C4)"/>
    <m/>
    <m/>
    <m/>
    <s v=""/>
    <s v="Hot"/>
    <n v="15000"/>
    <n v="17896"/>
    <d v="2026-07-07T00:00:00"/>
    <s v="00WFTA1000038664"/>
    <x v="7"/>
    <s v="Received at Store"/>
    <m/>
    <d v="2026-07-07T00:00:00"/>
    <x v="3"/>
    <m/>
    <s v=""/>
    <m/>
  </r>
  <r>
    <d v="2026-07-02T00:00:00"/>
    <s v="Sameer"/>
    <s v="Hyderabad"/>
    <x v="261"/>
    <s v="F2F"/>
    <s v="Aggregator"/>
    <x v="3"/>
    <s v="Pop Up Counter"/>
    <s v="New"/>
    <s v="It"/>
    <s v="Sandhya"/>
    <m/>
    <s v="Popup Counter"/>
    <s v="Closed(C4)"/>
    <m/>
    <m/>
    <s v=""/>
    <s v=""/>
    <s v="Hot"/>
    <n v="12000"/>
    <n v="23356"/>
    <d v="2026-07-02T00:00:00"/>
    <s v="00GCBTA000292883"/>
    <x v="2"/>
    <s v="Received at HO"/>
    <m/>
    <m/>
    <x v="3"/>
    <m/>
    <m/>
    <m/>
  </r>
  <r>
    <d v="2026-07-02T00:00:00"/>
    <s v="Bashab"/>
    <s v="Bangalore"/>
    <x v="37"/>
    <s v="Call"/>
    <s v="Aggregator"/>
    <x v="1"/>
    <s v="Pop Up Counter"/>
    <s v="Repeat"/>
    <s v="It"/>
    <s v="Harish"/>
    <m/>
    <s v="Pop-up counter done"/>
    <s v="Closed(C4)"/>
    <m/>
    <m/>
    <m/>
    <s v=""/>
    <s v="Hot"/>
    <n v="15000"/>
    <n v="13940"/>
    <d v="2026-07-02T00:00:00"/>
    <m/>
    <x v="12"/>
    <s v="Received at HO"/>
    <m/>
    <m/>
    <x v="3"/>
    <m/>
    <s v=""/>
    <m/>
  </r>
  <r>
    <d v="2026-07-02T00:00:00"/>
    <s v="Bashab"/>
    <s v="Bangalore"/>
    <x v="41"/>
    <s v="Call"/>
    <s v="Aggregator"/>
    <x v="1"/>
    <s v="Pop Up Counter"/>
    <s v="Repeat"/>
    <s v="It"/>
    <s v="Harish"/>
    <m/>
    <s v="Pop-up counter done"/>
    <s v="Closed(C4)"/>
    <m/>
    <m/>
    <m/>
    <s v=""/>
    <s v="Hot"/>
    <n v="15000"/>
    <n v="13105"/>
    <d v="2026-07-02T00:00:00"/>
    <m/>
    <x v="12"/>
    <s v="Received at HO"/>
    <m/>
    <m/>
    <x v="3"/>
    <m/>
    <s v=""/>
    <m/>
  </r>
  <r>
    <d v="2026-07-02T00:00:00"/>
    <s v="Vishwanath"/>
    <s v="Bangalore"/>
    <x v="271"/>
    <s v="Call"/>
    <s v="Aggregator"/>
    <x v="1"/>
    <s v="Pop Up Counter"/>
    <s v="New"/>
    <s v="It"/>
    <s v="Naveen"/>
    <m/>
    <s v="Pop-up counter done"/>
    <s v="Closed(C4)"/>
    <m/>
    <m/>
    <s v=""/>
    <s v=""/>
    <s v="Hot"/>
    <n v="15000"/>
    <n v="6205"/>
    <d v="2026-07-02T00:00:00"/>
    <m/>
    <x v="11"/>
    <s v="Received at HO"/>
    <m/>
    <m/>
    <x v="3"/>
    <m/>
    <s v=""/>
    <m/>
  </r>
  <r>
    <d v="2026-07-02T00:00:00"/>
    <s v="Pradeep"/>
    <s v="Hyderabad"/>
    <x v="272"/>
    <s v="F2F"/>
    <m/>
    <x v="5"/>
    <s v="Bulk Order"/>
    <s v="New"/>
    <s v="It"/>
    <s v="Sindhu"/>
    <m/>
    <s v="Proposed for Bulk Order and Biryani Kits for Gifting"/>
    <s v="Cancelled"/>
    <m/>
    <m/>
    <m/>
    <m/>
    <s v="Cold"/>
    <n v="20000"/>
    <m/>
    <m/>
    <m/>
    <x v="5"/>
    <m/>
    <m/>
    <m/>
    <x v="3"/>
    <m/>
    <m/>
    <m/>
  </r>
  <r>
    <d v="2026-07-02T00:00:00"/>
    <s v="Pradeep"/>
    <s v="Hyderabad"/>
    <x v="273"/>
    <s v="F2F"/>
    <m/>
    <x v="5"/>
    <s v="Bulk Order"/>
    <s v="New"/>
    <s v="Manufacturing"/>
    <s v="Ravindera"/>
    <m/>
    <s v="Bulk order Business Requirement for 80-100 pax"/>
    <s v="Cancelled"/>
    <m/>
    <m/>
    <m/>
    <m/>
    <s v="Hot"/>
    <n v="60000"/>
    <m/>
    <m/>
    <m/>
    <x v="5"/>
    <m/>
    <m/>
    <m/>
    <x v="3"/>
    <m/>
    <m/>
    <m/>
  </r>
  <r>
    <d v="2026-07-02T00:00:00"/>
    <s v="Pradeep"/>
    <s v="Hyderabad"/>
    <x v="274"/>
    <s v="F2F"/>
    <m/>
    <x v="5"/>
    <s v="Bulk Order"/>
    <s v="New"/>
    <s v="It"/>
    <s v="Manasa"/>
    <m/>
    <s v="Proposed for Bulk Order and Biryani Kits for Gifting"/>
    <s v="Cancelled"/>
    <d v="2026-08-13T00:00:00"/>
    <s v="Call"/>
    <m/>
    <m/>
    <s v="Warm"/>
    <n v="30000"/>
    <m/>
    <m/>
    <m/>
    <x v="5"/>
    <m/>
    <m/>
    <m/>
    <x v="3"/>
    <m/>
    <m/>
    <m/>
  </r>
  <r>
    <d v="2026-07-02T00:00:00"/>
    <s v="Pradeep"/>
    <s v="Hyderabad"/>
    <x v="275"/>
    <s v="F2F"/>
    <m/>
    <x v="5"/>
    <s v="Bulk Order"/>
    <s v="New"/>
    <s v="It"/>
    <s v="Sanjana"/>
    <m/>
    <s v="Proposed for Bulk Order and Biryani Kits for Gifting"/>
    <s v="Cancelled"/>
    <d v="2026-08-19T00:00:00"/>
    <s v="Call"/>
    <m/>
    <m/>
    <s v="Cold"/>
    <n v="25000"/>
    <m/>
    <m/>
    <m/>
    <x v="5"/>
    <m/>
    <m/>
    <m/>
    <x v="3"/>
    <m/>
    <m/>
    <m/>
  </r>
  <r>
    <d v="2026-07-02T00:00:00"/>
    <s v="Bashab"/>
    <s v="Chennai"/>
    <x v="266"/>
    <s v="Call"/>
    <s v="Aggregator"/>
    <x v="1"/>
    <s v="Popup Counter"/>
    <s v="New"/>
    <s v="It"/>
    <s v="Nagarajan"/>
    <m/>
    <s v="Business Closed"/>
    <s v="Closed(C4)"/>
    <m/>
    <m/>
    <s v=""/>
    <s v=""/>
    <s v="Hot"/>
    <n v="20000"/>
    <n v="49275"/>
    <d v="2026-07-02T00:00:00"/>
    <m/>
    <x v="30"/>
    <s v="Received at HO"/>
    <m/>
    <m/>
    <x v="3"/>
    <m/>
    <s v=""/>
    <m/>
  </r>
  <r>
    <d v="2026-07-03T00:00:00"/>
    <s v="Bashab"/>
    <s v="Bangalore"/>
    <x v="37"/>
    <s v="Call"/>
    <s v="Aggregator"/>
    <x v="1"/>
    <s v="Pop Up Counter"/>
    <s v="Repeat"/>
    <s v="It"/>
    <s v="Harish"/>
    <m/>
    <s v="Pop-up counter done"/>
    <s v="Closed(C4)"/>
    <m/>
    <m/>
    <m/>
    <s v=""/>
    <s v="Hot"/>
    <n v="15000"/>
    <n v="19250"/>
    <d v="2026-07-03T00:00:00"/>
    <m/>
    <x v="12"/>
    <s v="Received at HO"/>
    <m/>
    <m/>
    <x v="3"/>
    <m/>
    <s v=""/>
    <m/>
  </r>
  <r>
    <d v="2026-07-03T00:00:00"/>
    <s v="Bashab"/>
    <s v="Bangalore"/>
    <x v="41"/>
    <s v="Call"/>
    <s v="Aggregator"/>
    <x v="1"/>
    <s v="Pop Up Counter"/>
    <s v="Repeat"/>
    <s v="It"/>
    <s v="Harish"/>
    <m/>
    <s v="Pop-up counter done"/>
    <s v="Closed(C4)"/>
    <m/>
    <m/>
    <m/>
    <s v=""/>
    <s v="Hot"/>
    <n v="15000"/>
    <n v="22325"/>
    <d v="2026-07-03T00:00:00"/>
    <m/>
    <x v="12"/>
    <s v="Received at HO"/>
    <m/>
    <m/>
    <x v="3"/>
    <m/>
    <s v=""/>
    <m/>
  </r>
  <r>
    <d v="2026-07-03T00:00:00"/>
    <s v="Vishwanath"/>
    <s v="Bangalore"/>
    <x v="276"/>
    <s v="Call"/>
    <s v="Aggregator"/>
    <x v="1"/>
    <s v="Pop Up Counter"/>
    <s v="New"/>
    <s v="It"/>
    <s v="Naveen"/>
    <m/>
    <s v="Pop-up counter done"/>
    <s v="Closed(C4)"/>
    <m/>
    <m/>
    <s v=""/>
    <s v=""/>
    <s v="Hot"/>
    <n v="15000"/>
    <n v="12948"/>
    <d v="2026-07-03T00:00:00"/>
    <m/>
    <x v="11"/>
    <s v="Received at HO"/>
    <m/>
    <m/>
    <x v="3"/>
    <m/>
    <s v=""/>
    <m/>
  </r>
  <r>
    <d v="2026-07-03T00:00:00"/>
    <s v="Pradeep"/>
    <s v="Hyderabad"/>
    <x v="277"/>
    <s v="F2F"/>
    <s v="Corporate"/>
    <x v="5"/>
    <s v="Bulk Order"/>
    <s v="New"/>
    <s v="Church"/>
    <s v="Rajeshker"/>
    <m/>
    <s v="Business Closed"/>
    <s v="Closed(C4)"/>
    <m/>
    <m/>
    <m/>
    <m/>
    <s v="Hot"/>
    <n v="35000"/>
    <n v="28796"/>
    <d v="2026-07-03T00:00:00"/>
    <s v="C0KKPTB000490686"/>
    <x v="17"/>
    <s v="Received at Store"/>
    <m/>
    <d v="2026-07-03T00:00:00"/>
    <x v="3"/>
    <m/>
    <m/>
    <s v="Takeaway-Bulk-Insti"/>
  </r>
  <r>
    <d v="2026-07-03T00:00:00"/>
    <s v="Sameer"/>
    <s v="Hyderabad"/>
    <x v="278"/>
    <s v="F2F"/>
    <s v="Corporate"/>
    <x v="5"/>
    <s v="Pop Up Counter"/>
    <s v="New"/>
    <s v="It"/>
    <s v="Vinay"/>
    <m/>
    <s v="Popup Counter confirmed from 13 to 24 July"/>
    <s v="Confirmed( C3 )"/>
    <m/>
    <m/>
    <m/>
    <m/>
    <s v="Hot"/>
    <n v="0"/>
    <m/>
    <m/>
    <m/>
    <x v="5"/>
    <m/>
    <m/>
    <m/>
    <x v="3"/>
    <m/>
    <m/>
    <m/>
  </r>
  <r>
    <d v="2026-07-03T00:00:00"/>
    <s v="Pradeep"/>
    <s v="Hyderabad"/>
    <x v="279"/>
    <s v="F2F"/>
    <m/>
    <x v="5"/>
    <s v="Bulk Order"/>
    <s v="New"/>
    <s v="It"/>
    <s v="Shyam"/>
    <m/>
    <s v="Has a Bulk order Requirement"/>
    <s v="Cancelled"/>
    <m/>
    <m/>
    <m/>
    <m/>
    <s v="Warm"/>
    <n v="25000"/>
    <m/>
    <m/>
    <m/>
    <x v="5"/>
    <m/>
    <m/>
    <m/>
    <x v="3"/>
    <m/>
    <m/>
    <m/>
  </r>
  <r>
    <d v="2026-07-03T00:00:00"/>
    <s v="Pradeep"/>
    <s v="Hyderabad"/>
    <x v="280"/>
    <s v="F2F"/>
    <m/>
    <x v="5"/>
    <s v="Bulk Order"/>
    <s v="New"/>
    <s v="It"/>
    <s v="Shashidar"/>
    <m/>
    <s v="Proposed for Bulk Order and Biryani Kits for Gifting"/>
    <s v="Cancelled"/>
    <d v="2026-09-03T00:00:00"/>
    <s v="Call"/>
    <m/>
    <m/>
    <s v="Cold"/>
    <n v="35000"/>
    <m/>
    <m/>
    <m/>
    <x v="5"/>
    <m/>
    <m/>
    <m/>
    <x v="3"/>
    <m/>
    <m/>
    <m/>
  </r>
  <r>
    <d v="2026-07-03T00:00:00"/>
    <s v="Pradeep"/>
    <s v="Hyderabad"/>
    <x v="281"/>
    <s v="F2F"/>
    <m/>
    <x v="5"/>
    <s v="Bulk Order"/>
    <s v="New"/>
    <s v="Healthcare"/>
    <s v="manasa"/>
    <m/>
    <s v="Proposed for Bulk Order and Biryani Kits for Gifting"/>
    <s v="Cancelled"/>
    <m/>
    <m/>
    <m/>
    <m/>
    <s v="Cold"/>
    <n v="40000"/>
    <m/>
    <m/>
    <m/>
    <x v="5"/>
    <m/>
    <m/>
    <m/>
    <x v="3"/>
    <m/>
    <m/>
    <m/>
  </r>
  <r>
    <d v="2026-07-05T00:00:00"/>
    <s v="Sameer"/>
    <s v="Hyderabad"/>
    <x v="282"/>
    <s v="F2F"/>
    <s v="Corporate"/>
    <x v="5"/>
    <s v="Bulk Order"/>
    <s v="New"/>
    <s v="It"/>
    <s v="Pawan Chropa"/>
    <m/>
    <s v="Discussed buffet menu for 3 Day lunch and 1 Dinner with Director"/>
    <s v="Negotitaion( C2 )"/>
    <m/>
    <m/>
    <m/>
    <m/>
    <s v="Hot"/>
    <n v="700000"/>
    <m/>
    <m/>
    <m/>
    <x v="5"/>
    <m/>
    <m/>
    <m/>
    <x v="3"/>
    <m/>
    <m/>
    <m/>
  </r>
  <r>
    <d v="2026-07-05T00:00:00"/>
    <s v="Pradeep"/>
    <s v="Hyderabad"/>
    <x v="283"/>
    <s v="F2F"/>
    <s v="Corporate"/>
    <x v="5"/>
    <s v="Bulk Order"/>
    <s v="New"/>
    <s v="Pharma"/>
    <s v="Tanmoy Mondal"/>
    <m/>
    <s v="Team Lunch at begumpet store on 5-07-2026"/>
    <s v="Closed(C4)"/>
    <m/>
    <m/>
    <m/>
    <m/>
    <s v="Hot"/>
    <n v="15000"/>
    <n v="23849"/>
    <d v="2026-07-05T00:00:00"/>
    <s v="00BGA1000017726"/>
    <x v="15"/>
    <s v="Received at Store"/>
    <m/>
    <d v="2026-07-05T00:00:00"/>
    <x v="3"/>
    <m/>
    <m/>
    <s v="Takeaway-Bulk-Insti"/>
  </r>
  <r>
    <d v="2026-07-05T00:00:00"/>
    <s v="Pradeep"/>
    <s v="Hyderabad"/>
    <x v="76"/>
    <s v="Call"/>
    <m/>
    <x v="5"/>
    <s v="Bulk Order"/>
    <s v="New"/>
    <s v="Family Group"/>
    <m/>
    <m/>
    <s v="Business Closed"/>
    <s v="Closed(C4)"/>
    <m/>
    <m/>
    <m/>
    <m/>
    <s v="Hot"/>
    <n v="15000"/>
    <n v="10148"/>
    <d v="2026-07-05T00:00:00"/>
    <s v="00JBC01200067251"/>
    <x v="31"/>
    <s v="Received at Store"/>
    <m/>
    <d v="2026-07-05T00:00:00"/>
    <x v="3"/>
    <m/>
    <m/>
    <s v="Takeaway-Bulk-Insti"/>
  </r>
  <r>
    <d v="2026-07-06T00:00:00"/>
    <s v="Vishwanath"/>
    <s v="Bangalore"/>
    <x v="28"/>
    <s v="F2F"/>
    <s v="Aggregator"/>
    <x v="3"/>
    <s v="Bulk Order"/>
    <s v="New"/>
    <s v="It"/>
    <s v="Sanjay"/>
    <m/>
    <s v="Bulk Order delivery"/>
    <s v="Closed(C4)"/>
    <m/>
    <m/>
    <m/>
    <s v=""/>
    <s v="Hot"/>
    <n v="40000"/>
    <n v="42620"/>
    <d v="2026-07-06T00:00:00"/>
    <m/>
    <x v="8"/>
    <s v="Received at HO"/>
    <m/>
    <m/>
    <x v="3"/>
    <m/>
    <s v=""/>
    <m/>
  </r>
  <r>
    <d v="2026-07-06T00:00:00"/>
    <s v="Sameer"/>
    <s v="Hyderabad"/>
    <x v="284"/>
    <s v="F2F"/>
    <s v="Aggregator"/>
    <x v="0"/>
    <s v="Bulk Order"/>
    <s v="New"/>
    <s v="F&amp;B Aggregator"/>
    <s v="Abhishek"/>
    <m/>
    <s v="Delivery of Biryani and Mulberry Malai"/>
    <s v="Follow-up( C1 )"/>
    <m/>
    <m/>
    <n v="105"/>
    <s v=""/>
    <s v="Hot"/>
    <n v="250000"/>
    <m/>
    <m/>
    <m/>
    <x v="5"/>
    <m/>
    <m/>
    <m/>
    <x v="3"/>
    <m/>
    <s v=""/>
    <m/>
  </r>
  <r>
    <d v="2026-07-06T00:00:00"/>
    <s v="Sameer"/>
    <s v="Hyderabad"/>
    <x v="285"/>
    <s v="F2F"/>
    <s v="Corporate"/>
    <x v="5"/>
    <s v="Bulk Order"/>
    <s v="New"/>
    <s v="Exhibition"/>
    <s v="Mahesh"/>
    <m/>
    <s v="Delivery of CB &amp; VB on 18,19 &amp; 20 July"/>
    <s v="Cancelled"/>
    <m/>
    <m/>
    <n v="105"/>
    <s v=""/>
    <s v="Hot"/>
    <n v="450000"/>
    <m/>
    <m/>
    <m/>
    <x v="5"/>
    <m/>
    <m/>
    <m/>
    <x v="3"/>
    <m/>
    <s v=""/>
    <m/>
  </r>
  <r>
    <d v="2026-07-06T00:00:00"/>
    <s v="Pradeep"/>
    <s v="Hyderabad"/>
    <x v="199"/>
    <s v="F2F"/>
    <s v="Corporate"/>
    <x v="5"/>
    <s v="Bulk Order"/>
    <s v="New"/>
    <s v="It"/>
    <s v="Faridha"/>
    <m/>
    <s v="Has a Bulk order Requirement"/>
    <s v="Cancelled"/>
    <m/>
    <m/>
    <m/>
    <m/>
    <s v="Warm"/>
    <n v="30000"/>
    <m/>
    <m/>
    <m/>
    <x v="5"/>
    <m/>
    <m/>
    <m/>
    <x v="3"/>
    <m/>
    <m/>
    <m/>
  </r>
  <r>
    <d v="2026-07-06T00:00:00"/>
    <s v="Pradeep"/>
    <s v="Hyderabad"/>
    <x v="286"/>
    <s v="F2F"/>
    <s v="Corporate"/>
    <x v="5"/>
    <s v="Bulk Order"/>
    <s v="New"/>
    <s v="It"/>
    <s v="Charan"/>
    <m/>
    <s v="Proposed for Bulk Order and Biryani Kits for Gifting"/>
    <s v="Cancelled"/>
    <m/>
    <m/>
    <n v="105"/>
    <s v=""/>
    <s v="Cold"/>
    <n v="50000"/>
    <m/>
    <m/>
    <m/>
    <x v="5"/>
    <m/>
    <m/>
    <m/>
    <x v="3"/>
    <m/>
    <s v=""/>
    <m/>
  </r>
  <r>
    <d v="2026-07-06T00:00:00"/>
    <s v="Pradeep"/>
    <s v="Hyderabad"/>
    <x v="287"/>
    <s v="F2F"/>
    <s v="Corporate"/>
    <x v="5"/>
    <s v="Bulk Order"/>
    <s v="New"/>
    <s v="It"/>
    <s v="Gaayatri"/>
    <m/>
    <s v="Has a Bulk order Requirement"/>
    <s v="Cancelled"/>
    <m/>
    <m/>
    <n v="105"/>
    <s v=""/>
    <s v="Warm"/>
    <n v="40000"/>
    <m/>
    <m/>
    <m/>
    <x v="5"/>
    <m/>
    <m/>
    <m/>
    <x v="3"/>
    <m/>
    <s v=""/>
    <m/>
  </r>
  <r>
    <d v="2026-07-06T00:00:00"/>
    <s v="Pradeep"/>
    <s v="Hyderabad"/>
    <x v="200"/>
    <s v="F2F"/>
    <s v="Corporate"/>
    <x v="5"/>
    <s v="Bulk Order"/>
    <s v="New"/>
    <s v="It"/>
    <s v="Ganesh"/>
    <m/>
    <s v="Proposed for Bulk Order and Biryani Kits for Gifting"/>
    <s v="Cancelled"/>
    <d v="2026-08-24T00:00:00"/>
    <s v="Call"/>
    <n v="105"/>
    <s v=""/>
    <s v="Warm"/>
    <n v="100000"/>
    <m/>
    <m/>
    <m/>
    <x v="5"/>
    <m/>
    <m/>
    <m/>
    <x v="3"/>
    <m/>
    <s v=""/>
    <m/>
  </r>
  <r>
    <d v="2026-07-06T00:00:00"/>
    <s v="Pradeep"/>
    <s v="Hyderabad"/>
    <x v="288"/>
    <s v="F2F"/>
    <s v="Corporate"/>
    <x v="5"/>
    <s v="Bulk Order"/>
    <s v="New"/>
    <s v="Manufacturing"/>
    <s v="Soujanya"/>
    <m/>
    <s v="Proposed for Bulk Order and Biryani Kits for Gifting"/>
    <s v="Cancelled"/>
    <m/>
    <m/>
    <n v="105"/>
    <s v=""/>
    <s v="Warm"/>
    <n v="50000"/>
    <m/>
    <m/>
    <m/>
    <x v="5"/>
    <m/>
    <m/>
    <m/>
    <x v="3"/>
    <m/>
    <s v=""/>
    <m/>
  </r>
  <r>
    <d v="2026-07-06T00:00:00"/>
    <s v="Sameer"/>
    <s v="Hyderabad"/>
    <x v="20"/>
    <s v="Call"/>
    <s v="Aggregator"/>
    <x v="1"/>
    <s v="Bulk Order"/>
    <s v="New"/>
    <s v="F&amp;B Aggregator"/>
    <s v="Sekhar"/>
    <m/>
    <s v="Biryani day popup from Gachibowli"/>
    <s v="Closed(C4)"/>
    <m/>
    <m/>
    <s v=""/>
    <s v=""/>
    <s v="Hot"/>
    <n v="10000"/>
    <n v="37272"/>
    <d v="2026-07-06T00:00:00"/>
    <s v="00GCBTA000293284"/>
    <x v="2"/>
    <s v="Received at HO"/>
    <m/>
    <m/>
    <x v="3"/>
    <m/>
    <s v=""/>
    <m/>
  </r>
  <r>
    <d v="2026-07-06T00:00:00"/>
    <s v="Sameer"/>
    <s v="Hyderabad"/>
    <x v="21"/>
    <s v="Call"/>
    <s v="Aggregator"/>
    <x v="1"/>
    <s v="Pop Up Counter"/>
    <s v="New"/>
    <s v="F&amp;B Agrigator"/>
    <s v="Priyansh"/>
    <m/>
    <s v="Biryani day popup from Gachibowli"/>
    <s v="Closed(C4)"/>
    <m/>
    <m/>
    <s v=""/>
    <s v=""/>
    <s v="Hot"/>
    <n v="10000"/>
    <n v="10736"/>
    <d v="2026-07-06T00:00:00"/>
    <s v="00GCBTA000293285"/>
    <x v="2"/>
    <s v="Received at HO"/>
    <m/>
    <m/>
    <x v="3"/>
    <m/>
    <s v=""/>
    <m/>
  </r>
  <r>
    <d v="2026-07-06T00:00:00"/>
    <s v="Vishwanath"/>
    <s v="Bangalore"/>
    <x v="289"/>
    <s v="F2F"/>
    <s v="Corporate"/>
    <x v="5"/>
    <s v="Bulk Order"/>
    <s v="New"/>
    <s v="It"/>
    <s v="Jyothirmaya"/>
    <m/>
    <s v="Followup for the new Orders"/>
    <s v="Follow-up( C1 )"/>
    <d v="2026-09-25T00:00:00"/>
    <m/>
    <m/>
    <s v="Yes"/>
    <s v="Warm"/>
    <n v="15000"/>
    <m/>
    <m/>
    <m/>
    <x v="5"/>
    <m/>
    <m/>
    <m/>
    <x v="3"/>
    <m/>
    <s v=""/>
    <m/>
  </r>
  <r>
    <d v="2026-07-06T00:00:00"/>
    <s v="Vishwanath"/>
    <s v="Bangalore"/>
    <x v="290"/>
    <s v="F2F"/>
    <s v="Corporate"/>
    <x v="5"/>
    <s v="Bulk Order"/>
    <s v="New"/>
    <s v="Healthcare"/>
    <s v="Narendra Prasad"/>
    <m/>
    <s v="Cold call for the Order"/>
    <s v="Introduction( C0 )"/>
    <d v="2026-07-20T00:00:00"/>
    <s v="Call"/>
    <n v="105"/>
    <s v="Yes"/>
    <s v="Warm"/>
    <n v="12000"/>
    <m/>
    <m/>
    <m/>
    <x v="5"/>
    <m/>
    <m/>
    <m/>
    <x v="3"/>
    <m/>
    <s v=""/>
    <m/>
  </r>
  <r>
    <d v="2026-07-07T00:00:00"/>
    <s v="Pradeep"/>
    <s v="Hyderabad"/>
    <x v="291"/>
    <s v="F2F"/>
    <s v="Aggregator"/>
    <x v="6"/>
    <s v="Bulk Order"/>
    <s v="New"/>
    <s v="Events"/>
    <s v="Naushad"/>
    <m/>
    <s v="Has a Bulk order Requirement"/>
    <s v="Closed(C4)"/>
    <m/>
    <m/>
    <s v=""/>
    <s v=""/>
    <s v="Hot"/>
    <n v="50000"/>
    <m/>
    <m/>
    <m/>
    <x v="5"/>
    <m/>
    <m/>
    <m/>
    <x v="3"/>
    <m/>
    <s v=""/>
    <m/>
  </r>
  <r>
    <d v="2026-07-07T00:00:00"/>
    <s v="Pradeep"/>
    <s v="Hyderabad"/>
    <x v="76"/>
    <s v="F2F"/>
    <m/>
    <x v="5"/>
    <s v="Bulk Order"/>
    <s v="New"/>
    <s v="Family Group"/>
    <s v="Jerry"/>
    <m/>
    <s v="Has a bulk order requirement"/>
    <s v="Cancelled"/>
    <m/>
    <m/>
    <n v="104"/>
    <s v=""/>
    <s v="Hot"/>
    <n v="15000"/>
    <m/>
    <m/>
    <m/>
    <x v="5"/>
    <m/>
    <m/>
    <m/>
    <x v="3"/>
    <m/>
    <s v=""/>
    <m/>
  </r>
  <r>
    <d v="2026-07-07T00:00:00"/>
    <s v="Sameer"/>
    <s v="Hyderabad"/>
    <x v="20"/>
    <s v="Call"/>
    <s v="Aggregator"/>
    <x v="1"/>
    <s v="Bulk Order"/>
    <s v="New"/>
    <s v="F&amp;B Aggregator"/>
    <s v="Sekhar"/>
    <m/>
    <s v="Biryani day popup from Gachibowli"/>
    <s v="Closed(C4)"/>
    <m/>
    <m/>
    <s v=""/>
    <s v=""/>
    <s v="Hot"/>
    <n v="10000"/>
    <n v="41395"/>
    <d v="2026-07-06T00:00:00"/>
    <s v="00GCBTA000293489"/>
    <x v="2"/>
    <s v="Received at HO"/>
    <m/>
    <m/>
    <x v="3"/>
    <m/>
    <s v=""/>
    <m/>
  </r>
  <r>
    <d v="2026-07-07T00:00:00"/>
    <s v="Sameer"/>
    <s v="Hyderabad"/>
    <x v="21"/>
    <s v="Call"/>
    <s v="Aggregator"/>
    <x v="1"/>
    <s v="Pop Up Counter"/>
    <s v="New"/>
    <s v="F&amp;B Agrigator"/>
    <s v="Priyansh"/>
    <m/>
    <s v="Biryani day popup from Gachibowli"/>
    <s v="Closed(C4)"/>
    <m/>
    <m/>
    <s v=""/>
    <s v=""/>
    <s v="Hot"/>
    <n v="10000"/>
    <n v="8310"/>
    <d v="2026-07-06T00:00:00"/>
    <s v="00GCBTA000293481"/>
    <x v="2"/>
    <s v="Received at HO"/>
    <m/>
    <m/>
    <x v="3"/>
    <m/>
    <s v=""/>
    <m/>
  </r>
  <r>
    <d v="2026-07-07T00:00:00"/>
    <s v="Bashab"/>
    <s v="Bangalore"/>
    <x v="31"/>
    <s v="F2F"/>
    <s v="Corporate"/>
    <x v="5"/>
    <s v="Popup Counter"/>
    <s v="Repeat"/>
    <s v="Retail"/>
    <s v="Mueenudheen"/>
    <m/>
    <s v="Popup Confirmed"/>
    <s v="Closed(C4)"/>
    <m/>
    <m/>
    <m/>
    <s v=""/>
    <s v="Hot"/>
    <n v="15000"/>
    <n v="11659"/>
    <d v="2026-07-08T00:00:00"/>
    <s v="00WFTA1000038672"/>
    <x v="7"/>
    <s v="Received at Store"/>
    <m/>
    <d v="2026-07-08T00:00:00"/>
    <x v="3"/>
    <m/>
    <s v=""/>
    <m/>
  </r>
  <r>
    <d v="2026-07-07T00:00:00"/>
    <s v="Vishwanath"/>
    <s v="Bangalore"/>
    <x v="292"/>
    <s v="F2F"/>
    <s v="Aggregator"/>
    <x v="1"/>
    <s v="Popup Counter"/>
    <s v="New"/>
    <s v="It"/>
    <s v="Naveen"/>
    <m/>
    <s v="Popup Confirmed"/>
    <s v="Closed(C4)"/>
    <m/>
    <m/>
    <s v=""/>
    <s v=""/>
    <s v="Hot"/>
    <n v="15000"/>
    <n v="21390"/>
    <d v="2026-07-07T00:00:00"/>
    <m/>
    <x v="8"/>
    <s v="Received at HO"/>
    <m/>
    <m/>
    <x v="3"/>
    <m/>
    <s v=""/>
    <m/>
  </r>
  <r>
    <d v="2026-07-07T00:00:00"/>
    <s v="Vishwanath"/>
    <s v="Bangalore"/>
    <x v="293"/>
    <s v="F2F"/>
    <s v="Aggregator"/>
    <x v="1"/>
    <s v="Popup Counter"/>
    <s v="New"/>
    <s v="It"/>
    <s v="Naveen"/>
    <m/>
    <s v="Popup Confirmed"/>
    <s v="Closed(C4)"/>
    <m/>
    <m/>
    <s v=""/>
    <s v=""/>
    <s v="Hot"/>
    <n v="15000"/>
    <n v="12905"/>
    <d v="2026-07-07T00:00:00"/>
    <m/>
    <x v="8"/>
    <s v="Received at HO"/>
    <m/>
    <m/>
    <x v="3"/>
    <m/>
    <s v=""/>
    <m/>
  </r>
  <r>
    <d v="2026-07-07T00:00:00"/>
    <s v="Vishwanath"/>
    <s v="Bangalore"/>
    <x v="294"/>
    <s v="F2F"/>
    <s v="Corporate"/>
    <x v="5"/>
    <s v="Bulk Order"/>
    <s v="New"/>
    <s v="Healthcare"/>
    <s v="Tharun"/>
    <m/>
    <s v="Cold call for the Order"/>
    <s v="Introduction( C0 )"/>
    <m/>
    <m/>
    <n v="104"/>
    <s v=""/>
    <s v="Cold"/>
    <n v="9000"/>
    <m/>
    <m/>
    <m/>
    <x v="5"/>
    <m/>
    <m/>
    <m/>
    <x v="3"/>
    <m/>
    <s v=""/>
    <m/>
  </r>
  <r>
    <d v="2026-07-07T00:00:00"/>
    <s v="Vishwanath"/>
    <s v="Bangalore"/>
    <x v="295"/>
    <s v="F2F"/>
    <s v="Corporate"/>
    <x v="5"/>
    <s v="Bulk Order"/>
    <s v="New"/>
    <s v="Healthcare"/>
    <s v="Murali"/>
    <m/>
    <s v="Cold call for the Order"/>
    <s v="Introduction( C0 )"/>
    <m/>
    <m/>
    <n v="104"/>
    <s v=""/>
    <s v="Cold"/>
    <n v="8500"/>
    <m/>
    <m/>
    <m/>
    <x v="5"/>
    <m/>
    <m/>
    <m/>
    <x v="3"/>
    <m/>
    <s v=""/>
    <m/>
  </r>
  <r>
    <d v="2026-07-08T00:00:00"/>
    <s v="Bashab"/>
    <s v="Bangalore"/>
    <x v="16"/>
    <s v="Call"/>
    <s v="Corporate"/>
    <x v="2"/>
    <s v="Bulk Order"/>
    <s v="Repeat"/>
    <s v="Retail"/>
    <s v="Mohammed"/>
    <m/>
    <s v="Business Closed"/>
    <s v="Closed(C4)"/>
    <m/>
    <m/>
    <s v=""/>
    <s v=""/>
    <s v="Hot"/>
    <n v="20000"/>
    <n v="30937"/>
    <d v="2026-07-08T00:00:00"/>
    <s v="00HSA06000006705"/>
    <x v="3"/>
    <s v="Received at HO"/>
    <m/>
    <m/>
    <x v="3"/>
    <m/>
    <m/>
    <m/>
  </r>
  <r>
    <d v="2026-07-08T00:00:00"/>
    <s v="Sameer"/>
    <s v="Bangalore"/>
    <x v="3"/>
    <s v="Call"/>
    <s v="Aggregator"/>
    <x v="2"/>
    <s v="Bulk Order"/>
    <s v="Repeat"/>
    <s v="F&amp;B Agrigator"/>
    <s v="Saad"/>
    <m/>
    <s v="Delivery in July month from HSR"/>
    <s v="Closed(C4)"/>
    <m/>
    <m/>
    <s v=""/>
    <s v=""/>
    <s v="Hot"/>
    <n v="20000"/>
    <n v="30937"/>
    <d v="2026-07-08T00:00:00"/>
    <s v="00HSA06000006705"/>
    <x v="3"/>
    <s v="Received at HO"/>
    <m/>
    <m/>
    <x v="3"/>
    <m/>
    <m/>
    <m/>
  </r>
  <r>
    <d v="2026-07-08T00:00:00"/>
    <s v="Sameer"/>
    <s v="Hyderabad"/>
    <x v="156"/>
    <s v="F2F"/>
    <s v="Aggregator"/>
    <x v="2"/>
    <s v="Bulk Order"/>
    <s v="New"/>
    <s v="F&amp;B Aggregator"/>
    <s v="Srinivas"/>
    <m/>
    <s v="Business Closed"/>
    <s v="Closed(C4)"/>
    <m/>
    <m/>
    <m/>
    <s v=""/>
    <s v="Hot"/>
    <n v="400000"/>
    <n v="422100"/>
    <d v="2026-07-08T00:00:00"/>
    <s v="CIFSPL0708"/>
    <x v="26"/>
    <s v="Received at HO"/>
    <m/>
    <m/>
    <x v="3"/>
    <m/>
    <s v=""/>
    <m/>
  </r>
  <r>
    <d v="2026-07-08T00:00:00"/>
    <s v="Bashab"/>
    <s v="Hyderabad"/>
    <x v="156"/>
    <s v="Call"/>
    <s v="Aggregator"/>
    <x v="2"/>
    <s v="Bulk Order"/>
    <s v="New"/>
    <s v="F&amp;B Aggregator"/>
    <s v="Srinivas"/>
    <m/>
    <s v="Business Closed"/>
    <s v="Closed(C4)"/>
    <m/>
    <m/>
    <m/>
    <s v=""/>
    <s v="Hot"/>
    <n v="400000"/>
    <n v="422100"/>
    <d v="2026-07-08T00:00:00"/>
    <s v="CIFSPL0708"/>
    <x v="26"/>
    <s v="Received at HO"/>
    <m/>
    <m/>
    <x v="3"/>
    <m/>
    <s v=""/>
    <m/>
  </r>
  <r>
    <d v="2026-07-08T00:00:00"/>
    <s v="Pradeep"/>
    <s v="Hyderabad"/>
    <x v="296"/>
    <s v="F2F"/>
    <s v="Corporate"/>
    <x v="5"/>
    <s v="Bulk Order"/>
    <s v="New"/>
    <s v="It"/>
    <s v="Visharav Singh"/>
    <m/>
    <s v="Business Closed"/>
    <s v="Closed(C4)"/>
    <m/>
    <m/>
    <m/>
    <m/>
    <s v="Hot"/>
    <n v="25000"/>
    <n v="28780"/>
    <d v="2026-07-08T00:00:00"/>
    <s v="00HCA05000025457"/>
    <x v="4"/>
    <s v="Received at Store"/>
    <m/>
    <d v="2026-07-08T00:00:00"/>
    <x v="3"/>
    <m/>
    <m/>
    <s v="Takeaway-Bulk-Insti"/>
  </r>
  <r>
    <d v="2026-07-08T00:00:00"/>
    <s v="Pradeep"/>
    <s v="Hyderabad"/>
    <x v="297"/>
    <s v="F2F"/>
    <s v="Corporate"/>
    <x v="5"/>
    <s v="Bulk Order"/>
    <s v="New"/>
    <s v="Government"/>
    <s v="Suman"/>
    <m/>
    <s v="Business Closed"/>
    <s v="Closed(C4)"/>
    <m/>
    <m/>
    <s v=""/>
    <s v=""/>
    <s v="Hot"/>
    <n v="20000"/>
    <n v="12760"/>
    <d v="2026-07-08T00:00:00"/>
    <s v="00MBTTA000318795"/>
    <x v="25"/>
    <s v="Received at Store"/>
    <m/>
    <d v="2026-07-08T00:00:00"/>
    <x v="3"/>
    <m/>
    <s v=""/>
    <s v="Takeaway-Bulk-Insti"/>
  </r>
  <r>
    <d v="2026-07-08T00:00:00"/>
    <s v="Sameer"/>
    <s v="Hyderabad"/>
    <x v="20"/>
    <s v="Call"/>
    <s v="Aggregator"/>
    <x v="1"/>
    <s v="Bulk Order"/>
    <s v="New"/>
    <s v="F&amp;B Aggregator"/>
    <s v="Sekhar"/>
    <m/>
    <s v="Biryani day popup from Gachibowli"/>
    <s v="Closed(C4)"/>
    <m/>
    <m/>
    <s v=""/>
    <s v=""/>
    <s v="Hot"/>
    <n v="10000"/>
    <n v="43685"/>
    <d v="2026-07-08T00:00:00"/>
    <s v="00GCBTA000293482"/>
    <x v="2"/>
    <s v="Received at HO"/>
    <m/>
    <m/>
    <x v="3"/>
    <m/>
    <s v=""/>
    <m/>
  </r>
  <r>
    <d v="2026-07-08T00:00:00"/>
    <s v="Sameer"/>
    <s v="Hyderabad"/>
    <x v="21"/>
    <s v="Call"/>
    <s v="Aggregator"/>
    <x v="1"/>
    <s v="Pop Up Counter"/>
    <s v="New"/>
    <s v="F&amp;B Agrigator"/>
    <s v="Priyansh"/>
    <m/>
    <s v="Biryani day popup from Gachibowli"/>
    <s v="Closed(C4)"/>
    <m/>
    <m/>
    <s v=""/>
    <s v=""/>
    <s v="Hot"/>
    <n v="10000"/>
    <n v="1209"/>
    <d v="2026-07-08T00:00:00"/>
    <s v="00GCBTA000293482"/>
    <x v="2"/>
    <s v="Received at HO"/>
    <m/>
    <m/>
    <x v="3"/>
    <m/>
    <s v=""/>
    <m/>
  </r>
  <r>
    <d v="2026-07-08T00:00:00"/>
    <s v="Vishwanath"/>
    <s v="Bangalore"/>
    <x v="298"/>
    <s v="F2F"/>
    <s v="Corporate"/>
    <x v="5"/>
    <s v="Bulk Order"/>
    <s v="New"/>
    <s v="It"/>
    <s v="Vipin"/>
    <m/>
    <s v="Business Closed"/>
    <s v="Closed(C4)"/>
    <m/>
    <m/>
    <s v=""/>
    <s v=""/>
    <s v="Hot"/>
    <n v="20000"/>
    <n v="22959"/>
    <d v="2026-07-08T00:00:00"/>
    <s v="00HSA06000006706"/>
    <x v="3"/>
    <s v="Received at Store"/>
    <m/>
    <d v="2026-07-08T00:00:00"/>
    <x v="3"/>
    <m/>
    <s v=""/>
    <m/>
  </r>
  <r>
    <d v="2026-07-08T00:00:00"/>
    <s v="Vishwanath"/>
    <s v="Bangalore"/>
    <x v="299"/>
    <s v="F2F"/>
    <s v="Corporate"/>
    <x v="5"/>
    <s v="Bulk Order"/>
    <s v="New"/>
    <s v="Healthcare"/>
    <s v="Prasanth"/>
    <m/>
    <s v="Cold call for the Order"/>
    <s v="Introduction( C0 )"/>
    <m/>
    <m/>
    <n v="103"/>
    <s v=""/>
    <s v="Cold"/>
    <n v="10500"/>
    <m/>
    <m/>
    <m/>
    <x v="5"/>
    <m/>
    <m/>
    <m/>
    <x v="3"/>
    <m/>
    <s v=""/>
    <m/>
  </r>
  <r>
    <d v="2026-07-08T00:00:00"/>
    <s v="Vishwanath"/>
    <s v="Bangalore"/>
    <x v="300"/>
    <s v="F2F"/>
    <s v="ODC"/>
    <x v="5"/>
    <s v="Bulk Order"/>
    <s v="New"/>
    <s v="Healthcare"/>
    <s v="Siddarth"/>
    <m/>
    <s v="Cold call for the Order"/>
    <s v="Introduction( C0 )"/>
    <m/>
    <m/>
    <n v="103"/>
    <s v=""/>
    <s v="Cold"/>
    <m/>
    <m/>
    <m/>
    <m/>
    <x v="5"/>
    <m/>
    <m/>
    <m/>
    <x v="3"/>
    <m/>
    <s v=""/>
    <m/>
  </r>
  <r>
    <d v="2026-07-09T00:00:00"/>
    <s v="Sameer"/>
    <s v="Hyderabad"/>
    <x v="301"/>
    <s v="F2F"/>
    <s v="Corporate"/>
    <x v="5"/>
    <s v="Bulk Order"/>
    <s v="New"/>
    <s v="Exhibition"/>
    <s v="Pradeep"/>
    <m/>
    <s v="Deliverd Biryani at Event on 9-07-2026"/>
    <s v="Closed(C4)"/>
    <m/>
    <m/>
    <s v=""/>
    <s v=""/>
    <s v="Hot"/>
    <n v="15000"/>
    <n v="19200"/>
    <d v="2026-07-09T00:00:00"/>
    <s v="00STA01000065981"/>
    <x v="14"/>
    <s v="Received at HO"/>
    <m/>
    <m/>
    <x v="3"/>
    <m/>
    <s v=""/>
    <m/>
  </r>
  <r>
    <d v="2026-07-09T00:00:00"/>
    <s v="Sameer"/>
    <s v="Hyderabad"/>
    <x v="302"/>
    <s v="F2F"/>
    <s v="Corporate"/>
    <x v="5"/>
    <s v="Bulk Order"/>
    <s v="New"/>
    <s v="Exhibition"/>
    <s v="Venu"/>
    <m/>
    <s v="Delivery of biryani on 18,19&amp;20 July"/>
    <s v="Cancelled"/>
    <m/>
    <m/>
    <n v="102"/>
    <s v=""/>
    <s v="Hot"/>
    <n v="0"/>
    <m/>
    <m/>
    <m/>
    <x v="14"/>
    <m/>
    <m/>
    <m/>
    <x v="3"/>
    <m/>
    <s v=""/>
    <m/>
  </r>
  <r>
    <d v="2026-07-09T00:00:00"/>
    <s v="Sameer"/>
    <s v="Hyderabad"/>
    <x v="282"/>
    <s v="F2F"/>
    <s v="Corporate"/>
    <x v="5"/>
    <s v="Bulk Order"/>
    <s v="New"/>
    <s v="It"/>
    <s v="Pawan Chropa"/>
    <m/>
    <s v="Confirmed Buffet menu for dinner on 15-07-2026"/>
    <s v="Cancelled"/>
    <m/>
    <m/>
    <m/>
    <m/>
    <s v="Hot"/>
    <n v="195000"/>
    <m/>
    <m/>
    <m/>
    <x v="5"/>
    <m/>
    <m/>
    <m/>
    <x v="3"/>
    <m/>
    <s v=""/>
    <m/>
  </r>
  <r>
    <d v="2026-07-09T00:00:00"/>
    <s v="Pradeep"/>
    <s v="Hyderabad"/>
    <x v="303"/>
    <s v="F2F"/>
    <s v="Aggregator"/>
    <x v="6"/>
    <s v="Pop Up Counter"/>
    <s v="New"/>
    <s v="Events"/>
    <s v="Naushad"/>
    <m/>
    <s v="Pop-up counter from 9th july to 11 july"/>
    <s v="Closed(C4)"/>
    <m/>
    <m/>
    <m/>
    <m/>
    <s v="Hot"/>
    <n v="250000"/>
    <m/>
    <d v="2026-07-11T00:00:00"/>
    <m/>
    <x v="1"/>
    <s v="Received at HO"/>
    <m/>
    <m/>
    <x v="3"/>
    <m/>
    <m/>
    <m/>
  </r>
  <r>
    <d v="2026-07-09T00:00:00"/>
    <s v="Pradeep"/>
    <s v="Hyderabad"/>
    <x v="304"/>
    <s v="F2F"/>
    <s v="Corporate"/>
    <x v="5"/>
    <s v="Bulk Order"/>
    <s v="New"/>
    <s v="It"/>
    <s v="Sameer"/>
    <m/>
    <s v="Has a bulk order requirement"/>
    <s v="Cancelled"/>
    <m/>
    <m/>
    <m/>
    <m/>
    <s v="Warm"/>
    <n v="25000"/>
    <m/>
    <m/>
    <m/>
    <x v="5"/>
    <m/>
    <m/>
    <m/>
    <x v="3"/>
    <m/>
    <m/>
    <m/>
  </r>
  <r>
    <d v="2026-07-09T00:00:00"/>
    <s v="Vishwanath"/>
    <s v="Bangalore"/>
    <x v="305"/>
    <s v="F2F"/>
    <s v="Corporate"/>
    <x v="5"/>
    <s v="Bulk Order"/>
    <s v="New"/>
    <s v="It"/>
    <s v="Aruna"/>
    <m/>
    <s v="Cold call for the Order"/>
    <s v="Introduction( C0 )"/>
    <m/>
    <m/>
    <n v="102"/>
    <s v=""/>
    <s v="Cold"/>
    <n v="6000"/>
    <m/>
    <m/>
    <m/>
    <x v="5"/>
    <m/>
    <m/>
    <m/>
    <x v="3"/>
    <m/>
    <s v=""/>
    <m/>
  </r>
  <r>
    <d v="2026-07-09T00:00:00"/>
    <s v="Vishwanath"/>
    <s v="Bangalore"/>
    <x v="306"/>
    <s v="Call"/>
    <s v="Corporate"/>
    <x v="5"/>
    <s v="Bulk Order"/>
    <s v="New"/>
    <s v="Orphanage &amp; NGO"/>
    <s v="Gopalakrishnan"/>
    <m/>
    <s v="Cold call for the Order"/>
    <s v="Introduction( C0 )"/>
    <m/>
    <m/>
    <n v="102"/>
    <s v=""/>
    <s v="Cold"/>
    <m/>
    <m/>
    <m/>
    <m/>
    <x v="5"/>
    <m/>
    <m/>
    <m/>
    <x v="3"/>
    <m/>
    <s v=""/>
    <m/>
  </r>
  <r>
    <d v="2026-07-10T00:00:00"/>
    <s v="Sameer"/>
    <s v="Hyderabad"/>
    <x v="301"/>
    <s v="F2F"/>
    <s v="Corporate"/>
    <x v="5"/>
    <s v="Bulk Order"/>
    <s v="New"/>
    <s v="Exhibition"/>
    <s v="Pradeep"/>
    <m/>
    <s v="Deliverd Biryani at Event on 10-07-2026"/>
    <s v="Closed(C4)"/>
    <m/>
    <m/>
    <s v=""/>
    <s v=""/>
    <s v="Hot"/>
    <n v="8000"/>
    <n v="10490"/>
    <d v="2026-07-10T00:00:00"/>
    <s v="00STA01000065981"/>
    <x v="14"/>
    <s v="Received at HO"/>
    <m/>
    <m/>
    <x v="3"/>
    <m/>
    <m/>
    <m/>
  </r>
  <r>
    <d v="2026-07-10T00:00:00"/>
    <s v="Bashab"/>
    <s v="Bangalore"/>
    <x v="37"/>
    <s v="Call"/>
    <s v="Aggregator"/>
    <x v="1"/>
    <s v="Pop Up Counter"/>
    <s v="Repeat"/>
    <s v="It"/>
    <s v="Harish"/>
    <m/>
    <s v="Pop-up counter done"/>
    <s v="Closed(C4)"/>
    <m/>
    <m/>
    <m/>
    <s v=""/>
    <s v="Hot"/>
    <n v="15000"/>
    <n v="22310"/>
    <d v="2026-07-10T00:00:00"/>
    <m/>
    <x v="12"/>
    <s v="Received at HO"/>
    <m/>
    <m/>
    <x v="3"/>
    <m/>
    <s v=""/>
    <m/>
  </r>
  <r>
    <d v="2026-07-10T00:00:00"/>
    <s v="Sameer"/>
    <s v="Hyderabad"/>
    <x v="52"/>
    <s v="F2F"/>
    <s v="Aggregator"/>
    <x v="2"/>
    <s v="Bulk Order"/>
    <s v="Repeat"/>
    <s v="It"/>
    <s v="Dinesh"/>
    <m/>
    <s v="Biryani on 22-07-2026 from Kukatpally"/>
    <s v="Closed(C4)"/>
    <m/>
    <m/>
    <s v=""/>
    <s v=""/>
    <s v="Hot"/>
    <n v="0"/>
    <n v="0"/>
    <m/>
    <m/>
    <x v="5"/>
    <m/>
    <m/>
    <m/>
    <x v="3"/>
    <m/>
    <s v=""/>
    <m/>
  </r>
  <r>
    <d v="2026-07-10T00:00:00"/>
    <s v="Bashab"/>
    <s v="Bangalore"/>
    <x v="41"/>
    <s v="Call"/>
    <s v="Aggregator"/>
    <x v="1"/>
    <s v="Pop Up Counter"/>
    <s v="Repeat"/>
    <s v="It"/>
    <s v="Harish"/>
    <m/>
    <s v="Pop-up counter done"/>
    <s v="Closed(C4)"/>
    <m/>
    <m/>
    <m/>
    <s v=""/>
    <s v="Hot"/>
    <n v="15000"/>
    <n v="20290"/>
    <d v="2026-07-10T00:00:00"/>
    <m/>
    <x v="12"/>
    <s v="Received at HO"/>
    <m/>
    <m/>
    <x v="3"/>
    <m/>
    <s v=""/>
    <m/>
  </r>
  <r>
    <d v="2026-07-10T00:00:00"/>
    <s v="Pradeep"/>
    <s v="Hyderabad"/>
    <x v="307"/>
    <s v="F2F"/>
    <s v="Corporate"/>
    <x v="5"/>
    <s v="Bulk Order"/>
    <s v="New"/>
    <s v="It"/>
    <s v="Sandeep"/>
    <m/>
    <s v="Proposed for Bulk Order and Biryani Kits for Gifting"/>
    <s v="Cancelled"/>
    <m/>
    <m/>
    <m/>
    <m/>
    <s v="Hot"/>
    <n v="35000"/>
    <m/>
    <m/>
    <m/>
    <x v="5"/>
    <m/>
    <m/>
    <m/>
    <x v="3"/>
    <m/>
    <m/>
    <m/>
  </r>
  <r>
    <d v="2026-07-10T00:00:00"/>
    <s v="Pradeep"/>
    <s v="Hyderabad"/>
    <x v="308"/>
    <s v="F2F"/>
    <s v="Corporate"/>
    <x v="5"/>
    <s v="Bulk Order"/>
    <s v="New"/>
    <s v="It"/>
    <s v="Renuka"/>
    <m/>
    <s v="Proposed for Bulk Order and Biryani Kits for Gifting"/>
    <s v="Cancelled"/>
    <m/>
    <m/>
    <m/>
    <m/>
    <s v="Cold"/>
    <n v="20000"/>
    <m/>
    <m/>
    <m/>
    <x v="5"/>
    <m/>
    <m/>
    <m/>
    <x v="3"/>
    <m/>
    <m/>
    <m/>
  </r>
  <r>
    <d v="2026-07-10T00:00:00"/>
    <s v="Vishwanath"/>
    <s v="Bangalore"/>
    <x v="99"/>
    <s v="F2F"/>
    <s v="Corporate"/>
    <x v="5"/>
    <s v="Bulk Order"/>
    <s v="New"/>
    <s v="It"/>
    <s v="Sridhar Murthy"/>
    <m/>
    <s v="Cold call for the Order"/>
    <s v="Introduction( C0 )"/>
    <m/>
    <m/>
    <n v="101"/>
    <s v=""/>
    <s v="Cold"/>
    <n v="5500"/>
    <m/>
    <m/>
    <m/>
    <x v="5"/>
    <m/>
    <m/>
    <m/>
    <x v="3"/>
    <m/>
    <s v=""/>
    <m/>
  </r>
  <r>
    <d v="2026-07-10T00:00:00"/>
    <s v="Vishwanath"/>
    <s v="Bangalore"/>
    <x v="309"/>
    <s v="F2F"/>
    <s v="Corporate"/>
    <x v="5"/>
    <s v="Bulk Order"/>
    <s v="New"/>
    <s v="It"/>
    <s v="Sharath"/>
    <m/>
    <s v="Cold call for the Order"/>
    <s v="Introduction( C0 )"/>
    <m/>
    <m/>
    <n v="101"/>
    <s v=""/>
    <s v="Cold"/>
    <n v="6000"/>
    <m/>
    <m/>
    <m/>
    <x v="5"/>
    <m/>
    <m/>
    <m/>
    <x v="3"/>
    <m/>
    <s v=""/>
    <m/>
  </r>
  <r>
    <d v="2026-07-10T00:00:00"/>
    <s v="Sameer"/>
    <s v="Hyderabad"/>
    <x v="310"/>
    <s v="F2F"/>
    <s v="Corporate"/>
    <x v="5"/>
    <s v="Bulk Order"/>
    <s v="New"/>
    <s v="Exhibition"/>
    <s v="Ashutosh"/>
    <m/>
    <s v="Deliverd Biryani at Event on 11-07-2026"/>
    <s v="Closed(C4)"/>
    <m/>
    <m/>
    <s v=""/>
    <s v=""/>
    <s v="Hot"/>
    <n v="3000"/>
    <n v="4714"/>
    <d v="2026-07-11T00:00:00"/>
    <s v="00SUTA1000051387"/>
    <x v="32"/>
    <s v="Received at Store"/>
    <m/>
    <m/>
    <x v="3"/>
    <m/>
    <s v=""/>
    <m/>
  </r>
  <r>
    <d v="2026-07-10T00:00:00"/>
    <s v="Bashab"/>
    <s v="Hyderabad"/>
    <x v="310"/>
    <s v="F2F"/>
    <s v="Corporate"/>
    <x v="5"/>
    <s v="Bulk Order"/>
    <s v="New"/>
    <s v="Exhibition"/>
    <s v="Ashutosh"/>
    <m/>
    <s v="Deliverd Biryani at Event on 11-07-2026"/>
    <s v="Closed(C4)"/>
    <m/>
    <m/>
    <s v=""/>
    <s v=""/>
    <s v="Hot"/>
    <n v="3000"/>
    <n v="4714"/>
    <d v="2026-07-11T00:00:00"/>
    <s v="00SUTA1000051387"/>
    <x v="32"/>
    <s v="Received at Store"/>
    <m/>
    <m/>
    <x v="3"/>
    <m/>
    <m/>
    <m/>
  </r>
  <r>
    <d v="2026-07-11T00:00:00"/>
    <s v="Sameer"/>
    <s v="Hyderabad"/>
    <x v="301"/>
    <s v="F2F"/>
    <s v="Corporate"/>
    <x v="5"/>
    <s v="Bulk Order"/>
    <s v="New"/>
    <s v="Exhibition"/>
    <s v="Pradeep"/>
    <m/>
    <s v="Deliverd Biryani at Event on 11-07-2026"/>
    <s v="Closed(C4)"/>
    <m/>
    <m/>
    <s v=""/>
    <s v=""/>
    <s v="Hot"/>
    <n v="7000"/>
    <n v="10430"/>
    <d v="2026-07-11T00:00:00"/>
    <s v="00STA01000065981"/>
    <x v="14"/>
    <s v="Received at HO"/>
    <m/>
    <m/>
    <x v="3"/>
    <m/>
    <s v=""/>
    <m/>
  </r>
  <r>
    <d v="2026-07-11T00:00:00"/>
    <s v="Bashab"/>
    <s v="Hyderabad"/>
    <x v="311"/>
    <s v="Call"/>
    <s v="ODC"/>
    <x v="6"/>
    <s v="Popup Counter"/>
    <s v="New"/>
    <s v="Exhibition"/>
    <s v="Ashutosh"/>
    <m/>
    <s v="Business Closed"/>
    <s v="Closed(C4)"/>
    <m/>
    <m/>
    <m/>
    <m/>
    <s v="Hot"/>
    <n v="40000"/>
    <n v="211200"/>
    <d v="2026-07-11T00:00:00"/>
    <m/>
    <x v="5"/>
    <s v="Received at HO"/>
    <m/>
    <m/>
    <x v="3"/>
    <m/>
    <m/>
    <m/>
  </r>
  <r>
    <d v="2026-07-12T00:00:00"/>
    <s v="Sameer"/>
    <s v="Hyderabad"/>
    <x v="310"/>
    <s v="F2F"/>
    <s v="Corporate"/>
    <x v="5"/>
    <s v="Bulk Order"/>
    <s v="New"/>
    <s v="Exhibition"/>
    <s v="Ashutosh"/>
    <m/>
    <s v="Deliverd Biryani at Event on 10-07-2026"/>
    <s v="Closed(C4)"/>
    <m/>
    <m/>
    <s v=""/>
    <s v=""/>
    <s v="Hot"/>
    <n v="3000"/>
    <n v="6200"/>
    <d v="2026-07-12T00:00:00"/>
    <s v="00SUC01000050475"/>
    <x v="32"/>
    <s v="Received at Store"/>
    <m/>
    <m/>
    <x v="3"/>
    <m/>
    <s v=""/>
    <m/>
  </r>
  <r>
    <d v="2026-07-12T00:00:00"/>
    <s v="Bashab"/>
    <s v="Hyderabad"/>
    <x v="310"/>
    <s v="F2F"/>
    <s v="Corporate"/>
    <x v="5"/>
    <s v="Bulk Order"/>
    <s v="New"/>
    <s v="Exhibition"/>
    <s v="Ashutosh"/>
    <m/>
    <s v="Deliverd Biryani at Event on 10-07-2026"/>
    <s v="Closed(C4)"/>
    <m/>
    <m/>
    <s v=""/>
    <s v=""/>
    <s v="Hot"/>
    <n v="3000"/>
    <n v="6200"/>
    <d v="2026-07-12T00:00:00"/>
    <s v="00SUC01000050475"/>
    <x v="32"/>
    <s v="Received at Store"/>
    <m/>
    <m/>
    <x v="3"/>
    <m/>
    <s v=""/>
    <m/>
  </r>
  <r>
    <d v="2026-07-13T00:00:00"/>
    <s v="Pradeep"/>
    <s v="Hyderabad"/>
    <x v="76"/>
    <s v="F2F"/>
    <s v="Bulk Order"/>
    <x v="5"/>
    <s v="Bulk Order"/>
    <s v="New"/>
    <s v="F&amp;B Aggregator"/>
    <s v="Satish"/>
    <m/>
    <s v="Has a bulk order requirement "/>
    <s v="Cancelled"/>
    <m/>
    <m/>
    <n v="98"/>
    <s v=""/>
    <s v="Hot"/>
    <n v="5000"/>
    <m/>
    <m/>
    <m/>
    <x v="5"/>
    <m/>
    <m/>
    <m/>
    <x v="3"/>
    <m/>
    <s v=""/>
    <m/>
  </r>
  <r>
    <d v="2026-07-13T00:00:00"/>
    <s v="Pradeep"/>
    <s v="Hyderabad"/>
    <x v="312"/>
    <s v="F2F"/>
    <s v="Corporate"/>
    <x v="5"/>
    <s v="Bulk Order"/>
    <s v="New"/>
    <s v="Events"/>
    <s v="Shashank"/>
    <m/>
    <s v="Bulk order closed"/>
    <s v="Closed(C4)"/>
    <m/>
    <m/>
    <s v=""/>
    <s v=""/>
    <s v="Hot"/>
    <n v="25000"/>
    <n v="26909"/>
    <d v="2026-07-14T00:00:00"/>
    <s v="00SSBTA000160599"/>
    <x v="26"/>
    <s v="Received at HO"/>
    <m/>
    <d v="2026-07-14T00:00:00"/>
    <x v="3"/>
    <m/>
    <s v=""/>
    <s v="Takeaway-Bulk-Insti"/>
  </r>
  <r>
    <d v="2026-07-13T00:00:00"/>
    <s v="Sameer"/>
    <s v="Hyderabad"/>
    <x v="278"/>
    <s v="F2F"/>
    <s v="Corporate"/>
    <x v="5"/>
    <s v="Pop Up Counter"/>
    <s v="New"/>
    <s v="It"/>
    <s v="Gopi"/>
    <m/>
    <s v="Popup Counter 13-7-2026"/>
    <s v="Closed(C4)"/>
    <m/>
    <m/>
    <s v=""/>
    <s v=""/>
    <s v="Hot"/>
    <n v="25000"/>
    <n v="60416"/>
    <d v="2026-07-13T00:00:00"/>
    <s v="00GCBTA000293843"/>
    <x v="2"/>
    <s v="Received at Store"/>
    <m/>
    <m/>
    <x v="3"/>
    <m/>
    <s v=""/>
    <m/>
  </r>
  <r>
    <d v="2026-07-13T00:00:00"/>
    <s v="Vishwanath"/>
    <s v="Bangalore"/>
    <x v="259"/>
    <s v="F2F"/>
    <m/>
    <x v="5"/>
    <s v="Bulk Order"/>
    <s v="New"/>
    <s v="It"/>
    <s v="Mahesh"/>
    <m/>
    <s v="bulk order"/>
    <s v="Follow-up( C1 )"/>
    <d v="2026-09-18T00:00:00"/>
    <s v="Call"/>
    <n v="98"/>
    <s v="Yes"/>
    <s v="Warm"/>
    <n v="5500"/>
    <m/>
    <m/>
    <m/>
    <x v="5"/>
    <m/>
    <m/>
    <m/>
    <x v="3"/>
    <m/>
    <s v=""/>
    <m/>
  </r>
  <r>
    <d v="2026-07-13T00:00:00"/>
    <s v="Vishwanath"/>
    <s v="Bangalore"/>
    <x v="313"/>
    <s v="F2F"/>
    <m/>
    <x v="5"/>
    <s v="Bulk Order"/>
    <s v="New"/>
    <s v="Entertainment"/>
    <s v="Raj"/>
    <m/>
    <s v="bulk order"/>
    <s v="Follow-up( C1 )"/>
    <d v="2026-09-18T00:00:00"/>
    <s v="Call"/>
    <n v="98"/>
    <s v="Yes"/>
    <s v="Warm"/>
    <n v="6000"/>
    <m/>
    <m/>
    <m/>
    <x v="5"/>
    <m/>
    <m/>
    <m/>
    <x v="3"/>
    <m/>
    <s v=""/>
    <m/>
  </r>
  <r>
    <d v="2026-07-13T00:00:00"/>
    <s v="Vishwanath"/>
    <s v="Bangalore"/>
    <x v="314"/>
    <s v="F2F"/>
    <s v="Corporate"/>
    <x v="5"/>
    <s v="Bulk Order"/>
    <s v="New"/>
    <s v="It"/>
    <s v="Jyothi Lakshmi"/>
    <m/>
    <s v="Bulk order"/>
    <s v="Introduction( C0 )"/>
    <m/>
    <m/>
    <n v="98"/>
    <s v=""/>
    <s v="Cold"/>
    <n v="5500"/>
    <m/>
    <m/>
    <m/>
    <x v="5"/>
    <m/>
    <m/>
    <m/>
    <x v="3"/>
    <m/>
    <s v=""/>
    <m/>
  </r>
  <r>
    <d v="2026-07-14T00:00:00"/>
    <s v="Pradeep"/>
    <s v="Hyderabad"/>
    <x v="315"/>
    <s v="F2F"/>
    <s v="Corporate"/>
    <x v="5"/>
    <s v="Bulk Order"/>
    <s v="New"/>
    <s v="Healthcare"/>
    <s v="Renuka"/>
    <m/>
    <s v="Proposed for Bulk Order and Biryani Kits for Gifting"/>
    <s v="Cancelled"/>
    <d v="2026-08-31T00:00:00"/>
    <s v="Call"/>
    <m/>
    <m/>
    <s v="Cold"/>
    <n v="60000"/>
    <m/>
    <m/>
    <m/>
    <x v="5"/>
    <m/>
    <m/>
    <m/>
    <x v="3"/>
    <m/>
    <m/>
    <m/>
  </r>
  <r>
    <d v="2026-07-14T00:00:00"/>
    <s v="Pradeep"/>
    <s v="Hyderabad"/>
    <x v="316"/>
    <s v="F2F"/>
    <s v="Corporate"/>
    <x v="5"/>
    <s v="Bulk Order"/>
    <s v="New"/>
    <s v="Healthcare"/>
    <s v="Vishwanath"/>
    <m/>
    <s v="Has a bulk order requirement "/>
    <s v="Cancelled"/>
    <m/>
    <m/>
    <m/>
    <m/>
    <s v="Warm"/>
    <n v="40000"/>
    <m/>
    <m/>
    <m/>
    <x v="5"/>
    <m/>
    <m/>
    <m/>
    <x v="3"/>
    <m/>
    <m/>
    <m/>
  </r>
  <r>
    <d v="2026-07-14T00:00:00"/>
    <s v="Sameer"/>
    <s v="Hyderabad"/>
    <x v="278"/>
    <s v="F2F"/>
    <s v="Corporate"/>
    <x v="5"/>
    <s v="Pop Up Counter"/>
    <s v="New"/>
    <s v="It"/>
    <s v="Gopi"/>
    <m/>
    <s v="Popup Counter 14-7-2026"/>
    <s v="Closed(C4)"/>
    <m/>
    <m/>
    <s v=""/>
    <s v=""/>
    <s v="Hot"/>
    <n v="25000"/>
    <n v="45532"/>
    <d v="2026-07-14T00:00:00"/>
    <s v="00GCBTA000293842"/>
    <x v="2"/>
    <s v="Received at Store"/>
    <m/>
    <m/>
    <x v="3"/>
    <m/>
    <s v=""/>
    <m/>
  </r>
  <r>
    <d v="2026-07-14T00:00:00"/>
    <s v="Pradeep"/>
    <s v="Hyderabad"/>
    <x v="317"/>
    <s v="F2F"/>
    <s v="Corporate"/>
    <x v="5"/>
    <s v="Bulk Order"/>
    <s v="New"/>
    <s v="Manufacturing"/>
    <s v="Surendar"/>
    <m/>
    <s v="Has a bulk order requirement "/>
    <s v="Cancelled"/>
    <m/>
    <m/>
    <m/>
    <m/>
    <s v="Warm"/>
    <n v="20000"/>
    <m/>
    <m/>
    <m/>
    <x v="5"/>
    <m/>
    <m/>
    <m/>
    <x v="3"/>
    <m/>
    <m/>
    <m/>
  </r>
  <r>
    <d v="2026-07-14T00:00:00"/>
    <s v="Pradeep"/>
    <s v="Hyderabad"/>
    <x v="318"/>
    <s v="F2F"/>
    <s v="Corporate"/>
    <x v="5"/>
    <s v="Bulk Order"/>
    <s v="New"/>
    <s v="Manufacturing"/>
    <s v="Karuna"/>
    <m/>
    <s v="Proposed for Bulk Order and Biryani Kits for Gifting"/>
    <s v="Cancelled"/>
    <m/>
    <m/>
    <m/>
    <m/>
    <s v="Cold"/>
    <n v="40000"/>
    <m/>
    <m/>
    <m/>
    <x v="5"/>
    <m/>
    <m/>
    <m/>
    <x v="3"/>
    <m/>
    <m/>
    <m/>
  </r>
  <r>
    <d v="2026-07-14T00:00:00"/>
    <s v="Vishwanath"/>
    <s v="Bangalore"/>
    <x v="319"/>
    <s v="F2F"/>
    <s v="Corporate"/>
    <x v="5"/>
    <s v="Bulk Order"/>
    <s v="New"/>
    <s v="It"/>
    <s v="Sathish K N"/>
    <m/>
    <s v="Bulk Order"/>
    <s v="Introduction( C0 )"/>
    <m/>
    <m/>
    <n v="97"/>
    <s v=""/>
    <s v="Cold"/>
    <n v="8000"/>
    <m/>
    <m/>
    <m/>
    <x v="5"/>
    <m/>
    <m/>
    <m/>
    <x v="3"/>
    <m/>
    <s v=""/>
    <m/>
  </r>
  <r>
    <d v="2026-07-15T00:00:00"/>
    <s v="Sameer"/>
    <s v="Hyderabad"/>
    <x v="156"/>
    <s v="F2F"/>
    <s v="Aggregator"/>
    <x v="2"/>
    <s v="Bulk Order"/>
    <s v="New"/>
    <s v="F&amp;B Aggregator"/>
    <s v="Srinivas"/>
    <m/>
    <s v="Business Closed"/>
    <s v="Closed(C4)"/>
    <m/>
    <m/>
    <m/>
    <s v=""/>
    <s v="Hot"/>
    <n v="400000"/>
    <n v="421050"/>
    <d v="2026-07-15T00:00:00"/>
    <s v="CIFSPL270715"/>
    <x v="26"/>
    <s v="Received at HO"/>
    <m/>
    <m/>
    <x v="3"/>
    <m/>
    <s v=""/>
    <m/>
  </r>
  <r>
    <d v="2026-07-15T00:00:00"/>
    <s v="Bashab"/>
    <s v="Hyderabad"/>
    <x v="156"/>
    <s v="Call"/>
    <s v="Aggregator"/>
    <x v="2"/>
    <s v="Bulk Order"/>
    <s v="New"/>
    <s v="F&amp;B Aggregator"/>
    <s v="Srinivas"/>
    <m/>
    <s v="Business Closed"/>
    <s v="Closed(C4)"/>
    <m/>
    <m/>
    <m/>
    <s v=""/>
    <s v="Hot"/>
    <n v="400000"/>
    <n v="421050"/>
    <d v="2026-07-15T00:00:00"/>
    <s v="CIFSPL270715"/>
    <x v="26"/>
    <s v="Received at HO"/>
    <m/>
    <m/>
    <x v="3"/>
    <m/>
    <s v=""/>
    <m/>
  </r>
  <r>
    <d v="2026-07-15T00:00:00"/>
    <s v="Pradeep"/>
    <s v="Hyderabad"/>
    <x v="320"/>
    <s v="F2F"/>
    <s v="Corporate"/>
    <x v="5"/>
    <s v="Bulk Order"/>
    <s v="New"/>
    <s v="Healthcare"/>
    <s v="Sanjana"/>
    <m/>
    <s v="Has a bulk order requirement "/>
    <s v="Cancelled"/>
    <m/>
    <m/>
    <m/>
    <m/>
    <s v="Warm"/>
    <n v="30000"/>
    <m/>
    <m/>
    <m/>
    <x v="5"/>
    <m/>
    <m/>
    <m/>
    <x v="3"/>
    <m/>
    <m/>
    <m/>
  </r>
  <r>
    <d v="2026-07-15T00:00:00"/>
    <s v="Pradeep"/>
    <s v="Hyderabad"/>
    <x v="321"/>
    <s v="F2F"/>
    <s v="Corporate"/>
    <x v="5"/>
    <s v="Bulk Order"/>
    <s v="New"/>
    <s v="It"/>
    <s v="Suresh verma"/>
    <m/>
    <s v="Proposed for Bulk Order and Biryani Kits for Gifting"/>
    <s v="Cancelled"/>
    <m/>
    <m/>
    <m/>
    <m/>
    <s v="Cold"/>
    <n v="70000"/>
    <m/>
    <m/>
    <m/>
    <x v="5"/>
    <m/>
    <m/>
    <m/>
    <x v="3"/>
    <m/>
    <m/>
    <m/>
  </r>
  <r>
    <d v="2026-07-15T00:00:00"/>
    <s v="Sameer"/>
    <s v="Hyderabad"/>
    <x v="278"/>
    <s v="F2F"/>
    <s v="Corporate"/>
    <x v="5"/>
    <s v="Pop Up Counter"/>
    <s v="New"/>
    <s v="It"/>
    <s v="Gopi"/>
    <m/>
    <s v="Popup Counter 15-7-2026"/>
    <s v="Closed(C4)"/>
    <m/>
    <m/>
    <s v=""/>
    <s v=""/>
    <s v="Hot"/>
    <n v="25000"/>
    <n v="66806"/>
    <d v="2026-07-15T00:00:00"/>
    <s v="00GCBTA000293844"/>
    <x v="2"/>
    <s v="Received at Store"/>
    <m/>
    <m/>
    <x v="3"/>
    <m/>
    <s v=""/>
    <m/>
  </r>
  <r>
    <d v="2026-07-15T00:00:00"/>
    <s v="Pradeep"/>
    <s v="Hyderabad"/>
    <x v="322"/>
    <s v="F2F"/>
    <s v="Aggregator"/>
    <x v="2"/>
    <s v="Bulk Order"/>
    <s v="New"/>
    <s v="F&amp;B Aggregator"/>
    <s v="Malli"/>
    <m/>
    <s v="Delivery of MB on 15-07-2026"/>
    <s v="Closed(C4)"/>
    <m/>
    <m/>
    <m/>
    <m/>
    <s v="Hot"/>
    <n v="28000"/>
    <n v="30000"/>
    <d v="2026-07-15T00:00:00"/>
    <s v="CIFSPL270715"/>
    <x v="17"/>
    <s v="Received at HO"/>
    <m/>
    <m/>
    <x v="3"/>
    <m/>
    <m/>
    <m/>
  </r>
  <r>
    <d v="2026-07-15T00:00:00"/>
    <s v="Sameer"/>
    <s v="Hyderabad"/>
    <x v="301"/>
    <s v="F2F"/>
    <s v="Corporate"/>
    <x v="5"/>
    <s v="Bulk Order"/>
    <s v="New"/>
    <s v="Exhibition"/>
    <s v="Pradeep"/>
    <m/>
    <s v="Delivery of CB &amp; VB on 15,16 July from Secundrabad"/>
    <s v="Closed(C4)"/>
    <m/>
    <m/>
    <m/>
    <m/>
    <s v="Hot"/>
    <n v="35000"/>
    <n v="40855"/>
    <d v="2026-07-16T00:00:00"/>
    <s v="00STA01000068007"/>
    <x v="14"/>
    <s v="Received at HO"/>
    <m/>
    <m/>
    <x v="3"/>
    <m/>
    <m/>
    <m/>
  </r>
  <r>
    <d v="2026-07-15T00:00:00"/>
    <s v="Pradeep"/>
    <s v="Hyderabad"/>
    <x v="323"/>
    <s v="F2F"/>
    <s v="Corporate"/>
    <x v="5"/>
    <s v="Bulk Order"/>
    <s v="New"/>
    <s v="Manufacturing"/>
    <s v="Prashanth"/>
    <m/>
    <s v="Has a bulk order requirement "/>
    <s v="Cancelled"/>
    <m/>
    <m/>
    <n v="96"/>
    <s v=""/>
    <s v="Warm"/>
    <n v="35000"/>
    <m/>
    <m/>
    <m/>
    <x v="5"/>
    <m/>
    <m/>
    <m/>
    <x v="3"/>
    <m/>
    <s v=""/>
    <m/>
  </r>
  <r>
    <d v="2026-07-15T00:00:00"/>
    <s v="Pradeep"/>
    <s v="Hyderabad"/>
    <x v="324"/>
    <s v="F2F"/>
    <s v="Corporate"/>
    <x v="5"/>
    <s v="Bulk Order"/>
    <s v="New"/>
    <s v="It"/>
    <s v="Suman"/>
    <m/>
    <s v="Proposed for Bulk Order and Biryani Kits for Gifting"/>
    <s v="Cancelled"/>
    <m/>
    <m/>
    <n v="96"/>
    <s v=""/>
    <s v="Cold"/>
    <n v="40000"/>
    <m/>
    <m/>
    <m/>
    <x v="5"/>
    <m/>
    <m/>
    <m/>
    <x v="3"/>
    <m/>
    <s v=""/>
    <m/>
  </r>
  <r>
    <d v="2026-07-15T00:00:00"/>
    <s v="Bashab"/>
    <s v="Bangalore"/>
    <x v="15"/>
    <s v="F2F"/>
    <s v="Corporate"/>
    <x v="5"/>
    <s v="Popup Counter"/>
    <s v="Repeat"/>
    <s v="Retail"/>
    <s v="James"/>
    <m/>
    <s v="Popup Confirmed"/>
    <s v="Closed(C4)"/>
    <m/>
    <m/>
    <m/>
    <s v=""/>
    <s v="Hot"/>
    <n v="10000"/>
    <n v="11469"/>
    <d v="2026-07-15T00:00:00"/>
    <s v="00WFTA1000038930"/>
    <x v="7"/>
    <s v="Received at Store"/>
    <m/>
    <d v="2026-07-15T00:00:00"/>
    <x v="3"/>
    <m/>
    <s v=""/>
    <m/>
  </r>
  <r>
    <d v="2026-07-15T00:00:00"/>
    <s v="Bashab"/>
    <s v="Bangalore"/>
    <x v="123"/>
    <s v="Call"/>
    <s v="Corporate"/>
    <x v="5"/>
    <s v="Pop Up Counter"/>
    <s v="Repeat"/>
    <s v="It"/>
    <s v="Anand"/>
    <m/>
    <s v="Pop-up counter confirmed"/>
    <s v="Closed(C4)"/>
    <m/>
    <m/>
    <m/>
    <s v=""/>
    <s v="Hot"/>
    <n v="15000"/>
    <n v="25830"/>
    <d v="2026-07-15T00:00:00"/>
    <s v="OOPMTA01000C04486"/>
    <x v="21"/>
    <s v="Received at Store"/>
    <m/>
    <d v="2026-07-15T00:00:00"/>
    <x v="3"/>
    <m/>
    <s v=""/>
    <m/>
  </r>
  <r>
    <d v="2026-07-15T00:00:00"/>
    <s v="Bashab"/>
    <s v="Bangalore"/>
    <x v="16"/>
    <s v="Call"/>
    <s v="Corporate"/>
    <x v="2"/>
    <s v="Bulk Order"/>
    <s v="Repeat"/>
    <s v="Retail"/>
    <s v="Mohammed"/>
    <m/>
    <s v="Business Closed"/>
    <s v="Closed(C4)"/>
    <m/>
    <m/>
    <s v=""/>
    <s v=""/>
    <s v="Hot"/>
    <n v="20000"/>
    <n v="28187"/>
    <d v="2026-07-15T00:00:00"/>
    <s v="00HSA06000007007"/>
    <x v="3"/>
    <s v="Received at HO"/>
    <m/>
    <m/>
    <x v="3"/>
    <m/>
    <m/>
    <m/>
  </r>
  <r>
    <d v="2026-07-15T00:00:00"/>
    <s v="Sameer"/>
    <s v="Bangalore"/>
    <x v="3"/>
    <s v="Call"/>
    <s v="Aggregator"/>
    <x v="2"/>
    <s v="Bulk Order"/>
    <s v="Repeat"/>
    <s v="F&amp;B Agrigator"/>
    <s v="Saad"/>
    <m/>
    <s v="Delivery in July month from HSR"/>
    <s v="Closed(C4)"/>
    <m/>
    <m/>
    <s v=""/>
    <s v=""/>
    <s v="Hot"/>
    <n v="20000"/>
    <n v="28187"/>
    <d v="2026-07-15T00:00:00"/>
    <s v="00HSA06000007007"/>
    <x v="3"/>
    <s v="Received at HO"/>
    <m/>
    <m/>
    <x v="3"/>
    <m/>
    <m/>
    <m/>
  </r>
  <r>
    <d v="2026-07-15T00:00:00"/>
    <s v="Vishwanath"/>
    <s v="Bangalore"/>
    <x v="325"/>
    <s v="F2F"/>
    <s v="Corporate"/>
    <x v="5"/>
    <s v="Bulk Order"/>
    <s v="New"/>
    <s v="It"/>
    <s v="Vidya P Shetty"/>
    <m/>
    <s v="Bulk Order"/>
    <s v="Introduction( C0 )"/>
    <m/>
    <m/>
    <n v="96"/>
    <s v=""/>
    <s v="Cold"/>
    <n v="10200"/>
    <m/>
    <m/>
    <m/>
    <x v="5"/>
    <m/>
    <m/>
    <m/>
    <x v="3"/>
    <m/>
    <s v=""/>
    <m/>
  </r>
  <r>
    <d v="2026-07-16T00:00:00"/>
    <s v="Pradeep"/>
    <s v="Hyderabad"/>
    <x v="148"/>
    <s v="F2F"/>
    <s v="Corporate"/>
    <x v="5"/>
    <s v="Bulk Order"/>
    <s v="New"/>
    <s v="Government"/>
    <s v="Shashidar"/>
    <m/>
    <s v="Business Closed"/>
    <s v="Closed(C4)"/>
    <m/>
    <m/>
    <s v=""/>
    <s v=""/>
    <s v="Hot"/>
    <n v="10000"/>
    <n v="3550"/>
    <d v="2026-07-16T00:00:00"/>
    <s v="C0KKPTB000492293"/>
    <x v="17"/>
    <s v="Received at Store"/>
    <m/>
    <m/>
    <x v="3"/>
    <m/>
    <s v=""/>
    <s v="Takeaway-Bulk-Insti"/>
  </r>
  <r>
    <d v="2026-07-16T00:00:00"/>
    <s v="Pradeep"/>
    <s v="Hyderabad"/>
    <x v="312"/>
    <s v="F2F"/>
    <s v="Corporate"/>
    <x v="5"/>
    <s v="Bulk Order"/>
    <s v="New"/>
    <s v="Events"/>
    <s v="Shashank"/>
    <m/>
    <s v="Business Closed"/>
    <s v="Closed(C4)"/>
    <m/>
    <m/>
    <s v=""/>
    <s v=""/>
    <s v="Hot"/>
    <n v="25000"/>
    <n v="14109"/>
    <d v="2026-07-16T00:00:00"/>
    <m/>
    <x v="26"/>
    <s v="Received at HO"/>
    <m/>
    <m/>
    <x v="3"/>
    <m/>
    <s v=""/>
    <s v="Takeaway-Bulk-Insti"/>
  </r>
  <r>
    <d v="2026-07-16T00:00:00"/>
    <s v="Bashab"/>
    <s v="Bangalore"/>
    <x v="18"/>
    <s v="F2F"/>
    <s v="Corporate"/>
    <x v="5"/>
    <s v="Popup Counter"/>
    <s v="Repeat"/>
    <s v="Retail"/>
    <s v="Vinod"/>
    <m/>
    <s v="Popup Confirmed"/>
    <s v="Closed(C4)"/>
    <m/>
    <m/>
    <m/>
    <s v=""/>
    <s v="Hot"/>
    <n v="10000"/>
    <n v="13385"/>
    <d v="2026-07-16T00:00:00"/>
    <s v="00WFTA1000039060"/>
    <x v="7"/>
    <s v="Received at Store"/>
    <m/>
    <d v="2026-07-16T00:00:00"/>
    <x v="3"/>
    <m/>
    <s v=""/>
    <m/>
  </r>
  <r>
    <d v="2026-07-16T00:00:00"/>
    <s v="Vishwanath"/>
    <s v="Bangalore"/>
    <x v="276"/>
    <s v="Call"/>
    <s v="Aggregator"/>
    <x v="1"/>
    <s v="Pop Up Counter"/>
    <s v="New"/>
    <s v="It"/>
    <s v="Naveen"/>
    <m/>
    <s v="Pop-up counter done"/>
    <s v="Closed(C4)"/>
    <m/>
    <m/>
    <s v=""/>
    <s v=""/>
    <s v="Hot"/>
    <n v="15000"/>
    <n v="22603"/>
    <d v="2026-07-16T00:00:00"/>
    <m/>
    <x v="11"/>
    <s v="Received at HO"/>
    <m/>
    <m/>
    <x v="3"/>
    <m/>
    <s v=""/>
    <m/>
  </r>
  <r>
    <d v="2026-07-16T00:00:00"/>
    <s v="Vishwanath"/>
    <s v="Bangalore"/>
    <x v="326"/>
    <s v="F2F"/>
    <s v="Corporate"/>
    <x v="5"/>
    <s v="Pop Up Counter"/>
    <s v="New"/>
    <s v="It"/>
    <s v="Saran"/>
    <m/>
    <s v="Popup Confirmed"/>
    <s v="Confirmed( C3 )"/>
    <m/>
    <m/>
    <m/>
    <s v=""/>
    <s v="Hot"/>
    <m/>
    <m/>
    <m/>
    <m/>
    <x v="5"/>
    <m/>
    <m/>
    <m/>
    <x v="3"/>
    <m/>
    <s v=""/>
    <m/>
  </r>
  <r>
    <d v="2026-07-17T00:00:00"/>
    <s v="Sameer"/>
    <s v="Hyderabad"/>
    <x v="327"/>
    <s v="F2F"/>
    <s v="Aggregator"/>
    <x v="2"/>
    <s v="Pop Up Counter"/>
    <s v="New"/>
    <s v="F&amp;B Aggregator"/>
    <s v="Srikanth"/>
    <m/>
    <s v="Popup counter on 16 &amp; 17-07-2026 from Kukatpally"/>
    <s v="Closed(C4)"/>
    <m/>
    <m/>
    <m/>
    <m/>
    <s v="Hot"/>
    <n v="35000"/>
    <n v="44060"/>
    <d v="2026-07-17T00:00:00"/>
    <m/>
    <x v="17"/>
    <s v="Received at Store"/>
    <m/>
    <d v="2026-07-17T00:00:00"/>
    <x v="3"/>
    <m/>
    <m/>
    <m/>
  </r>
  <r>
    <d v="2026-07-17T00:00:00"/>
    <s v="Sameer"/>
    <s v="Hyderabad"/>
    <x v="278"/>
    <s v="F2F"/>
    <s v="Corporate"/>
    <x v="5"/>
    <s v="Pop Up Counter"/>
    <s v="New"/>
    <s v="It"/>
    <s v="Gopi"/>
    <m/>
    <s v="Popup Counter 17-7-2026"/>
    <s v="Closed(C4)"/>
    <m/>
    <m/>
    <s v=""/>
    <s v=""/>
    <s v="Hot"/>
    <n v="51000"/>
    <n v="100964"/>
    <d v="2026-07-17T00:00:00"/>
    <s v="00GCBTA000294023"/>
    <x v="2"/>
    <s v="Received at Store"/>
    <m/>
    <d v="2026-07-17T00:00:00"/>
    <x v="3"/>
    <m/>
    <m/>
    <m/>
  </r>
  <r>
    <d v="2026-07-17T00:00:00"/>
    <s v="Pradeep"/>
    <s v="Hyderabad"/>
    <x v="328"/>
    <s v="F2F"/>
    <s v="Corporate"/>
    <x v="5"/>
    <s v="Bulk Order"/>
    <s v="New"/>
    <s v="It"/>
    <s v="Kiran"/>
    <m/>
    <s v="Proposed for Bulk Order and Biryani Kits for Gifting"/>
    <s v="Cancelled"/>
    <m/>
    <m/>
    <m/>
    <m/>
    <s v="Cold"/>
    <n v="30000"/>
    <m/>
    <m/>
    <m/>
    <x v="5"/>
    <m/>
    <m/>
    <m/>
    <x v="3"/>
    <m/>
    <m/>
    <m/>
  </r>
  <r>
    <d v="2026-07-17T00:00:00"/>
    <s v="Vishwanath"/>
    <s v="Chennai"/>
    <x v="29"/>
    <s v="Call"/>
    <s v="Aggregator"/>
    <x v="0"/>
    <s v="Pop Up Counter"/>
    <s v="New"/>
    <s v="It"/>
    <s v="Gowthami"/>
    <m/>
    <s v="Popup Confirmed"/>
    <s v="Confirmed( C3 )"/>
    <m/>
    <m/>
    <m/>
    <s v=""/>
    <s v="Hot"/>
    <m/>
    <m/>
    <m/>
    <m/>
    <x v="5"/>
    <m/>
    <m/>
    <m/>
    <x v="3"/>
    <m/>
    <s v=""/>
    <m/>
  </r>
  <r>
    <d v="2026-07-17T00:00:00"/>
    <s v="Pradeep"/>
    <s v="Hyderabad"/>
    <x v="329"/>
    <s v="F2F"/>
    <s v="Corporate"/>
    <x v="5"/>
    <s v="Bulk Order"/>
    <s v="New"/>
    <s v="Hotel"/>
    <s v="Venugopal"/>
    <m/>
    <s v="Discussed on bulk order requirement"/>
    <s v="Closed(C4)"/>
    <m/>
    <m/>
    <m/>
    <m/>
    <s v="Warm"/>
    <n v="0"/>
    <m/>
    <m/>
    <m/>
    <x v="5"/>
    <m/>
    <m/>
    <m/>
    <x v="3"/>
    <m/>
    <m/>
    <m/>
  </r>
  <r>
    <d v="2026-07-17T00:00:00"/>
    <s v="Pradeep"/>
    <s v="Hyderabad"/>
    <x v="330"/>
    <s v="F2F"/>
    <s v="Corporate"/>
    <x v="5"/>
    <s v="Bulk Order"/>
    <s v="New"/>
    <s v="Healthcare"/>
    <s v="Shirisha"/>
    <m/>
    <s v="Proposed for Bulk Order and Biryani Kits for Gifting"/>
    <s v="Cancelled"/>
    <m/>
    <m/>
    <m/>
    <m/>
    <s v="Warm"/>
    <n v="40000"/>
    <m/>
    <m/>
    <m/>
    <x v="5"/>
    <m/>
    <m/>
    <m/>
    <x v="3"/>
    <m/>
    <m/>
    <m/>
  </r>
  <r>
    <d v="2026-07-20T00:00:00"/>
    <s v="Vishwanath"/>
    <s v="Bangalore"/>
    <x v="28"/>
    <s v="F2F"/>
    <s v="Aggregator"/>
    <x v="3"/>
    <s v="Bulk Order"/>
    <s v="New"/>
    <s v="It"/>
    <s v="Sanjay"/>
    <m/>
    <s v="Bulk Order delivery"/>
    <s v="Closed(C4)"/>
    <m/>
    <m/>
    <m/>
    <s v=""/>
    <s v="Hot"/>
    <n v="40000"/>
    <n v="42620"/>
    <d v="2026-07-20T00:00:00"/>
    <m/>
    <x v="8"/>
    <s v="Received at HO"/>
    <m/>
    <m/>
    <x v="3"/>
    <m/>
    <s v=""/>
    <m/>
  </r>
  <r>
    <d v="2026-07-20T00:00:00"/>
    <s v="Sameer"/>
    <s v="Hyderabad"/>
    <x v="278"/>
    <s v="F2F"/>
    <s v="Corporate"/>
    <x v="5"/>
    <s v="Pop Up Counter"/>
    <s v="New"/>
    <s v="It"/>
    <s v="Gopi"/>
    <m/>
    <s v="Popup Counter 20-7-2026"/>
    <s v="Closed(C4)"/>
    <m/>
    <m/>
    <s v=""/>
    <s v=""/>
    <s v="Hot"/>
    <n v="22000"/>
    <n v="27939"/>
    <d v="2026-07-20T00:00:00"/>
    <s v="00GCBTA000294345"/>
    <x v="2"/>
    <s v="Received at Store"/>
    <m/>
    <d v="2026-07-20T00:00:00"/>
    <x v="3"/>
    <m/>
    <s v=""/>
    <m/>
  </r>
  <r>
    <d v="2026-07-20T00:00:00"/>
    <s v="Pradeep"/>
    <s v="Hyderabad"/>
    <x v="331"/>
    <s v="F2F"/>
    <s v="Corporate"/>
    <x v="5"/>
    <s v="Bulk Order"/>
    <s v="New"/>
    <s v="Manufacturing"/>
    <s v="Surendra"/>
    <m/>
    <s v="Proposed for Bulk Order and Biryani Kits for Gifting"/>
    <s v="Cancelled"/>
    <d v="2026-08-24T00:00:00"/>
    <s v="Call"/>
    <m/>
    <s v="Yes"/>
    <s v="Warm"/>
    <n v="55000"/>
    <m/>
    <m/>
    <m/>
    <x v="5"/>
    <m/>
    <m/>
    <m/>
    <x v="3"/>
    <m/>
    <m/>
    <m/>
  </r>
  <r>
    <d v="2026-07-20T00:00:00"/>
    <s v="Sameer"/>
    <s v="Hyderabad"/>
    <x v="332"/>
    <s v="F2F"/>
    <s v="Corporate"/>
    <x v="5"/>
    <s v="Bulk Order"/>
    <s v="Repeat"/>
    <s v="Pharma"/>
    <s v="Sandeep"/>
    <m/>
    <s v="Delivery of Biryani Kits in July Month"/>
    <s v="Closed(C4)"/>
    <m/>
    <m/>
    <s v=""/>
    <s v=""/>
    <s v="Hot"/>
    <n v="4000000"/>
    <n v="4690875"/>
    <d v="2026-07-20T00:00:00"/>
    <m/>
    <x v="14"/>
    <s v="Pending"/>
    <m/>
    <m/>
    <x v="3"/>
    <m/>
    <s v=""/>
    <m/>
  </r>
  <r>
    <d v="2026-07-20T00:00:00"/>
    <s v="Sameer"/>
    <s v="Hyderabad"/>
    <x v="332"/>
    <s v="F2F"/>
    <s v="Corporate"/>
    <x v="5"/>
    <s v="Bulk Order"/>
    <s v="Repeat"/>
    <s v="Pharma"/>
    <s v="Sandeep"/>
    <m/>
    <s v="Delivery of Biryani Kits in July Month (Received Advance)"/>
    <s v="Closed(C4)"/>
    <m/>
    <m/>
    <s v=""/>
    <s v=""/>
    <s v="Hot"/>
    <n v="4000000"/>
    <n v="4137000"/>
    <d v="2026-07-20T00:00:00"/>
    <m/>
    <x v="14"/>
    <s v="Received at HO"/>
    <n v="4137000"/>
    <d v="2026-06-17T00:00:00"/>
    <x v="3"/>
    <m/>
    <m/>
    <m/>
  </r>
  <r>
    <d v="2026-07-20T00:00:00"/>
    <s v="Pradeep"/>
    <s v="Hyderabad"/>
    <x v="87"/>
    <s v="F2F"/>
    <s v="Corporate"/>
    <x v="5"/>
    <s v="Bulk Order"/>
    <s v="New"/>
    <s v="It"/>
    <s v="Kiran"/>
    <m/>
    <s v="Proposed for Bulk Order and Biryani Kits for Gifting"/>
    <s v="Cancelled"/>
    <d v="2026-08-25T00:00:00"/>
    <s v="Call"/>
    <n v="91"/>
    <s v=""/>
    <s v="Warm"/>
    <n v="60000"/>
    <m/>
    <m/>
    <m/>
    <x v="5"/>
    <m/>
    <m/>
    <m/>
    <x v="3"/>
    <m/>
    <s v=""/>
    <m/>
  </r>
  <r>
    <d v="2026-07-20T00:00:00"/>
    <s v="Pradeep"/>
    <s v="Hyderabad"/>
    <x v="296"/>
    <s v="F2F"/>
    <s v="Corporate"/>
    <x v="5"/>
    <s v="Bulk Order"/>
    <s v="New"/>
    <s v="It"/>
    <s v="Bhargav"/>
    <m/>
    <s v="Discussed on bulk order requirement"/>
    <s v="Cancelled"/>
    <m/>
    <m/>
    <n v="91"/>
    <s v=""/>
    <s v="Warm"/>
    <n v="80000"/>
    <m/>
    <m/>
    <m/>
    <x v="5"/>
    <m/>
    <m/>
    <m/>
    <x v="3"/>
    <m/>
    <s v=""/>
    <m/>
  </r>
  <r>
    <d v="2026-07-20T00:00:00"/>
    <s v="Pradeep"/>
    <s v="Hyderabad"/>
    <x v="333"/>
    <s v="F2F"/>
    <s v="Corporate"/>
    <x v="5"/>
    <s v="Bulk Order"/>
    <s v="New"/>
    <s v="It"/>
    <s v="Suraj"/>
    <m/>
    <s v="Discussed on bulk order requirement"/>
    <s v="Cancelled"/>
    <m/>
    <m/>
    <n v="91"/>
    <s v=""/>
    <s v="Warm"/>
    <n v="45000"/>
    <m/>
    <m/>
    <m/>
    <x v="5"/>
    <m/>
    <m/>
    <m/>
    <x v="3"/>
    <m/>
    <s v=""/>
    <m/>
  </r>
  <r>
    <d v="2026-07-20T00:00:00"/>
    <s v="Vishwanath"/>
    <s v="Bangalore"/>
    <x v="334"/>
    <s v="F2F"/>
    <s v="Corporate"/>
    <x v="5"/>
    <s v="Bulk Order"/>
    <s v="New"/>
    <s v="It"/>
    <s v="Murali"/>
    <m/>
    <s v="Bulkorder"/>
    <s v="Introduction( C0 )"/>
    <m/>
    <m/>
    <n v="91"/>
    <s v=""/>
    <s v="Cold"/>
    <n v="6500"/>
    <m/>
    <m/>
    <m/>
    <x v="5"/>
    <m/>
    <m/>
    <m/>
    <x v="3"/>
    <m/>
    <s v=""/>
    <m/>
  </r>
  <r>
    <d v="2026-07-21T00:00:00"/>
    <s v="Sameer"/>
    <s v="Hyderabad"/>
    <x v="278"/>
    <s v="F2F"/>
    <s v="Corporate"/>
    <x v="5"/>
    <s v="Pop Up Counter"/>
    <s v="New"/>
    <s v="It"/>
    <s v="Gopi"/>
    <m/>
    <s v="Popup Counter 21-7-2026"/>
    <s v="Closed(C4)"/>
    <m/>
    <m/>
    <s v=""/>
    <s v=""/>
    <s v="Hot"/>
    <n v="22000"/>
    <n v="52848"/>
    <d v="2026-07-21T00:00:00"/>
    <s v="00GCBTA000294367"/>
    <x v="2"/>
    <s v="Received at Store"/>
    <m/>
    <d v="2026-07-21T00:00:00"/>
    <x v="3"/>
    <m/>
    <s v=""/>
    <m/>
  </r>
  <r>
    <d v="2026-07-21T00:00:00"/>
    <s v="Pradeep"/>
    <s v="Hyderabad"/>
    <x v="335"/>
    <s v="F2F"/>
    <s v="Corporate"/>
    <x v="5"/>
    <s v="Bulk Order"/>
    <s v="New"/>
    <s v="Banking Finance &amp; Insurance"/>
    <s v="Suresh"/>
    <m/>
    <s v="Discussed on bulk order requirement for 300 pax on 30 or 31st july"/>
    <s v="Closed(C4)"/>
    <m/>
    <m/>
    <m/>
    <m/>
    <s v="Hot"/>
    <n v="145000"/>
    <n v="170175"/>
    <d v="2026-07-31T00:00:00"/>
    <s v="00PRDE1000030235"/>
    <x v="29"/>
    <s v="Received at Store"/>
    <m/>
    <m/>
    <x v="3"/>
    <m/>
    <m/>
    <m/>
  </r>
  <r>
    <d v="2026-07-21T00:00:00"/>
    <s v="Pradeep"/>
    <s v="Hyderabad"/>
    <x v="29"/>
    <s v="F2F"/>
    <s v="Corporate"/>
    <x v="5"/>
    <s v="Bulk Order"/>
    <s v="New"/>
    <s v="It"/>
    <s v="Priya"/>
    <m/>
    <s v="Discussed on bulk order requirement"/>
    <s v="Cancelled"/>
    <m/>
    <m/>
    <m/>
    <m/>
    <s v="Warm"/>
    <n v="60000"/>
    <m/>
    <m/>
    <m/>
    <x v="5"/>
    <m/>
    <m/>
    <m/>
    <x v="3"/>
    <m/>
    <m/>
    <m/>
  </r>
  <r>
    <d v="2026-07-21T00:00:00"/>
    <s v="Pradeep"/>
    <s v="Hyderabad"/>
    <x v="336"/>
    <s v="F2F"/>
    <s v="Corporate"/>
    <x v="5"/>
    <s v="Bulk Order"/>
    <s v="New"/>
    <s v="It"/>
    <s v="Hemanth"/>
    <m/>
    <s v="Proposed for Bulk Order and Biryani Kits for Gifting"/>
    <s v="Cancelled"/>
    <m/>
    <m/>
    <m/>
    <m/>
    <s v="Cold"/>
    <n v="40000"/>
    <m/>
    <m/>
    <m/>
    <x v="5"/>
    <m/>
    <m/>
    <m/>
    <x v="3"/>
    <m/>
    <m/>
    <m/>
  </r>
  <r>
    <d v="2026-07-21T00:00:00"/>
    <s v="Vishwanath"/>
    <s v="Bangalore"/>
    <x v="337"/>
    <s v="F2F"/>
    <s v="Corporate"/>
    <x v="5"/>
    <s v="Pop Up Counter"/>
    <s v="New"/>
    <s v="It"/>
    <s v="Sharan"/>
    <m/>
    <s v="Popup counter"/>
    <s v="Follow-up( C1 )"/>
    <m/>
    <m/>
    <n v="90"/>
    <s v=""/>
    <s v="Hot"/>
    <n v="50000"/>
    <m/>
    <m/>
    <m/>
    <x v="5"/>
    <m/>
    <m/>
    <m/>
    <x v="3"/>
    <m/>
    <s v=""/>
    <m/>
  </r>
  <r>
    <d v="2026-07-21T00:00:00"/>
    <s v="Bashab"/>
    <s v="Bangalore"/>
    <x v="40"/>
    <s v="F2F"/>
    <s v="Corporate"/>
    <x v="5"/>
    <s v="Popup Counter"/>
    <s v="Repeat"/>
    <s v="Retail"/>
    <s v="Srinivas"/>
    <m/>
    <s v="Popup Confirmed"/>
    <s v="Closed(C4)"/>
    <m/>
    <m/>
    <m/>
    <s v=""/>
    <s v="Hot"/>
    <n v="15000"/>
    <m/>
    <d v="2026-07-21T00:00:00"/>
    <s v="00WFTA1000038664"/>
    <x v="7"/>
    <s v="Received at Store"/>
    <m/>
    <d v="2026-07-21T00:00:00"/>
    <x v="3"/>
    <m/>
    <s v=""/>
    <m/>
  </r>
  <r>
    <d v="2026-07-22T00:00:00"/>
    <s v="Sameer"/>
    <s v="Hyderabad"/>
    <x v="278"/>
    <s v="F2F"/>
    <s v="Corporate"/>
    <x v="5"/>
    <s v="Pop Up Counter"/>
    <s v="New"/>
    <s v="It"/>
    <s v="Gopi"/>
    <m/>
    <s v="Popup Counter 22-7-2026"/>
    <s v="Closed(C4)"/>
    <m/>
    <m/>
    <s v=""/>
    <s v=""/>
    <s v="Hot"/>
    <n v="22000"/>
    <n v="57922"/>
    <d v="2026-07-22T00:00:00"/>
    <s v="00GCBTA000294474"/>
    <x v="2"/>
    <s v="Received at Store"/>
    <m/>
    <d v="2026-07-22T00:00:00"/>
    <x v="3"/>
    <m/>
    <s v=""/>
    <m/>
  </r>
  <r>
    <d v="2026-07-22T00:00:00"/>
    <s v="Pradeep"/>
    <s v="Hyderabad"/>
    <x v="338"/>
    <s v="F2F"/>
    <s v="Corporate"/>
    <x v="5"/>
    <s v="Bulk Order"/>
    <s v="New"/>
    <s v="It"/>
    <s v="Sharath"/>
    <m/>
    <s v="Proposed for Bulk Order and Biryani Kits for Gifting"/>
    <s v="Cancelled"/>
    <m/>
    <m/>
    <m/>
    <m/>
    <s v="Cold"/>
    <n v="25000"/>
    <m/>
    <m/>
    <m/>
    <x v="5"/>
    <m/>
    <m/>
    <m/>
    <x v="3"/>
    <m/>
    <m/>
    <m/>
  </r>
  <r>
    <d v="2026-07-22T00:00:00"/>
    <s v="Sameer"/>
    <s v="Hyderabad"/>
    <x v="156"/>
    <s v="F2F"/>
    <s v="Aggregator"/>
    <x v="2"/>
    <s v="Bulk Order"/>
    <s v="New"/>
    <s v="F&amp;B Aggregator"/>
    <s v="Srinivas"/>
    <m/>
    <s v="Business Closed"/>
    <s v="Closed(C4)"/>
    <m/>
    <m/>
    <m/>
    <s v=""/>
    <s v="Hot"/>
    <n v="400000"/>
    <n v="329070"/>
    <d v="2026-07-22T00:00:00"/>
    <s v="CIFSPL270722"/>
    <x v="17"/>
    <s v="Pending"/>
    <m/>
    <m/>
    <x v="3"/>
    <m/>
    <s v=""/>
    <m/>
  </r>
  <r>
    <d v="2026-07-22T00:00:00"/>
    <s v="Bashab"/>
    <s v="Hyderabad"/>
    <x v="156"/>
    <s v="Call"/>
    <s v="Aggregator"/>
    <x v="2"/>
    <s v="Bulk Order"/>
    <s v="New"/>
    <s v="F&amp;B Aggregator"/>
    <s v="Srinivas"/>
    <m/>
    <s v="Business Closed"/>
    <s v="Closed(C4)"/>
    <m/>
    <m/>
    <m/>
    <s v=""/>
    <s v="Hot"/>
    <n v="400000"/>
    <n v="329070"/>
    <d v="2026-07-22T00:00:00"/>
    <s v="CIFSPL270722"/>
    <x v="17"/>
    <s v="Received at HO"/>
    <m/>
    <m/>
    <x v="3"/>
    <m/>
    <s v=""/>
    <m/>
  </r>
  <r>
    <d v="2026-07-22T00:00:00"/>
    <s v="Pradeep"/>
    <s v="Hyderabad"/>
    <x v="339"/>
    <s v="F2F"/>
    <s v="Corporate"/>
    <x v="5"/>
    <s v="Bulk Order"/>
    <s v="New"/>
    <s v="It"/>
    <s v="Fatima"/>
    <m/>
    <s v="Discussed on bulk order requirement"/>
    <s v="Cancelled"/>
    <d v="2026-07-29T00:00:00"/>
    <s v="Call"/>
    <n v="89"/>
    <s v=""/>
    <s v="Warm"/>
    <n v="70000"/>
    <m/>
    <m/>
    <m/>
    <x v="5"/>
    <m/>
    <m/>
    <m/>
    <x v="3"/>
    <m/>
    <s v=""/>
    <m/>
  </r>
  <r>
    <d v="2026-07-22T00:00:00"/>
    <s v="Pradeep"/>
    <s v="Hyderabad"/>
    <x v="340"/>
    <s v="F2F"/>
    <s v="Corporate"/>
    <x v="5"/>
    <s v="Bulk Order"/>
    <s v="New"/>
    <s v="It"/>
    <s v="Hema"/>
    <m/>
    <s v="Discussed on bulk order requirement"/>
    <s v="Cancelled"/>
    <d v="2026-07-31T00:00:00"/>
    <s v="Call"/>
    <n v="89"/>
    <s v=""/>
    <s v="Warm"/>
    <n v="45000"/>
    <m/>
    <m/>
    <m/>
    <x v="5"/>
    <m/>
    <m/>
    <m/>
    <x v="3"/>
    <m/>
    <s v=""/>
    <m/>
  </r>
  <r>
    <d v="2026-07-22T00:00:00"/>
    <s v="Vishwanath"/>
    <s v="Bangalore"/>
    <x v="16"/>
    <s v="Call"/>
    <s v="Corporate"/>
    <x v="2"/>
    <s v="Bulk Order"/>
    <s v="Repeat"/>
    <s v="Retail"/>
    <s v="Mohammed"/>
    <m/>
    <s v="Business Closed"/>
    <s v="Closed(C4)"/>
    <m/>
    <m/>
    <s v=""/>
    <s v=""/>
    <s v="Hot"/>
    <n v="20000"/>
    <n v="27499"/>
    <d v="2026-07-22T00:00:00"/>
    <s v="00HSA06000007293"/>
    <x v="3"/>
    <s v="Received at HO"/>
    <m/>
    <m/>
    <x v="3"/>
    <m/>
    <m/>
    <m/>
  </r>
  <r>
    <d v="2026-07-22T00:00:00"/>
    <s v="Sameer"/>
    <s v="Bangalore"/>
    <x v="3"/>
    <s v="Call"/>
    <s v="Aggregator"/>
    <x v="2"/>
    <s v="Bulk Order"/>
    <s v="Repeat"/>
    <s v="F&amp;B Agrigator"/>
    <s v="Saad"/>
    <m/>
    <s v="Delivery in July month from HSR"/>
    <s v="Closed(C4)"/>
    <m/>
    <m/>
    <s v=""/>
    <s v=""/>
    <s v="Hot"/>
    <n v="20000"/>
    <n v="27499"/>
    <d v="2026-07-22T00:00:00"/>
    <s v="00HSA06000007293"/>
    <x v="3"/>
    <s v="Received at HO"/>
    <m/>
    <m/>
    <x v="3"/>
    <m/>
    <m/>
    <m/>
  </r>
  <r>
    <d v="2026-07-22T00:00:00"/>
    <s v="Vishwanath"/>
    <s v="Bangalore"/>
    <x v="341"/>
    <s v="F2F"/>
    <s v="Corporate"/>
    <x v="5"/>
    <s v="Bulk Order"/>
    <s v="New"/>
    <s v="It"/>
    <s v="Piklu Nath"/>
    <m/>
    <s v="Bulk Order"/>
    <s v="Follow-up( C1 )"/>
    <d v="2026-09-25T00:00:00"/>
    <m/>
    <n v="89"/>
    <s v="Yes"/>
    <s v="Hot"/>
    <n v="50000"/>
    <m/>
    <m/>
    <m/>
    <x v="5"/>
    <m/>
    <m/>
    <m/>
    <x v="3"/>
    <m/>
    <s v=""/>
    <m/>
  </r>
  <r>
    <d v="2026-07-22T00:00:00"/>
    <s v="Bashab"/>
    <s v="Bangalore"/>
    <x v="31"/>
    <s v="F2F"/>
    <s v="Corporate"/>
    <x v="5"/>
    <s v="Popup Counter"/>
    <s v="Repeat"/>
    <s v="Retail"/>
    <s v="Mueenudheen"/>
    <m/>
    <s v="Popup Confirmed"/>
    <s v="Closed(C4)"/>
    <m/>
    <m/>
    <m/>
    <s v=""/>
    <s v="Hot"/>
    <n v="15000"/>
    <n v="14693"/>
    <d v="2026-07-22T00:00:00"/>
    <s v="00WFTA1000039560"/>
    <x v="7"/>
    <s v="Received at Store"/>
    <m/>
    <d v="2026-07-22T00:00:00"/>
    <x v="3"/>
    <m/>
    <s v=""/>
    <m/>
  </r>
  <r>
    <d v="2026-07-22T00:00:00"/>
    <s v="Bashab"/>
    <s v="Bangalore"/>
    <x v="342"/>
    <s v="Call"/>
    <s v="Aggregator"/>
    <x v="1"/>
    <s v="Pop Up Counter"/>
    <s v="Repeat"/>
    <s v="It"/>
    <s v="Naveen"/>
    <m/>
    <s v="Pop-up counter done"/>
    <s v="Closed(C4)"/>
    <m/>
    <m/>
    <m/>
    <s v=""/>
    <s v="Hot"/>
    <n v="20000"/>
    <n v="17872"/>
    <d v="2026-07-22T00:00:00"/>
    <m/>
    <x v="8"/>
    <s v="Received at HO"/>
    <m/>
    <d v="2026-07-22T00:00:00"/>
    <x v="3"/>
    <m/>
    <s v=""/>
    <m/>
  </r>
  <r>
    <d v="2026-07-23T00:00:00"/>
    <s v="Pradeep"/>
    <s v="Hyderabad"/>
    <x v="343"/>
    <s v="F2F"/>
    <s v="Bulk Order"/>
    <x v="5"/>
    <s v="Bulk Order"/>
    <s v="New"/>
    <s v="Orphanage &amp; NGO"/>
    <s v="Sai"/>
    <m/>
    <s v="Bulk order requirement"/>
    <s v="Closed(C4)"/>
    <m/>
    <m/>
    <s v=""/>
    <s v=""/>
    <s v="Hot"/>
    <n v="25000"/>
    <n v="29700"/>
    <d v="2026-07-24T00:00:00"/>
    <s v="00PRTA1000056615"/>
    <x v="29"/>
    <s v="Received at Store"/>
    <m/>
    <m/>
    <x v="3"/>
    <m/>
    <s v=""/>
    <s v="Takeaway-Bulk-Insti"/>
  </r>
  <r>
    <d v="2026-07-23T00:00:00"/>
    <s v="Sameer"/>
    <s v="Hyderabad"/>
    <x v="278"/>
    <s v="F2F"/>
    <s v="Corporate"/>
    <x v="5"/>
    <s v="Pop Up Counter"/>
    <s v="New"/>
    <s v="It"/>
    <s v="Gopi"/>
    <m/>
    <s v="Popup Counter 23-7-2026"/>
    <s v="Closed(C4)"/>
    <m/>
    <m/>
    <s v=""/>
    <s v=""/>
    <s v="Hot"/>
    <n v="22000"/>
    <n v="35565"/>
    <d v="2026-07-23T00:00:00"/>
    <s v="00GCBTA000294584"/>
    <x v="2"/>
    <s v="Received at Store"/>
    <m/>
    <d v="2026-07-23T00:00:00"/>
    <x v="3"/>
    <m/>
    <s v=""/>
    <m/>
  </r>
  <r>
    <d v="2026-07-23T00:00:00"/>
    <s v="Pradeep"/>
    <s v="Hyderabad"/>
    <x v="344"/>
    <s v="F2F"/>
    <s v="Corporate"/>
    <x v="5"/>
    <s v="Bulk Order"/>
    <s v="New"/>
    <s v="It"/>
    <s v="Varun"/>
    <m/>
    <s v="Bulk order requirement"/>
    <s v="Cancelled"/>
    <m/>
    <m/>
    <m/>
    <m/>
    <s v="Warm"/>
    <n v="55000"/>
    <m/>
    <m/>
    <m/>
    <x v="5"/>
    <m/>
    <m/>
    <m/>
    <x v="3"/>
    <m/>
    <m/>
    <m/>
  </r>
  <r>
    <d v="2026-07-23T00:00:00"/>
    <s v="Sameer"/>
    <s v="Hyderabad"/>
    <x v="345"/>
    <s v="F2F"/>
    <s v="Corporate"/>
    <x v="5"/>
    <s v="Bulk Order"/>
    <s v="New"/>
    <s v="It"/>
    <s v="Sagar"/>
    <m/>
    <s v="Delivery  on 24-07-2026"/>
    <s v="Closed(C4)"/>
    <m/>
    <m/>
    <s v=""/>
    <s v=""/>
    <s v="Hot"/>
    <n v="14000"/>
    <n v="14500"/>
    <d v="2026-07-24T00:00:00"/>
    <m/>
    <x v="2"/>
    <s v="Received at Store"/>
    <m/>
    <m/>
    <x v="3"/>
    <m/>
    <s v=""/>
    <m/>
  </r>
  <r>
    <d v="2026-07-23T00:00:00"/>
    <s v="Pradeep"/>
    <s v="Hyderabad"/>
    <x v="346"/>
    <s v="F2F"/>
    <s v="Corporate"/>
    <x v="5"/>
    <s v="Bulk Order"/>
    <s v="New"/>
    <s v="It"/>
    <s v="Vignesh"/>
    <m/>
    <s v="Discussed on bulk order requirement"/>
    <s v="Cancelled"/>
    <m/>
    <m/>
    <m/>
    <m/>
    <s v="Cold"/>
    <n v="45000"/>
    <m/>
    <m/>
    <m/>
    <x v="5"/>
    <m/>
    <m/>
    <m/>
    <x v="3"/>
    <m/>
    <m/>
    <m/>
  </r>
  <r>
    <d v="2026-07-23T00:00:00"/>
    <s v="Pradeep"/>
    <s v="Hyderabad"/>
    <x v="347"/>
    <s v="F2F"/>
    <s v="Corporate"/>
    <x v="5"/>
    <s v="Bulk Order"/>
    <s v="New"/>
    <s v="It"/>
    <s v="Kiran"/>
    <m/>
    <s v="Proposed for Bulk Order and Biryani Kits for Gifting"/>
    <s v="Cancelled"/>
    <m/>
    <m/>
    <m/>
    <m/>
    <s v="Cold"/>
    <n v="40000"/>
    <m/>
    <m/>
    <m/>
    <x v="5"/>
    <m/>
    <m/>
    <m/>
    <x v="3"/>
    <m/>
    <m/>
    <m/>
  </r>
  <r>
    <d v="2026-07-23T00:00:00"/>
    <s v="Sameer"/>
    <s v="Hyderabad"/>
    <x v="348"/>
    <s v="F2F"/>
    <s v="Aggregator"/>
    <x v="0"/>
    <s v="Pop Up Counter"/>
    <s v="New"/>
    <s v="F&amp;B Aggregator"/>
    <s v="Pawan"/>
    <m/>
    <s v="Popup on 23-07-2026"/>
    <s v="Closed(C4)"/>
    <m/>
    <m/>
    <s v=""/>
    <s v=""/>
    <s v="Hot"/>
    <n v="50000"/>
    <n v="71731"/>
    <d v="2026-07-23T00:00:00"/>
    <s v="00GCBTA000294589"/>
    <x v="2"/>
    <s v="Pending"/>
    <m/>
    <m/>
    <x v="3"/>
    <m/>
    <s v=""/>
    <m/>
  </r>
  <r>
    <d v="2026-07-23T00:00:00"/>
    <s v="Bashab"/>
    <s v="Bangalore"/>
    <x v="18"/>
    <s v="F2F"/>
    <s v="Corporate"/>
    <x v="5"/>
    <s v="Popup Counter"/>
    <s v="Repeat"/>
    <s v="Retail"/>
    <s v="Vinod"/>
    <m/>
    <s v="Popup Confirmed"/>
    <s v="Closed(C4)"/>
    <m/>
    <m/>
    <m/>
    <s v=""/>
    <s v="Hot"/>
    <n v="15000"/>
    <n v="10742"/>
    <d v="2026-07-23T00:00:00"/>
    <s v="00WFTA1000039597"/>
    <x v="7"/>
    <s v="Received at Store"/>
    <m/>
    <d v="2026-07-23T00:00:00"/>
    <x v="3"/>
    <m/>
    <s v=""/>
    <m/>
  </r>
  <r>
    <d v="2026-07-23T00:00:00"/>
    <s v="Vishwanath"/>
    <s v="Bangalore"/>
    <x v="349"/>
    <s v="F2F"/>
    <s v="Corporate"/>
    <x v="5"/>
    <s v="Bulk Order"/>
    <s v="New"/>
    <s v="It"/>
    <s v="Ms.Uma"/>
    <m/>
    <s v="bulk order"/>
    <s v="Introduction( C0 )"/>
    <m/>
    <m/>
    <m/>
    <m/>
    <s v="Cold"/>
    <n v="7000"/>
    <m/>
    <m/>
    <m/>
    <x v="5"/>
    <m/>
    <m/>
    <m/>
    <x v="3"/>
    <m/>
    <s v=""/>
    <m/>
  </r>
  <r>
    <d v="2026-07-24T00:00:00"/>
    <s v="Pradeep"/>
    <s v="Hyderabad"/>
    <x v="350"/>
    <s v="F2F"/>
    <s v="Corporate"/>
    <x v="5"/>
    <s v="Bulk Order"/>
    <s v="New"/>
    <s v="It"/>
    <s v="Sangeetha"/>
    <m/>
    <s v="Bulk order requirement"/>
    <s v="Cancelled"/>
    <m/>
    <m/>
    <m/>
    <m/>
    <s v="Warm"/>
    <n v="30000"/>
    <m/>
    <m/>
    <m/>
    <x v="5"/>
    <m/>
    <m/>
    <m/>
    <x v="3"/>
    <m/>
    <m/>
    <m/>
  </r>
  <r>
    <d v="2026-07-24T00:00:00"/>
    <s v="Sameer"/>
    <s v="Hyderabad"/>
    <x v="348"/>
    <s v="F2F"/>
    <s v="Aggregator"/>
    <x v="0"/>
    <s v="Pop Up Counter"/>
    <s v="New"/>
    <s v="F&amp;B Aggregator"/>
    <s v="Pawan"/>
    <m/>
    <s v="Popup on 24-07-2026"/>
    <s v="Closed(C4)"/>
    <m/>
    <m/>
    <s v=""/>
    <s v=""/>
    <s v="Hot"/>
    <n v="40000"/>
    <n v="43240"/>
    <d v="2026-07-24T00:00:00"/>
    <s v="00GCBTA000294594"/>
    <x v="2"/>
    <s v="Pending"/>
    <m/>
    <m/>
    <x v="3"/>
    <m/>
    <s v=""/>
    <m/>
  </r>
  <r>
    <d v="2026-07-24T00:00:00"/>
    <s v="Sameer"/>
    <s v="Hyderabad"/>
    <x v="278"/>
    <s v="F2F"/>
    <s v="Corporate"/>
    <x v="5"/>
    <s v="Pop Up Counter"/>
    <s v="New"/>
    <s v="It"/>
    <s v="Gopi"/>
    <m/>
    <s v="Popup Counter 24-07-2026"/>
    <s v="Closed(C4)"/>
    <m/>
    <m/>
    <s v=""/>
    <s v=""/>
    <s v="Hot"/>
    <n v="22000"/>
    <n v="34713"/>
    <d v="2026-07-24T00:00:00"/>
    <s v="00GCBTA000294593"/>
    <x v="2"/>
    <s v="Received at Store"/>
    <m/>
    <d v="2026-07-24T00:00:00"/>
    <x v="3"/>
    <m/>
    <s v=""/>
    <m/>
  </r>
  <r>
    <d v="2026-07-24T00:00:00"/>
    <s v="Pradeep"/>
    <s v="Hyderabad"/>
    <x v="351"/>
    <s v="F2F"/>
    <s v="Corporate"/>
    <x v="5"/>
    <s v="Bulk Order"/>
    <s v="New"/>
    <s v="It"/>
    <s v="Sharath"/>
    <m/>
    <s v="Discussed on bulk order requirement"/>
    <s v="Cancelled"/>
    <m/>
    <m/>
    <n v="87"/>
    <s v=""/>
    <s v="Warm"/>
    <n v="25000"/>
    <m/>
    <m/>
    <m/>
    <x v="5"/>
    <m/>
    <m/>
    <m/>
    <x v="3"/>
    <m/>
    <s v=""/>
    <m/>
  </r>
  <r>
    <d v="2026-07-24T00:00:00"/>
    <s v="Pradeep"/>
    <s v="Hyderabad"/>
    <x v="352"/>
    <s v="F2F"/>
    <s v="Corporate"/>
    <x v="5"/>
    <s v="Bulk Order"/>
    <s v="New"/>
    <s v="It"/>
    <s v="Sameera"/>
    <m/>
    <s v="Proposed for Bulk Order and Biryani Kits for Gifting"/>
    <s v="Cancelled"/>
    <d v="2026-09-01T00:00:00"/>
    <s v="Call"/>
    <n v="87"/>
    <s v=""/>
    <s v="Cold"/>
    <n v="30000"/>
    <m/>
    <m/>
    <m/>
    <x v="5"/>
    <m/>
    <m/>
    <m/>
    <x v="3"/>
    <m/>
    <s v=""/>
    <m/>
  </r>
  <r>
    <d v="2026-07-24T00:00:00"/>
    <s v="Vishwanath"/>
    <s v="Bangalore"/>
    <x v="353"/>
    <s v="F2F"/>
    <s v="Corporate"/>
    <x v="5"/>
    <s v="Pop Up Counter"/>
    <s v="New"/>
    <s v="It"/>
    <s v="Sharan"/>
    <m/>
    <s v="Popup counter"/>
    <s v="Follow-up( C1 )"/>
    <m/>
    <m/>
    <n v="87"/>
    <s v=""/>
    <s v="Hot"/>
    <n v="50000"/>
    <m/>
    <m/>
    <m/>
    <x v="5"/>
    <m/>
    <m/>
    <m/>
    <x v="3"/>
    <m/>
    <s v=""/>
    <m/>
  </r>
  <r>
    <d v="2026-07-24T00:00:00"/>
    <s v="Bashab"/>
    <s v="Bangalore"/>
    <x v="37"/>
    <s v="Call"/>
    <s v="Aggregator"/>
    <x v="1"/>
    <s v="Pop Up Counter"/>
    <s v="Repeat"/>
    <s v="It"/>
    <s v="Harish"/>
    <m/>
    <s v="Pop-up counter done"/>
    <s v="Closed(C4)"/>
    <m/>
    <m/>
    <m/>
    <s v=""/>
    <s v="Hot"/>
    <n v="15000"/>
    <n v="17330"/>
    <d v="2026-07-24T00:00:00"/>
    <m/>
    <x v="12"/>
    <s v="Received at HO"/>
    <m/>
    <d v="2026-07-24T00:00:00"/>
    <x v="3"/>
    <m/>
    <s v=""/>
    <m/>
  </r>
  <r>
    <d v="2026-07-24T00:00:00"/>
    <s v="Bashab"/>
    <s v="Bangalore"/>
    <x v="41"/>
    <s v="Call"/>
    <s v="Aggregator"/>
    <x v="1"/>
    <s v="Pop Up Counter"/>
    <s v="Repeat"/>
    <s v="It"/>
    <s v="Harish"/>
    <m/>
    <s v="Pop-up counter done"/>
    <s v="Closed(C4)"/>
    <m/>
    <m/>
    <m/>
    <s v=""/>
    <s v="Hot"/>
    <n v="15000"/>
    <n v="11125"/>
    <d v="2026-07-24T00:00:00"/>
    <m/>
    <x v="12"/>
    <s v="Received at HO"/>
    <m/>
    <d v="2026-07-24T00:00:00"/>
    <x v="3"/>
    <m/>
    <s v=""/>
    <m/>
  </r>
  <r>
    <d v="2026-07-27T00:00:00"/>
    <s v="Pradeep"/>
    <s v="Hyderabad"/>
    <x v="354"/>
    <s v="F2F"/>
    <s v="Corporate"/>
    <x v="5"/>
    <s v="Bulk Order"/>
    <s v="New"/>
    <s v="F&amp;B Aggregator"/>
    <s v="Venugopal"/>
    <m/>
    <s v="Proposed for Pop up-counters Business"/>
    <s v="Closed(C4)"/>
    <m/>
    <m/>
    <s v=""/>
    <s v=""/>
    <s v="Hot"/>
    <m/>
    <m/>
    <m/>
    <m/>
    <x v="5"/>
    <m/>
    <m/>
    <m/>
    <x v="3"/>
    <m/>
    <s v=""/>
    <m/>
  </r>
  <r>
    <d v="2026-07-27T00:00:00"/>
    <s v="Pradeep"/>
    <s v="Hyderabad"/>
    <x v="355"/>
    <s v="F2F"/>
    <s v="Corporate"/>
    <x v="5"/>
    <s v="Bulk Order"/>
    <s v="New"/>
    <s v="It"/>
    <s v="Srikanth"/>
    <m/>
    <s v="Proposed for Bulk Order and Biryani Kits for Gifting"/>
    <s v="Cancelled"/>
    <m/>
    <m/>
    <n v="84"/>
    <s v=""/>
    <s v="Cold"/>
    <n v="20000"/>
    <m/>
    <m/>
    <m/>
    <x v="5"/>
    <m/>
    <m/>
    <m/>
    <x v="3"/>
    <m/>
    <s v=""/>
    <m/>
  </r>
  <r>
    <d v="2026-07-27T00:00:00"/>
    <s v="Pradeep"/>
    <s v="Hyderabad"/>
    <x v="356"/>
    <s v="F2F"/>
    <s v="Corporate"/>
    <x v="5"/>
    <s v="Bulk Order"/>
    <s v="New"/>
    <s v="It"/>
    <s v="Renuka"/>
    <m/>
    <s v="Bulk order requirement"/>
    <s v="Cancelled"/>
    <m/>
    <m/>
    <n v="84"/>
    <s v=""/>
    <s v="Warm"/>
    <n v="25000"/>
    <m/>
    <m/>
    <m/>
    <x v="5"/>
    <m/>
    <m/>
    <m/>
    <x v="3"/>
    <m/>
    <s v=""/>
    <m/>
  </r>
  <r>
    <d v="2026-07-27T00:00:00"/>
    <s v="Pradeep"/>
    <s v="Hyderabad"/>
    <x v="357"/>
    <s v="F2F"/>
    <s v="Corporate"/>
    <x v="5"/>
    <s v="Bulk Order"/>
    <s v="New"/>
    <s v="Healthcare"/>
    <s v="Shaik Nisar"/>
    <m/>
    <s v="Proposed for Bulk Order and Biryani Kits for Gifting"/>
    <s v="Cancelled"/>
    <m/>
    <m/>
    <n v="84"/>
    <s v=""/>
    <s v="Warm"/>
    <n v="40000"/>
    <m/>
    <m/>
    <m/>
    <x v="5"/>
    <m/>
    <m/>
    <m/>
    <x v="3"/>
    <m/>
    <s v=""/>
    <m/>
  </r>
  <r>
    <d v="2026-07-28T00:00:00"/>
    <s v="Pradeep"/>
    <s v="Hyderabad"/>
    <x v="268"/>
    <s v="F2F"/>
    <s v="Corporate"/>
    <x v="5"/>
    <s v="Bulk Order"/>
    <s v="New"/>
    <s v="It"/>
    <s v="Sandeep"/>
    <m/>
    <s v="Proposed for Bulk Order and Biryani Kits for Gifting"/>
    <s v="Cancelled"/>
    <m/>
    <m/>
    <n v="83"/>
    <s v=""/>
    <s v="Cold"/>
    <n v="20000"/>
    <m/>
    <m/>
    <m/>
    <x v="5"/>
    <m/>
    <m/>
    <m/>
    <x v="3"/>
    <m/>
    <s v=""/>
    <m/>
  </r>
  <r>
    <d v="2026-07-28T00:00:00"/>
    <s v="Pradeep"/>
    <s v="Hyderabad"/>
    <x v="358"/>
    <s v="F2F"/>
    <s v="Corporate"/>
    <x v="5"/>
    <s v="Bulk Order"/>
    <s v="New"/>
    <s v="It"/>
    <s v="Sangeeth"/>
    <m/>
    <s v="Bulk order requirement"/>
    <s v="Cancelled"/>
    <m/>
    <m/>
    <n v="83"/>
    <s v=""/>
    <s v="Warm"/>
    <n v="35000"/>
    <m/>
    <m/>
    <m/>
    <x v="5"/>
    <m/>
    <m/>
    <m/>
    <x v="3"/>
    <m/>
    <s v=""/>
    <m/>
  </r>
  <r>
    <d v="2026-07-28T00:00:00"/>
    <s v="Sameer"/>
    <s v="Hyderabad"/>
    <x v="359"/>
    <s v="F2F"/>
    <s v="Corporate"/>
    <x v="5"/>
    <s v="Bulk Order"/>
    <s v="New"/>
    <s v="It"/>
    <s v="Pradeep"/>
    <m/>
    <s v="Delivery of food 150 PAX on 30-07-2026"/>
    <s v="Closed(C4)"/>
    <m/>
    <m/>
    <s v=""/>
    <s v=""/>
    <s v="Hot"/>
    <n v="40000"/>
    <n v="47548"/>
    <d v="2026-07-31T00:00:00"/>
    <s v="00PRTA1000056616"/>
    <x v="29"/>
    <s v="Received at Store"/>
    <m/>
    <d v="2026-07-31T00:00:00"/>
    <x v="3"/>
    <m/>
    <s v=""/>
    <m/>
  </r>
  <r>
    <d v="2026-07-28T00:00:00"/>
    <s v="Pradeep"/>
    <s v="Hyderabad"/>
    <x v="360"/>
    <s v="F2F"/>
    <s v="Corporate"/>
    <x v="5"/>
    <s v="Bulk Order"/>
    <s v="New"/>
    <s v="It"/>
    <s v="Hemanth Kumar"/>
    <m/>
    <s v="Proposed for Bulk Order and Biryani Kits for Gifting"/>
    <s v="Cancelled"/>
    <m/>
    <s v="Call"/>
    <n v="83"/>
    <s v=""/>
    <s v="Warm"/>
    <n v="55000"/>
    <m/>
    <m/>
    <m/>
    <x v="5"/>
    <m/>
    <m/>
    <m/>
    <x v="3"/>
    <m/>
    <s v=""/>
    <m/>
  </r>
  <r>
    <d v="2026-07-28T00:00:00"/>
    <s v="Pradeep"/>
    <s v="Hyderabad"/>
    <x v="361"/>
    <s v="F2F"/>
    <s v="Corporate"/>
    <x v="5"/>
    <s v="Bulk Order"/>
    <s v="New"/>
    <s v="It"/>
    <s v="Shravani"/>
    <m/>
    <s v="Proposed for Bulk Order and Biryani Kits for Gifting"/>
    <s v="Cancelled"/>
    <m/>
    <m/>
    <n v="83"/>
    <s v=""/>
    <s v="Cold"/>
    <n v="25000"/>
    <m/>
    <m/>
    <m/>
    <x v="5"/>
    <m/>
    <m/>
    <m/>
    <x v="3"/>
    <m/>
    <s v=""/>
    <m/>
  </r>
  <r>
    <d v="2026-07-28T00:00:00"/>
    <s v="Sameer"/>
    <s v="Hyderabad"/>
    <x v="362"/>
    <s v="F2F"/>
    <s v="Corporate"/>
    <x v="5"/>
    <s v="Bulk Order"/>
    <s v="New"/>
    <s v="Pharma"/>
    <s v="Faiz"/>
    <m/>
    <s v="Delivery of Biryani kits"/>
    <s v="Confirmed( C3 )"/>
    <m/>
    <m/>
    <n v="83"/>
    <s v=""/>
    <s v="Hot"/>
    <n v="0"/>
    <m/>
    <d v="2026-10-10T00:00:00"/>
    <m/>
    <x v="5"/>
    <m/>
    <m/>
    <m/>
    <x v="4"/>
    <m/>
    <s v=""/>
    <m/>
  </r>
  <r>
    <d v="2026-07-28T00:00:00"/>
    <s v="Vishwanath"/>
    <s v="Bangalore"/>
    <x v="363"/>
    <s v="F2F"/>
    <s v="Corporate"/>
    <x v="5"/>
    <s v="Pop Up Counter"/>
    <s v="New"/>
    <s v="It"/>
    <s v="Sharan"/>
    <m/>
    <s v="Popup counter"/>
    <s v="Closed(C4)"/>
    <m/>
    <m/>
    <s v=""/>
    <s v=""/>
    <s v="Hot"/>
    <n v="50000"/>
    <n v="52948"/>
    <d v="2026-07-28T00:00:00"/>
    <m/>
    <x v="5"/>
    <s v="Received at Store"/>
    <m/>
    <m/>
    <x v="3"/>
    <m/>
    <s v=""/>
    <m/>
  </r>
  <r>
    <d v="2026-07-28T00:00:00"/>
    <s v="Bashab"/>
    <s v="Bangalore"/>
    <x v="15"/>
    <s v="F2F"/>
    <s v="Corporate"/>
    <x v="5"/>
    <s v="Popup Counter"/>
    <s v="Repeat"/>
    <s v="Retail"/>
    <s v="James"/>
    <m/>
    <s v="Popup Confirmed"/>
    <s v="Closed(C4)"/>
    <m/>
    <m/>
    <m/>
    <s v=""/>
    <s v="Hot"/>
    <n v="10000"/>
    <n v="5723"/>
    <d v="2026-07-28T00:00:00"/>
    <s v="00WFTA1000039791"/>
    <x v="7"/>
    <s v="Received at Store"/>
    <m/>
    <d v="2026-07-28T00:00:00"/>
    <x v="3"/>
    <m/>
    <s v=""/>
    <m/>
  </r>
  <r>
    <d v="2026-07-29T00:00:00"/>
    <s v="Pradeep"/>
    <s v="Hyderabad"/>
    <x v="364"/>
    <s v="F2F"/>
    <s v="Corporate"/>
    <x v="5"/>
    <s v="Bulk Order"/>
    <s v="New"/>
    <s v="Healthcare"/>
    <s v="Sandeep Reddy"/>
    <m/>
    <s v="Bulk order requirement"/>
    <s v="Cancelled"/>
    <d v="2026-08-17T00:00:00"/>
    <s v="Call"/>
    <m/>
    <m/>
    <s v="Warm"/>
    <n v="35000"/>
    <m/>
    <m/>
    <m/>
    <x v="5"/>
    <m/>
    <m/>
    <m/>
    <x v="3"/>
    <m/>
    <m/>
    <m/>
  </r>
  <r>
    <d v="2026-07-29T00:00:00"/>
    <s v="Pradeep"/>
    <s v="Hyderabad"/>
    <x v="365"/>
    <s v="F2F"/>
    <s v="Corporate"/>
    <x v="5"/>
    <s v="Bulk Order"/>
    <s v="New"/>
    <s v="Realestate"/>
    <s v="Ravi"/>
    <m/>
    <s v="Bulk order requirement"/>
    <s v="Cancelled"/>
    <m/>
    <m/>
    <m/>
    <m/>
    <s v="Warm"/>
    <n v="20000"/>
    <m/>
    <m/>
    <m/>
    <x v="5"/>
    <m/>
    <m/>
    <m/>
    <x v="3"/>
    <m/>
    <m/>
    <m/>
  </r>
  <r>
    <d v="2026-07-29T00:00:00"/>
    <s v="Sameer"/>
    <s v="Hyderabad"/>
    <x v="156"/>
    <s v="F2F"/>
    <s v="Aggregator"/>
    <x v="2"/>
    <s v="Bulk Order"/>
    <s v="New"/>
    <s v="F&amp;B Aggregator"/>
    <s v="Srinivas"/>
    <m/>
    <s v="Business Closed"/>
    <s v="Closed(C4)"/>
    <m/>
    <m/>
    <m/>
    <s v=""/>
    <s v="Hot"/>
    <n v="300000"/>
    <n v="331800"/>
    <d v="2026-07-29T00:00:00"/>
    <s v="CIFSPL270715"/>
    <x v="17"/>
    <s v="Pending"/>
    <m/>
    <m/>
    <x v="3"/>
    <m/>
    <s v=""/>
    <m/>
  </r>
  <r>
    <d v="2026-07-29T00:00:00"/>
    <s v="Bashab"/>
    <s v="Hyderabad"/>
    <x v="156"/>
    <s v="Call"/>
    <s v="Aggregator"/>
    <x v="2"/>
    <s v="Bulk Order"/>
    <s v="New"/>
    <s v="F&amp;B Aggregator"/>
    <s v="Srinivas"/>
    <m/>
    <s v="Business Closed"/>
    <s v="Closed(C4)"/>
    <m/>
    <m/>
    <m/>
    <s v=""/>
    <s v="Hot"/>
    <n v="300000"/>
    <n v="331800"/>
    <d v="2026-07-29T00:00:00"/>
    <s v="CIFSPL270715"/>
    <x v="17"/>
    <s v="Received at HO"/>
    <m/>
    <m/>
    <x v="3"/>
    <m/>
    <s v=""/>
    <m/>
  </r>
  <r>
    <d v="2026-07-29T00:00:00"/>
    <s v="Pradeep"/>
    <s v="Hyderabad"/>
    <x v="366"/>
    <s v="F2F"/>
    <s v="Corporate"/>
    <x v="5"/>
    <s v="Bulk Order"/>
    <s v="New"/>
    <s v="Realestate"/>
    <s v="Madhavi"/>
    <m/>
    <s v="Proposed for Bulk Order and Biryani Kits for Gifting"/>
    <s v="Cancelled"/>
    <m/>
    <m/>
    <m/>
    <m/>
    <s v="Cold"/>
    <n v="50000"/>
    <m/>
    <m/>
    <m/>
    <x v="5"/>
    <m/>
    <m/>
    <m/>
    <x v="3"/>
    <m/>
    <m/>
    <m/>
  </r>
  <r>
    <d v="2026-07-29T00:00:00"/>
    <s v="Sameer"/>
    <s v="Bangalore"/>
    <x v="3"/>
    <s v="Call"/>
    <s v="Aggregator"/>
    <x v="2"/>
    <s v="Bulk Order"/>
    <s v="Repeat"/>
    <s v="F&amp;B Agrigator"/>
    <s v="Saad"/>
    <m/>
    <s v="Delivery in July month from HSR"/>
    <s v="Closed(C4)"/>
    <m/>
    <m/>
    <s v=""/>
    <s v=""/>
    <s v="Hot"/>
    <n v="20000"/>
    <n v="30249"/>
    <d v="2026-07-29T00:00:00"/>
    <s v="00HSA06000007849"/>
    <x v="3"/>
    <s v="Received at HO"/>
    <m/>
    <m/>
    <x v="3"/>
    <m/>
    <s v=""/>
    <m/>
  </r>
  <r>
    <d v="2026-07-29T00:00:00"/>
    <s v="Pradeep"/>
    <s v="Hyderabad"/>
    <x v="249"/>
    <s v="F2F"/>
    <s v="Corporate"/>
    <x v="5"/>
    <s v="Bulk Order"/>
    <s v="New"/>
    <s v="It"/>
    <s v="Ravi"/>
    <m/>
    <s v="Proposed for Bulk Order and Biryani Kits for Gifting"/>
    <s v="Cancelled"/>
    <m/>
    <m/>
    <n v="82"/>
    <s v=""/>
    <s v="Warm"/>
    <n v="25000"/>
    <m/>
    <m/>
    <m/>
    <x v="5"/>
    <m/>
    <m/>
    <m/>
    <x v="3"/>
    <m/>
    <m/>
    <m/>
  </r>
  <r>
    <d v="2026-07-29T00:00:00"/>
    <s v="Vishwanath"/>
    <s v="Bangalore"/>
    <x v="353"/>
    <s v="F2F"/>
    <s v="Corporate"/>
    <x v="5"/>
    <s v="Pop Up Counter"/>
    <s v="New"/>
    <s v="It"/>
    <s v="Sharan"/>
    <m/>
    <s v="Pop Up Counter"/>
    <s v="Closed(C4)"/>
    <m/>
    <m/>
    <s v=""/>
    <s v=""/>
    <s v="Hot"/>
    <n v="50000"/>
    <n v="50993"/>
    <d v="2026-07-29T00:00:00"/>
    <m/>
    <x v="5"/>
    <s v="Received at Store"/>
    <m/>
    <m/>
    <x v="3"/>
    <m/>
    <s v=""/>
    <m/>
  </r>
  <r>
    <d v="2026-07-29T00:00:00"/>
    <s v="Bashab"/>
    <s v="Bangalore"/>
    <x v="31"/>
    <s v="F2F"/>
    <s v="Corporate"/>
    <x v="5"/>
    <s v="Popup Counter"/>
    <s v="Repeat"/>
    <s v="Retail"/>
    <s v="Mueenudheen"/>
    <m/>
    <s v="Popup Confirmed"/>
    <s v="Closed(C4)"/>
    <m/>
    <m/>
    <m/>
    <s v=""/>
    <s v="Hot"/>
    <n v="15000"/>
    <n v="9156"/>
    <d v="2026-07-29T00:00:00"/>
    <s v="00WFTA1000039796"/>
    <x v="7"/>
    <s v="Received at Store"/>
    <m/>
    <d v="2026-07-29T00:00:00"/>
    <x v="3"/>
    <m/>
    <s v=""/>
    <m/>
  </r>
  <r>
    <d v="2026-07-29T00:00:00"/>
    <s v="Vishwanath"/>
    <s v="Bangalore"/>
    <x v="16"/>
    <s v="Call"/>
    <s v="Corporate"/>
    <x v="2"/>
    <s v="Bulk Order"/>
    <s v="Repeat"/>
    <s v="Retail"/>
    <s v="Mohammed"/>
    <m/>
    <s v="Business Closed"/>
    <s v="Closed(C4)"/>
    <m/>
    <m/>
    <s v=""/>
    <s v=""/>
    <s v="Hot"/>
    <n v="20000"/>
    <n v="30250"/>
    <d v="2026-07-29T00:00:00"/>
    <s v="00HSA06000007849"/>
    <x v="3"/>
    <s v="Received at HO"/>
    <m/>
    <m/>
    <x v="3"/>
    <m/>
    <s v=""/>
    <m/>
  </r>
  <r>
    <d v="2026-07-30T00:00:00"/>
    <s v="Pradeep"/>
    <s v="Hyderabad"/>
    <x v="249"/>
    <s v="F2F"/>
    <s v="Corporate"/>
    <x v="5"/>
    <s v="Bulk Order"/>
    <s v="New"/>
    <s v="It"/>
    <s v="Ravi"/>
    <m/>
    <s v="Proposed for Bulk Order and Biryani Kits for Gifting"/>
    <s v="Cancelled"/>
    <m/>
    <m/>
    <n v="81"/>
    <s v=""/>
    <s v="Warm"/>
    <n v="25000"/>
    <m/>
    <m/>
    <m/>
    <x v="5"/>
    <m/>
    <m/>
    <m/>
    <x v="3"/>
    <m/>
    <m/>
    <m/>
  </r>
  <r>
    <d v="2026-07-30T00:00:00"/>
    <s v="Pradeep"/>
    <s v="Hyderabad"/>
    <x v="255"/>
    <s v="F2F"/>
    <s v="Corporate"/>
    <x v="5"/>
    <s v="Bulk Order"/>
    <s v="New"/>
    <s v="It"/>
    <s v="Priya"/>
    <m/>
    <s v="Proposed for Bulk Order and Biryani Kits for Gifting"/>
    <s v="Cancelled"/>
    <m/>
    <m/>
    <m/>
    <m/>
    <s v="Warm"/>
    <n v="40000"/>
    <m/>
    <m/>
    <m/>
    <x v="5"/>
    <m/>
    <m/>
    <m/>
    <x v="3"/>
    <m/>
    <m/>
    <m/>
  </r>
  <r>
    <d v="2026-07-30T00:00:00"/>
    <s v="Pradeep"/>
    <s v="Hyderabad"/>
    <x v="367"/>
    <s v="F2F"/>
    <s v="Corporate"/>
    <x v="5"/>
    <s v="Bulk Order"/>
    <s v="New"/>
    <s v="Manufacturing"/>
    <s v="Nithin"/>
    <m/>
    <s v="Bulk order Proposed"/>
    <s v="Cancelled"/>
    <d v="2026-08-17T00:00:00"/>
    <s v="Call"/>
    <m/>
    <m/>
    <s v="Cold"/>
    <n v="55000"/>
    <m/>
    <m/>
    <m/>
    <x v="5"/>
    <m/>
    <m/>
    <m/>
    <x v="3"/>
    <m/>
    <m/>
    <m/>
  </r>
  <r>
    <d v="2026-07-30T00:00:00"/>
    <s v="Pradeep"/>
    <s v="Hyderabad"/>
    <x v="368"/>
    <s v="F2F"/>
    <s v="Corporate"/>
    <x v="5"/>
    <s v="Bulk Order"/>
    <s v="New"/>
    <s v="Healthcare"/>
    <s v="Geetha"/>
    <m/>
    <s v="Discussed on Bulk Order Requirement"/>
    <s v="Cancelled"/>
    <m/>
    <m/>
    <m/>
    <m/>
    <s v="Warm"/>
    <n v="35000"/>
    <m/>
    <m/>
    <m/>
    <x v="5"/>
    <m/>
    <m/>
    <m/>
    <x v="3"/>
    <m/>
    <m/>
    <m/>
  </r>
  <r>
    <d v="2026-07-30T00:00:00"/>
    <s v="Vishwanath"/>
    <s v="Bangalore"/>
    <x v="341"/>
    <s v="F2F"/>
    <s v="Corporate"/>
    <x v="5"/>
    <s v="Bulk Order"/>
    <s v="New"/>
    <s v="It"/>
    <s v="Piklu Nath"/>
    <m/>
    <s v="Bulk Order"/>
    <s v="Closed(C4)"/>
    <m/>
    <m/>
    <s v=""/>
    <s v=""/>
    <s v="Hot"/>
    <n v="50000"/>
    <n v="57870.75"/>
    <d v="2026-07-30T00:00:00"/>
    <m/>
    <x v="3"/>
    <s v="Received at HO"/>
    <m/>
    <m/>
    <x v="3"/>
    <m/>
    <s v=""/>
    <m/>
  </r>
  <r>
    <d v="2026-07-30T00:00:00"/>
    <s v="Pradeep"/>
    <s v="Hyderabad"/>
    <x v="369"/>
    <s v="F2F"/>
    <s v="Corporate"/>
    <x v="5"/>
    <s v="Bulk Order"/>
    <s v="New"/>
    <s v="Banking Finance &amp; Insurance"/>
    <s v="Rajesh"/>
    <m/>
    <s v="Bulk Order Closed"/>
    <s v="Closed(C4)"/>
    <m/>
    <m/>
    <m/>
    <m/>
    <s v="Hot"/>
    <n v="10000"/>
    <n v="4148"/>
    <d v="2026-07-30T00:00:00"/>
    <s v="00STA02000029296"/>
    <x v="14"/>
    <s v="Received at Store"/>
    <m/>
    <d v="2026-07-30T00:00:00"/>
    <x v="3"/>
    <m/>
    <m/>
    <s v="Takeaway-Bulk-Insti"/>
  </r>
  <r>
    <d v="2026-07-30T00:00:00"/>
    <s v="Vishwanath"/>
    <s v="Hyderabad"/>
    <x v="341"/>
    <s v="Call"/>
    <s v="Corporate"/>
    <x v="5"/>
    <s v="Bulk Order"/>
    <s v="New"/>
    <s v="It"/>
    <s v="Piklu Nath"/>
    <m/>
    <s v="Bulk Order"/>
    <s v="Closed(C4)"/>
    <m/>
    <m/>
    <s v=""/>
    <s v=""/>
    <s v="Hot"/>
    <n v="50000"/>
    <n v="16500"/>
    <d v="2026-07-30T00:00:00"/>
    <m/>
    <x v="5"/>
    <s v="Received at HO"/>
    <m/>
    <m/>
    <x v="3"/>
    <m/>
    <s v=""/>
    <m/>
  </r>
  <r>
    <d v="2026-07-31T00:00:00"/>
    <s v="Pradeep"/>
    <s v="Hyderabad"/>
    <x v="367"/>
    <s v="F2F"/>
    <s v="Corporate"/>
    <x v="5"/>
    <s v="Bulk Order"/>
    <s v="New"/>
    <s v="Manufacturing"/>
    <s v="Nithin"/>
    <m/>
    <s v="Bulk order Proposed"/>
    <s v="Cancelled"/>
    <m/>
    <m/>
    <m/>
    <m/>
    <s v="Cold"/>
    <n v="55000"/>
    <m/>
    <m/>
    <m/>
    <x v="5"/>
    <m/>
    <m/>
    <m/>
    <x v="3"/>
    <m/>
    <m/>
    <m/>
  </r>
  <r>
    <d v="2026-07-31T00:00:00"/>
    <s v="Pradeep"/>
    <s v="Hyderabad"/>
    <x v="368"/>
    <s v="F2F"/>
    <s v="Corporate"/>
    <x v="5"/>
    <s v="Bulk Order"/>
    <s v="New"/>
    <s v="Healthcare"/>
    <s v="Geetha"/>
    <m/>
    <s v="Discussed on Bulk Order Requirement"/>
    <s v="Cancelled"/>
    <m/>
    <m/>
    <m/>
    <m/>
    <s v="Warm"/>
    <n v="35000"/>
    <m/>
    <m/>
    <m/>
    <x v="5"/>
    <m/>
    <m/>
    <m/>
    <x v="3"/>
    <m/>
    <m/>
    <m/>
  </r>
  <r>
    <d v="2026-07-31T00:00:00"/>
    <s v="Pradeep"/>
    <s v="Hyderabad"/>
    <x v="274"/>
    <s v="F2F"/>
    <s v="Corporate"/>
    <x v="5"/>
    <s v="Bulk Order"/>
    <s v="New"/>
    <s v="It"/>
    <s v="Nishanth"/>
    <m/>
    <s v="Bulk order Proposed"/>
    <s v="Cancelled"/>
    <d v="2026-09-02T00:00:00"/>
    <s v="Call"/>
    <m/>
    <m/>
    <s v="Warm"/>
    <n v="30000"/>
    <m/>
    <m/>
    <m/>
    <x v="5"/>
    <m/>
    <m/>
    <m/>
    <x v="3"/>
    <m/>
    <m/>
    <m/>
  </r>
  <r>
    <d v="2026-07-31T00:00:00"/>
    <s v="Pradeep"/>
    <s v="Hyderabad"/>
    <x v="370"/>
    <s v="F2F"/>
    <s v="Corporate"/>
    <x v="5"/>
    <s v="Bulk Order"/>
    <s v="New"/>
    <s v="It"/>
    <s v="Swathi"/>
    <m/>
    <s v="Discussed on Bulk Order Requirement"/>
    <s v="Cancelled"/>
    <m/>
    <m/>
    <m/>
    <m/>
    <s v="Warm"/>
    <n v="50000"/>
    <m/>
    <m/>
    <m/>
    <x v="5"/>
    <m/>
    <m/>
    <m/>
    <x v="3"/>
    <m/>
    <m/>
    <m/>
  </r>
  <r>
    <d v="2026-07-31T00:00:00"/>
    <s v="Pradeep"/>
    <s v="Hyderabad"/>
    <x v="371"/>
    <s v="F2F"/>
    <s v="Corporate"/>
    <x v="5"/>
    <s v="Bulk Order"/>
    <s v="New"/>
    <s v="It"/>
    <s v="Subash"/>
    <m/>
    <s v="Discussed on Bulk Order Requirement"/>
    <s v="Cancelled"/>
    <m/>
    <m/>
    <m/>
    <m/>
    <s v="Warm"/>
    <n v="70000"/>
    <m/>
    <m/>
    <m/>
    <x v="5"/>
    <m/>
    <m/>
    <m/>
    <x v="3"/>
    <m/>
    <m/>
    <m/>
  </r>
  <r>
    <d v="2026-08-01T00:00:00"/>
    <s v="Bashab"/>
    <s v="Bangalore"/>
    <x v="37"/>
    <s v="Call"/>
    <s v="Aggregator"/>
    <x v="1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5"/>
    <m/>
    <m/>
    <m/>
  </r>
  <r>
    <d v="2026-08-01T00:00:00"/>
    <s v="Bashab"/>
    <s v="Bangalore"/>
    <x v="41"/>
    <s v="Call"/>
    <s v="Aggregator"/>
    <x v="1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5"/>
    <m/>
    <s v=""/>
    <m/>
  </r>
  <r>
    <d v="2026-08-01T00:00:00"/>
    <s v="Bashab"/>
    <s v="Bangalore"/>
    <x v="122"/>
    <s v="Call"/>
    <s v="Aggregator"/>
    <x v="1"/>
    <s v="Pop Up Counter"/>
    <s v="Repeat"/>
    <s v="It"/>
    <s v="Naveen"/>
    <m/>
    <s v="Pop-up counter done"/>
    <s v="Confirmed( C3 )"/>
    <m/>
    <m/>
    <m/>
    <s v=""/>
    <s v="Hot"/>
    <m/>
    <m/>
    <m/>
    <m/>
    <x v="11"/>
    <m/>
    <m/>
    <m/>
    <x v="5"/>
    <m/>
    <s v=""/>
    <m/>
  </r>
  <r>
    <d v="2026-08-01T00:00:00"/>
    <s v="Bashab"/>
    <s v="Bangalore"/>
    <x v="40"/>
    <s v="F2F"/>
    <s v="Corporate"/>
    <x v="5"/>
    <s v="Popup Counter"/>
    <s v="Repeat"/>
    <s v="Retail"/>
    <s v="Srinivas"/>
    <m/>
    <s v="Popup Confirmed"/>
    <s v="Confirmed( C3 )"/>
    <m/>
    <m/>
    <m/>
    <s v=""/>
    <s v="Hot"/>
    <m/>
    <m/>
    <m/>
    <m/>
    <x v="7"/>
    <m/>
    <m/>
    <m/>
    <x v="5"/>
    <m/>
    <s v=""/>
    <m/>
  </r>
  <r>
    <d v="2026-08-01T00:00:00"/>
    <s v="Bashab"/>
    <s v="Bangalore"/>
    <x v="18"/>
    <s v="F2F"/>
    <s v="Corporate"/>
    <x v="5"/>
    <s v="Popup Counter"/>
    <s v="Repeat"/>
    <s v="Retail"/>
    <s v="Vinod"/>
    <m/>
    <s v="Popup Confirmed"/>
    <s v="Confirmed( C3 )"/>
    <m/>
    <m/>
    <m/>
    <s v=""/>
    <s v="Hot"/>
    <m/>
    <m/>
    <m/>
    <m/>
    <x v="7"/>
    <m/>
    <m/>
    <m/>
    <x v="5"/>
    <m/>
    <s v=""/>
    <m/>
  </r>
  <r>
    <d v="2026-08-01T00:00:00"/>
    <s v="Bashab"/>
    <s v="Bangalore"/>
    <x v="15"/>
    <s v="F2F"/>
    <s v="Corporate"/>
    <x v="5"/>
    <s v="Popup Counter"/>
    <s v="Repeat"/>
    <s v="Retail"/>
    <s v="James"/>
    <m/>
    <s v="Popup Confirmed"/>
    <s v="Confirmed( C3 )"/>
    <m/>
    <m/>
    <m/>
    <s v=""/>
    <s v="Hot"/>
    <m/>
    <m/>
    <m/>
    <m/>
    <x v="7"/>
    <m/>
    <m/>
    <m/>
    <x v="5"/>
    <m/>
    <s v=""/>
    <m/>
  </r>
  <r>
    <d v="2026-08-01T00:00:00"/>
    <s v="Bashab"/>
    <s v="Bangalore"/>
    <x v="31"/>
    <s v="F2F"/>
    <s v="Corporate"/>
    <x v="5"/>
    <s v="Popup Counter"/>
    <s v="Repeat"/>
    <s v="Retail"/>
    <s v="Mueenudheen"/>
    <m/>
    <s v="Popup Confirmed"/>
    <s v="Confirmed( C3 )"/>
    <m/>
    <m/>
    <m/>
    <s v=""/>
    <s v="Hot"/>
    <m/>
    <m/>
    <m/>
    <m/>
    <x v="7"/>
    <m/>
    <m/>
    <m/>
    <x v="5"/>
    <m/>
    <s v=""/>
    <m/>
  </r>
  <r>
    <d v="2026-08-01T00:00:00"/>
    <s v="Bashab"/>
    <s v="Bangalore"/>
    <x v="123"/>
    <s v="Call"/>
    <s v="Corporate"/>
    <x v="5"/>
    <s v="Pop Up Counter"/>
    <s v="Repeat"/>
    <s v="It"/>
    <s v="Anand"/>
    <m/>
    <s v="Pop-up counter confirmed"/>
    <s v="Confirmed( C3 )"/>
    <m/>
    <m/>
    <m/>
    <s v=""/>
    <s v="Hot"/>
    <m/>
    <m/>
    <m/>
    <m/>
    <x v="21"/>
    <m/>
    <m/>
    <m/>
    <x v="5"/>
    <m/>
    <s v=""/>
    <m/>
  </r>
  <r>
    <d v="2026-08-01T00:00:00"/>
    <s v="Bashab"/>
    <s v="Hyderabad"/>
    <x v="156"/>
    <s v="F2F"/>
    <s v="Aggregator"/>
    <x v="2"/>
    <s v="Bulk Order"/>
    <s v="New"/>
    <s v="F&amp;B Aggregator"/>
    <s v="Srinivas"/>
    <m/>
    <s v="Business Closed"/>
    <s v="Confirmed( C3 )"/>
    <m/>
    <m/>
    <m/>
    <s v=""/>
    <s v="Hot"/>
    <m/>
    <m/>
    <m/>
    <m/>
    <x v="5"/>
    <m/>
    <m/>
    <m/>
    <x v="5"/>
    <m/>
    <s v=""/>
    <m/>
  </r>
  <r>
    <d v="2026-08-01T00:00:00"/>
    <s v="Bashab"/>
    <s v="Bangalore"/>
    <x v="66"/>
    <s v="Call"/>
    <s v="Aggregator"/>
    <x v="3"/>
    <s v="Pop Up Counter"/>
    <s v="Repeat"/>
    <s v="It"/>
    <s v="Navya"/>
    <m/>
    <s v="Popup Confirmed"/>
    <s v="Confirmed( C3 )"/>
    <m/>
    <m/>
    <m/>
    <s v=""/>
    <s v="Hot"/>
    <m/>
    <m/>
    <m/>
    <m/>
    <x v="11"/>
    <m/>
    <m/>
    <m/>
    <x v="5"/>
    <m/>
    <s v=""/>
    <m/>
  </r>
  <r>
    <d v="2026-08-01T00:00:00"/>
    <s v="Vishwanath"/>
    <s v="Bangalore"/>
    <x v="16"/>
    <s v="Call"/>
    <s v="Corporate"/>
    <x v="2"/>
    <s v="Bulk Order"/>
    <s v="Repeat"/>
    <s v="Retail"/>
    <s v="Mohammed"/>
    <m/>
    <s v="Business follow-up"/>
    <s v="Confirmed( C3 )"/>
    <m/>
    <m/>
    <n v="79"/>
    <s v=""/>
    <s v="Hot"/>
    <m/>
    <m/>
    <m/>
    <m/>
    <x v="3"/>
    <s v="Pending"/>
    <m/>
    <m/>
    <x v="5"/>
    <m/>
    <s v=""/>
    <m/>
  </r>
  <r>
    <d v="2026-08-03T00:00:00"/>
    <s v="Pradeep"/>
    <s v="Hyderabad"/>
    <x v="359"/>
    <s v="F2F"/>
    <s v="Corporate"/>
    <x v="5"/>
    <s v="Bulk Order"/>
    <s v="New"/>
    <s v="It"/>
    <s v="Madhu"/>
    <m/>
    <s v="Discussed on Bulk Order Requirement upcoming event"/>
    <s v="Follow-up( C1 )"/>
    <m/>
    <m/>
    <m/>
    <m/>
    <s v="Warm"/>
    <n v="40000"/>
    <m/>
    <m/>
    <m/>
    <x v="5"/>
    <m/>
    <m/>
    <m/>
    <x v="5"/>
    <m/>
    <m/>
    <m/>
  </r>
  <r>
    <d v="2026-08-03T00:00:00"/>
    <s v="Pradeep"/>
    <s v="Hyderabad"/>
    <x v="372"/>
    <s v="F2F"/>
    <s v="Corporate"/>
    <x v="5"/>
    <s v="Bulk Order"/>
    <s v="New"/>
    <s v="It"/>
    <s v="Kiran"/>
    <m/>
    <s v="Proposed for Bulk Order and Biryani Kits for Gifting"/>
    <s v="Follow-up( C1 )"/>
    <m/>
    <m/>
    <m/>
    <m/>
    <s v="Warm"/>
    <n v="20000"/>
    <m/>
    <m/>
    <m/>
    <x v="5"/>
    <m/>
    <m/>
    <m/>
    <x v="5"/>
    <m/>
    <m/>
    <m/>
  </r>
  <r>
    <d v="2026-08-03T00:00:00"/>
    <s v="Pradeep"/>
    <s v="Hyderabad"/>
    <x v="373"/>
    <s v="F2F"/>
    <s v="Corporate"/>
    <x v="5"/>
    <s v="Bulk Order"/>
    <s v="New"/>
    <s v="It"/>
    <s v="Sameera"/>
    <m/>
    <s v="Proposed for Bulk Order and Biryani Kits for Gifting"/>
    <s v="Introduction( C0 )"/>
    <m/>
    <m/>
    <m/>
    <m/>
    <s v="Warm"/>
    <n v="30000"/>
    <m/>
    <m/>
    <m/>
    <x v="5"/>
    <m/>
    <m/>
    <m/>
    <x v="5"/>
    <m/>
    <m/>
    <m/>
  </r>
  <r>
    <d v="2026-08-03T00:00:00"/>
    <s v="Pradeep"/>
    <s v="Hyderabad"/>
    <x v="374"/>
    <s v="F2F"/>
    <s v="Corporate"/>
    <x v="5"/>
    <s v="Bulk Order"/>
    <s v="New"/>
    <s v="It"/>
    <s v="Sai kiran"/>
    <m/>
    <s v="Discussed on Bulk Order Requirement upcoming event"/>
    <s v="Introduction( C0 )"/>
    <m/>
    <m/>
    <m/>
    <m/>
    <s v="Cold"/>
    <n v="25000"/>
    <m/>
    <m/>
    <m/>
    <x v="5"/>
    <m/>
    <m/>
    <m/>
    <x v="5"/>
    <m/>
    <m/>
    <m/>
  </r>
  <r>
    <d v="2026-08-03T00:00:00"/>
    <s v="Vishwanath"/>
    <s v="Bangalore"/>
    <x v="375"/>
    <s v="F2F"/>
    <s v="Corporate"/>
    <x v="5"/>
    <s v="Bulk Order"/>
    <s v="New"/>
    <s v="It"/>
    <s v="Mahesh"/>
    <m/>
    <s v="Discussed on Bulk order Requirement"/>
    <s v="Introduction( C0 )"/>
    <d v="2026-09-03T00:00:00"/>
    <m/>
    <m/>
    <m/>
    <s v="Warm"/>
    <n v="9500"/>
    <m/>
    <m/>
    <m/>
    <x v="5"/>
    <m/>
    <m/>
    <m/>
    <x v="5"/>
    <m/>
    <s v=""/>
    <m/>
  </r>
  <r>
    <d v="2026-08-04T00:00:00"/>
    <s v="Pradeep"/>
    <s v="Hyderabad"/>
    <x v="376"/>
    <s v="F2F"/>
    <s v="Corporate"/>
    <x v="5"/>
    <s v="Bulk Order"/>
    <s v="New"/>
    <s v="Realestate"/>
    <s v="Navya"/>
    <m/>
    <s v="Business follow-up"/>
    <s v="Follow-up( C1 )"/>
    <m/>
    <m/>
    <m/>
    <m/>
    <s v="Cold"/>
    <n v="50000"/>
    <m/>
    <m/>
    <m/>
    <x v="5"/>
    <m/>
    <m/>
    <m/>
    <x v="5"/>
    <m/>
    <m/>
    <m/>
  </r>
  <r>
    <d v="2026-08-04T00:00:00"/>
    <s v="Pradeep"/>
    <s v="Hyderabad"/>
    <x v="377"/>
    <s v="F2F"/>
    <s v="Corporate"/>
    <x v="5"/>
    <s v="Bulk Order"/>
    <s v="New"/>
    <s v="Education"/>
    <s v="Animakia"/>
    <m/>
    <s v="Proposed for Bulk Order and Biryani Kits for Gifting"/>
    <s v="Follow-up( C1 )"/>
    <m/>
    <m/>
    <m/>
    <m/>
    <s v="Warm"/>
    <n v="35000"/>
    <m/>
    <m/>
    <m/>
    <x v="5"/>
    <m/>
    <m/>
    <m/>
    <x v="5"/>
    <m/>
    <m/>
    <m/>
  </r>
  <r>
    <d v="2026-08-04T00:00:00"/>
    <s v="Pradeep"/>
    <s v="Hyderabad"/>
    <x v="181"/>
    <s v="F2F"/>
    <s v="Corporate"/>
    <x v="5"/>
    <s v="Bulk Order"/>
    <s v="New"/>
    <s v="It"/>
    <s v="Susheel"/>
    <m/>
    <s v="Business follow-up"/>
    <s v="Negotitaion( C2 )"/>
    <m/>
    <m/>
    <m/>
    <m/>
    <s v="Warm"/>
    <n v="40000"/>
    <m/>
    <m/>
    <m/>
    <x v="5"/>
    <m/>
    <m/>
    <m/>
    <x v="5"/>
    <m/>
    <m/>
    <m/>
  </r>
  <r>
    <d v="2026-08-04T00:00:00"/>
    <s v="Pradeep"/>
    <s v="Hyderabad"/>
    <x v="378"/>
    <s v="F2F"/>
    <s v="Corporate"/>
    <x v="5"/>
    <s v="Bulk Order"/>
    <s v="New"/>
    <s v="It"/>
    <s v="Zameel"/>
    <m/>
    <s v="Proposed for Bulk Order and Biryani Kits for Gifting"/>
    <s v="Follow-up( C1 )"/>
    <m/>
    <m/>
    <m/>
    <m/>
    <s v="Cold"/>
    <n v="50000"/>
    <m/>
    <m/>
    <m/>
    <x v="5"/>
    <m/>
    <m/>
    <m/>
    <x v="5"/>
    <m/>
    <m/>
    <m/>
  </r>
  <r>
    <d v="2026-08-04T00:00:00"/>
    <s v="Vishwanath"/>
    <s v="Bangalore"/>
    <x v="8"/>
    <s v="F2F"/>
    <s v="Corporate"/>
    <x v="5"/>
    <s v="Bulk Order"/>
    <s v="New"/>
    <s v="It"/>
    <s v="Ajay"/>
    <m/>
    <s v="Discussed on Bulk order Requirement"/>
    <s v="Introduction( C0 )"/>
    <d v="2026-09-03T00:00:00"/>
    <m/>
    <m/>
    <m/>
    <s v="Warm"/>
    <n v="8500"/>
    <m/>
    <m/>
    <m/>
    <x v="5"/>
    <m/>
    <m/>
    <m/>
    <x v="5"/>
    <m/>
    <s v=""/>
    <m/>
  </r>
  <r>
    <d v="2026-08-04T00:00:00"/>
    <s v="Vishwanath"/>
    <s v="Bangalore"/>
    <x v="379"/>
    <s v="F2F"/>
    <s v="Corporate"/>
    <x v="5"/>
    <s v="Bulk Order"/>
    <s v="New"/>
    <s v="Manufacturing"/>
    <s v="Dinesh"/>
    <m/>
    <s v="Discussed on Bulk order Requirement"/>
    <s v="Introduction( C0 )"/>
    <d v="2026-09-09T00:00:00"/>
    <m/>
    <m/>
    <m/>
    <s v="Warm"/>
    <n v="8000"/>
    <m/>
    <m/>
    <m/>
    <x v="5"/>
    <m/>
    <m/>
    <m/>
    <x v="5"/>
    <m/>
    <s v=""/>
    <m/>
  </r>
  <r>
    <d v="2026-08-04T00:00:00"/>
    <s v="Bashab"/>
    <s v="Bangalore"/>
    <x v="31"/>
    <s v="F2F"/>
    <s v="Corporate"/>
    <x v="5"/>
    <s v="Popup Counter"/>
    <s v="Repeat"/>
    <s v="Retail"/>
    <s v="Mueenudheen"/>
    <m/>
    <s v="Pop-up counter done"/>
    <s v="Closed(C4)"/>
    <m/>
    <m/>
    <m/>
    <s v=""/>
    <s v="Hot"/>
    <n v="10000"/>
    <n v="8051"/>
    <d v="2026-08-04T00:00:00"/>
    <m/>
    <x v="7"/>
    <s v="Received at HO"/>
    <m/>
    <m/>
    <x v="5"/>
    <m/>
    <s v=""/>
    <m/>
  </r>
  <r>
    <d v="2026-08-05T00:00:00"/>
    <s v="Pradeep"/>
    <s v="Hyderabad"/>
    <x v="380"/>
    <s v="F2F"/>
    <s v="Aggregator"/>
    <x v="6"/>
    <s v="Pop Up Counter"/>
    <s v="New"/>
    <s v="F&amp;B Aggregator"/>
    <s v="Naushad"/>
    <m/>
    <s v="Popup Business Closed"/>
    <s v="Closed(C4)"/>
    <m/>
    <m/>
    <m/>
    <m/>
    <s v="Hot"/>
    <n v="250000"/>
    <n v="437000"/>
    <m/>
    <m/>
    <x v="5"/>
    <s v="Received at HO"/>
    <m/>
    <m/>
    <x v="5"/>
    <m/>
    <m/>
    <m/>
  </r>
  <r>
    <d v="2026-08-05T00:00:00"/>
    <s v="Sameer"/>
    <s v="Hyderabad"/>
    <x v="156"/>
    <s v="F2F"/>
    <s v="Aggregator"/>
    <x v="2"/>
    <s v="Bulk Order"/>
    <s v="New"/>
    <s v="F&amp;B Aggregator"/>
    <s v="Srinivas"/>
    <m/>
    <s v="Business Closed"/>
    <s v="Closed(C4)"/>
    <m/>
    <m/>
    <m/>
    <s v=""/>
    <s v="Hot"/>
    <n v="250000"/>
    <n v="261450"/>
    <d v="2026-08-05T00:00:00"/>
    <s v="CIFSPL070805"/>
    <x v="17"/>
    <s v="Received at HO"/>
    <m/>
    <m/>
    <x v="5"/>
    <m/>
    <s v=""/>
    <m/>
  </r>
  <r>
    <d v="2026-08-05T00:00:00"/>
    <s v="Bashab"/>
    <s v="Hyderabad"/>
    <x v="156"/>
    <s v="Call"/>
    <s v="Aggregator"/>
    <x v="2"/>
    <s v="Bulk Order"/>
    <s v="New"/>
    <s v="F&amp;B Aggregator"/>
    <s v="Srinivas"/>
    <m/>
    <s v="Business Closed"/>
    <s v="Closed(C4)"/>
    <m/>
    <m/>
    <m/>
    <s v=""/>
    <s v="Hot"/>
    <n v="250000"/>
    <n v="261450"/>
    <d v="2026-08-05T00:00:00"/>
    <s v="CIFSPL070805"/>
    <x v="17"/>
    <s v="Received at HO"/>
    <m/>
    <m/>
    <x v="5"/>
    <m/>
    <s v=""/>
    <m/>
  </r>
  <r>
    <d v="2026-08-05T00:00:00"/>
    <s v="Pradeep"/>
    <s v="Hyderabad"/>
    <x v="381"/>
    <s v="F2F"/>
    <s v="Corporate"/>
    <x v="5"/>
    <s v="Bulk Order"/>
    <s v="New"/>
    <s v="Healthcare"/>
    <s v="Soujanya"/>
    <m/>
    <s v="Proposed for Bulk Order and Biryani Kits for Gifting"/>
    <s v="Introduction( C0 )"/>
    <m/>
    <m/>
    <m/>
    <m/>
    <s v="Warm"/>
    <n v="60000"/>
    <m/>
    <m/>
    <m/>
    <x v="5"/>
    <m/>
    <m/>
    <m/>
    <x v="5"/>
    <m/>
    <m/>
    <m/>
  </r>
  <r>
    <d v="2026-08-05T00:00:00"/>
    <s v="Pradeep"/>
    <s v="Hyderabad"/>
    <x v="148"/>
    <s v="F2F"/>
    <s v="Corporate"/>
    <x v="5"/>
    <s v="Bulk Order"/>
    <s v="New"/>
    <s v="Government"/>
    <s v="Shahidar"/>
    <m/>
    <s v="Business Closed"/>
    <s v="Closed(C4)"/>
    <m/>
    <m/>
    <s v=""/>
    <s v=""/>
    <s v="Hot"/>
    <n v="15000"/>
    <n v="20399"/>
    <d v="2026-08-05T00:00:00"/>
    <s v="COKKPTBC00495169"/>
    <x v="17"/>
    <s v="Received at Store"/>
    <m/>
    <d v="2026-08-05T00:00:00"/>
    <x v="5"/>
    <m/>
    <s v=""/>
    <s v="Takeaway-Bulk-Insti"/>
  </r>
  <r>
    <d v="2026-08-05T00:00:00"/>
    <s v="Vishwanath"/>
    <s v="Bangalore"/>
    <x v="76"/>
    <s v="F2F"/>
    <s v="Bulk Order"/>
    <x v="5"/>
    <s v="Bulk Order"/>
    <s v="New"/>
    <m/>
    <s v="Naveen"/>
    <m/>
    <s v="Business Closed"/>
    <s v="Closed(C4)"/>
    <m/>
    <m/>
    <s v=""/>
    <s v=""/>
    <s v="Hot"/>
    <n v="5000"/>
    <n v="5480"/>
    <d v="2026-08-05T00:00:00"/>
    <m/>
    <x v="11"/>
    <s v="Received at Store"/>
    <m/>
    <m/>
    <x v="5"/>
    <m/>
    <s v=""/>
    <m/>
  </r>
  <r>
    <d v="2026-08-05T00:00:00"/>
    <s v="Pradeep"/>
    <s v="Hyderabad"/>
    <x v="382"/>
    <s v="F2F"/>
    <s v="Corporate"/>
    <x v="5"/>
    <s v="Bulk Order"/>
    <s v="New"/>
    <s v="Manufacturing"/>
    <s v="Sreeja"/>
    <m/>
    <s v="Proposed for Bulk Order and Biryani Kits for Gifting"/>
    <s v="Follow-up( C1 )"/>
    <m/>
    <m/>
    <m/>
    <m/>
    <s v="Warm"/>
    <n v="40000"/>
    <m/>
    <m/>
    <m/>
    <x v="5"/>
    <m/>
    <m/>
    <m/>
    <x v="5"/>
    <m/>
    <m/>
    <m/>
  </r>
  <r>
    <d v="2026-08-05T00:00:00"/>
    <s v="Vishwanath"/>
    <s v="Bangalore"/>
    <x v="91"/>
    <s v="F2F"/>
    <s v="Corporate"/>
    <x v="5"/>
    <s v="Bulk Order"/>
    <s v="New"/>
    <s v="It"/>
    <s v="Manohar P"/>
    <m/>
    <s v="Discussed on Bulk order Requirement"/>
    <s v="Introduction( C0 )"/>
    <d v="2026-09-04T00:00:00"/>
    <m/>
    <m/>
    <m/>
    <s v="Warm"/>
    <n v="10200"/>
    <m/>
    <m/>
    <m/>
    <x v="5"/>
    <m/>
    <m/>
    <m/>
    <x v="5"/>
    <m/>
    <s v=""/>
    <m/>
  </r>
  <r>
    <d v="2026-08-05T00:00:00"/>
    <s v="Bashab"/>
    <s v="Bangalore"/>
    <x v="18"/>
    <s v="F2F"/>
    <s v="Corporate"/>
    <x v="5"/>
    <s v="Popup Counter"/>
    <s v="Repeat"/>
    <s v="Retail"/>
    <s v="Vinod"/>
    <m/>
    <s v="Pop-up counter done"/>
    <s v="Closed(C4)"/>
    <m/>
    <m/>
    <m/>
    <s v=""/>
    <s v="Hot"/>
    <n v="10000"/>
    <n v="7148"/>
    <d v="2026-08-05T00:00:00"/>
    <m/>
    <x v="7"/>
    <s v="Received at HO"/>
    <m/>
    <m/>
    <x v="5"/>
    <m/>
    <s v=""/>
    <m/>
  </r>
  <r>
    <d v="2026-08-05T00:00:00"/>
    <s v="Vishwanath"/>
    <s v="Bangalore"/>
    <x v="225"/>
    <s v="Call"/>
    <s v="Aggregator"/>
    <x v="1"/>
    <s v="Pop Up Counter"/>
    <s v="Repeat"/>
    <s v="It"/>
    <s v="Naveen"/>
    <m/>
    <s v="Pop-up counter done"/>
    <s v="Closed(C4)"/>
    <m/>
    <m/>
    <m/>
    <s v=""/>
    <s v="Hot"/>
    <n v="15000"/>
    <n v="21783"/>
    <d v="2026-08-05T00:00:00"/>
    <m/>
    <x v="11"/>
    <s v="Received at HO"/>
    <m/>
    <m/>
    <x v="5"/>
    <m/>
    <s v=""/>
    <m/>
  </r>
  <r>
    <d v="2026-08-05T00:00:00"/>
    <s v="Vishwanath"/>
    <s v="Bangalore"/>
    <x v="16"/>
    <s v="Call"/>
    <s v="Corporate"/>
    <x v="2"/>
    <s v="Bulk Order"/>
    <s v="Repeat"/>
    <s v="Retail"/>
    <s v="Mohammed"/>
    <m/>
    <s v="Business Closed"/>
    <s v="Closed(C4)"/>
    <m/>
    <m/>
    <s v=""/>
    <s v=""/>
    <s v="Hot"/>
    <n v="25000"/>
    <n v="28187"/>
    <d v="2026-08-05T00:00:00"/>
    <s v="00HSA06000007694"/>
    <x v="3"/>
    <s v="Received at HO"/>
    <m/>
    <m/>
    <x v="5"/>
    <m/>
    <s v=""/>
    <m/>
  </r>
  <r>
    <d v="2026-08-05T00:00:00"/>
    <s v="Sameer"/>
    <s v="Bangalore"/>
    <x v="16"/>
    <s v="Call"/>
    <s v="Corporate"/>
    <x v="2"/>
    <s v="Bulk Order"/>
    <s v="Repeat"/>
    <s v="Retail"/>
    <s v="Mohammed"/>
    <m/>
    <s v="Business follow-up"/>
    <s v="Closed(C4)"/>
    <m/>
    <m/>
    <s v=""/>
    <s v=""/>
    <s v="Hot"/>
    <n v="25000"/>
    <n v="28187"/>
    <d v="2026-08-05T00:00:00"/>
    <s v="00HSA06000007694"/>
    <x v="3"/>
    <s v="Received at HO"/>
    <m/>
    <m/>
    <x v="5"/>
    <m/>
    <s v=""/>
    <m/>
  </r>
  <r>
    <d v="2026-08-06T00:00:00"/>
    <s v="Anushikha"/>
    <s v="Hyderabad"/>
    <x v="383"/>
    <s v="Call"/>
    <s v="Corporate"/>
    <x v="5"/>
    <s v="Bulk Order"/>
    <s v="New"/>
    <s v="Healthcare"/>
    <s v="Arijit"/>
    <m/>
    <s v="Executive meal for Doctors on 06-08-2026"/>
    <s v="Closed(C4)"/>
    <m/>
    <m/>
    <m/>
    <m/>
    <s v="Hot"/>
    <n v="12000"/>
    <n v="14000"/>
    <d v="2026-08-06T00:00:00"/>
    <s v="00HTA05000010030"/>
    <x v="22"/>
    <s v="Received at HO"/>
    <m/>
    <m/>
    <x v="5"/>
    <m/>
    <m/>
    <m/>
  </r>
  <r>
    <d v="2026-08-06T00:00:00"/>
    <s v="Pradeep"/>
    <s v="Hyderabad"/>
    <x v="384"/>
    <s v="F2F"/>
    <s v="Corporate"/>
    <x v="5"/>
    <s v="Bulk Order"/>
    <s v="New"/>
    <s v="It"/>
    <s v="Santosh"/>
    <m/>
    <s v="Business follow-up"/>
    <s v="Follow-up( C1 )"/>
    <m/>
    <m/>
    <m/>
    <m/>
    <s v="Cold"/>
    <n v="35000"/>
    <m/>
    <m/>
    <m/>
    <x v="5"/>
    <m/>
    <m/>
    <m/>
    <x v="5"/>
    <m/>
    <m/>
    <m/>
  </r>
  <r>
    <d v="2026-08-06T00:00:00"/>
    <s v="Pradeep"/>
    <s v="Hyderabad"/>
    <x v="385"/>
    <s v="F2F"/>
    <s v="Corporate"/>
    <x v="5"/>
    <s v="Bulk Order"/>
    <s v="New"/>
    <s v="Banking Finance &amp; Insurance"/>
    <s v="Nazia"/>
    <m/>
    <s v="Proposed for Bulk Order and Biryani Kits for Gifting"/>
    <s v="Introduction( C0 )"/>
    <m/>
    <m/>
    <m/>
    <m/>
    <s v="Cold"/>
    <n v="45000"/>
    <m/>
    <m/>
    <m/>
    <x v="5"/>
    <m/>
    <m/>
    <m/>
    <x v="5"/>
    <m/>
    <m/>
    <m/>
  </r>
  <r>
    <d v="2026-08-06T00:00:00"/>
    <s v="Pradeep"/>
    <s v="Hyderabad"/>
    <x v="368"/>
    <s v="F2F"/>
    <s v="Corporate"/>
    <x v="5"/>
    <s v="Bulk Order"/>
    <s v="New"/>
    <s v="Healthcare"/>
    <s v="Sriram"/>
    <m/>
    <s v="Proposed for Bulk Order and Biryani Kits for Gifting"/>
    <s v="Follow-up( C1 )"/>
    <m/>
    <m/>
    <m/>
    <m/>
    <s v="Cold"/>
    <n v="30000"/>
    <m/>
    <m/>
    <m/>
    <x v="5"/>
    <m/>
    <m/>
    <m/>
    <x v="5"/>
    <m/>
    <m/>
    <m/>
  </r>
  <r>
    <d v="2026-08-06T00:00:00"/>
    <s v="Vishwanath"/>
    <s v="Bangalore"/>
    <x v="386"/>
    <s v="F2F"/>
    <s v="Corporate"/>
    <x v="5"/>
    <s v="Bulk Order"/>
    <s v="New"/>
    <s v="It"/>
    <s v="Sai"/>
    <m/>
    <s v="Discussed on Bulk order Requirement"/>
    <s v="Introduction( C0 )"/>
    <d v="2026-09-07T00:00:00"/>
    <m/>
    <m/>
    <m/>
    <s v="Warm"/>
    <n v="11000"/>
    <m/>
    <m/>
    <m/>
    <x v="5"/>
    <m/>
    <m/>
    <m/>
    <x v="5"/>
    <m/>
    <s v=""/>
    <m/>
  </r>
  <r>
    <d v="2026-08-06T00:00:00"/>
    <s v="Vishwanath"/>
    <s v="Bangalore"/>
    <x v="386"/>
    <s v="F2F"/>
    <s v="Corporate"/>
    <x v="5"/>
    <s v="Bulk Order"/>
    <s v="New"/>
    <s v="It"/>
    <s v="Lohith Reddy"/>
    <m/>
    <s v="Discussed on Bulk order Requirement"/>
    <s v="Introduction( C0 )"/>
    <d v="2026-09-07T00:00:00"/>
    <m/>
    <m/>
    <m/>
    <s v="Warm"/>
    <n v="21000"/>
    <m/>
    <m/>
    <m/>
    <x v="5"/>
    <m/>
    <m/>
    <m/>
    <x v="5"/>
    <m/>
    <s v=""/>
    <m/>
  </r>
  <r>
    <d v="2026-08-06T00:00:00"/>
    <s v="Bashab"/>
    <s v="Bangalore"/>
    <x v="40"/>
    <s v="F2F"/>
    <s v="Corporate"/>
    <x v="5"/>
    <s v="Popup Counter"/>
    <s v="Repeat"/>
    <s v="Retail"/>
    <s v="Srinivas"/>
    <m/>
    <s v="Pop-up counter done"/>
    <s v="Closed(C4)"/>
    <m/>
    <m/>
    <m/>
    <s v=""/>
    <s v="Hot"/>
    <n v="15000"/>
    <n v="21282"/>
    <d v="2026-08-06T00:00:00"/>
    <m/>
    <x v="7"/>
    <s v="Received at HO"/>
    <m/>
    <m/>
    <x v="5"/>
    <m/>
    <s v=""/>
    <m/>
  </r>
  <r>
    <d v="2026-08-07T00:00:00"/>
    <s v="Pradeep"/>
    <s v="Hyderabad"/>
    <x v="387"/>
    <s v="F2F"/>
    <s v="Bulk Order"/>
    <x v="5"/>
    <s v="Bulk Order"/>
    <s v="New"/>
    <s v="Education"/>
    <s v="Suresh"/>
    <m/>
    <s v="Business Closed"/>
    <s v="Closed(C4)"/>
    <m/>
    <m/>
    <m/>
    <m/>
    <s v="Hot"/>
    <n v="20000"/>
    <n v="9760"/>
    <d v="2026-08-07T00:00:00"/>
    <s v="00UPTA1000059831"/>
    <x v="33"/>
    <s v="Received at Store"/>
    <m/>
    <d v="2026-08-07T00:00:00"/>
    <x v="5"/>
    <m/>
    <s v=""/>
    <s v="Takeaway-Bulk-Insti"/>
  </r>
  <r>
    <d v="2026-08-07T00:00:00"/>
    <s v="Pradeep"/>
    <s v="Hyderabad"/>
    <x v="388"/>
    <s v="F2F"/>
    <s v="Corporate"/>
    <x v="5"/>
    <s v="Bulk Order"/>
    <s v="New"/>
    <s v="It"/>
    <s v="Pavan"/>
    <m/>
    <s v="Business follow-up"/>
    <s v="Follow-up( C1 )"/>
    <m/>
    <m/>
    <m/>
    <m/>
    <s v="Cold"/>
    <n v="25000"/>
    <m/>
    <m/>
    <m/>
    <x v="5"/>
    <m/>
    <m/>
    <m/>
    <x v="5"/>
    <m/>
    <m/>
    <m/>
  </r>
  <r>
    <d v="2026-08-07T00:00:00"/>
    <s v="Pradeep"/>
    <s v="Hyderabad"/>
    <x v="389"/>
    <s v="F2F"/>
    <s v="Corporate"/>
    <x v="5"/>
    <s v="Bulk Order"/>
    <s v="New"/>
    <s v="It"/>
    <s v="Gaayathri"/>
    <m/>
    <s v="Business follow-up"/>
    <s v="Follow-up( C1 )"/>
    <m/>
    <m/>
    <m/>
    <m/>
    <s v="Warm"/>
    <n v="20000"/>
    <m/>
    <m/>
    <m/>
    <x v="5"/>
    <m/>
    <m/>
    <m/>
    <x v="5"/>
    <m/>
    <m/>
    <m/>
  </r>
  <r>
    <d v="2026-08-07T00:00:00"/>
    <s v="Pradeep"/>
    <s v="Hyderabad"/>
    <x v="148"/>
    <s v="F2F"/>
    <s v="Bulk Order"/>
    <x v="5"/>
    <s v="Bulk Order"/>
    <s v="New"/>
    <s v="Government"/>
    <s v="Shahidar"/>
    <m/>
    <s v="Business Closed"/>
    <s v="Closed(C4)"/>
    <m/>
    <m/>
    <m/>
    <m/>
    <s v="Hot"/>
    <n v="12000"/>
    <n v="14700"/>
    <d v="2026-08-07T00:00:00"/>
    <s v="C00KPTB000495438"/>
    <x v="17"/>
    <s v="Received at Store"/>
    <m/>
    <d v="2026-08-07T00:00:00"/>
    <x v="5"/>
    <m/>
    <s v=""/>
    <s v="Takeaway-Bulk-Insti"/>
  </r>
  <r>
    <d v="2026-08-07T00:00:00"/>
    <s v="Sameer"/>
    <s v="Hyderabad"/>
    <x v="390"/>
    <s v="F2F"/>
    <s v="Bulk Order"/>
    <x v="5"/>
    <s v="Pop Up Counter"/>
    <s v="New"/>
    <s v="Events"/>
    <s v="Venu "/>
    <m/>
    <s v="Business Closed"/>
    <s v="Closed(C4)"/>
    <m/>
    <m/>
    <m/>
    <m/>
    <s v="Hot"/>
    <n v="70000"/>
    <n v="103390"/>
    <d v="2026-08-07T00:00:00"/>
    <m/>
    <x v="17"/>
    <s v="Received at HO"/>
    <m/>
    <m/>
    <x v="5"/>
    <m/>
    <s v=""/>
    <m/>
  </r>
  <r>
    <d v="2026-08-07T00:00:00"/>
    <s v="Pradeep"/>
    <s v="Hyderabad"/>
    <x v="391"/>
    <s v="F2F"/>
    <s v="Bulk Order"/>
    <x v="5"/>
    <s v="Bulk Order"/>
    <s v="New"/>
    <s v="Sports"/>
    <s v="Suresh"/>
    <m/>
    <s v="Business Closed"/>
    <s v="Closed(C4)"/>
    <m/>
    <m/>
    <m/>
    <m/>
    <s v="Hot"/>
    <n v="10000"/>
    <n v="10120"/>
    <d v="2026-08-07T00:00:00"/>
    <s v="00GCBTA000295612"/>
    <x v="2"/>
    <s v="Received at Store"/>
    <m/>
    <d v="2026-08-07T00:00:00"/>
    <x v="5"/>
    <m/>
    <s v=""/>
    <s v="Takeaway-Bulk-Insti"/>
  </r>
  <r>
    <d v="2026-08-07T00:00:00"/>
    <s v="Vishwanath"/>
    <s v="Bangalore"/>
    <x v="392"/>
    <s v="F2F"/>
    <s v="Corporate"/>
    <x v="5"/>
    <s v="Bulk Order"/>
    <s v="New"/>
    <s v="Healthcare"/>
    <s v="Nagarajan K"/>
    <m/>
    <s v="Discussed on Bulk order Requirement"/>
    <s v="Introduction( C0 )"/>
    <d v="2026-09-08T00:00:00"/>
    <m/>
    <m/>
    <m/>
    <s v="Warm"/>
    <n v="6500"/>
    <m/>
    <m/>
    <m/>
    <x v="5"/>
    <m/>
    <m/>
    <m/>
    <x v="5"/>
    <m/>
    <s v=""/>
    <m/>
  </r>
  <r>
    <d v="2026-08-07T00:00:00"/>
    <s v="Bashab"/>
    <s v="Bangalore"/>
    <x v="393"/>
    <s v="Call"/>
    <s v="Aggregator"/>
    <x v="6"/>
    <s v="Pop Up Counter"/>
    <s v="New"/>
    <s v="Events"/>
    <s v="Devendar"/>
    <m/>
    <s v="Business Confirmed"/>
    <s v="Confirmed( C3 )"/>
    <m/>
    <m/>
    <m/>
    <m/>
    <s v="Warm"/>
    <m/>
    <m/>
    <m/>
    <m/>
    <x v="5"/>
    <m/>
    <m/>
    <m/>
    <x v="5"/>
    <m/>
    <s v=""/>
    <m/>
  </r>
  <r>
    <d v="2026-08-07T00:00:00"/>
    <s v="Vishwanath"/>
    <s v="Bangalore"/>
    <x v="37"/>
    <s v="Call"/>
    <s v="Aggregator"/>
    <x v="1"/>
    <s v="Pop Up Counter"/>
    <s v="Repeat"/>
    <s v="It"/>
    <s v="Harish"/>
    <m/>
    <s v="Popup Confirmed"/>
    <s v="Closed(C4)"/>
    <m/>
    <m/>
    <m/>
    <s v=""/>
    <s v="Hot"/>
    <n v="15000"/>
    <n v="16220"/>
    <d v="2026-08-07T00:00:00"/>
    <m/>
    <x v="12"/>
    <s v="Received at HO"/>
    <m/>
    <m/>
    <x v="5"/>
    <m/>
    <m/>
    <m/>
  </r>
  <r>
    <d v="2026-08-07T00:00:00"/>
    <s v="Vishwanath"/>
    <s v="Bangalore"/>
    <x v="41"/>
    <s v="Call"/>
    <s v="Aggregator"/>
    <x v="1"/>
    <s v="Pop Up Counter"/>
    <s v="Repeat"/>
    <s v="It"/>
    <s v="Harish"/>
    <m/>
    <s v="Popup Confirmed"/>
    <s v="Closed(C4)"/>
    <m/>
    <m/>
    <m/>
    <s v=""/>
    <s v="Hot"/>
    <n v="15000"/>
    <n v="14785"/>
    <d v="2026-08-07T00:00:00"/>
    <m/>
    <x v="12"/>
    <s v="Received at HO"/>
    <m/>
    <m/>
    <x v="5"/>
    <m/>
    <s v=""/>
    <m/>
  </r>
  <r>
    <d v="2026-08-08T00:00:00"/>
    <s v="Pradeep"/>
    <s v="Hyderabad"/>
    <x v="61"/>
    <s v="Call"/>
    <s v="Bulk Order"/>
    <x v="5"/>
    <s v="Bulk Order"/>
    <s v="New"/>
    <s v="Family Group"/>
    <s v="Vivek"/>
    <m/>
    <s v="Business Closed"/>
    <s v="Closed(C4)"/>
    <m/>
    <m/>
    <m/>
    <m/>
    <s v="Hot"/>
    <n v="10000"/>
    <n v="5417"/>
    <d v="2026-08-08T00:00:00"/>
    <s v="00STA01000071562"/>
    <x v="14"/>
    <s v="Received at Store"/>
    <m/>
    <d v="2026-08-08T00:00:00"/>
    <x v="5"/>
    <m/>
    <s v=""/>
    <s v="Takeaway-Bulk-Insti"/>
  </r>
  <r>
    <d v="2026-08-08T00:00:00"/>
    <s v="Sameer"/>
    <s v="Hyderabad"/>
    <x v="394"/>
    <s v="F2F"/>
    <s v="Bulk Order"/>
    <x v="5"/>
    <s v="Bulk Order"/>
    <s v="New"/>
    <s v="Events"/>
    <s v="IMEEPL"/>
    <m/>
    <s v="Delivery of CB"/>
    <s v="Closed(C4)"/>
    <m/>
    <m/>
    <m/>
    <m/>
    <s v="Hot"/>
    <n v="25000"/>
    <n v="31512"/>
    <d v="2026-08-08T00:00:00"/>
    <s v="00PNTA1000068444"/>
    <x v="34"/>
    <s v="Received at Store"/>
    <m/>
    <d v="2026-08-08T00:00:00"/>
    <x v="5"/>
    <m/>
    <m/>
    <m/>
  </r>
  <r>
    <d v="2026-08-08T00:00:00"/>
    <s v="Pradeep"/>
    <s v="Hyderabad"/>
    <x v="390"/>
    <s v="F2F"/>
    <s v="Bulk Order"/>
    <x v="5"/>
    <s v="Pop Up Counter"/>
    <s v="New"/>
    <s v="Events"/>
    <s v="Venu "/>
    <m/>
    <s v="Business Closed"/>
    <s v="Closed(C4)"/>
    <m/>
    <m/>
    <m/>
    <m/>
    <s v="Hot"/>
    <n v="80000"/>
    <n v="105130"/>
    <d v="2026-08-08T00:00:00"/>
    <m/>
    <x v="17"/>
    <s v="Received at HO"/>
    <m/>
    <m/>
    <x v="5"/>
    <m/>
    <s v=""/>
    <m/>
  </r>
  <r>
    <d v="2026-08-09T00:00:00"/>
    <s v="Sameer"/>
    <s v="Hyderabad"/>
    <x v="390"/>
    <s v="F2F"/>
    <s v="Bulk Order"/>
    <x v="5"/>
    <s v="Pop Up Counter"/>
    <s v="New"/>
    <s v="Events"/>
    <s v="Venu "/>
    <m/>
    <s v="Business Closed"/>
    <s v="Closed(C4)"/>
    <m/>
    <m/>
    <m/>
    <m/>
    <s v="Hot"/>
    <n v="70000"/>
    <n v="131760"/>
    <d v="2026-08-10T00:00:00"/>
    <m/>
    <x v="17"/>
    <s v="Received at HO"/>
    <m/>
    <m/>
    <x v="5"/>
    <m/>
    <s v=""/>
    <m/>
  </r>
  <r>
    <d v="2026-08-10T00:00:00"/>
    <s v="Pradeep"/>
    <s v="Hyderabad"/>
    <x v="395"/>
    <s v="F2F"/>
    <s v="Corporate"/>
    <x v="5"/>
    <s v="Bulk Order"/>
    <s v="New"/>
    <s v="It"/>
    <s v="Sharanya"/>
    <m/>
    <s v="Proposed for Bulk Order and Biryani Kits for Gifting"/>
    <s v="Follow-up( C1 )"/>
    <m/>
    <m/>
    <m/>
    <m/>
    <s v="Warm"/>
    <n v="40000"/>
    <m/>
    <m/>
    <m/>
    <x v="5"/>
    <m/>
    <m/>
    <m/>
    <x v="5"/>
    <m/>
    <s v=""/>
    <m/>
  </r>
  <r>
    <d v="2026-08-10T00:00:00"/>
    <s v="Pradeep"/>
    <s v="Hyderabad"/>
    <x v="390"/>
    <s v="F2F"/>
    <s v="Bulk Order"/>
    <x v="5"/>
    <s v="Pop Up Counter"/>
    <s v="New"/>
    <s v="Events"/>
    <s v="Venu "/>
    <m/>
    <s v="Business Closed"/>
    <s v="Closed(C4)"/>
    <m/>
    <m/>
    <m/>
    <m/>
    <s v="Hot"/>
    <n v="30000"/>
    <n v="35820"/>
    <d v="2026-08-08T00:00:00"/>
    <m/>
    <x v="17"/>
    <s v="Received at HO"/>
    <m/>
    <d v="2026-08-08T00:00:00"/>
    <x v="5"/>
    <m/>
    <s v=""/>
    <m/>
  </r>
  <r>
    <d v="2026-08-10T00:00:00"/>
    <s v="Pradeep"/>
    <s v="Hyderabad"/>
    <x v="396"/>
    <s v="F2F"/>
    <s v="Corporate"/>
    <x v="5"/>
    <s v="Bulk Order"/>
    <s v="New"/>
    <s v="Manufacturing"/>
    <s v="Satish"/>
    <m/>
    <s v="Business follow-up"/>
    <s v="Follow-up( C1 )"/>
    <m/>
    <m/>
    <m/>
    <m/>
    <s v="Cold"/>
    <n v="25000"/>
    <m/>
    <m/>
    <m/>
    <x v="5"/>
    <m/>
    <m/>
    <m/>
    <x v="5"/>
    <m/>
    <s v=""/>
    <m/>
  </r>
  <r>
    <d v="2026-08-10T00:00:00"/>
    <s v="Pradeep"/>
    <s v="Hyderabad"/>
    <x v="397"/>
    <s v="F2F"/>
    <s v="Corporate"/>
    <x v="5"/>
    <s v="Bulk Order"/>
    <s v="New"/>
    <s v="It"/>
    <s v="Stallin"/>
    <m/>
    <s v="Business follow-up"/>
    <s v="Negotitaion( C2 )"/>
    <m/>
    <m/>
    <m/>
    <m/>
    <s v="Warm"/>
    <n v="35000"/>
    <m/>
    <m/>
    <m/>
    <x v="5"/>
    <m/>
    <m/>
    <m/>
    <x v="5"/>
    <m/>
    <s v=""/>
    <m/>
  </r>
  <r>
    <d v="2026-08-10T00:00:00"/>
    <s v="Anushikha"/>
    <s v="Hyderabad"/>
    <x v="148"/>
    <s v="F2F"/>
    <s v="Corporate"/>
    <x v="5"/>
    <s v="Bulk Order"/>
    <s v="New"/>
    <s v="It"/>
    <s v="Stallin"/>
    <m/>
    <s v="Business follow-up"/>
    <s v="Closed(C4)"/>
    <m/>
    <m/>
    <m/>
    <m/>
    <s v="Hot"/>
    <n v="8000"/>
    <n v="8520"/>
    <d v="2026-08-10T00:00:00"/>
    <s v="00KKPTB000495912"/>
    <x v="17"/>
    <s v="Received at Store"/>
    <m/>
    <d v="2026-08-10T00:00:00"/>
    <x v="5"/>
    <m/>
    <s v=""/>
    <s v="Takeaway-Bulk-Insti"/>
  </r>
  <r>
    <d v="2026-08-10T00:00:00"/>
    <s v="Vishwanath"/>
    <s v="Bangalore"/>
    <x v="398"/>
    <s v="F2F"/>
    <s v="Corporate"/>
    <x v="5"/>
    <s v="Bulk Order"/>
    <s v="New"/>
    <s v="It"/>
    <s v="Ajay"/>
    <m/>
    <s v="Discussed on Bulk order Requirement"/>
    <s v="Introduction( C0 )"/>
    <d v="2026-09-10T00:00:00"/>
    <m/>
    <m/>
    <m/>
    <s v="Warm"/>
    <n v="9000"/>
    <m/>
    <m/>
    <m/>
    <x v="5"/>
    <m/>
    <m/>
    <m/>
    <x v="5"/>
    <m/>
    <s v=""/>
    <m/>
  </r>
  <r>
    <d v="2026-08-11T00:00:00"/>
    <s v="Pradeep"/>
    <s v="Hyderabad"/>
    <x v="399"/>
    <s v="F2F"/>
    <s v="Corporate"/>
    <x v="5"/>
    <s v="Bulk Order"/>
    <s v="New"/>
    <s v="Manufacturing"/>
    <s v="Raju"/>
    <m/>
    <s v="Bulk order Requirement"/>
    <s v="Negotitaion( C2 )"/>
    <m/>
    <m/>
    <m/>
    <m/>
    <s v="Warm"/>
    <n v="30000"/>
    <m/>
    <m/>
    <m/>
    <x v="5"/>
    <m/>
    <m/>
    <m/>
    <x v="5"/>
    <m/>
    <m/>
    <m/>
  </r>
  <r>
    <d v="2026-08-11T00:00:00"/>
    <s v="Pradeep"/>
    <s v="Hyderabad"/>
    <x v="400"/>
    <s v="F2F"/>
    <s v="Corporate"/>
    <x v="5"/>
    <s v="Bulk Order"/>
    <s v="New"/>
    <s v="Healthcare"/>
    <s v="Ravinder"/>
    <m/>
    <s v="Bulk order Requirement"/>
    <s v="Negotitaion( C2 )"/>
    <m/>
    <m/>
    <m/>
    <m/>
    <s v="Warm"/>
    <n v="25000"/>
    <m/>
    <m/>
    <m/>
    <x v="5"/>
    <m/>
    <m/>
    <m/>
    <x v="5"/>
    <m/>
    <m/>
    <m/>
  </r>
  <r>
    <d v="2026-08-11T00:00:00"/>
    <s v="Pradeep"/>
    <s v="Hyderabad"/>
    <x v="61"/>
    <s v="Call"/>
    <s v="Bulk Order"/>
    <x v="5"/>
    <s v="Bulk Order"/>
    <s v="New"/>
    <s v="Family Group"/>
    <s v="Hemanth Kumar"/>
    <m/>
    <s v="Business Closed"/>
    <s v="Closed(C4)"/>
    <d v="2026-08-11T00:00:00"/>
    <m/>
    <m/>
    <m/>
    <s v="Hot"/>
    <n v="5000"/>
    <n v="4099"/>
    <d v="2026-08-11T00:00:00"/>
    <s v="COKKPTBC00496098"/>
    <x v="17"/>
    <s v="Received at Store"/>
    <m/>
    <d v="2026-08-11T00:00:00"/>
    <x v="5"/>
    <m/>
    <m/>
    <s v="Takeaway-Bulk-Insti"/>
  </r>
  <r>
    <d v="2026-08-11T00:00:00"/>
    <s v="Bashab"/>
    <s v="Bangalore"/>
    <x v="15"/>
    <s v="F2F"/>
    <s v="Corporate"/>
    <x v="5"/>
    <s v="Popup Counter"/>
    <s v="Repeat"/>
    <s v="Retail"/>
    <s v="James"/>
    <m/>
    <s v="Pop-up counter done"/>
    <s v="Closed(C4)"/>
    <m/>
    <m/>
    <m/>
    <s v=""/>
    <s v="Hot"/>
    <n v="10000"/>
    <n v="7252"/>
    <d v="2026-08-11T00:00:00"/>
    <m/>
    <x v="7"/>
    <s v="Received at HO"/>
    <m/>
    <m/>
    <x v="5"/>
    <m/>
    <s v=""/>
    <m/>
  </r>
  <r>
    <d v="2026-08-11T00:00:00"/>
    <s v="Pradeep"/>
    <s v="Hyderabad"/>
    <x v="401"/>
    <s v="Call"/>
    <s v="ODC"/>
    <x v="5"/>
    <s v="Pop Up Counter"/>
    <s v="New"/>
    <s v="Events"/>
    <s v="Patil"/>
    <m/>
    <s v="Pop-up counter working on P &amp; L"/>
    <s v="Follow-up( C1 )"/>
    <d v="2026-09-01T00:00:00"/>
    <s v="Call"/>
    <m/>
    <m/>
    <s v="Warm"/>
    <n v="200000"/>
    <m/>
    <m/>
    <m/>
    <x v="5"/>
    <m/>
    <m/>
    <m/>
    <x v="5"/>
    <m/>
    <m/>
    <m/>
  </r>
  <r>
    <d v="2026-08-11T00:00:00"/>
    <s v="Vishwanath"/>
    <s v="Bangalore"/>
    <x v="292"/>
    <s v="Call"/>
    <s v="Aggregator"/>
    <x v="1"/>
    <s v="Pop Up Counter"/>
    <s v="New"/>
    <s v="It"/>
    <s v="Harish"/>
    <m/>
    <s v="Popup Confirmed"/>
    <s v="Closed(C4)"/>
    <m/>
    <m/>
    <m/>
    <s v=""/>
    <s v="Hot"/>
    <n v="10000"/>
    <n v="9907"/>
    <d v="2026-08-11T00:00:00"/>
    <m/>
    <x v="21"/>
    <s v="Received at HO"/>
    <m/>
    <m/>
    <x v="5"/>
    <m/>
    <s v=""/>
    <m/>
  </r>
  <r>
    <d v="2026-08-12T00:00:00"/>
    <s v="Pradeep"/>
    <s v="Hyderabad"/>
    <x v="402"/>
    <s v="F2F"/>
    <s v="Corporate"/>
    <x v="5"/>
    <s v="Bulk Order"/>
    <s v="New"/>
    <s v="Healthcare"/>
    <s v="Kiran"/>
    <m/>
    <s v="Proposed for Bulk Order and Biryani Kits for Gifting"/>
    <s v="Introduction( C0 )"/>
    <m/>
    <m/>
    <m/>
    <m/>
    <s v="Cold"/>
    <n v="15000"/>
    <m/>
    <m/>
    <m/>
    <x v="5"/>
    <m/>
    <m/>
    <m/>
    <x v="5"/>
    <m/>
    <s v=""/>
    <m/>
  </r>
  <r>
    <d v="2026-08-12T00:00:00"/>
    <s v="Pradeep"/>
    <s v="Hyderabad"/>
    <x v="403"/>
    <s v="F2F"/>
    <s v="Corporate"/>
    <x v="5"/>
    <s v="Bulk Order"/>
    <s v="New"/>
    <s v="It"/>
    <s v="Kumara"/>
    <m/>
    <s v="Business follow-up"/>
    <s v="Follow-up( C1 )"/>
    <m/>
    <m/>
    <m/>
    <m/>
    <s v="Warm"/>
    <n v="25000"/>
    <m/>
    <m/>
    <m/>
    <x v="5"/>
    <m/>
    <m/>
    <m/>
    <x v="5"/>
    <m/>
    <s v=""/>
    <m/>
  </r>
  <r>
    <d v="2026-08-12T00:00:00"/>
    <s v="Pradeep"/>
    <s v="Hyderabad"/>
    <x v="233"/>
    <s v="F2F"/>
    <s v="Corporate"/>
    <x v="5"/>
    <s v="Pop Up Counter"/>
    <s v="New"/>
    <s v="It"/>
    <s v="Sruthi"/>
    <m/>
    <s v="Discussed on Bulk order Requirement"/>
    <s v="Negotitaion( C2 )"/>
    <m/>
    <m/>
    <m/>
    <m/>
    <s v="Warm"/>
    <n v="30000"/>
    <m/>
    <m/>
    <m/>
    <x v="5"/>
    <m/>
    <m/>
    <m/>
    <x v="5"/>
    <m/>
    <s v=""/>
    <m/>
  </r>
  <r>
    <d v="2026-08-12T00:00:00"/>
    <s v="Sameer"/>
    <s v="Hyderabad"/>
    <x v="156"/>
    <s v="F2F"/>
    <s v="Aggregator"/>
    <x v="2"/>
    <s v="Bulk Order"/>
    <s v="New"/>
    <s v="F&amp;B Aggregator"/>
    <s v="Srinivas"/>
    <m/>
    <s v="Business Closed"/>
    <s v="Closed(C4)"/>
    <m/>
    <m/>
    <m/>
    <s v=""/>
    <s v="Hot"/>
    <n v="250000"/>
    <n v="312900"/>
    <d v="2026-08-12T00:00:00"/>
    <s v="CIFSPL070812"/>
    <x v="17"/>
    <s v="Received at HO"/>
    <m/>
    <m/>
    <x v="5"/>
    <m/>
    <s v=""/>
    <m/>
  </r>
  <r>
    <d v="2026-08-12T00:00:00"/>
    <s v="Bashab"/>
    <s v="Hyderabad"/>
    <x v="156"/>
    <s v="Call"/>
    <s v="Aggregator"/>
    <x v="2"/>
    <s v="Bulk Order"/>
    <s v="New"/>
    <s v="F&amp;B Aggregator"/>
    <s v="Srinivas"/>
    <m/>
    <s v="Business Closed"/>
    <s v="Closed(C4)"/>
    <m/>
    <m/>
    <m/>
    <s v=""/>
    <s v="Hot"/>
    <n v="250000"/>
    <n v="312900"/>
    <d v="2026-08-12T00:00:00"/>
    <s v="CIFSPL070812"/>
    <x v="17"/>
    <s v="Received at HO"/>
    <m/>
    <m/>
    <x v="5"/>
    <m/>
    <s v=""/>
    <m/>
  </r>
  <r>
    <d v="2026-08-12T00:00:00"/>
    <s v="Sameer"/>
    <s v="Hyderabad"/>
    <x v="404"/>
    <s v="F2F"/>
    <s v="Corporate"/>
    <x v="5"/>
    <s v="Pop Up Counter"/>
    <s v="New"/>
    <s v="It"/>
    <s v="Pranay"/>
    <m/>
    <s v="Confirmed for popup on 18,19,20 August"/>
    <s v="Confirmed( C3 )"/>
    <m/>
    <m/>
    <m/>
    <m/>
    <s v="Hot"/>
    <n v="0"/>
    <m/>
    <m/>
    <m/>
    <x v="5"/>
    <m/>
    <m/>
    <m/>
    <x v="5"/>
    <m/>
    <s v=""/>
    <m/>
  </r>
  <r>
    <d v="2026-08-12T00:00:00"/>
    <s v="Bashab"/>
    <s v="Bangalore"/>
    <x v="40"/>
    <s v="F2F"/>
    <s v="Corporate"/>
    <x v="5"/>
    <s v="Popup Counter"/>
    <s v="Repeat"/>
    <s v="Retail"/>
    <s v="Srinivas"/>
    <m/>
    <s v="Pop-up counter done"/>
    <s v="Closed(C4)"/>
    <m/>
    <m/>
    <m/>
    <s v=""/>
    <s v="Hot"/>
    <n v="15000"/>
    <n v="18432"/>
    <d v="2026-08-12T00:00:00"/>
    <m/>
    <x v="7"/>
    <s v="Received at HO"/>
    <m/>
    <m/>
    <x v="5"/>
    <m/>
    <s v=""/>
    <m/>
  </r>
  <r>
    <d v="2026-08-12T00:00:00"/>
    <s v="Vishwanath"/>
    <s v="Bangalore"/>
    <x v="16"/>
    <s v="Call"/>
    <s v="Corporate"/>
    <x v="2"/>
    <s v="Bulk Order"/>
    <s v="Repeat"/>
    <s v="Retail"/>
    <s v="Mohammed"/>
    <m/>
    <s v="Business Closed"/>
    <s v="Closed(C4)"/>
    <m/>
    <m/>
    <s v=""/>
    <s v=""/>
    <s v="Hot"/>
    <n v="25000"/>
    <n v="28875"/>
    <d v="2026-08-12T00:00:00"/>
    <s v="00HSA06000007785"/>
    <x v="3"/>
    <s v="Received at HO"/>
    <m/>
    <m/>
    <x v="5"/>
    <m/>
    <s v=""/>
    <m/>
  </r>
  <r>
    <d v="2026-08-12T00:00:00"/>
    <s v="Sameer"/>
    <s v="Bangalore"/>
    <x v="16"/>
    <s v="Call"/>
    <s v="Corporate"/>
    <x v="2"/>
    <s v="Bulk Order"/>
    <s v="Repeat"/>
    <s v="Retail"/>
    <s v="Mohammed"/>
    <m/>
    <s v="Business follow-up"/>
    <s v="Closed(C4)"/>
    <m/>
    <m/>
    <s v=""/>
    <s v=""/>
    <s v="Hot"/>
    <n v="25000"/>
    <n v="28874"/>
    <d v="2026-08-12T00:00:00"/>
    <s v="00HSA06000007785"/>
    <x v="3"/>
    <s v="Received at HO"/>
    <m/>
    <m/>
    <x v="5"/>
    <m/>
    <s v=""/>
    <m/>
  </r>
  <r>
    <d v="2026-08-13T00:00:00"/>
    <s v="Pradeep"/>
    <s v="Hyderabad"/>
    <x v="405"/>
    <s v="F2F"/>
    <s v="Corporate"/>
    <x v="5"/>
    <s v="Bulk Order"/>
    <s v="New"/>
    <s v="It"/>
    <s v="Kiran Kumar"/>
    <m/>
    <s v="Proposed for Bulk Order and Biryani Kits for Gifting"/>
    <s v="Follow-up( C1 )"/>
    <d v="2026-09-07T00:00:00"/>
    <s v="Call"/>
    <m/>
    <m/>
    <s v="Cold"/>
    <n v="40000"/>
    <m/>
    <m/>
    <m/>
    <x v="5"/>
    <m/>
    <m/>
    <m/>
    <x v="5"/>
    <m/>
    <m/>
    <m/>
  </r>
  <r>
    <d v="2026-08-13T00:00:00"/>
    <s v="Pradeep"/>
    <s v="Hyderabad"/>
    <x v="406"/>
    <s v="F2F"/>
    <s v="Corporate"/>
    <x v="5"/>
    <s v="Bulk Order"/>
    <s v="New"/>
    <s v="It"/>
    <s v="Shiva"/>
    <m/>
    <s v="Discussed on Bulk order Requirement"/>
    <s v="Introduction( C0 )"/>
    <d v="2026-08-31T00:00:00"/>
    <s v="Call"/>
    <m/>
    <m/>
    <s v="Cold"/>
    <n v="20000"/>
    <m/>
    <m/>
    <m/>
    <x v="5"/>
    <m/>
    <m/>
    <m/>
    <x v="5"/>
    <m/>
    <m/>
    <m/>
  </r>
  <r>
    <d v="2026-08-13T00:00:00"/>
    <s v="Pradeep"/>
    <s v="Hyderabad"/>
    <x v="407"/>
    <s v="F2F"/>
    <s v="Corporate"/>
    <x v="5"/>
    <s v="Bulk Order"/>
    <s v="New"/>
    <s v="It"/>
    <s v="shalini"/>
    <m/>
    <s v="Discussed on Bulk order Requirement"/>
    <s v="Negotitaion( C2 )"/>
    <m/>
    <m/>
    <m/>
    <m/>
    <s v="Warm"/>
    <n v="35000"/>
    <m/>
    <m/>
    <m/>
    <x v="5"/>
    <m/>
    <m/>
    <m/>
    <x v="5"/>
    <m/>
    <m/>
    <m/>
  </r>
  <r>
    <d v="2026-08-14T00:00:00"/>
    <s v="Anushikha"/>
    <s v="Hyderabad"/>
    <x v="408"/>
    <s v="Call"/>
    <s v="Corporate"/>
    <x v="5"/>
    <s v="Bulk Order"/>
    <s v="New"/>
    <s v="Healthcare"/>
    <s v="Sridhar"/>
    <m/>
    <s v="Delicerd CB on 14 August from secundrabad"/>
    <s v="Closed(C4)"/>
    <m/>
    <m/>
    <m/>
    <m/>
    <s v="Hot"/>
    <n v="8000"/>
    <n v="8100"/>
    <d v="2026-08-14T00:00:00"/>
    <s v="00STA1000072794"/>
    <x v="14"/>
    <s v="Received at Store"/>
    <m/>
    <d v="2026-08-14T00:00:00"/>
    <x v="5"/>
    <m/>
    <s v=""/>
    <s v="Takeaway-Bulk-Insti"/>
  </r>
  <r>
    <d v="2026-08-14T00:00:00"/>
    <s v="Pradeep"/>
    <s v="Hyderabad"/>
    <x v="99"/>
    <s v="F2F"/>
    <s v="Corporate"/>
    <x v="5"/>
    <s v="Bulk Order"/>
    <s v="New"/>
    <s v="It"/>
    <s v="Shahi"/>
    <m/>
    <s v="Proposed for Bulk Order and Biryani Kits for Gifting"/>
    <s v="Introduction( C0 )"/>
    <d v="2026-09-01T00:00:00"/>
    <s v="Call"/>
    <m/>
    <m/>
    <s v="Cold"/>
    <n v="25000"/>
    <m/>
    <m/>
    <m/>
    <x v="5"/>
    <m/>
    <m/>
    <m/>
    <x v="5"/>
    <m/>
    <s v=""/>
    <m/>
  </r>
  <r>
    <d v="2026-08-14T00:00:00"/>
    <s v="Pradeep"/>
    <s v="Hyderabad"/>
    <x v="255"/>
    <s v="F2F"/>
    <s v="Corporate"/>
    <x v="5"/>
    <s v="Bulk Order"/>
    <s v="New"/>
    <s v="It"/>
    <s v="Mamatha"/>
    <m/>
    <s v="Discussed on Bulk order Requirement"/>
    <s v="Negotitaion( C2 )"/>
    <d v="2026-08-25T00:00:00"/>
    <s v="Call"/>
    <m/>
    <m/>
    <s v="Hot"/>
    <n v="40000"/>
    <m/>
    <m/>
    <m/>
    <x v="5"/>
    <m/>
    <m/>
    <m/>
    <x v="5"/>
    <m/>
    <s v=""/>
    <m/>
  </r>
  <r>
    <d v="2026-08-14T00:00:00"/>
    <s v="Pradeep"/>
    <s v="Hyderabad"/>
    <x v="61"/>
    <s v="Call"/>
    <s v="Bulk Order"/>
    <x v="5"/>
    <s v="Bulk Order"/>
    <s v="New"/>
    <s v="Family Group"/>
    <s v="Krishna"/>
    <m/>
    <s v="Bulk order Cancelled coz of pricing "/>
    <s v="Cancelled"/>
    <m/>
    <m/>
    <m/>
    <m/>
    <s v="Cold"/>
    <n v="20000"/>
    <m/>
    <m/>
    <m/>
    <x v="5"/>
    <m/>
    <m/>
    <m/>
    <x v="5"/>
    <m/>
    <s v=""/>
    <m/>
  </r>
  <r>
    <d v="2026-08-14T00:00:00"/>
    <s v="Pradeep"/>
    <s v="Hyderabad"/>
    <x v="255"/>
    <s v="Call"/>
    <s v="Bulk Order"/>
    <x v="5"/>
    <s v="Bulk Order"/>
    <s v="New"/>
    <s v="It"/>
    <s v="Naresh"/>
    <m/>
    <s v="Bulk order Cancelled coz of pricing "/>
    <s v="Cancelled"/>
    <m/>
    <m/>
    <m/>
    <m/>
    <s v="Cold"/>
    <n v="35000"/>
    <m/>
    <m/>
    <m/>
    <x v="5"/>
    <m/>
    <m/>
    <m/>
    <x v="5"/>
    <m/>
    <s v=""/>
    <m/>
  </r>
  <r>
    <d v="2026-08-14T00:00:00"/>
    <s v="Vishwanath"/>
    <s v="Chennai"/>
    <x v="409"/>
    <s v="Call"/>
    <s v="Aggregator"/>
    <x v="5"/>
    <s v="Pop Up Counter"/>
    <s v="New"/>
    <s v="Events"/>
    <s v="Keshavan"/>
    <m/>
    <s v="Proposal sent for Popup counters  following business"/>
    <s v="Follow-up( C1 )"/>
    <d v="2026-09-28T00:00:00"/>
    <s v="Call"/>
    <m/>
    <m/>
    <s v="Warm"/>
    <m/>
    <m/>
    <m/>
    <m/>
    <x v="5"/>
    <m/>
    <m/>
    <m/>
    <x v="5"/>
    <m/>
    <s v=""/>
    <m/>
  </r>
  <r>
    <d v="2026-08-17T00:00:00"/>
    <s v="Pradeep"/>
    <s v="Hyderabad"/>
    <x v="402"/>
    <s v="F2F"/>
    <s v="Corporate"/>
    <x v="5"/>
    <s v="Bulk Order"/>
    <s v="New"/>
    <s v="Healthcare"/>
    <s v="Sameera"/>
    <m/>
    <s v="Proposed for Bulk Order and Biryani Kits for Gifting"/>
    <s v="Follow-up( C1 )"/>
    <d v="2026-08-24T00:00:00"/>
    <s v="Call"/>
    <m/>
    <m/>
    <s v="Warm"/>
    <n v="20000"/>
    <m/>
    <m/>
    <m/>
    <x v="5"/>
    <m/>
    <m/>
    <m/>
    <x v="5"/>
    <m/>
    <m/>
    <m/>
  </r>
  <r>
    <d v="2026-08-17T00:00:00"/>
    <s v="Pradeep"/>
    <s v="Hyderabad"/>
    <x v="410"/>
    <s v="F2F"/>
    <s v="Corporate"/>
    <x v="5"/>
    <s v="Bulk Order"/>
    <s v="New"/>
    <s v="It"/>
    <s v="Zubair"/>
    <m/>
    <s v="Discussed on Bulk order Requirement"/>
    <s v="Negotitaion( C2 )"/>
    <d v="2026-09-01T00:00:00"/>
    <s v="Call"/>
    <m/>
    <m/>
    <s v="Warm"/>
    <n v="40000"/>
    <m/>
    <m/>
    <m/>
    <x v="5"/>
    <m/>
    <m/>
    <m/>
    <x v="5"/>
    <m/>
    <m/>
    <m/>
  </r>
  <r>
    <d v="2026-08-17T00:00:00"/>
    <s v="Pradeep"/>
    <s v="Hyderabad"/>
    <x v="411"/>
    <s v="F2F"/>
    <s v="Corporate"/>
    <x v="5"/>
    <s v="Bulk Order"/>
    <s v="New"/>
    <s v="It"/>
    <s v="Soujanya"/>
    <m/>
    <s v="Proposed for Bulk Order and Biryani Kits for Gifting"/>
    <s v="Introduction( C0 )"/>
    <d v="2026-08-28T00:00:00"/>
    <s v="Call"/>
    <m/>
    <m/>
    <s v="Warm"/>
    <n v="15000"/>
    <m/>
    <m/>
    <m/>
    <x v="5"/>
    <m/>
    <m/>
    <m/>
    <x v="5"/>
    <m/>
    <m/>
    <m/>
  </r>
  <r>
    <d v="2026-08-17T00:00:00"/>
    <s v="Vishwanath"/>
    <s v="Bangalore"/>
    <x v="412"/>
    <s v="F2F"/>
    <s v="Corporate"/>
    <x v="5"/>
    <s v="Bulk Order"/>
    <s v="New"/>
    <s v="It"/>
    <s v="Sumaiya Saleem"/>
    <m/>
    <s v="Discussed on Bulk order requirement"/>
    <s v="Introduction( C0 )"/>
    <d v="2026-09-07T00:00:00"/>
    <s v="F2F"/>
    <m/>
    <m/>
    <s v="Warm"/>
    <n v="6500"/>
    <m/>
    <m/>
    <m/>
    <x v="5"/>
    <m/>
    <m/>
    <m/>
    <x v="5"/>
    <m/>
    <s v=""/>
    <m/>
  </r>
  <r>
    <d v="2026-08-18T00:00:00"/>
    <s v="Sameer"/>
    <s v="Hyderabad"/>
    <x v="404"/>
    <s v="Call"/>
    <s v="Bulk Order"/>
    <x v="5"/>
    <s v="Bulk Order"/>
    <s v="New"/>
    <s v="It"/>
    <s v="Basudev"/>
    <m/>
    <s v="Delivery of Biryani"/>
    <s v="Negotitaion( C2 )"/>
    <d v="2026-08-20T00:00:00"/>
    <s v="Call"/>
    <m/>
    <m/>
    <s v="Hot"/>
    <n v="50000"/>
    <m/>
    <m/>
    <m/>
    <x v="5"/>
    <m/>
    <m/>
    <m/>
    <x v="5"/>
    <m/>
    <m/>
    <m/>
  </r>
  <r>
    <d v="2026-08-18T00:00:00"/>
    <s v="Pradeep"/>
    <s v="Hyderabad"/>
    <x v="29"/>
    <s v="F2F"/>
    <s v="Corporate"/>
    <x v="5"/>
    <s v="Bulk Order"/>
    <s v="New"/>
    <s v="It"/>
    <s v="Monika"/>
    <m/>
    <s v="Proposed for Bulk Order and Biryani Kits for Gifting"/>
    <s v="Introduction( C0 )"/>
    <d v="2026-09-01T00:00:00"/>
    <s v="F2F"/>
    <m/>
    <m/>
    <s v="Warm"/>
    <n v="25000"/>
    <m/>
    <m/>
    <m/>
    <x v="5"/>
    <m/>
    <m/>
    <m/>
    <x v="5"/>
    <m/>
    <m/>
    <m/>
  </r>
  <r>
    <d v="2026-08-18T00:00:00"/>
    <s v="Pradeep"/>
    <s v="Hyderabad"/>
    <x v="413"/>
    <s v="F2F"/>
    <s v="Corporate"/>
    <x v="5"/>
    <s v="Bulk Order"/>
    <s v="New"/>
    <s v="It"/>
    <s v="Pooja"/>
    <m/>
    <s v="Discussed on Bulk order Requirement"/>
    <s v="Negotitaion( C2 )"/>
    <m/>
    <s v="Call"/>
    <m/>
    <m/>
    <s v="Warm"/>
    <n v="20000"/>
    <m/>
    <m/>
    <m/>
    <x v="5"/>
    <m/>
    <m/>
    <m/>
    <x v="5"/>
    <m/>
    <m/>
    <m/>
  </r>
  <r>
    <d v="2026-08-18T00:00:00"/>
    <s v="Vishwanath"/>
    <s v="Bangalore"/>
    <x v="414"/>
    <s v="F2F"/>
    <s v="Aggregator"/>
    <x v="5"/>
    <s v="Pop Up Counter"/>
    <s v="New"/>
    <s v="Events"/>
    <s v="Amith Melvin"/>
    <m/>
    <s v="Proposal sent for Popup counters  following business"/>
    <s v="Introduction( C0 )"/>
    <d v="2026-08-28T00:00:00"/>
    <s v="F2F"/>
    <m/>
    <m/>
    <s v="Warm"/>
    <m/>
    <m/>
    <m/>
    <m/>
    <x v="5"/>
    <m/>
    <m/>
    <m/>
    <x v="5"/>
    <m/>
    <s v=""/>
    <m/>
  </r>
  <r>
    <d v="2026-08-19T00:00:00"/>
    <s v="Sameer"/>
    <s v="Hyderabad"/>
    <x v="156"/>
    <s v="F2F"/>
    <s v="Aggregator"/>
    <x v="2"/>
    <s v="Bulk Order"/>
    <s v="New"/>
    <s v="F&amp;B Aggregator"/>
    <s v="Srinivas"/>
    <m/>
    <s v="Business Closed"/>
    <s v="Closed(C4)"/>
    <m/>
    <m/>
    <m/>
    <s v=""/>
    <s v="Hot"/>
    <n v="250000"/>
    <n v="256200"/>
    <d v="2026-08-19T00:00:00"/>
    <m/>
    <x v="17"/>
    <s v="Received at HO"/>
    <m/>
    <m/>
    <x v="5"/>
    <m/>
    <s v=""/>
    <m/>
  </r>
  <r>
    <d v="2026-08-19T00:00:00"/>
    <s v="Bashab"/>
    <s v="Hyderabad"/>
    <x v="156"/>
    <s v="Call"/>
    <s v="Aggregator"/>
    <x v="2"/>
    <s v="Bulk Order"/>
    <s v="New"/>
    <s v="F&amp;B Aggregator"/>
    <s v="Srinivas"/>
    <m/>
    <s v="Business Closed"/>
    <s v="Closed(C4)"/>
    <m/>
    <m/>
    <m/>
    <s v=""/>
    <s v="Hot"/>
    <n v="250000"/>
    <n v="256200"/>
    <d v="2026-08-19T00:00:00"/>
    <m/>
    <x v="17"/>
    <s v="Received at HO"/>
    <m/>
    <m/>
    <x v="5"/>
    <m/>
    <s v=""/>
    <m/>
  </r>
  <r>
    <d v="2026-08-19T00:00:00"/>
    <s v="Pradeep"/>
    <s v="Hyderabad"/>
    <x v="415"/>
    <s v="F2F"/>
    <s v="Corporate"/>
    <x v="5"/>
    <s v="Bulk Order"/>
    <s v="New"/>
    <s v="It"/>
    <s v="Saraha"/>
    <m/>
    <s v="Discussed on Bulk order Requirement"/>
    <s v="Follow-up( C1 )"/>
    <d v="2026-08-26T00:00:00"/>
    <s v="F2F"/>
    <m/>
    <m/>
    <s v="Warm"/>
    <n v="20000"/>
    <m/>
    <m/>
    <m/>
    <x v="5"/>
    <m/>
    <m/>
    <m/>
    <x v="5"/>
    <m/>
    <m/>
    <m/>
  </r>
  <r>
    <d v="2026-08-19T00:00:00"/>
    <s v="Pradeep"/>
    <s v="Hyderabad"/>
    <x v="416"/>
    <s v="F2F"/>
    <s v="Corporate"/>
    <x v="5"/>
    <s v="Bulk Order"/>
    <s v="New"/>
    <s v="Realestate"/>
    <s v="Sharath"/>
    <m/>
    <s v="Discussed on Bulk order Requirement"/>
    <s v="Negotitaion( C2 )"/>
    <d v="2026-09-03T00:00:00"/>
    <s v="F2F"/>
    <m/>
    <m/>
    <s v="Cold"/>
    <n v="35000"/>
    <m/>
    <m/>
    <m/>
    <x v="5"/>
    <m/>
    <m/>
    <m/>
    <x v="5"/>
    <m/>
    <m/>
    <m/>
  </r>
  <r>
    <d v="2026-08-19T00:00:00"/>
    <s v="Sameer"/>
    <s v="Hyderabad"/>
    <x v="262"/>
    <s v="F2F"/>
    <s v="Corporate"/>
    <x v="5"/>
    <s v="Bulk Order"/>
    <s v="New"/>
    <s v="It"/>
    <s v="Parth"/>
    <m/>
    <s v="Shared Quote"/>
    <s v="Negotitaion( C2 )"/>
    <d v="2026-08-24T00:00:00"/>
    <s v="Call"/>
    <m/>
    <m/>
    <s v="Hot"/>
    <n v="50000"/>
    <m/>
    <m/>
    <m/>
    <x v="5"/>
    <m/>
    <m/>
    <m/>
    <x v="5"/>
    <m/>
    <s v=""/>
    <m/>
  </r>
  <r>
    <d v="2026-08-19T00:00:00"/>
    <s v="Pradeep"/>
    <s v="Hyderabad"/>
    <x v="374"/>
    <s v="F2F"/>
    <s v="Corporate"/>
    <x v="5"/>
    <s v="Bulk Order"/>
    <s v="New"/>
    <s v="It"/>
    <s v="Nazeer"/>
    <m/>
    <s v="Discussed on Bulk order Requirement"/>
    <s v="Follow-up( C1 )"/>
    <d v="2026-09-07T00:00:00"/>
    <s v="F2F"/>
    <m/>
    <m/>
    <s v="Warm"/>
    <n v="40000"/>
    <m/>
    <m/>
    <m/>
    <x v="5"/>
    <m/>
    <m/>
    <m/>
    <x v="5"/>
    <m/>
    <s v=""/>
    <m/>
  </r>
  <r>
    <d v="2026-08-19T00:00:00"/>
    <s v="Pradeep"/>
    <s v="Hyderabad"/>
    <x v="417"/>
    <s v="F2F"/>
    <s v="Corporate"/>
    <x v="5"/>
    <s v="Bulk Order"/>
    <s v="New"/>
    <s v="Realestate"/>
    <s v="Satish"/>
    <m/>
    <s v="Proposed for Bulk Order and Biryani Kits for Gifting"/>
    <s v="Negotitaion( C2 )"/>
    <d v="2026-08-28T00:00:00"/>
    <s v="Call"/>
    <m/>
    <m/>
    <s v="Warm"/>
    <n v="25000"/>
    <m/>
    <m/>
    <m/>
    <x v="5"/>
    <m/>
    <m/>
    <m/>
    <x v="5"/>
    <m/>
    <s v=""/>
    <m/>
  </r>
  <r>
    <d v="2026-08-19T00:00:00"/>
    <s v="Vishwanath"/>
    <s v="Bangalore"/>
    <x v="418"/>
    <s v="F2F"/>
    <s v="Aggregator"/>
    <x v="5"/>
    <s v="Pop Up Counter"/>
    <s v="New"/>
    <s v="Events"/>
    <s v="Sasha"/>
    <m/>
    <s v="Proposal sent for Popup counters  following business"/>
    <s v="Introduction( C0 )"/>
    <d v="2026-09-07T00:00:00"/>
    <m/>
    <m/>
    <m/>
    <s v="Warm"/>
    <m/>
    <m/>
    <m/>
    <m/>
    <x v="5"/>
    <m/>
    <m/>
    <m/>
    <x v="5"/>
    <m/>
    <s v=""/>
    <m/>
  </r>
  <r>
    <d v="2026-08-19T00:00:00"/>
    <s v="Vishwanath"/>
    <s v="Bangalore"/>
    <x v="16"/>
    <s v="Call"/>
    <s v="Corporate"/>
    <x v="2"/>
    <s v="Bulk Order"/>
    <s v="Repeat"/>
    <s v="Retail"/>
    <s v="Mohammed"/>
    <m/>
    <s v="Business Closed"/>
    <s v="Closed(C4)"/>
    <m/>
    <m/>
    <s v=""/>
    <s v=""/>
    <s v="Hot"/>
    <n v="25000"/>
    <n v="27958"/>
    <d v="2026-08-19T00:00:00"/>
    <s v="00HSA06000008155"/>
    <x v="3"/>
    <s v="Received at HO"/>
    <m/>
    <m/>
    <x v="5"/>
    <m/>
    <s v=""/>
    <m/>
  </r>
  <r>
    <d v="2026-08-19T00:00:00"/>
    <s v="Sameer"/>
    <s v="Bangalore"/>
    <x v="16"/>
    <s v="Call"/>
    <s v="Corporate"/>
    <x v="2"/>
    <s v="Bulk Order"/>
    <s v="Repeat"/>
    <s v="Retail"/>
    <s v="Mohammed"/>
    <m/>
    <s v="Business follow-up"/>
    <s v="Closed(C4)"/>
    <m/>
    <m/>
    <s v=""/>
    <s v=""/>
    <s v="Hot"/>
    <n v="25000"/>
    <n v="27958"/>
    <d v="2026-08-19T00:00:00"/>
    <s v="00HSA06000008155"/>
    <x v="3"/>
    <s v="Received at HO"/>
    <m/>
    <m/>
    <x v="5"/>
    <m/>
    <s v=""/>
    <m/>
  </r>
  <r>
    <d v="2026-08-20T00:00:00"/>
    <s v="Vishwanath"/>
    <s v="Bangalore"/>
    <x v="419"/>
    <s v="F2F"/>
    <s v="Corporate"/>
    <x v="5"/>
    <s v="Bulk Order"/>
    <s v="New"/>
    <s v="Realestate"/>
    <s v="Swetha"/>
    <m/>
    <s v="Discussed on Bulk order requirement"/>
    <s v="Introduction( C0 )"/>
    <d v="2026-09-07T00:00:00"/>
    <s v="F2F"/>
    <m/>
    <m/>
    <s v="Warm"/>
    <m/>
    <m/>
    <m/>
    <m/>
    <x v="5"/>
    <m/>
    <m/>
    <m/>
    <x v="5"/>
    <m/>
    <s v=""/>
    <m/>
  </r>
  <r>
    <d v="2026-08-20T00:00:00"/>
    <s v="Vishwanath"/>
    <s v="Bangalore"/>
    <x v="420"/>
    <s v="F2F"/>
    <s v="Aggregator"/>
    <x v="6"/>
    <s v="ODC"/>
    <s v="New"/>
    <s v="Exhibition"/>
    <s v="Devendar"/>
    <m/>
    <s v="Business Closed"/>
    <s v="Closed(C4)"/>
    <m/>
    <m/>
    <m/>
    <m/>
    <s v="Hot"/>
    <n v="0"/>
    <n v="43500"/>
    <d v="2026-08-20T00:00:00"/>
    <m/>
    <x v="5"/>
    <m/>
    <m/>
    <m/>
    <x v="5"/>
    <m/>
    <s v=""/>
    <m/>
  </r>
  <r>
    <d v="2026-08-20T00:00:00"/>
    <s v="Pradeep"/>
    <s v="Hyderabad"/>
    <x v="421"/>
    <s v="F2F"/>
    <s v="Corporate"/>
    <x v="5"/>
    <s v="Bulk Order"/>
    <s v="New"/>
    <s v="It"/>
    <s v="Sarath"/>
    <m/>
    <s v="Discussed on Bulk order requirement"/>
    <s v="Negotitaion( C2 )"/>
    <d v="2026-09-01T00:00:00"/>
    <s v="F2F"/>
    <m/>
    <m/>
    <s v="Warm"/>
    <n v="25000"/>
    <m/>
    <m/>
    <m/>
    <x v="5"/>
    <m/>
    <m/>
    <m/>
    <x v="5"/>
    <m/>
    <s v=""/>
    <m/>
  </r>
  <r>
    <d v="2026-08-20T00:00:00"/>
    <s v="Pradeep"/>
    <s v="Hyderabad"/>
    <x v="422"/>
    <s v="F2F"/>
    <s v="Corporate"/>
    <x v="5"/>
    <s v="Bulk Order"/>
    <s v="New"/>
    <s v="Healthcare"/>
    <s v="Soumaya"/>
    <m/>
    <s v="Proposed for Bulk Order and Biryani Kits for Gifting"/>
    <s v="Follow-up( C1 )"/>
    <d v="2026-08-31T00:00:00"/>
    <s v="F2F"/>
    <m/>
    <m/>
    <s v="Warm"/>
    <n v="20000"/>
    <m/>
    <m/>
    <m/>
    <x v="5"/>
    <m/>
    <m/>
    <m/>
    <x v="5"/>
    <m/>
    <s v=""/>
    <m/>
  </r>
  <r>
    <d v="2026-08-20T00:00:00"/>
    <s v="Pradeep"/>
    <s v="Hyderabad"/>
    <x v="423"/>
    <s v="F2F"/>
    <s v="Corporate"/>
    <x v="5"/>
    <s v="Bulk Order"/>
    <s v="New"/>
    <s v="It"/>
    <s v="Satish"/>
    <m/>
    <s v="Discussed on Bulk order Requirement"/>
    <s v="Negotitaion( C2 )"/>
    <d v="2026-09-02T00:00:00"/>
    <s v="Call"/>
    <m/>
    <m/>
    <s v="Cold"/>
    <n v="30000"/>
    <m/>
    <m/>
    <m/>
    <x v="5"/>
    <m/>
    <m/>
    <m/>
    <x v="5"/>
    <m/>
    <s v=""/>
    <m/>
  </r>
  <r>
    <d v="2026-08-20T00:00:00"/>
    <s v="Sameer"/>
    <s v="Hyderabad"/>
    <x v="424"/>
    <s v="F2F"/>
    <s v="Corporate"/>
    <x v="5"/>
    <s v="Bulk Order"/>
    <s v="New"/>
    <s v="It"/>
    <s v="Chandan"/>
    <m/>
    <s v="Discussed on Bulk order Requirement"/>
    <s v="Negotitaion( C2 )"/>
    <d v="2026-09-15T00:00:00"/>
    <s v="Call"/>
    <m/>
    <m/>
    <s v="Warm"/>
    <n v="25000"/>
    <m/>
    <m/>
    <m/>
    <x v="5"/>
    <m/>
    <m/>
    <m/>
    <x v="5"/>
    <m/>
    <m/>
    <m/>
  </r>
  <r>
    <d v="2026-08-21T00:00:00"/>
    <s v="Pradeep"/>
    <s v="Hyderabad"/>
    <x v="425"/>
    <s v="F2F"/>
    <s v="Corporate"/>
    <x v="5"/>
    <s v="Bulk Order"/>
    <s v="New"/>
    <s v="Realestate"/>
    <s v="Sathyanarayana Reddy"/>
    <m/>
    <s v="Proposed for Bulk Order and Biryani Kits for Gifting"/>
    <s v="Negotitaion( C2 )"/>
    <d v="2026-09-07T00:00:00"/>
    <s v="Call"/>
    <m/>
    <m/>
    <s v="Warm"/>
    <n v="40000"/>
    <m/>
    <m/>
    <m/>
    <x v="5"/>
    <m/>
    <m/>
    <m/>
    <x v="5"/>
    <m/>
    <s v=""/>
    <m/>
  </r>
  <r>
    <d v="2026-08-21T00:00:00"/>
    <s v="Pradeep"/>
    <s v="Hyderabad"/>
    <x v="426"/>
    <s v="F2F"/>
    <s v="Corporate"/>
    <x v="5"/>
    <s v="Bulk Order"/>
    <s v="New"/>
    <s v="It"/>
    <s v="Swathi"/>
    <m/>
    <s v="Discussed on Bulk order Requirement"/>
    <s v="Negotitaion( C2 )"/>
    <d v="2026-09-08T00:00:00"/>
    <s v="F2F"/>
    <m/>
    <m/>
    <s v="Warm"/>
    <n v="35000"/>
    <m/>
    <m/>
    <m/>
    <x v="5"/>
    <m/>
    <m/>
    <m/>
    <x v="5"/>
    <m/>
    <s v=""/>
    <m/>
  </r>
  <r>
    <d v="2026-08-21T00:00:00"/>
    <s v="Pradeep"/>
    <s v="Hyderabad"/>
    <x v="399"/>
    <s v="F2F"/>
    <s v="Corporate"/>
    <x v="5"/>
    <s v="Bulk Order"/>
    <s v="New"/>
    <s v="Manufacturing"/>
    <s v="RAvinder"/>
    <m/>
    <s v="Discussed on Bulk order Requirement"/>
    <s v="Follow-up( C1 )"/>
    <d v="2026-09-14T00:00:00"/>
    <s v="F2F"/>
    <m/>
    <m/>
    <s v="Cold"/>
    <n v="30000"/>
    <m/>
    <m/>
    <m/>
    <x v="5"/>
    <m/>
    <m/>
    <m/>
    <x v="5"/>
    <m/>
    <s v=""/>
    <m/>
  </r>
  <r>
    <d v="2026-08-21T00:00:00"/>
    <s v="Pradeep"/>
    <s v="Hyderabad"/>
    <x v="61"/>
    <s v="Call"/>
    <s v="Bulk Order"/>
    <x v="5"/>
    <s v="Bulk Order"/>
    <s v="New"/>
    <s v="Family Group"/>
    <s v="Sindhu"/>
    <m/>
    <s v="Business Closed"/>
    <s v="Closed(C4)"/>
    <m/>
    <m/>
    <m/>
    <m/>
    <s v="Hot"/>
    <n v="10000"/>
    <n v="7110"/>
    <d v="2026-08-21T00:00:00"/>
    <s v="00JBC01200069166"/>
    <x v="31"/>
    <s v="Received at Store"/>
    <m/>
    <d v="2026-08-21T00:00:00"/>
    <x v="5"/>
    <m/>
    <m/>
    <s v="Takeaway-Bulk-Insti"/>
  </r>
  <r>
    <d v="2026-08-21T00:00:00"/>
    <s v="Sameer"/>
    <s v="Hyderabad"/>
    <x v="427"/>
    <s v="F2F"/>
    <s v="Aggregator"/>
    <x v="2"/>
    <s v="Bulk Order"/>
    <s v="New"/>
    <s v="F&amp;B Aggregator"/>
    <s v="Subhadeep"/>
    <m/>
    <s v="Mutton biryani from kukatpally on 21-08-2026"/>
    <s v="Closed(C4)"/>
    <m/>
    <m/>
    <m/>
    <m/>
    <s v="Hot"/>
    <n v="5000"/>
    <n v="7500"/>
    <d v="2026-08-21T00:00:00"/>
    <s v="CIFSPL070821"/>
    <x v="17"/>
    <s v="Received at HO"/>
    <m/>
    <m/>
    <x v="5"/>
    <m/>
    <m/>
    <m/>
  </r>
  <r>
    <d v="2026-08-21T00:00:00"/>
    <s v="Vishwanath"/>
    <s v="Bangalore"/>
    <x v="420"/>
    <s v="F2F"/>
    <s v="Aggregator"/>
    <x v="6"/>
    <s v="ODC"/>
    <s v="New"/>
    <s v="Exhibition"/>
    <s v="Devendar"/>
    <m/>
    <s v="Business Closed"/>
    <s v="Closed(C4)"/>
    <m/>
    <m/>
    <m/>
    <m/>
    <s v="Hot"/>
    <m/>
    <n v="43100"/>
    <d v="2026-08-21T00:00:00"/>
    <m/>
    <x v="5"/>
    <m/>
    <m/>
    <m/>
    <x v="5"/>
    <m/>
    <s v=""/>
    <m/>
  </r>
  <r>
    <d v="2026-08-21T00:00:00"/>
    <s v="Vishwanath"/>
    <s v="Bangalore"/>
    <x v="276"/>
    <s v="F2F"/>
    <s v="Aggregator"/>
    <x v="1"/>
    <s v="Pop Up Counter"/>
    <s v="Repeat"/>
    <s v="Banking Finance &amp; Insurance"/>
    <s v="Harish"/>
    <m/>
    <s v="Business Closed"/>
    <s v="Closed(C4)"/>
    <m/>
    <m/>
    <m/>
    <m/>
    <s v="Hot"/>
    <m/>
    <n v="13300"/>
    <d v="2026-08-21T00:00:00"/>
    <m/>
    <x v="5"/>
    <m/>
    <m/>
    <m/>
    <x v="5"/>
    <m/>
    <s v=""/>
    <m/>
  </r>
  <r>
    <d v="2026-08-22T00:00:00"/>
    <s v="Vishwanath"/>
    <s v="Bangalore"/>
    <x v="420"/>
    <s v="F2F"/>
    <s v="Aggregator"/>
    <x v="6"/>
    <s v="ODC"/>
    <s v="New"/>
    <s v="Exhibition"/>
    <s v="Devendar"/>
    <m/>
    <s v="Business Closed"/>
    <s v="Closed(C4)"/>
    <m/>
    <m/>
    <m/>
    <m/>
    <s v="Hot"/>
    <m/>
    <n v="31700"/>
    <d v="2026-08-22T00:00:00"/>
    <m/>
    <x v="5"/>
    <m/>
    <m/>
    <m/>
    <x v="5"/>
    <m/>
    <s v=""/>
    <m/>
  </r>
  <r>
    <d v="2026-08-22T00:00:00"/>
    <s v="Bashab"/>
    <s v="Bangalore"/>
    <x v="293"/>
    <s v="Call"/>
    <s v="Aggregator"/>
    <x v="1"/>
    <s v="Pop Up Counter"/>
    <s v="New"/>
    <s v="It"/>
    <s v="Harish"/>
    <m/>
    <s v="Popup Confirmed"/>
    <s v="Closed(C4)"/>
    <m/>
    <m/>
    <m/>
    <s v=""/>
    <s v="Hot"/>
    <n v="20000"/>
    <n v="24170"/>
    <d v="2026-09-22T00:00:00"/>
    <s v="00MRAO8000010479"/>
    <x v="21"/>
    <s v="Received at HO"/>
    <m/>
    <m/>
    <x v="6"/>
    <m/>
    <s v=""/>
    <m/>
  </r>
  <r>
    <d v="2026-08-23T00:00:00"/>
    <s v="Pradeep"/>
    <s v="Hyderabad"/>
    <x v="428"/>
    <s v="Call"/>
    <s v="Corporate"/>
    <x v="5"/>
    <s v="Bulk Order"/>
    <s v="New"/>
    <s v="It"/>
    <s v="Sagar"/>
    <m/>
    <s v="Business Closed"/>
    <s v="Closed(C4)"/>
    <m/>
    <m/>
    <m/>
    <m/>
    <s v="Hot"/>
    <n v="15000"/>
    <n v="11000"/>
    <d v="2026-08-23T00:00:00"/>
    <s v="00VNDE1000045726"/>
    <x v="35"/>
    <s v="Received at Store"/>
    <m/>
    <d v="2026-08-23T00:00:00"/>
    <x v="5"/>
    <m/>
    <s v=""/>
    <s v="Takeaway-Bulk-Insti"/>
  </r>
  <r>
    <d v="2026-08-23T00:00:00"/>
    <s v="Pradeep"/>
    <s v="Hyderabad"/>
    <x v="61"/>
    <s v="Call"/>
    <s v="Bulk Order"/>
    <x v="5"/>
    <s v="Bulk Order"/>
    <s v="New"/>
    <s v="Family Group"/>
    <s v="Kiran"/>
    <m/>
    <s v="Business Closed"/>
    <s v="Closed(C4)"/>
    <m/>
    <m/>
    <m/>
    <m/>
    <s v="Hot"/>
    <n v="15000"/>
    <n v="11790"/>
    <d v="2026-08-23T00:00:00"/>
    <s v="00VNTA1000064060"/>
    <x v="35"/>
    <s v="Received at Store"/>
    <m/>
    <d v="2026-08-23T00:00:00"/>
    <x v="5"/>
    <m/>
    <m/>
    <s v="Takeaway-Bulk-Insti"/>
  </r>
  <r>
    <d v="2026-08-24T00:00:00"/>
    <s v="Vishwanath"/>
    <s v="Bangalore"/>
    <x v="429"/>
    <s v="F2F"/>
    <s v="Aggregator"/>
    <x v="5"/>
    <s v="Pop Up Counter"/>
    <s v="New"/>
    <s v="Exhibition"/>
    <s v="Hanumesh"/>
    <m/>
    <s v="Proposal for Pop Up Counter"/>
    <s v="Introduction( C0 )"/>
    <d v="2026-09-23T00:00:00"/>
    <m/>
    <m/>
    <m/>
    <s v="Warm"/>
    <m/>
    <m/>
    <m/>
    <m/>
    <x v="5"/>
    <m/>
    <m/>
    <m/>
    <x v="5"/>
    <m/>
    <s v=""/>
    <m/>
  </r>
  <r>
    <d v="2026-08-24T00:00:00"/>
    <s v="Vishwanath"/>
    <s v="Bangalore"/>
    <x v="430"/>
    <s v="F2F"/>
    <s v="Bulk Order"/>
    <x v="5"/>
    <s v="Bulk Order"/>
    <s v="New"/>
    <s v="Education"/>
    <s v="Anand"/>
    <m/>
    <s v="Bulk order requirement"/>
    <s v="Introduction( C0 )"/>
    <d v="2026-09-23T00:00:00"/>
    <m/>
    <m/>
    <m/>
    <s v="Warm"/>
    <n v="12500"/>
    <m/>
    <m/>
    <m/>
    <x v="5"/>
    <m/>
    <m/>
    <m/>
    <x v="5"/>
    <m/>
    <s v=""/>
    <m/>
  </r>
  <r>
    <d v="2026-08-24T00:00:00"/>
    <s v="Pradeep"/>
    <s v="Hyderabad"/>
    <x v="102"/>
    <s v="F2F"/>
    <s v="Corporate"/>
    <x v="5"/>
    <s v="Bulk Order"/>
    <s v="New"/>
    <s v="Healthcare"/>
    <s v="Ravinder Reddy"/>
    <m/>
    <s v="Proposed for Bulk Order and Biryani Kits for Gifting"/>
    <s v="Follow-up( C1 )"/>
    <d v="2026-09-15T00:00:00"/>
    <s v="Call"/>
    <m/>
    <m/>
    <s v="Warm"/>
    <n v="40000"/>
    <m/>
    <m/>
    <m/>
    <x v="5"/>
    <m/>
    <m/>
    <m/>
    <x v="5"/>
    <m/>
    <m/>
    <m/>
  </r>
  <r>
    <d v="2026-08-24T00:00:00"/>
    <s v="Pradeep"/>
    <s v="Hyderabad"/>
    <x v="431"/>
    <s v="F2F"/>
    <s v="Corporate"/>
    <x v="5"/>
    <s v="Bulk Order"/>
    <s v="New"/>
    <s v="It"/>
    <s v="Sara"/>
    <m/>
    <s v="Discussed on Bulk order Requirement"/>
    <s v="Introduction( C0 )"/>
    <d v="2026-09-08T00:00:00"/>
    <s v="F2F"/>
    <m/>
    <m/>
    <s v="Cold"/>
    <n v="20000"/>
    <m/>
    <m/>
    <m/>
    <x v="5"/>
    <m/>
    <m/>
    <m/>
    <x v="5"/>
    <m/>
    <m/>
    <m/>
  </r>
  <r>
    <d v="2026-08-24T00:00:00"/>
    <s v="Sameer"/>
    <s v="Hyderabad"/>
    <x v="29"/>
    <s v="F2F"/>
    <s v="Corporate"/>
    <x v="5"/>
    <s v="Bulk Order"/>
    <s v="New"/>
    <s v="It"/>
    <s v="Vikas"/>
    <m/>
    <s v="Discussed on Bulk order Requirement"/>
    <s v="Follow-up( C1 )"/>
    <d v="2026-09-21T00:00:00"/>
    <s v="Call"/>
    <m/>
    <m/>
    <s v="Warm"/>
    <n v="50000"/>
    <m/>
    <m/>
    <m/>
    <x v="5"/>
    <m/>
    <m/>
    <m/>
    <x v="5"/>
    <m/>
    <m/>
    <m/>
  </r>
  <r>
    <d v="2026-08-24T00:00:00"/>
    <s v="Sameer"/>
    <s v="Hyderabad"/>
    <x v="432"/>
    <s v="F2F"/>
    <s v="Corporate"/>
    <x v="5"/>
    <s v="Bulk Order"/>
    <s v="New"/>
    <s v="It"/>
    <s v="Jafar"/>
    <m/>
    <s v="Proposed for Bulk Order and Biryani Kits for Gifting"/>
    <s v="Follow-up( C1 )"/>
    <d v="2026-09-07T00:00:00"/>
    <s v="Call"/>
    <m/>
    <m/>
    <s v="Warm"/>
    <n v="25000"/>
    <m/>
    <m/>
    <m/>
    <x v="5"/>
    <m/>
    <m/>
    <m/>
    <x v="5"/>
    <m/>
    <m/>
    <m/>
  </r>
  <r>
    <d v="2026-08-24T00:00:00"/>
    <s v="Pradeep"/>
    <s v="Hyderabad"/>
    <x v="433"/>
    <s v="F2F"/>
    <s v="Corporate"/>
    <x v="5"/>
    <s v="Bulk Order"/>
    <s v="New"/>
    <s v="It"/>
    <s v="Santosh"/>
    <m/>
    <s v="Discussed on Bulk order Requirement"/>
    <s v="Negotitaion( C2 )"/>
    <m/>
    <m/>
    <m/>
    <m/>
    <s v="Warm"/>
    <n v="30000"/>
    <m/>
    <m/>
    <m/>
    <x v="5"/>
    <m/>
    <m/>
    <m/>
    <x v="5"/>
    <m/>
    <m/>
    <m/>
  </r>
  <r>
    <d v="2026-08-24T00:00:00"/>
    <s v="Pradeep"/>
    <s v="Hyderabad"/>
    <x v="434"/>
    <s v="F2F"/>
    <s v="Corporate"/>
    <x v="5"/>
    <s v="Bulk Order"/>
    <s v="New"/>
    <s v="It"/>
    <s v="Sameera"/>
    <m/>
    <s v="Discussed on Bulk order Requirement"/>
    <s v="Follow-up( C1 )"/>
    <d v="2026-09-08T00:00:00"/>
    <m/>
    <m/>
    <m/>
    <s v="Cold"/>
    <n v="40000"/>
    <m/>
    <m/>
    <m/>
    <x v="5"/>
    <m/>
    <m/>
    <m/>
    <x v="5"/>
    <m/>
    <m/>
    <m/>
  </r>
  <r>
    <d v="2026-08-24T00:00:00"/>
    <s v="Pradeep"/>
    <s v="Hyderabad"/>
    <x v="435"/>
    <s v="F2F"/>
    <s v="Corporate"/>
    <x v="5"/>
    <s v="Bulk Order"/>
    <s v="New"/>
    <s v="It"/>
    <s v="Meera"/>
    <m/>
    <s v="Business Closed"/>
    <s v="Closed(C4)"/>
    <m/>
    <m/>
    <m/>
    <m/>
    <s v="Hot"/>
    <n v="10000"/>
    <n v="9600"/>
    <d v="2026-08-24T00:00:00"/>
    <s v="COKKFTB000498505"/>
    <x v="17"/>
    <s v="Received at Store"/>
    <m/>
    <d v="2026-08-24T00:00:00"/>
    <x v="5"/>
    <m/>
    <m/>
    <s v="Takeaway-Bulk-Insti"/>
  </r>
  <r>
    <d v="2026-08-25T00:00:00"/>
    <s v="Vishwanath"/>
    <s v="Bangalore"/>
    <x v="436"/>
    <s v="F2F"/>
    <s v="Bulk Order"/>
    <x v="5"/>
    <s v="Bulk Order"/>
    <s v="New"/>
    <s v="Education"/>
    <s v="Rathan "/>
    <m/>
    <s v="Bulkorder requirement"/>
    <s v="Introduction( C0 )"/>
    <d v="2026-09-22T00:00:00"/>
    <m/>
    <m/>
    <m/>
    <s v="Warm"/>
    <n v="5500"/>
    <m/>
    <m/>
    <m/>
    <x v="5"/>
    <m/>
    <m/>
    <m/>
    <x v="5"/>
    <m/>
    <s v=""/>
    <m/>
  </r>
  <r>
    <d v="2026-08-25T00:00:00"/>
    <s v="Vishwanath"/>
    <s v="Bangalore"/>
    <x v="437"/>
    <s v="F2F"/>
    <s v="Bulk Order"/>
    <x v="5"/>
    <s v="Bulk Order"/>
    <s v="New"/>
    <s v="Events"/>
    <s v="Prasad"/>
    <m/>
    <s v="Bulkorder requirement"/>
    <s v="Introduction( C0 )"/>
    <d v="2026-09-24T00:00:00"/>
    <m/>
    <m/>
    <m/>
    <s v="Warm"/>
    <n v="10000"/>
    <m/>
    <m/>
    <m/>
    <x v="5"/>
    <m/>
    <m/>
    <m/>
    <x v="5"/>
    <m/>
    <s v=""/>
    <m/>
  </r>
  <r>
    <d v="2026-08-25T00:00:00"/>
    <s v="Pradeep"/>
    <s v="Hyderabad"/>
    <x v="438"/>
    <s v="F2F"/>
    <s v="Corporate"/>
    <x v="5"/>
    <s v="Bulk Order"/>
    <s v="New"/>
    <s v="It"/>
    <s v="Srinivas"/>
    <m/>
    <s v="Proposed for Bulk Order and Biryani Kits for Gifting"/>
    <s v="Introduction( C0 )"/>
    <d v="2026-09-17T00:00:00"/>
    <s v="Call"/>
    <m/>
    <m/>
    <s v="Warm"/>
    <n v="35000"/>
    <m/>
    <m/>
    <m/>
    <x v="5"/>
    <m/>
    <m/>
    <m/>
    <x v="5"/>
    <m/>
    <m/>
    <m/>
  </r>
  <r>
    <d v="2026-08-25T00:00:00"/>
    <s v="Pradeep"/>
    <s v="Hyderabad"/>
    <x v="439"/>
    <s v="F2F"/>
    <s v="Corporate"/>
    <x v="5"/>
    <s v="Bulk Order"/>
    <s v="New"/>
    <s v="It"/>
    <s v="HAmeed"/>
    <m/>
    <s v="Proposed for Bulk Order and Biryani Kits for Gifting"/>
    <s v="Introduction( C0 )"/>
    <m/>
    <m/>
    <m/>
    <m/>
    <s v="Hot"/>
    <n v="28000"/>
    <m/>
    <m/>
    <m/>
    <x v="5"/>
    <m/>
    <m/>
    <m/>
    <x v="5"/>
    <m/>
    <m/>
    <m/>
  </r>
  <r>
    <d v="2026-08-25T00:00:00"/>
    <s v="Sameer"/>
    <s v="Hyderabad"/>
    <x v="440"/>
    <s v="F2F"/>
    <s v="Corporate"/>
    <x v="5"/>
    <s v="Bulk Order"/>
    <s v="New"/>
    <s v="Dealers &amp; Distributers"/>
    <s v="Gouse"/>
    <m/>
    <s v="Discussed on Bulk order Requirement"/>
    <s v="Negotitaion( C2 )"/>
    <d v="2026-09-21T00:00:00"/>
    <s v="Call"/>
    <m/>
    <m/>
    <s v="Warm"/>
    <n v="55000"/>
    <m/>
    <m/>
    <m/>
    <x v="5"/>
    <m/>
    <m/>
    <m/>
    <x v="5"/>
    <m/>
    <m/>
    <m/>
  </r>
  <r>
    <d v="2026-08-25T00:00:00"/>
    <s v="Sameer"/>
    <s v="Hyderabad"/>
    <x v="356"/>
    <s v="F2F"/>
    <s v="Corporate"/>
    <x v="5"/>
    <s v="Bulk Order"/>
    <s v="New"/>
    <s v="It"/>
    <s v="Sandesh"/>
    <m/>
    <s v="Bulkorder requirement"/>
    <s v="Introduction( C0 )"/>
    <m/>
    <m/>
    <m/>
    <m/>
    <s v="Hot"/>
    <n v="35000"/>
    <m/>
    <m/>
    <m/>
    <x v="5"/>
    <m/>
    <m/>
    <m/>
    <x v="5"/>
    <m/>
    <m/>
    <m/>
  </r>
  <r>
    <d v="2026-08-25T00:00:00"/>
    <s v="Pradeep"/>
    <s v="Hyderabad"/>
    <x v="268"/>
    <s v="F2F"/>
    <s v="Corporate"/>
    <x v="5"/>
    <s v="Bulk Order"/>
    <s v="New"/>
    <s v="It"/>
    <s v="Swathi"/>
    <m/>
    <s v="Discussed on Bulk order Requirement"/>
    <s v="Follow-up( C1 )"/>
    <m/>
    <m/>
    <m/>
    <m/>
    <s v="Warm"/>
    <n v="70000"/>
    <m/>
    <m/>
    <m/>
    <x v="5"/>
    <m/>
    <m/>
    <m/>
    <x v="5"/>
    <m/>
    <m/>
    <m/>
  </r>
  <r>
    <d v="2026-08-26T00:00:00"/>
    <s v="Vishwanath"/>
    <s v="Bangalore"/>
    <x v="441"/>
    <s v="F2F"/>
    <s v="Corporate"/>
    <x v="5"/>
    <s v="Bulk Order"/>
    <s v="New"/>
    <s v="Education"/>
    <s v="Nagaraj"/>
    <m/>
    <s v="Bulkorder requirement"/>
    <s v="Introduction( C0 )"/>
    <d v="2026-09-21T00:00:00"/>
    <m/>
    <m/>
    <m/>
    <s v="Warm"/>
    <n v="6000"/>
    <m/>
    <m/>
    <m/>
    <x v="5"/>
    <m/>
    <m/>
    <m/>
    <x v="5"/>
    <m/>
    <s v=""/>
    <m/>
  </r>
  <r>
    <d v="2026-08-26T00:00:00"/>
    <s v="Vishwanath"/>
    <s v="Bangalore"/>
    <x v="442"/>
    <s v="F2F"/>
    <s v="Corporate"/>
    <x v="5"/>
    <s v="Bulk Order"/>
    <s v="New"/>
    <s v="Events"/>
    <s v="Raghu Gowda"/>
    <m/>
    <s v="Bulkorder requirement"/>
    <s v="Introduction( C0 )"/>
    <d v="2026-09-22T00:00:00"/>
    <m/>
    <m/>
    <m/>
    <s v="Warm"/>
    <n v="5500"/>
    <m/>
    <m/>
    <m/>
    <x v="5"/>
    <m/>
    <m/>
    <m/>
    <x v="5"/>
    <m/>
    <s v=""/>
    <m/>
  </r>
  <r>
    <d v="2026-08-26T00:00:00"/>
    <s v="Pradeep"/>
    <s v="Hyderabad"/>
    <x v="304"/>
    <s v="F2F"/>
    <s v="Corporate"/>
    <x v="5"/>
    <s v="Bulk Order"/>
    <s v="New"/>
    <s v="It"/>
    <s v="Sai GAnesh"/>
    <m/>
    <s v="Discussed on Bulk order Requirement"/>
    <s v="Follow-up( C1 )"/>
    <d v="2026-09-17T00:00:00"/>
    <s v="Call"/>
    <m/>
    <m/>
    <s v="Cold"/>
    <n v="45000"/>
    <m/>
    <m/>
    <m/>
    <x v="5"/>
    <m/>
    <m/>
    <m/>
    <x v="5"/>
    <m/>
    <m/>
    <m/>
  </r>
  <r>
    <d v="2026-08-26T00:00:00"/>
    <s v="Sameer"/>
    <s v="Hyderabad"/>
    <x v="156"/>
    <s v="F2F"/>
    <s v="Aggregator"/>
    <x v="2"/>
    <s v="Bulk Order"/>
    <s v="New"/>
    <s v="F&amp;B Aggregator"/>
    <s v="Srinivas"/>
    <m/>
    <s v="Business Closed"/>
    <s v="Closed(C4)"/>
    <m/>
    <m/>
    <m/>
    <s v=""/>
    <s v="Hot"/>
    <n v="400000"/>
    <n v="411600"/>
    <d v="2026-08-26T00:00:00"/>
    <m/>
    <x v="17"/>
    <s v="Received at HO"/>
    <m/>
    <m/>
    <x v="5"/>
    <m/>
    <s v=""/>
    <m/>
  </r>
  <r>
    <d v="2026-08-26T00:00:00"/>
    <s v="Bashab"/>
    <s v="Hyderabad"/>
    <x v="156"/>
    <s v="Call"/>
    <s v="Aggregator"/>
    <x v="2"/>
    <s v="Bulk Order"/>
    <s v="New"/>
    <s v="F&amp;B Aggregator"/>
    <s v="Srinivas"/>
    <m/>
    <s v="Business Closed"/>
    <s v="Closed(C4)"/>
    <m/>
    <m/>
    <m/>
    <s v=""/>
    <s v="Hot"/>
    <n v="400000"/>
    <n v="411600"/>
    <d v="2026-08-26T00:00:00"/>
    <m/>
    <x v="17"/>
    <s v="Received at HO"/>
    <m/>
    <m/>
    <x v="5"/>
    <m/>
    <s v=""/>
    <m/>
  </r>
  <r>
    <d v="2026-08-26T00:00:00"/>
    <s v="Pradeep"/>
    <s v="Hyderabad"/>
    <x v="443"/>
    <s v="Call"/>
    <s v="Aggregator"/>
    <x v="5"/>
    <s v="Bulk Order"/>
    <s v="New"/>
    <s v="Defence &amp; Aerospace"/>
    <s v="Ravinder "/>
    <m/>
    <s v="Proposed for Bulk Order and Biryani Kits for Gifting"/>
    <s v="Follow-up( C1 )"/>
    <d v="2026-09-25T00:00:00"/>
    <s v="Call"/>
    <m/>
    <m/>
    <s v="Warm"/>
    <n v="60000"/>
    <m/>
    <m/>
    <m/>
    <x v="5"/>
    <m/>
    <m/>
    <m/>
    <x v="5"/>
    <m/>
    <m/>
    <m/>
  </r>
  <r>
    <d v="2026-08-26T00:00:00"/>
    <s v="Pradeep"/>
    <s v="Hyderabad"/>
    <x v="444"/>
    <s v="F2F"/>
    <s v="Corporate"/>
    <x v="5"/>
    <s v="Bulk Order"/>
    <s v="New"/>
    <s v="Healthcare"/>
    <s v="Shanmukah"/>
    <m/>
    <s v="Discussed on Bulk order Requirement"/>
    <s v="Follow-up( C1 )"/>
    <d v="2026-09-16T00:00:00"/>
    <s v="Call"/>
    <m/>
    <m/>
    <s v="Warm"/>
    <n v="50000"/>
    <m/>
    <m/>
    <m/>
    <x v="5"/>
    <m/>
    <m/>
    <m/>
    <x v="5"/>
    <m/>
    <m/>
    <m/>
  </r>
  <r>
    <d v="2026-08-26T00:00:00"/>
    <s v="Vishwanath"/>
    <s v="Bangalore"/>
    <x v="16"/>
    <s v="Call"/>
    <s v="Corporate"/>
    <x v="2"/>
    <s v="Bulk Order"/>
    <s v="Repeat"/>
    <s v="Retail"/>
    <s v="Mohammed"/>
    <m/>
    <s v="Business Closed"/>
    <s v="Closed(C4)"/>
    <m/>
    <m/>
    <s v=""/>
    <s v=""/>
    <s v="Hot"/>
    <n v="25000"/>
    <n v="25895"/>
    <d v="2026-08-26T00:00:00"/>
    <s v="00HSA06000008403"/>
    <x v="3"/>
    <s v="Received at HO"/>
    <m/>
    <m/>
    <x v="5"/>
    <m/>
    <s v=""/>
    <m/>
  </r>
  <r>
    <d v="2026-08-26T00:00:00"/>
    <s v="Sameer"/>
    <s v="Bangalore"/>
    <x v="16"/>
    <s v="Call"/>
    <s v="Corporate"/>
    <x v="2"/>
    <s v="Bulk Order"/>
    <s v="Repeat"/>
    <s v="Retail"/>
    <s v="Mohammed"/>
    <m/>
    <s v="Business follow-up"/>
    <s v="Closed(C4)"/>
    <m/>
    <m/>
    <s v=""/>
    <s v=""/>
    <s v="Hot"/>
    <n v="25000"/>
    <n v="25896"/>
    <d v="2026-08-26T00:00:00"/>
    <s v="00HSA06000008403"/>
    <x v="3"/>
    <s v="Received at HO"/>
    <m/>
    <m/>
    <x v="5"/>
    <m/>
    <s v=""/>
    <m/>
  </r>
  <r>
    <d v="2026-08-26T00:00:00"/>
    <s v="Pradeep"/>
    <s v="Hyderabad"/>
    <x v="445"/>
    <s v="F2F"/>
    <s v="Corporate"/>
    <x v="5"/>
    <s v="Bulk Order"/>
    <s v="New"/>
    <s v="Healthcare"/>
    <s v="Sunitha"/>
    <m/>
    <s v="Discussed on Bulk order Requirement"/>
    <s v="Follow-up( C1 )"/>
    <d v="2026-09-10T00:00:00"/>
    <s v="Call"/>
    <m/>
    <m/>
    <s v="Hot"/>
    <n v="30000"/>
    <m/>
    <m/>
    <m/>
    <x v="5"/>
    <m/>
    <m/>
    <m/>
    <x v="5"/>
    <m/>
    <m/>
    <m/>
  </r>
  <r>
    <d v="2026-08-27T00:00:00"/>
    <s v="Vishwanath"/>
    <s v="Bangalore"/>
    <x v="446"/>
    <s v="F2F"/>
    <s v="Corporate"/>
    <x v="5"/>
    <s v="Bulk Order"/>
    <s v="New"/>
    <s v="Events"/>
    <s v="Ravi"/>
    <m/>
    <s v="Bulkorder requirement"/>
    <s v="Introduction( C0 )"/>
    <d v="2026-09-24T00:00:00"/>
    <m/>
    <m/>
    <m/>
    <s v="Warm"/>
    <n v="6500"/>
    <m/>
    <m/>
    <m/>
    <x v="5"/>
    <m/>
    <m/>
    <m/>
    <x v="5"/>
    <m/>
    <s v=""/>
    <m/>
  </r>
  <r>
    <d v="2026-08-27T00:00:00"/>
    <s v="Pradeep"/>
    <s v="Hyderabad"/>
    <x v="447"/>
    <s v="F2F"/>
    <s v="Bulk Order"/>
    <x v="5"/>
    <s v="Bulk Order"/>
    <s v="New"/>
    <s v="College"/>
    <s v="Rama"/>
    <m/>
    <s v="Discussed on Bulk order Requirement"/>
    <s v="Follow-up( C1 )"/>
    <d v="2026-09-11T00:00:00"/>
    <s v="Call"/>
    <m/>
    <m/>
    <s v="Hot"/>
    <n v="35000"/>
    <m/>
    <m/>
    <m/>
    <x v="5"/>
    <m/>
    <m/>
    <m/>
    <x v="5"/>
    <m/>
    <m/>
    <m/>
  </r>
  <r>
    <d v="2026-08-27T00:00:00"/>
    <s v="Pradeep"/>
    <s v="Hyderabad"/>
    <x v="448"/>
    <s v="F2F"/>
    <s v="Bulk Order"/>
    <x v="5"/>
    <s v="Bulk Order"/>
    <s v="New"/>
    <s v="College"/>
    <s v="RAvinder"/>
    <m/>
    <s v="Discussed on Bulk order Requirement"/>
    <s v="Negotitaion( C2 )"/>
    <d v="2026-09-20T00:00:00"/>
    <s v="Call"/>
    <m/>
    <m/>
    <s v="Warm"/>
    <n v="50000"/>
    <m/>
    <m/>
    <m/>
    <x v="5"/>
    <m/>
    <m/>
    <m/>
    <x v="5"/>
    <m/>
    <m/>
    <m/>
  </r>
  <r>
    <d v="2026-08-27T00:00:00"/>
    <s v="Vishwanath"/>
    <s v="Bangalore"/>
    <x v="449"/>
    <s v="F2F"/>
    <s v="Corporate"/>
    <x v="5"/>
    <s v="Bulk Order"/>
    <s v="New"/>
    <s v="Events"/>
    <s v="Harish"/>
    <m/>
    <s v="Bulkorder requirement"/>
    <s v="Introduction( C0 )"/>
    <d v="2026-09-21T00:00:00"/>
    <m/>
    <m/>
    <m/>
    <s v="Warm"/>
    <n v="8000"/>
    <m/>
    <m/>
    <m/>
    <x v="5"/>
    <m/>
    <m/>
    <m/>
    <x v="5"/>
    <m/>
    <s v=""/>
    <m/>
  </r>
  <r>
    <d v="2026-08-27T00:00:00"/>
    <s v="Pradeep"/>
    <s v="Hyderabad"/>
    <x v="450"/>
    <s v="F2F"/>
    <s v="Corporate"/>
    <x v="5"/>
    <s v="Bulk Order"/>
    <s v="New"/>
    <s v="Healthcare"/>
    <s v="Raju"/>
    <m/>
    <s v="Discussed on Bulk order Requirement"/>
    <s v="Follow-up( C1 )"/>
    <d v="2026-09-25T00:00:00"/>
    <s v="Call"/>
    <m/>
    <m/>
    <s v="Warm"/>
    <n v="50000"/>
    <m/>
    <m/>
    <m/>
    <x v="5"/>
    <m/>
    <m/>
    <m/>
    <x v="5"/>
    <m/>
    <m/>
    <m/>
  </r>
  <r>
    <d v="2026-08-27T00:00:00"/>
    <s v="Sameer"/>
    <s v="Hyderabad"/>
    <x v="46"/>
    <s v="Call"/>
    <s v="Aggregator"/>
    <x v="0"/>
    <s v="Pop Up Counter"/>
    <s v="New"/>
    <s v="F&amp;B Aggregator"/>
    <s v="Pawan"/>
    <m/>
    <s v="Popup on 27-08-2026 from Kompally"/>
    <s v="Closed(C4)"/>
    <m/>
    <m/>
    <m/>
    <m/>
    <s v="Hot"/>
    <n v="70000"/>
    <n v="76345"/>
    <d v="2026-08-27T00:00:00"/>
    <s v="00KPTDE1000001690"/>
    <x v="36"/>
    <s v="Received at HO"/>
    <m/>
    <m/>
    <x v="5"/>
    <m/>
    <m/>
    <m/>
  </r>
  <r>
    <d v="2026-08-27T00:00:00"/>
    <s v="Pradeep"/>
    <s v="Hyderabad"/>
    <x v="451"/>
    <s v="F2F"/>
    <s v="Corporate"/>
    <x v="5"/>
    <s v="Bulk Order"/>
    <s v="New"/>
    <s v="Healthcare"/>
    <s v="Sundar"/>
    <m/>
    <s v="Proposed for Bulk Order and Biryani Kits for Gifting"/>
    <s v="Negotitaion( C2 )"/>
    <d v="2026-09-20T00:00:00"/>
    <s v="Call"/>
    <m/>
    <m/>
    <s v="Warm"/>
    <n v="25000"/>
    <m/>
    <m/>
    <m/>
    <x v="5"/>
    <m/>
    <m/>
    <m/>
    <x v="5"/>
    <m/>
    <m/>
    <m/>
  </r>
  <r>
    <d v="2026-08-27T00:00:00"/>
    <s v="Pradeep"/>
    <s v="Hyderabad"/>
    <x v="404"/>
    <s v="Call"/>
    <s v="Aggregator"/>
    <x v="2"/>
    <s v="Pop Up Counter"/>
    <s v="New"/>
    <s v="F&amp;B Aggregator"/>
    <s v="Pranay"/>
    <m/>
    <s v="Popup on 25,26,27 August from Hitec City"/>
    <s v="Closed(C4)"/>
    <m/>
    <m/>
    <m/>
    <m/>
    <s v="Hot"/>
    <n v="50000"/>
    <n v="52185"/>
    <d v="2026-08-27T00:00:00"/>
    <s v="00HCA05000029410"/>
    <x v="4"/>
    <s v="Received at HO"/>
    <m/>
    <m/>
    <x v="5"/>
    <m/>
    <m/>
    <m/>
  </r>
  <r>
    <d v="2026-08-28T00:00:00"/>
    <s v="Vishwanath"/>
    <s v="Bangalore"/>
    <x v="452"/>
    <s v="F2F"/>
    <s v="Corporate"/>
    <x v="5"/>
    <s v="Bulk Order"/>
    <s v="New"/>
    <s v="Exhibition"/>
    <s v="Mahesh"/>
    <m/>
    <s v="Bulkorder requirement"/>
    <s v="Introduction( C0 )"/>
    <d v="2026-09-18T00:00:00"/>
    <m/>
    <m/>
    <m/>
    <s v="Warm"/>
    <m/>
    <m/>
    <m/>
    <m/>
    <x v="5"/>
    <m/>
    <m/>
    <m/>
    <x v="5"/>
    <m/>
    <s v=""/>
    <m/>
  </r>
  <r>
    <d v="2026-08-28T00:00:00"/>
    <s v="Vishwanath"/>
    <s v="Bangalore"/>
    <x v="453"/>
    <s v="F2F"/>
    <s v="Bulk Order"/>
    <x v="5"/>
    <s v="Bulk Order"/>
    <s v="New"/>
    <s v="Exhibition"/>
    <s v="Yokesh"/>
    <m/>
    <s v="Bulkorder requirement"/>
    <s v="Introduction( C0 )"/>
    <d v="2026-09-18T00:00:00"/>
    <m/>
    <m/>
    <m/>
    <s v="Warm"/>
    <n v="5500"/>
    <m/>
    <m/>
    <m/>
    <x v="5"/>
    <m/>
    <m/>
    <m/>
    <x v="5"/>
    <m/>
    <s v=""/>
    <m/>
  </r>
  <r>
    <d v="2026-08-28T00:00:00"/>
    <s v="Pradeep"/>
    <s v="Hyderabad"/>
    <x v="454"/>
    <s v="F2F"/>
    <s v="Corporate"/>
    <x v="5"/>
    <s v="Bulk Order"/>
    <s v="New"/>
    <s v="Healthcare"/>
    <s v="Jagadish"/>
    <m/>
    <s v="Discussed on Bulk order Requirement"/>
    <s v="Follow-up( C1 )"/>
    <d v="2026-09-17T00:00:00"/>
    <m/>
    <m/>
    <m/>
    <s v="Warm"/>
    <n v="30000"/>
    <m/>
    <m/>
    <m/>
    <x v="5"/>
    <m/>
    <m/>
    <m/>
    <x v="5"/>
    <m/>
    <m/>
    <m/>
  </r>
  <r>
    <d v="2026-08-28T00:00:00"/>
    <s v="Pradeep"/>
    <s v="Hyderabad"/>
    <x v="455"/>
    <s v="F2F"/>
    <s v="Corporate"/>
    <x v="5"/>
    <s v="Bulk Order"/>
    <s v="New"/>
    <s v="Healthcare"/>
    <s v="Hameed"/>
    <m/>
    <s v="Discussed on Bulk order Requirement"/>
    <s v="Follow-up( C1 )"/>
    <d v="2026-09-12T00:00:00"/>
    <s v="Call"/>
    <m/>
    <m/>
    <s v="Hot"/>
    <n v="45000"/>
    <m/>
    <m/>
    <m/>
    <x v="5"/>
    <m/>
    <m/>
    <m/>
    <x v="5"/>
    <m/>
    <m/>
    <m/>
  </r>
  <r>
    <d v="2026-08-28T00:00:00"/>
    <s v="Vishwanath"/>
    <s v="Bangalore"/>
    <x v="37"/>
    <s v="Call"/>
    <s v="Aggregator"/>
    <x v="1"/>
    <s v="Pop Up Counter"/>
    <s v="Repeat"/>
    <s v="It"/>
    <s v="Harish"/>
    <m/>
    <s v="Popup Counter"/>
    <s v="Closed(C4)"/>
    <m/>
    <m/>
    <m/>
    <s v=""/>
    <s v="Hot"/>
    <n v="10000"/>
    <n v="9505"/>
    <d v="2026-08-28T00:00:00"/>
    <m/>
    <x v="12"/>
    <s v="Received at HO"/>
    <m/>
    <m/>
    <x v="5"/>
    <m/>
    <m/>
    <m/>
  </r>
  <r>
    <d v="2026-08-28T00:00:00"/>
    <s v="Pradeep"/>
    <s v="Hyderabad"/>
    <x v="456"/>
    <s v="F2F"/>
    <s v="Corporate"/>
    <x v="5"/>
    <s v="Bulk Order"/>
    <s v="New"/>
    <s v="Healthcare"/>
    <s v="Mahesh"/>
    <m/>
    <s v="Discussed on Bulk order Requirement"/>
    <s v="Negotitaion( C2 )"/>
    <m/>
    <m/>
    <m/>
    <m/>
    <s v="Warm"/>
    <n v="20000"/>
    <m/>
    <m/>
    <m/>
    <x v="5"/>
    <m/>
    <m/>
    <m/>
    <x v="5"/>
    <m/>
    <m/>
    <m/>
  </r>
  <r>
    <d v="2026-08-28T00:00:00"/>
    <s v="Pradeep"/>
    <s v="Hyderabad"/>
    <x v="457"/>
    <s v="F2F"/>
    <s v="Corporate"/>
    <x v="5"/>
    <s v="Bulk Order"/>
    <s v="New"/>
    <s v="Healthcare"/>
    <s v="Ajay"/>
    <m/>
    <s v="Discussed on Bulk order Requirement"/>
    <s v="Negotitaion( C2 )"/>
    <d v="2026-09-19T00:00:00"/>
    <s v="Call"/>
    <m/>
    <m/>
    <s v="Warm"/>
    <n v="40000"/>
    <m/>
    <m/>
    <m/>
    <x v="5"/>
    <m/>
    <m/>
    <m/>
    <x v="5"/>
    <m/>
    <m/>
    <m/>
  </r>
  <r>
    <d v="2026-08-28T00:00:00"/>
    <s v="Vishwanath"/>
    <s v="Bangalore"/>
    <x v="41"/>
    <s v="Call"/>
    <s v="Aggregator"/>
    <x v="1"/>
    <s v="Pop Up Counter"/>
    <s v="Repeat"/>
    <s v="It"/>
    <s v="Harish"/>
    <m/>
    <s v="Popup Counter"/>
    <s v="Closed(C4)"/>
    <m/>
    <m/>
    <m/>
    <s v=""/>
    <s v="Hot"/>
    <n v="15000"/>
    <n v="11380"/>
    <d v="2026-08-28T00:00:00"/>
    <m/>
    <x v="12"/>
    <s v="Received at HO"/>
    <m/>
    <m/>
    <x v="5"/>
    <m/>
    <s v=""/>
    <m/>
  </r>
  <r>
    <d v="2026-08-31T00:00:00"/>
    <s v="Pradeep"/>
    <s v="Hyderabad"/>
    <x v="458"/>
    <s v="F2F"/>
    <s v="Corporate"/>
    <x v="5"/>
    <s v="Bulk Order"/>
    <s v="New"/>
    <s v="Healthcare"/>
    <s v="Deepthi"/>
    <m/>
    <s v="Discussed on Bulk order Requirement"/>
    <s v="Negotitaion( C2 )"/>
    <d v="2026-09-13T00:00:00"/>
    <s v="Call"/>
    <m/>
    <m/>
    <s v="Warm"/>
    <n v="50000"/>
    <m/>
    <m/>
    <m/>
    <x v="5"/>
    <m/>
    <m/>
    <m/>
    <x v="5"/>
    <m/>
    <m/>
    <m/>
  </r>
  <r>
    <d v="2026-08-31T00:00:00"/>
    <s v="Pradeep"/>
    <s v="Hyderabad"/>
    <x v="459"/>
    <s v="F2F"/>
    <s v="Bulk Order"/>
    <x v="5"/>
    <s v="Bulk Order"/>
    <s v="New"/>
    <s v="Education"/>
    <s v="Gowtham"/>
    <m/>
    <s v="Discussed on Bulk order Requirement"/>
    <s v="Follow-up( C1 )"/>
    <d v="2026-09-24T00:00:00"/>
    <s v="Call"/>
    <m/>
    <m/>
    <s v="Warm"/>
    <n v="35000"/>
    <m/>
    <m/>
    <m/>
    <x v="5"/>
    <m/>
    <m/>
    <m/>
    <x v="5"/>
    <m/>
    <m/>
    <m/>
  </r>
  <r>
    <d v="2026-08-31T00:00:00"/>
    <s v="Sameer"/>
    <s v="Hyderabad"/>
    <x v="259"/>
    <s v="F2F"/>
    <s v="Corporate"/>
    <x v="5"/>
    <s v="Bulk Order"/>
    <s v="New"/>
    <s v="It"/>
    <s v="Chandu"/>
    <m/>
    <s v="Discussed on Bulk order Requirement"/>
    <s v="Negotitaion( C2 )"/>
    <d v="2026-09-17T00:00:00"/>
    <s v="Call"/>
    <m/>
    <m/>
    <s v="Warm"/>
    <n v="30000"/>
    <m/>
    <m/>
    <m/>
    <x v="5"/>
    <m/>
    <m/>
    <m/>
    <x v="5"/>
    <m/>
    <s v=""/>
    <m/>
  </r>
  <r>
    <d v="2026-08-31T00:00:00"/>
    <s v="Pradeep"/>
    <s v="Hyderabad"/>
    <x v="104"/>
    <s v="F2F"/>
    <s v="Corporate"/>
    <x v="5"/>
    <s v="Bulk Order"/>
    <s v="New"/>
    <s v="It"/>
    <s v="Rajesh"/>
    <m/>
    <s v="Discussed on Bulk order Requirement"/>
    <s v="Follow-up( C1 )"/>
    <d v="2026-09-20T00:00:00"/>
    <s v="Call"/>
    <m/>
    <m/>
    <s v="Warm"/>
    <n v="50000"/>
    <m/>
    <m/>
    <m/>
    <x v="5"/>
    <m/>
    <m/>
    <m/>
    <x v="5"/>
    <m/>
    <s v=""/>
    <m/>
  </r>
  <r>
    <d v="2026-08-31T00:00:00"/>
    <s v="Pradeep"/>
    <s v="Hyderabad"/>
    <x v="460"/>
    <s v="F2F"/>
    <s v="Corporate"/>
    <x v="5"/>
    <s v="Bulk Order"/>
    <s v="New"/>
    <s v="Healthcare"/>
    <s v="Sunil"/>
    <m/>
    <s v="Discussed on Bulk order Requirement"/>
    <s v="Negotitaion( C2 )"/>
    <d v="2026-09-21T00:00:00"/>
    <s v="Call"/>
    <m/>
    <m/>
    <s v="Warm"/>
    <n v="33000"/>
    <m/>
    <m/>
    <m/>
    <x v="5"/>
    <m/>
    <m/>
    <m/>
    <x v="5"/>
    <m/>
    <s v=""/>
    <m/>
  </r>
  <r>
    <d v="2026-08-31T00:00:00"/>
    <s v="Sameer"/>
    <s v="Hyderabad"/>
    <x v="461"/>
    <s v="F2F"/>
    <s v="Corporate"/>
    <x v="5"/>
    <s v="Bulk Order"/>
    <s v="New"/>
    <s v="Healthcare"/>
    <s v="Rajendra Prasad"/>
    <m/>
    <s v="Discussed on Bulk order Requirement"/>
    <s v="Follow-up( C1 )"/>
    <d v="2026-09-24T00:00:00"/>
    <s v="Call"/>
    <m/>
    <m/>
    <s v="Warm"/>
    <n v="50000"/>
    <m/>
    <m/>
    <m/>
    <x v="5"/>
    <m/>
    <m/>
    <m/>
    <x v="5"/>
    <m/>
    <s v=""/>
    <m/>
  </r>
  <r>
    <d v="2026-08-31T00:00:00"/>
    <s v="Vishwanath"/>
    <s v="Bangalore"/>
    <x v="462"/>
    <s v="F2F"/>
    <s v="Corporate"/>
    <x v="5"/>
    <s v="Bulk Order"/>
    <s v="New"/>
    <s v="It"/>
    <s v="Narasimha B N"/>
    <m/>
    <s v="Discussed on Bulk order Requirement"/>
    <s v="Follow-up( C1 )"/>
    <d v="2026-09-25T00:00:00"/>
    <m/>
    <m/>
    <m/>
    <s v="Warm"/>
    <m/>
    <m/>
    <m/>
    <m/>
    <x v="5"/>
    <m/>
    <m/>
    <m/>
    <x v="5"/>
    <m/>
    <s v=""/>
    <m/>
  </r>
  <r>
    <d v="2026-09-01T00:00:00"/>
    <s v="Pradeep"/>
    <s v="Hyderabad"/>
    <x v="61"/>
    <s v="F2F"/>
    <s v="Corporate"/>
    <x v="5"/>
    <s v="Bulk Order"/>
    <s v="New"/>
    <s v="Banking Finance &amp; Insurance"/>
    <s v="Lakshmi Narayana"/>
    <m/>
    <s v="Bulk order Closed"/>
    <s v="Closed(C4)"/>
    <m/>
    <m/>
    <m/>
    <m/>
    <s v="Hot"/>
    <n v="10000"/>
    <n v="4147"/>
    <d v="2026-09-01T00:00:00"/>
    <s v="00STA02000033567"/>
    <x v="14"/>
    <s v="Received at Store"/>
    <m/>
    <d v="2026-09-01T00:00:00"/>
    <x v="6"/>
    <m/>
    <s v=""/>
    <s v="Takeaway-Bulk-Insti"/>
  </r>
  <r>
    <d v="2026-09-01T00:00:00"/>
    <s v="Pradeep"/>
    <s v="Hyderabad"/>
    <x v="463"/>
    <s v="F2F"/>
    <s v="Corporate"/>
    <x v="5"/>
    <s v="Bulk Order"/>
    <s v="New"/>
    <s v="Healthcare"/>
    <s v="Pradeep"/>
    <m/>
    <s v="Discussed on Bulk order Requirement"/>
    <s v="Negotitaion( C2 )"/>
    <d v="2026-09-25T00:00:00"/>
    <s v="Call"/>
    <m/>
    <m/>
    <s v="Warm"/>
    <n v="60000"/>
    <m/>
    <m/>
    <m/>
    <x v="5"/>
    <m/>
    <m/>
    <m/>
    <x v="6"/>
    <m/>
    <m/>
    <m/>
  </r>
  <r>
    <d v="2026-09-01T00:00:00"/>
    <s v="Pradeep"/>
    <s v="Hyderabad"/>
    <x v="464"/>
    <s v="F2F"/>
    <s v="Corporate"/>
    <x v="5"/>
    <s v="Bulk Order"/>
    <s v="New"/>
    <s v="Healthcare"/>
    <s v="Shalini"/>
    <m/>
    <s v="Proposed for Bulk Order and Biryani Kits for Gifting"/>
    <s v="Cancelled"/>
    <d v="2026-10-13T00:00:00"/>
    <m/>
    <m/>
    <m/>
    <s v="Hot"/>
    <n v="30000"/>
    <m/>
    <m/>
    <m/>
    <x v="5"/>
    <m/>
    <m/>
    <m/>
    <x v="6"/>
    <m/>
    <m/>
    <m/>
  </r>
  <r>
    <d v="2026-09-01T00:00:00"/>
    <s v="Bashab"/>
    <s v="Bangalore"/>
    <x v="37"/>
    <s v="Call"/>
    <s v="Aggregator"/>
    <x v="1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6"/>
    <m/>
    <m/>
    <m/>
  </r>
  <r>
    <d v="2026-09-01T00:00:00"/>
    <s v="Vishwanath"/>
    <s v="Bangalore"/>
    <x v="465"/>
    <s v="F2F"/>
    <s v="Aggregator"/>
    <x v="2"/>
    <s v="Bulk Order"/>
    <s v="Repeat"/>
    <s v="It"/>
    <s v="Saadh"/>
    <m/>
    <s v="Business Closed"/>
    <s v="Confirmed( C3 )"/>
    <m/>
    <m/>
    <m/>
    <m/>
    <s v="Hot"/>
    <m/>
    <m/>
    <m/>
    <m/>
    <x v="3"/>
    <m/>
    <m/>
    <m/>
    <x v="6"/>
    <m/>
    <m/>
    <m/>
  </r>
  <r>
    <d v="2026-09-01T00:00:00"/>
    <s v="Vishwanath"/>
    <s v="Bangalore"/>
    <x v="466"/>
    <s v="F2F"/>
    <s v="Aggregator"/>
    <x v="1"/>
    <s v="Bulk Order"/>
    <s v="Repeat"/>
    <s v="It"/>
    <s v="Harish"/>
    <m/>
    <s v="Popup Confirmed"/>
    <s v="Confirmed( C3 )"/>
    <m/>
    <m/>
    <m/>
    <m/>
    <s v="Warm"/>
    <m/>
    <m/>
    <m/>
    <m/>
    <x v="5"/>
    <m/>
    <m/>
    <m/>
    <x v="6"/>
    <m/>
    <m/>
    <m/>
  </r>
  <r>
    <d v="2026-09-01T00:00:00"/>
    <s v="Bashab"/>
    <s v="Bangalore"/>
    <x v="41"/>
    <s v="Call"/>
    <s v="Aggregator"/>
    <x v="1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6"/>
    <m/>
    <s v=""/>
    <m/>
  </r>
  <r>
    <d v="2026-09-01T00:00:00"/>
    <s v="Bashab"/>
    <s v="Bangalore"/>
    <x v="122"/>
    <s v="Call"/>
    <s v="Aggregator"/>
    <x v="1"/>
    <s v="Pop Up Counter"/>
    <s v="Repeat"/>
    <s v="It"/>
    <s v="Naveen"/>
    <m/>
    <s v="Pop-up counter done"/>
    <s v="Confirmed( C3 )"/>
    <m/>
    <m/>
    <m/>
    <s v=""/>
    <s v="Hot"/>
    <m/>
    <m/>
    <m/>
    <m/>
    <x v="11"/>
    <m/>
    <m/>
    <m/>
    <x v="6"/>
    <m/>
    <s v=""/>
    <m/>
  </r>
  <r>
    <d v="2026-09-01T00:00:00"/>
    <s v="Bashab"/>
    <s v="Bangalore"/>
    <x v="225"/>
    <s v="F2F"/>
    <s v="Aggregator"/>
    <x v="1"/>
    <s v="Popup Counter"/>
    <s v="Repeat"/>
    <s v="It"/>
    <s v="Naveen"/>
    <m/>
    <s v="Popup Confirmed"/>
    <s v="Confirmed( C3 )"/>
    <m/>
    <m/>
    <m/>
    <s v=""/>
    <s v="Hot"/>
    <m/>
    <m/>
    <m/>
    <m/>
    <x v="11"/>
    <m/>
    <m/>
    <m/>
    <x v="6"/>
    <m/>
    <s v=""/>
    <m/>
  </r>
  <r>
    <d v="2026-09-01T00:00:00"/>
    <s v="Bashab"/>
    <s v="Bangalore"/>
    <x v="467"/>
    <s v="F2F"/>
    <s v="Aggregator"/>
    <x v="6"/>
    <s v="ODC"/>
    <s v="Repeat"/>
    <s v="Events"/>
    <s v="Devendar"/>
    <m/>
    <s v="ODC Confirmed"/>
    <s v="Confirmed( C3 )"/>
    <m/>
    <m/>
    <m/>
    <s v=""/>
    <s v="Hot"/>
    <m/>
    <m/>
    <m/>
    <m/>
    <x v="8"/>
    <m/>
    <m/>
    <m/>
    <x v="6"/>
    <m/>
    <s v=""/>
    <m/>
  </r>
  <r>
    <d v="2026-09-01T00:00:00"/>
    <s v="Bashab"/>
    <s v="Bangalore"/>
    <x v="467"/>
    <s v="F2F"/>
    <s v="Aggregator"/>
    <x v="4"/>
    <s v="ODC"/>
    <s v="Repeat"/>
    <s v="Events"/>
    <s v="Rawath"/>
    <m/>
    <s v="ODC Confirmed"/>
    <s v="Confirmed( C3 )"/>
    <m/>
    <m/>
    <m/>
    <s v=""/>
    <s v="Hot"/>
    <m/>
    <m/>
    <m/>
    <m/>
    <x v="8"/>
    <m/>
    <m/>
    <m/>
    <x v="6"/>
    <m/>
    <s v=""/>
    <m/>
  </r>
  <r>
    <d v="2026-09-01T00:00:00"/>
    <s v="Vishwanath"/>
    <s v="Bangalore"/>
    <x v="468"/>
    <s v="F2F"/>
    <s v="Corporate"/>
    <x v="5"/>
    <s v="Bulk Order"/>
    <s v="New"/>
    <s v="It"/>
    <s v="Sarvanan"/>
    <m/>
    <s v="Order Cancelled, will update for future requirements"/>
    <s v="Cancelled"/>
    <m/>
    <m/>
    <m/>
    <s v=""/>
    <s v="Warm"/>
    <n v="100000"/>
    <m/>
    <m/>
    <m/>
    <x v="5"/>
    <m/>
    <m/>
    <m/>
    <x v="6"/>
    <m/>
    <s v=""/>
    <m/>
  </r>
  <r>
    <d v="2026-09-01T00:00:00"/>
    <s v="Vishwanath"/>
    <s v="Bangalore"/>
    <x v="469"/>
    <s v="Call"/>
    <s v="Corporate"/>
    <x v="5"/>
    <s v="Bulk Order"/>
    <s v="New"/>
    <s v="It"/>
    <s v="Anand"/>
    <m/>
    <s v="Pop-up counter confirmed"/>
    <s v="Confirmed( C3 )"/>
    <m/>
    <m/>
    <m/>
    <s v=""/>
    <s v="Hot"/>
    <m/>
    <m/>
    <m/>
    <m/>
    <x v="21"/>
    <m/>
    <m/>
    <m/>
    <x v="6"/>
    <m/>
    <s v=""/>
    <m/>
  </r>
  <r>
    <d v="2026-09-01T00:00:00"/>
    <s v="Bashab"/>
    <s v="Hyderabad"/>
    <x v="156"/>
    <s v="F2F"/>
    <s v="Aggregator"/>
    <x v="2"/>
    <s v="Bulk Order"/>
    <s v="New"/>
    <s v="F&amp;B Aggregator"/>
    <s v="Srinivas"/>
    <m/>
    <s v="Business Closed"/>
    <s v="Confirmed( C3 )"/>
    <m/>
    <m/>
    <m/>
    <s v=""/>
    <s v="Hot"/>
    <m/>
    <m/>
    <m/>
    <m/>
    <x v="5"/>
    <m/>
    <m/>
    <m/>
    <x v="6"/>
    <m/>
    <s v=""/>
    <m/>
  </r>
  <r>
    <d v="2026-09-01T00:00:00"/>
    <s v="Bashab"/>
    <s v="Bangalore"/>
    <x v="66"/>
    <s v="Call"/>
    <s v="Aggregator"/>
    <x v="3"/>
    <s v="Pop Up Counter"/>
    <s v="Repeat"/>
    <s v="It"/>
    <s v="Navya"/>
    <m/>
    <s v="Popup Confirmed"/>
    <s v="Confirmed( C3 )"/>
    <m/>
    <m/>
    <m/>
    <s v=""/>
    <s v="Hot"/>
    <m/>
    <m/>
    <m/>
    <m/>
    <x v="11"/>
    <m/>
    <m/>
    <m/>
    <x v="6"/>
    <m/>
    <s v=""/>
    <m/>
  </r>
  <r>
    <d v="2026-09-01T00:00:00"/>
    <s v="Vishwanath"/>
    <s v="Bangalore"/>
    <x v="470"/>
    <s v="F2F"/>
    <s v="Corporate"/>
    <x v="5"/>
    <s v="Bulk Order"/>
    <s v="New"/>
    <s v="It"/>
    <s v="N Sridhar"/>
    <m/>
    <s v="Discussed on Bulk order Requirement"/>
    <s v="Follow-up( C1 )"/>
    <d v="2026-09-28T00:00:00"/>
    <m/>
    <m/>
    <m/>
    <s v="Warm"/>
    <m/>
    <m/>
    <m/>
    <m/>
    <x v="5"/>
    <m/>
    <m/>
    <m/>
    <x v="6"/>
    <m/>
    <s v=""/>
    <m/>
  </r>
  <r>
    <d v="2026-09-01T00:00:00"/>
    <s v="Vishwanath"/>
    <s v="Bangalore"/>
    <x v="471"/>
    <s v="F2F"/>
    <s v="Corporate"/>
    <x v="5"/>
    <s v="Bulk Order"/>
    <s v="New"/>
    <s v="It"/>
    <s v="Arul Selvam"/>
    <m/>
    <s v="Discussed on Bulk order Requirement"/>
    <s v="Follow-up( C1 )"/>
    <d v="2026-09-21T00:00:00"/>
    <m/>
    <m/>
    <m/>
    <s v="Warm"/>
    <m/>
    <m/>
    <m/>
    <m/>
    <x v="5"/>
    <m/>
    <m/>
    <m/>
    <x v="6"/>
    <m/>
    <s v=""/>
    <m/>
  </r>
  <r>
    <d v="2026-09-02T00:00:00"/>
    <s v="Sameer"/>
    <s v="Hyderabad"/>
    <x v="156"/>
    <s v="F2F"/>
    <s v="Aggregator"/>
    <x v="2"/>
    <s v="Bulk Order"/>
    <s v="New"/>
    <s v="F&amp;B Aggregator"/>
    <s v="Srinivas"/>
    <m/>
    <s v="Business Closed"/>
    <s v="Closed(C4)"/>
    <m/>
    <m/>
    <m/>
    <s v=""/>
    <s v="Hot"/>
    <n v="400000"/>
    <n v="252630"/>
    <d v="2026-09-02T00:00:00"/>
    <s v="CIFSPL070902"/>
    <x v="17"/>
    <s v="Received at HO"/>
    <m/>
    <m/>
    <x v="6"/>
    <m/>
    <s v=""/>
    <m/>
  </r>
  <r>
    <d v="2026-09-02T00:00:00"/>
    <s v="Bashab"/>
    <s v="Hyderabad"/>
    <x v="156"/>
    <s v="Call"/>
    <s v="Aggregator"/>
    <x v="2"/>
    <s v="Bulk Order"/>
    <s v="New"/>
    <s v="F&amp;B Aggregator"/>
    <s v="Srinivas"/>
    <m/>
    <s v="Business Closed"/>
    <s v="Closed(C4)"/>
    <m/>
    <m/>
    <m/>
    <s v=""/>
    <s v="Hot"/>
    <n v="200000"/>
    <n v="252630"/>
    <d v="2026-09-02T00:00:00"/>
    <s v="CIFSPL070902"/>
    <x v="17"/>
    <s v="Received at HO"/>
    <m/>
    <m/>
    <x v="6"/>
    <m/>
    <s v=""/>
    <m/>
  </r>
  <r>
    <d v="2026-09-02T00:00:00"/>
    <s v="Pradeep"/>
    <s v="Hyderabad"/>
    <x v="472"/>
    <s v="F2F"/>
    <s v="Corporate"/>
    <x v="5"/>
    <s v="Bulk Order"/>
    <s v="New"/>
    <s v="It"/>
    <s v="Santosh"/>
    <m/>
    <s v="Discussed on Bulk order Requirement"/>
    <s v="Follow-up( C1 )"/>
    <m/>
    <m/>
    <m/>
    <m/>
    <s v="Hot"/>
    <n v="35000"/>
    <m/>
    <m/>
    <m/>
    <x v="5"/>
    <m/>
    <m/>
    <m/>
    <x v="6"/>
    <m/>
    <s v=""/>
    <m/>
  </r>
  <r>
    <d v="2026-09-02T00:00:00"/>
    <s v="Pradeep"/>
    <s v="Hyderabad"/>
    <x v="473"/>
    <s v="F2F"/>
    <s v="Corporate"/>
    <x v="5"/>
    <s v="Bulk Order"/>
    <s v="New"/>
    <s v="Healthcare"/>
    <s v="Arshiya"/>
    <m/>
    <s v="Proposed for Bulk Order and Biryani Kits for Gifting"/>
    <s v="Negotitaion( C2 )"/>
    <d v="2026-09-16T00:00:00"/>
    <s v="F2F"/>
    <m/>
    <m/>
    <s v="Hot"/>
    <n v="60000"/>
    <m/>
    <m/>
    <m/>
    <x v="5"/>
    <m/>
    <m/>
    <m/>
    <x v="6"/>
    <m/>
    <s v=""/>
    <m/>
  </r>
  <r>
    <d v="2026-09-02T00:00:00"/>
    <s v="Sameer"/>
    <s v="Hyderabad"/>
    <x v="56"/>
    <s v="F2F"/>
    <s v="Corporate"/>
    <x v="5"/>
    <s v="Bulk Order"/>
    <s v="New"/>
    <s v="Healthcare"/>
    <s v="Asad"/>
    <m/>
    <s v="Discussed on Bulk order Requirement"/>
    <s v="Confirmed( C3 )"/>
    <d v="2026-10-16T00:00:00"/>
    <s v="Call"/>
    <m/>
    <m/>
    <s v="Hot"/>
    <n v="0"/>
    <m/>
    <m/>
    <m/>
    <x v="5"/>
    <m/>
    <m/>
    <m/>
    <x v="6"/>
    <m/>
    <m/>
    <m/>
  </r>
  <r>
    <d v="2026-09-02T00:00:00"/>
    <s v="Pradeep"/>
    <s v="Hyderabad"/>
    <x v="474"/>
    <s v="F2F"/>
    <s v="Corporate"/>
    <x v="5"/>
    <s v="Bulk Order"/>
    <s v="New"/>
    <s v="It"/>
    <s v="Bhanu"/>
    <m/>
    <s v="Discussed on Bulk order Requirement"/>
    <s v="Negotitaion( C2 )"/>
    <m/>
    <m/>
    <m/>
    <m/>
    <s v="Hot"/>
    <n v="40000"/>
    <m/>
    <m/>
    <m/>
    <x v="5"/>
    <m/>
    <m/>
    <m/>
    <x v="6"/>
    <m/>
    <s v=""/>
    <m/>
  </r>
  <r>
    <d v="2026-09-02T00:00:00"/>
    <s v="Pradeep"/>
    <s v="Hyderabad"/>
    <x v="475"/>
    <s v="F2F"/>
    <s v="Corporate"/>
    <x v="5"/>
    <s v="Bulk Order"/>
    <s v="New"/>
    <s v="Manufacturing"/>
    <s v="Ravi"/>
    <m/>
    <s v="Proposed for Bulk Order and Biryani Kits for Gifting"/>
    <s v="Negotitaion( C2 )"/>
    <m/>
    <m/>
    <m/>
    <m/>
    <s v="Hot"/>
    <n v="50000"/>
    <m/>
    <m/>
    <m/>
    <x v="5"/>
    <m/>
    <m/>
    <m/>
    <x v="6"/>
    <m/>
    <s v=""/>
    <m/>
  </r>
  <r>
    <d v="2026-09-02T00:00:00"/>
    <s v="Sameer"/>
    <s v="Hyderabad"/>
    <x v="476"/>
    <s v="F2F"/>
    <s v="Corporate"/>
    <x v="5"/>
    <s v="Bulk Order"/>
    <s v="New"/>
    <s v="Events"/>
    <s v="Saltanat"/>
    <m/>
    <s v="Bulk order "/>
    <s v="Confirmed( C3 )"/>
    <d v="2026-09-26T00:00:00"/>
    <s v="Call"/>
    <m/>
    <m/>
    <s v="Hot"/>
    <n v="0"/>
    <m/>
    <m/>
    <m/>
    <x v="5"/>
    <m/>
    <m/>
    <m/>
    <x v="6"/>
    <m/>
    <m/>
    <m/>
  </r>
  <r>
    <d v="2026-09-02T00:00:00"/>
    <s v="Sameer"/>
    <s v="Hyderabad"/>
    <x v="204"/>
    <s v="F2F"/>
    <s v="Corporate"/>
    <x v="5"/>
    <s v="Bulk Order"/>
    <s v="New"/>
    <s v="Exhibition"/>
    <s v="Venu Gopal"/>
    <m/>
    <s v="Bulk order Business"/>
    <s v="Confirmed( C3 )"/>
    <m/>
    <m/>
    <m/>
    <m/>
    <s v="Hot"/>
    <n v="0"/>
    <m/>
    <m/>
    <m/>
    <x v="5"/>
    <m/>
    <m/>
    <m/>
    <x v="6"/>
    <m/>
    <m/>
    <m/>
  </r>
  <r>
    <d v="2026-09-02T00:00:00"/>
    <s v="Bashab"/>
    <s v="Bangalore"/>
    <x v="11"/>
    <s v="F2F"/>
    <s v="Corporate"/>
    <x v="5"/>
    <s v="Bulk Order"/>
    <s v="New"/>
    <s v="It"/>
    <s v="Jeevan"/>
    <m/>
    <s v="Bulk order Delivery"/>
    <s v="Closed(C4)"/>
    <m/>
    <m/>
    <m/>
    <m/>
    <s v="Hot"/>
    <n v="40000"/>
    <n v="41801"/>
    <m/>
    <s v="00JNTA1000018018"/>
    <x v="8"/>
    <s v="Received at Store"/>
    <m/>
    <d v="2026-09-02T00:00:00"/>
    <x v="6"/>
    <m/>
    <s v=""/>
    <m/>
  </r>
  <r>
    <d v="2026-09-02T00:00:00"/>
    <s v="Vishwanath"/>
    <s v="Bangalore"/>
    <x v="477"/>
    <s v="F2F"/>
    <s v="Bulk Order"/>
    <x v="5"/>
    <s v="Bulk Order"/>
    <s v="New"/>
    <s v="Transport"/>
    <s v="Naveen Kumar"/>
    <m/>
    <s v="Discussed on Bulk order Requirement"/>
    <s v="Follow-up( C1 )"/>
    <d v="2026-09-15T00:00:00"/>
    <m/>
    <m/>
    <m/>
    <s v="Warm"/>
    <m/>
    <m/>
    <m/>
    <m/>
    <x v="5"/>
    <m/>
    <m/>
    <m/>
    <x v="6"/>
    <m/>
    <s v=""/>
    <m/>
  </r>
  <r>
    <d v="2026-09-02T00:00:00"/>
    <s v="Vishwanath"/>
    <s v="Bangalore"/>
    <x v="478"/>
    <s v="F2F"/>
    <s v="Bulk Order"/>
    <x v="5"/>
    <s v="Bulk Order"/>
    <s v="New"/>
    <s v="Concert"/>
    <s v="Vivek"/>
    <m/>
    <s v="Discussed on Bulk order Requirement"/>
    <s v="Follow-up( C1 )"/>
    <d v="2026-09-15T00:00:00"/>
    <m/>
    <m/>
    <m/>
    <s v="Warm"/>
    <m/>
    <m/>
    <m/>
    <m/>
    <x v="5"/>
    <m/>
    <m/>
    <m/>
    <x v="6"/>
    <m/>
    <s v=""/>
    <m/>
  </r>
  <r>
    <d v="2026-09-02T00:00:00"/>
    <s v="Bashab"/>
    <s v="Bangalore"/>
    <x v="479"/>
    <s v="F2F"/>
    <s v="Corporate"/>
    <x v="5"/>
    <s v="Pop Up Counter"/>
    <s v="New"/>
    <s v="It"/>
    <s v="Nehal"/>
    <m/>
    <s v="Business Closed"/>
    <s v="Closed(C4)"/>
    <m/>
    <m/>
    <m/>
    <m/>
    <s v="Hot"/>
    <n v="15000"/>
    <n v="62137"/>
    <d v="2026-09-02T00:00:00"/>
    <s v="00WFTA1000041457"/>
    <x v="7"/>
    <s v="Received at HO"/>
    <m/>
    <m/>
    <x v="6"/>
    <m/>
    <s v=""/>
    <m/>
  </r>
  <r>
    <d v="2026-09-02T00:00:00"/>
    <s v="Vishwanath"/>
    <s v="Bangalore"/>
    <x v="276"/>
    <s v="F2F"/>
    <s v="Aggregator"/>
    <x v="1"/>
    <s v="Pop Up Counter"/>
    <s v="New"/>
    <s v="It"/>
    <s v="Adhnan"/>
    <m/>
    <s v="Business Closed"/>
    <s v="Closed(C4)"/>
    <m/>
    <m/>
    <m/>
    <m/>
    <s v="Hot"/>
    <n v="10000"/>
    <n v="18505"/>
    <d v="2026-09-02T00:00:00"/>
    <m/>
    <x v="12"/>
    <s v="Received at HO"/>
    <m/>
    <m/>
    <x v="6"/>
    <m/>
    <s v=""/>
    <m/>
  </r>
  <r>
    <d v="2026-09-02T00:00:00"/>
    <s v="Vishwanath"/>
    <s v="Bangalore"/>
    <x v="16"/>
    <s v="Call"/>
    <s v="Corporate"/>
    <x v="2"/>
    <s v="Bulk Order"/>
    <s v="Repeat"/>
    <s v="Retail"/>
    <s v="Mohammed"/>
    <m/>
    <s v="Business Closed"/>
    <s v="Closed(C4)"/>
    <m/>
    <m/>
    <s v=""/>
    <s v=""/>
    <s v="Hot"/>
    <n v="25000"/>
    <n v="27958"/>
    <d v="2026-09-02T00:00:00"/>
    <s v="00HSA06000008698"/>
    <x v="3"/>
    <s v="Received at HO"/>
    <m/>
    <m/>
    <x v="6"/>
    <m/>
    <s v=""/>
    <m/>
  </r>
  <r>
    <d v="2026-09-02T00:00:00"/>
    <s v="Sameer"/>
    <s v="Bangalore"/>
    <x v="16"/>
    <s v="Call"/>
    <s v="Corporate"/>
    <x v="2"/>
    <s v="Bulk Order"/>
    <s v="Repeat"/>
    <s v="Retail"/>
    <s v="Mohammed"/>
    <m/>
    <s v="Business follow-up"/>
    <s v="Closed(C4)"/>
    <m/>
    <m/>
    <s v=""/>
    <s v=""/>
    <s v="Hot"/>
    <n v="25000"/>
    <n v="27958"/>
    <d v="2026-09-02T00:00:00"/>
    <s v="00HSA06000008698"/>
    <x v="3"/>
    <s v="Received at HO"/>
    <m/>
    <m/>
    <x v="6"/>
    <m/>
    <s v=""/>
    <m/>
  </r>
  <r>
    <d v="2026-09-03T00:00:00"/>
    <s v="Pradeep"/>
    <s v="Hyderabad"/>
    <x v="480"/>
    <s v="F2F"/>
    <s v="Corporate"/>
    <x v="5"/>
    <s v="Bulk Order"/>
    <s v="New"/>
    <s v="College"/>
    <s v="Rajreddy"/>
    <m/>
    <s v="Proposed for Bulk Order and Biryani Kits for Gifting"/>
    <s v="Follow-up( C1 )"/>
    <d v="2026-09-19T00:00:00"/>
    <s v="Call"/>
    <m/>
    <m/>
    <s v="Warm"/>
    <n v="32000"/>
    <m/>
    <m/>
    <m/>
    <x v="5"/>
    <m/>
    <m/>
    <m/>
    <x v="6"/>
    <m/>
    <s v=""/>
    <m/>
  </r>
  <r>
    <d v="2026-09-03T00:00:00"/>
    <s v="Pradeep"/>
    <s v="Hyderabad"/>
    <x v="481"/>
    <s v="F2F"/>
    <s v="Corporate"/>
    <x v="5"/>
    <s v="Bulk Order"/>
    <s v="New"/>
    <s v="Healthcare"/>
    <s v="Soujanya"/>
    <m/>
    <s v="Discussed on Bulk order Requirement"/>
    <s v="Confirmed( C3 )"/>
    <d v="2026-10-23T00:00:00"/>
    <s v="Call"/>
    <m/>
    <m/>
    <s v="Hot"/>
    <n v="46000"/>
    <m/>
    <m/>
    <m/>
    <x v="5"/>
    <m/>
    <m/>
    <m/>
    <x v="6"/>
    <m/>
    <s v=""/>
    <m/>
  </r>
  <r>
    <d v="2026-09-03T00:00:00"/>
    <s v="Sameer"/>
    <s v="Hyderabad"/>
    <x v="482"/>
    <s v="F2F"/>
    <s v="Corporate"/>
    <x v="5"/>
    <s v="Bulk Order"/>
    <s v="New"/>
    <s v="Healthcare"/>
    <s v="Tanmoy"/>
    <m/>
    <s v="Bulk order "/>
    <s v="Negotitaion( C2 )"/>
    <d v="2026-09-13T00:00:00"/>
    <s v="Call"/>
    <m/>
    <m/>
    <s v="Warm"/>
    <n v="130000"/>
    <m/>
    <m/>
    <m/>
    <x v="5"/>
    <m/>
    <m/>
    <m/>
    <x v="6"/>
    <m/>
    <m/>
    <m/>
  </r>
  <r>
    <d v="2026-09-03T00:00:00"/>
    <s v="Sameer"/>
    <s v="Hyderabad"/>
    <x v="483"/>
    <s v="Call"/>
    <s v="Corporate"/>
    <x v="5"/>
    <s v="Bulk Order"/>
    <s v="New"/>
    <s v="Pharma"/>
    <s v="Sandeep"/>
    <m/>
    <s v="Bulk order "/>
    <s v="Follow-up( C1 )"/>
    <d v="2026-09-24T00:00:00"/>
    <s v="Call"/>
    <m/>
    <m/>
    <s v="Warm"/>
    <n v="200000"/>
    <m/>
    <m/>
    <m/>
    <x v="5"/>
    <m/>
    <m/>
    <m/>
    <x v="6"/>
    <m/>
    <m/>
    <m/>
  </r>
  <r>
    <d v="2026-09-03T00:00:00"/>
    <s v="Pradeep"/>
    <s v="Hyderabad"/>
    <x v="484"/>
    <s v="F2F"/>
    <s v="Corporate"/>
    <x v="5"/>
    <s v="Bulk Order"/>
    <s v="New"/>
    <s v="Education"/>
    <s v="Krishna"/>
    <m/>
    <s v="Proposed for Bulk Order and Biryani Kits for Gifting"/>
    <s v="Follow-up( C1 )"/>
    <d v="2026-09-11T00:00:00"/>
    <s v="F2F"/>
    <m/>
    <m/>
    <s v="Hot"/>
    <n v="50000"/>
    <m/>
    <m/>
    <m/>
    <x v="5"/>
    <m/>
    <m/>
    <m/>
    <x v="6"/>
    <m/>
    <s v=""/>
    <m/>
  </r>
  <r>
    <d v="2026-09-03T00:00:00"/>
    <s v="Pradeep"/>
    <s v="Hyderabad"/>
    <x v="485"/>
    <s v="F2F"/>
    <s v="Corporate"/>
    <x v="5"/>
    <s v="Bulk Order"/>
    <s v="New"/>
    <s v="Manufacturing"/>
    <s v="Madhu"/>
    <m/>
    <s v="Discussed on Bulk order Requirement"/>
    <s v="Negotitaion( C2 )"/>
    <m/>
    <m/>
    <m/>
    <m/>
    <s v="Warm"/>
    <n v="25000"/>
    <m/>
    <m/>
    <m/>
    <x v="5"/>
    <m/>
    <m/>
    <m/>
    <x v="6"/>
    <m/>
    <s v=""/>
    <m/>
  </r>
  <r>
    <d v="2026-09-03T00:00:00"/>
    <s v="Sameer"/>
    <s v="Hyderabad"/>
    <x v="259"/>
    <s v="F2F"/>
    <s v="Corporate"/>
    <x v="5"/>
    <s v="Pop Up Counter"/>
    <s v="New"/>
    <s v="It"/>
    <s v="Sasidevi"/>
    <m/>
    <s v="Pop-Up Bulk Order"/>
    <s v="Confirmed( C3 )"/>
    <d v="2026-09-23T00:00:00"/>
    <s v="Call"/>
    <m/>
    <m/>
    <s v="Hot"/>
    <n v="0"/>
    <m/>
    <m/>
    <m/>
    <x v="5"/>
    <m/>
    <m/>
    <m/>
    <x v="6"/>
    <m/>
    <m/>
    <m/>
  </r>
  <r>
    <d v="2026-09-03T00:00:00"/>
    <s v="Sameer"/>
    <s v="Hyderabad"/>
    <x v="77"/>
    <s v="F2F"/>
    <s v="Corporate"/>
    <x v="5"/>
    <s v="Bulk Order"/>
    <s v="New"/>
    <s v="It"/>
    <s v="Jaipal"/>
    <m/>
    <s v="Bulk order Take away"/>
    <s v="Confirmed( C3 )"/>
    <d v="2026-09-28T00:00:00"/>
    <s v="Call"/>
    <m/>
    <m/>
    <s v="Hot"/>
    <n v="20000"/>
    <m/>
    <d v="2026-10-10T00:00:00"/>
    <m/>
    <x v="5"/>
    <m/>
    <m/>
    <m/>
    <x v="4"/>
    <m/>
    <m/>
    <m/>
  </r>
  <r>
    <d v="2026-09-03T00:00:00"/>
    <s v="Vishwanath"/>
    <s v="Bangalore"/>
    <x v="486"/>
    <s v="F2F"/>
    <s v="Corporate"/>
    <x v="5"/>
    <s v="Bulk Order"/>
    <s v="New"/>
    <s v="It"/>
    <s v="Venkatakrishnan"/>
    <m/>
    <s v="Discussed on Bulk order Requirement"/>
    <s v="Follow-up( C1 )"/>
    <d v="2026-09-21T00:00:00"/>
    <m/>
    <m/>
    <m/>
    <s v="Warm"/>
    <m/>
    <m/>
    <m/>
    <m/>
    <x v="5"/>
    <m/>
    <m/>
    <m/>
    <x v="6"/>
    <m/>
    <s v=""/>
    <m/>
  </r>
  <r>
    <d v="2026-09-04T00:00:00"/>
    <s v="Pradeep"/>
    <s v="Hyderabad"/>
    <x v="487"/>
    <s v="F2F"/>
    <s v="Corporate"/>
    <x v="5"/>
    <s v="Bulk Order"/>
    <s v="New"/>
    <s v="Healthcare"/>
    <s v="Shiva"/>
    <m/>
    <s v="Proposed for Bulk Order and Biryani Kits for Gifting"/>
    <s v="Cancelled"/>
    <d v="2026-09-13T00:00:00"/>
    <s v="Call"/>
    <m/>
    <m/>
    <s v="Hot"/>
    <n v="60000"/>
    <m/>
    <m/>
    <m/>
    <x v="5"/>
    <m/>
    <m/>
    <m/>
    <x v="6"/>
    <m/>
    <s v=""/>
    <m/>
  </r>
  <r>
    <d v="2026-09-04T00:00:00"/>
    <s v="Pradeep"/>
    <s v="Hyderabad"/>
    <x v="488"/>
    <s v="F2F"/>
    <s v="Corporate"/>
    <x v="5"/>
    <s v="Bulk Order"/>
    <s v="New"/>
    <s v="It"/>
    <s v="Sameer"/>
    <m/>
    <s v="Proposed for Bulk Order and Biryani Kits for Gifting"/>
    <s v="Follow-up( C1 )"/>
    <m/>
    <m/>
    <m/>
    <m/>
    <s v="Hot"/>
    <n v="55000"/>
    <m/>
    <m/>
    <m/>
    <x v="5"/>
    <m/>
    <m/>
    <m/>
    <x v="6"/>
    <m/>
    <s v=""/>
    <m/>
  </r>
  <r>
    <d v="2026-09-04T00:00:00"/>
    <s v="Sameer"/>
    <s v="Hyderabad"/>
    <x v="489"/>
    <s v="F2F"/>
    <s v="Corporate"/>
    <x v="5"/>
    <s v="Bulk Order"/>
    <s v="New"/>
    <s v="Transport"/>
    <s v="Mallikarjuna"/>
    <m/>
    <s v="Bulk order "/>
    <s v="Confirmed( C3 )"/>
    <d v="2026-09-24T00:00:00"/>
    <s v="Call"/>
    <m/>
    <m/>
    <s v="Hot"/>
    <n v="80000"/>
    <m/>
    <d v="2026-10-11T00:00:00"/>
    <m/>
    <x v="5"/>
    <m/>
    <m/>
    <m/>
    <x v="4"/>
    <m/>
    <m/>
    <m/>
  </r>
  <r>
    <d v="2026-09-04T00:00:00"/>
    <s v="Pradeep"/>
    <s v="Hyderabad"/>
    <x v="425"/>
    <s v="F2F"/>
    <s v="Corporate"/>
    <x v="5"/>
    <s v="Bulk Order"/>
    <s v="New"/>
    <s v="Realestate"/>
    <s v="Venkat"/>
    <m/>
    <s v="Discussed on Bulk order Requirement"/>
    <s v="Negotitaion( C2 )"/>
    <d v="2026-09-26T00:00:00"/>
    <s v="Call"/>
    <m/>
    <m/>
    <s v="Warm"/>
    <n v="40000"/>
    <m/>
    <m/>
    <m/>
    <x v="5"/>
    <m/>
    <m/>
    <m/>
    <x v="6"/>
    <m/>
    <s v=""/>
    <m/>
  </r>
  <r>
    <d v="2026-09-04T00:00:00"/>
    <s v="Pradeep"/>
    <s v="Hyderabad"/>
    <x v="490"/>
    <s v="F2F"/>
    <s v="Corporate"/>
    <x v="5"/>
    <s v="Bulk Order"/>
    <s v="New"/>
    <s v="It"/>
    <s v="Swathi"/>
    <m/>
    <s v="Proposed for Bulk Order and Biryani Kits for Gifting"/>
    <s v="Cancelled"/>
    <d v="2026-09-18T00:00:00"/>
    <s v="Call"/>
    <m/>
    <m/>
    <s v="Hot"/>
    <n v="80000"/>
    <m/>
    <m/>
    <m/>
    <x v="5"/>
    <m/>
    <m/>
    <m/>
    <x v="6"/>
    <m/>
    <s v=""/>
    <m/>
  </r>
  <r>
    <d v="2026-09-04T00:00:00"/>
    <s v="Sameer"/>
    <s v="Hyderabad"/>
    <x v="138"/>
    <s v="F2F"/>
    <s v="Corporate"/>
    <x v="5"/>
    <s v="Bulk Order"/>
    <s v="New"/>
    <s v="Education"/>
    <s v="Hyder"/>
    <m/>
    <s v="Awaiting for setup "/>
    <s v="Confirmed( C3 )"/>
    <d v="2026-09-13T00:00:00"/>
    <s v="Call"/>
    <m/>
    <m/>
    <s v="Hot"/>
    <n v="300000"/>
    <m/>
    <d v="2026-10-10T00:00:00"/>
    <m/>
    <x v="5"/>
    <m/>
    <m/>
    <m/>
    <x v="4"/>
    <m/>
    <m/>
    <m/>
  </r>
  <r>
    <d v="2026-09-04T00:00:00"/>
    <s v="Sameer"/>
    <s v="Hyderabad"/>
    <x v="144"/>
    <s v="F2F"/>
    <s v="Corporate"/>
    <x v="5"/>
    <s v="Bulk Order"/>
    <s v="New"/>
    <s v="Transport"/>
    <s v="Kiran"/>
    <m/>
    <s v="Discussed on Bulk order Requirement"/>
    <s v="Confirmed( C3 )"/>
    <d v="2026-09-24T00:00:00"/>
    <s v="Call"/>
    <m/>
    <m/>
    <s v="Hot"/>
    <n v="0"/>
    <m/>
    <m/>
    <m/>
    <x v="5"/>
    <m/>
    <m/>
    <m/>
    <x v="6"/>
    <m/>
    <m/>
    <m/>
  </r>
  <r>
    <d v="2026-09-04T00:00:00"/>
    <s v="Vishwanath"/>
    <s v="Bangalore"/>
    <x v="491"/>
    <s v="F2F"/>
    <s v="Corporate"/>
    <x v="5"/>
    <s v="Bulk Order"/>
    <s v="New"/>
    <s v="Banking Finance &amp; Insurance"/>
    <s v="Sonika Gowda"/>
    <m/>
    <s v="Discussed on Bulk order Requirement"/>
    <s v="Follow-up( C1 )"/>
    <d v="2026-09-18T00:00:00"/>
    <m/>
    <m/>
    <m/>
    <s v="Warm"/>
    <m/>
    <m/>
    <m/>
    <m/>
    <x v="5"/>
    <m/>
    <m/>
    <m/>
    <x v="6"/>
    <m/>
    <s v=""/>
    <m/>
  </r>
  <r>
    <d v="2026-09-05T00:00:00"/>
    <s v="Pradeep"/>
    <s v="Hyderabad"/>
    <x v="492"/>
    <s v="F2F"/>
    <s v="Bulk Order"/>
    <x v="5"/>
    <s v="Bulk Order"/>
    <s v="New"/>
    <s v="Education"/>
    <s v="Farmaan"/>
    <m/>
    <s v="Bulk order Closed"/>
    <s v="Closed(C4)"/>
    <m/>
    <m/>
    <m/>
    <m/>
    <s v="Hot"/>
    <n v="10000"/>
    <n v="3455"/>
    <d v="2026-09-05T00:00:00"/>
    <s v="00HTA05000011819"/>
    <x v="22"/>
    <s v="Received at Store"/>
    <m/>
    <d v="2026-09-04T00:00:00"/>
    <x v="6"/>
    <m/>
    <s v=""/>
    <s v="Takeaway-Bulk-Insti"/>
  </r>
  <r>
    <d v="2026-09-05T00:00:00"/>
    <s v="Sameer"/>
    <s v="Hyderabad"/>
    <x v="333"/>
    <s v="F2F"/>
    <s v="Aggregator"/>
    <x v="0"/>
    <s v="Bulk Order"/>
    <s v="New"/>
    <s v="It"/>
    <s v="Manganu"/>
    <m/>
    <s v="Bulk delivery and serving on 5th sept from BHEL"/>
    <s v="Closed(C4)"/>
    <m/>
    <m/>
    <m/>
    <m/>
    <s v="Hot"/>
    <n v="40000"/>
    <n v="50400"/>
    <d v="2026-09-05T00:00:00"/>
    <m/>
    <x v="1"/>
    <s v="Received at HO"/>
    <m/>
    <m/>
    <x v="6"/>
    <m/>
    <s v=""/>
    <m/>
  </r>
  <r>
    <d v="2026-09-05T00:00:00"/>
    <s v="Sameer"/>
    <s v="Hyderabad"/>
    <x v="493"/>
    <s v="Call"/>
    <s v="Bulk Order"/>
    <x v="5"/>
    <s v="Bulk Order"/>
    <s v="New"/>
    <s v="Education"/>
    <s v="Arun"/>
    <m/>
    <s v="Bulk order Delivery"/>
    <s v="Follow-up( C1 )"/>
    <d v="2026-09-28T00:00:00"/>
    <s v="Call"/>
    <m/>
    <m/>
    <s v="Hot"/>
    <n v="80000"/>
    <m/>
    <m/>
    <m/>
    <x v="5"/>
    <m/>
    <m/>
    <m/>
    <x v="6"/>
    <m/>
    <m/>
    <m/>
  </r>
  <r>
    <d v="2026-09-07T00:00:00"/>
    <s v="Pradeep"/>
    <s v="Hyderabad"/>
    <x v="494"/>
    <s v="F2F"/>
    <s v="Aggregator"/>
    <x v="6"/>
    <s v="Pop Up Counter"/>
    <s v="New"/>
    <s v="Exhibition"/>
    <s v="Devendra"/>
    <m/>
    <s v="Pop-Up Bulk Order"/>
    <s v="Closed(C4)"/>
    <m/>
    <m/>
    <m/>
    <m/>
    <s v="Hot"/>
    <n v="300000"/>
    <n v="64310"/>
    <m/>
    <s v="00MTTA1000034110"/>
    <x v="18"/>
    <s v="Received at HO"/>
    <m/>
    <m/>
    <x v="6"/>
    <m/>
    <s v=""/>
    <m/>
  </r>
  <r>
    <d v="2026-09-07T00:00:00"/>
    <s v="Pradeep"/>
    <s v="Hyderabad"/>
    <x v="204"/>
    <s v="F2F"/>
    <s v="Corporate"/>
    <x v="5"/>
    <s v="Bulk Order"/>
    <s v="New"/>
    <s v="Exhibition"/>
    <s v="VenuGopal"/>
    <m/>
    <s v="Pop-Up Bulk Order"/>
    <s v="Closed(C4)"/>
    <m/>
    <m/>
    <m/>
    <m/>
    <s v="Hot"/>
    <n v="50000"/>
    <n v="13830"/>
    <m/>
    <s v="00MTTA1000069177"/>
    <x v="18"/>
    <m/>
    <m/>
    <m/>
    <x v="7"/>
    <m/>
    <m/>
    <m/>
  </r>
  <r>
    <d v="2026-09-07T00:00:00"/>
    <s v="Sameer"/>
    <s v="Hyderabad"/>
    <x v="495"/>
    <s v="F2F"/>
    <s v="Bulk Order"/>
    <x v="5"/>
    <s v="Bulk Order"/>
    <s v="New"/>
    <s v="Manufacturing"/>
    <s v="Bharat"/>
    <m/>
    <s v="Bulk order for coupons"/>
    <s v="Follow-up( C1 )"/>
    <d v="2026-09-29T00:00:00"/>
    <s v="Call"/>
    <m/>
    <m/>
    <s v="Hot"/>
    <n v="1500000"/>
    <m/>
    <m/>
    <m/>
    <x v="5"/>
    <m/>
    <m/>
    <m/>
    <x v="6"/>
    <m/>
    <s v=""/>
    <m/>
  </r>
  <r>
    <d v="2026-09-07T00:00:00"/>
    <s v="Sameer"/>
    <s v="Hyderabad"/>
    <x v="496"/>
    <s v="F2F"/>
    <s v="Bulk Order"/>
    <x v="5"/>
    <s v="Bulk Order"/>
    <s v="New"/>
    <s v="Healthcare"/>
    <s v="Rupesh"/>
    <m/>
    <s v="Discussed on Bulk order Requirement"/>
    <s v="Negotitaion( C2 )"/>
    <d v="2026-09-25T00:00:00"/>
    <s v="Call"/>
    <m/>
    <m/>
    <s v="Warm"/>
    <n v="85000"/>
    <m/>
    <m/>
    <m/>
    <x v="5"/>
    <m/>
    <m/>
    <m/>
    <x v="6"/>
    <m/>
    <s v=""/>
    <m/>
  </r>
  <r>
    <d v="2026-09-07T00:00:00"/>
    <s v="Sameer"/>
    <s v="Hyderabad"/>
    <x v="497"/>
    <s v="F2F"/>
    <s v="Corporate"/>
    <x v="5"/>
    <s v="Bulk Order"/>
    <s v="New"/>
    <s v="Banking Finance &amp; Insurance"/>
    <s v="Nilesh"/>
    <m/>
    <s v="Discussed on Bulk order Requirement"/>
    <s v="Negotitaion( C2 )"/>
    <d v="2026-09-24T00:00:00"/>
    <s v="Call"/>
    <m/>
    <m/>
    <s v="Hot"/>
    <n v="65000"/>
    <m/>
    <m/>
    <m/>
    <x v="5"/>
    <m/>
    <m/>
    <m/>
    <x v="6"/>
    <m/>
    <s v=""/>
    <m/>
  </r>
  <r>
    <d v="2026-09-07T00:00:00"/>
    <s v="Sameer"/>
    <s v="Hyderabad"/>
    <x v="483"/>
    <s v="F2F"/>
    <s v="Corporate"/>
    <x v="5"/>
    <s v="Bulk Order"/>
    <s v="New"/>
    <s v="Pharma"/>
    <s v="Sandeep"/>
    <m/>
    <s v="Bulk order Requirement"/>
    <s v="Confirmed( C3 )"/>
    <d v="2026-09-18T00:00:00"/>
    <s v="Call"/>
    <m/>
    <m/>
    <s v="Hot"/>
    <n v="0"/>
    <m/>
    <m/>
    <m/>
    <x v="5"/>
    <m/>
    <m/>
    <m/>
    <x v="6"/>
    <m/>
    <s v=""/>
    <m/>
  </r>
  <r>
    <d v="2026-09-07T00:00:00"/>
    <s v="Vishwanath"/>
    <s v="Bangalore"/>
    <x v="498"/>
    <s v="F2F"/>
    <s v="Aggregator"/>
    <x v="6"/>
    <s v="Pop Up Counter"/>
    <s v="New"/>
    <s v="Exhibition"/>
    <s v="Devendra"/>
    <m/>
    <s v="Bulk order Delivery"/>
    <s v="Closed(C4)"/>
    <m/>
    <m/>
    <m/>
    <m/>
    <s v="Hot"/>
    <n v="100000"/>
    <n v="103820"/>
    <m/>
    <s v="00JNTA1000018031"/>
    <x v="8"/>
    <s v="Received at HO"/>
    <m/>
    <m/>
    <x v="6"/>
    <m/>
    <s v=""/>
    <m/>
  </r>
  <r>
    <d v="2026-09-07T00:00:00"/>
    <s v="Bashab"/>
    <s v="Bangalore"/>
    <x v="499"/>
    <s v="F2F"/>
    <s v="Corporate"/>
    <x v="5"/>
    <s v="Bulk Order"/>
    <s v="New"/>
    <s v="It"/>
    <s v="Sanjay"/>
    <m/>
    <s v="Bulk order Delivery"/>
    <s v="Closed(C4)"/>
    <m/>
    <m/>
    <m/>
    <m/>
    <s v="Hot"/>
    <n v="46000"/>
    <n v="46000"/>
    <m/>
    <s v="00JNTA1000018029_x000a_00JNTA1000018030"/>
    <x v="8"/>
    <s v="Received at HO"/>
    <m/>
    <m/>
    <x v="6"/>
    <m/>
    <s v=""/>
    <m/>
  </r>
  <r>
    <d v="2026-09-07T00:00:00"/>
    <s v="Pradeep"/>
    <s v="Hyderabad"/>
    <x v="500"/>
    <s v="F2F"/>
    <s v="Corporate"/>
    <x v="5"/>
    <s v="Bulk Order"/>
    <s v="New"/>
    <s v="Manufacturing"/>
    <s v="Sharma"/>
    <m/>
    <s v="Proposed for Bulk Order and Biryani Kits for Gifting"/>
    <s v="Negotitaion( C2 )"/>
    <d v="2026-09-17T00:00:00"/>
    <m/>
    <m/>
    <m/>
    <s v="Warm"/>
    <n v="25000"/>
    <m/>
    <m/>
    <m/>
    <x v="5"/>
    <m/>
    <m/>
    <m/>
    <x v="6"/>
    <m/>
    <s v=""/>
    <m/>
  </r>
  <r>
    <d v="2026-09-07T00:00:00"/>
    <s v="Pradeep"/>
    <s v="Hyderabad"/>
    <x v="501"/>
    <s v="F2F"/>
    <s v="Corporate"/>
    <x v="5"/>
    <s v="Bulk Order"/>
    <s v="New"/>
    <s v="It"/>
    <s v="Anitha"/>
    <m/>
    <s v="Discussed on Bulk order Requirement"/>
    <s v="Follow-up( C1 )"/>
    <m/>
    <m/>
    <m/>
    <m/>
    <s v="Cold"/>
    <n v="30000"/>
    <m/>
    <m/>
    <m/>
    <x v="5"/>
    <m/>
    <m/>
    <m/>
    <x v="6"/>
    <m/>
    <s v=""/>
    <m/>
  </r>
  <r>
    <d v="2026-09-07T00:00:00"/>
    <s v="Pradeep"/>
    <s v="Hyderabad"/>
    <x v="502"/>
    <s v="F2F"/>
    <s v="Corporate"/>
    <x v="5"/>
    <s v="Bulk Order"/>
    <s v="New"/>
    <s v="It"/>
    <s v="Praveen"/>
    <m/>
    <s v="Proposed for Bulk Order and Biryani Kits for Gifting"/>
    <s v="Negotitaion( C2 )"/>
    <d v="2026-09-26T00:00:00"/>
    <m/>
    <m/>
    <m/>
    <s v="Warm"/>
    <n v="42000"/>
    <m/>
    <m/>
    <m/>
    <x v="5"/>
    <m/>
    <m/>
    <m/>
    <x v="6"/>
    <m/>
    <s v=""/>
    <m/>
  </r>
  <r>
    <d v="2026-09-07T00:00:00"/>
    <s v="Vishwanath"/>
    <s v="Bangalore"/>
    <x v="503"/>
    <s v="F2F"/>
    <s v="Bulk Order"/>
    <x v="5"/>
    <s v="Bulk Order"/>
    <s v="New"/>
    <s v="Healthcare"/>
    <s v="Naresh"/>
    <m/>
    <s v="Discussed on bulk order"/>
    <s v="Introduction( C0 )"/>
    <m/>
    <m/>
    <m/>
    <m/>
    <s v="Warm"/>
    <m/>
    <m/>
    <m/>
    <m/>
    <x v="5"/>
    <m/>
    <m/>
    <m/>
    <x v="6"/>
    <m/>
    <s v=""/>
    <m/>
  </r>
  <r>
    <d v="2026-09-07T00:00:00"/>
    <s v="Vishwanath"/>
    <s v="Bangalore"/>
    <x v="504"/>
    <s v="F2F"/>
    <s v="Corporate"/>
    <x v="5"/>
    <s v="Bulk Order"/>
    <s v="New"/>
    <s v="It"/>
    <s v="Ganesh Hegde"/>
    <m/>
    <s v="Discussed on bulk order"/>
    <s v="Introduction( C0 )"/>
    <m/>
    <m/>
    <m/>
    <m/>
    <s v="Warm"/>
    <m/>
    <m/>
    <m/>
    <m/>
    <x v="5"/>
    <m/>
    <m/>
    <m/>
    <x v="6"/>
    <m/>
    <s v=""/>
    <m/>
  </r>
  <r>
    <d v="2026-09-08T00:00:00"/>
    <s v="Pradeep"/>
    <s v="Hyderabad"/>
    <x v="505"/>
    <s v="F2F"/>
    <s v="Corporate"/>
    <x v="5"/>
    <s v="Bulk Order"/>
    <s v="New"/>
    <s v="It"/>
    <s v="Pramod"/>
    <m/>
    <s v="Bulk order Closed"/>
    <s v="Closed(C4)"/>
    <m/>
    <m/>
    <m/>
    <m/>
    <s v="Hot"/>
    <n v="10000"/>
    <n v="3600"/>
    <d v="2026-09-08T00:00:00"/>
    <s v="00HTA05000011930"/>
    <x v="22"/>
    <s v="Received at Store"/>
    <m/>
    <d v="2026-09-08T00:00:00"/>
    <x v="6"/>
    <m/>
    <s v=""/>
    <s v="Takeaway-Bulk-Insti"/>
  </r>
  <r>
    <d v="2026-09-08T00:00:00"/>
    <s v="Pradeep"/>
    <s v="Hyderabad"/>
    <x v="61"/>
    <s v="F2F"/>
    <s v="Corporate"/>
    <x v="5"/>
    <s v="Bulk Order"/>
    <s v="New"/>
    <m/>
    <s v="Vinay"/>
    <m/>
    <s v="Bulk order Closed"/>
    <s v="Closed(C4)"/>
    <m/>
    <m/>
    <m/>
    <m/>
    <s v="Hot"/>
    <n v="20000"/>
    <n v="11130"/>
    <d v="2026-09-09T00:00:00"/>
    <s v="00PNTA1000070652"/>
    <x v="34"/>
    <s v="Received at Store"/>
    <m/>
    <d v="2026-09-09T00:00:00"/>
    <x v="6"/>
    <m/>
    <s v=""/>
    <s v="Takeaway-Bulk-Insti"/>
  </r>
  <r>
    <d v="2026-09-08T00:00:00"/>
    <s v="Pradeep"/>
    <s v="Hyderabad"/>
    <x v="506"/>
    <s v="F2F"/>
    <s v="Corporate"/>
    <x v="5"/>
    <s v="Bulk Order"/>
    <s v="New"/>
    <s v="Healthcare"/>
    <s v="Akhila"/>
    <m/>
    <s v="Discussed on Bulk order Requirement"/>
    <s v="Cancelled"/>
    <d v="2026-09-26T00:00:00"/>
    <s v="Call"/>
    <m/>
    <m/>
    <s v="Hot"/>
    <n v="85000"/>
    <m/>
    <m/>
    <m/>
    <x v="5"/>
    <m/>
    <m/>
    <m/>
    <x v="6"/>
    <m/>
    <m/>
    <m/>
  </r>
  <r>
    <d v="2026-09-08T00:00:00"/>
    <s v="Pradeep"/>
    <s v="Hyderabad"/>
    <x v="507"/>
    <s v="F2F"/>
    <s v="Corporate"/>
    <x v="5"/>
    <s v="Bulk Order"/>
    <s v="New"/>
    <s v="Education"/>
    <s v="Surender"/>
    <m/>
    <s v="Discussed on Bulk order Requirement"/>
    <s v="Negotitaion( C2 )"/>
    <d v="2026-10-02T00:00:00"/>
    <s v="F2F"/>
    <m/>
    <m/>
    <s v="Warm"/>
    <n v="100000"/>
    <m/>
    <m/>
    <m/>
    <x v="5"/>
    <m/>
    <m/>
    <m/>
    <x v="6"/>
    <m/>
    <m/>
    <m/>
  </r>
  <r>
    <d v="2026-09-08T00:00:00"/>
    <s v="Sameer"/>
    <s v="Hyderabad"/>
    <x v="508"/>
    <s v="F2F"/>
    <s v="Corporate"/>
    <x v="0"/>
    <s v="Bulk Order"/>
    <s v="New"/>
    <s v="F&amp;B Aggregator"/>
    <s v="Sathya"/>
    <m/>
    <s v="Delivery of CB on 18th September"/>
    <s v="Negotitaion( C2 )"/>
    <d v="2026-09-16T00:00:00"/>
    <m/>
    <m/>
    <m/>
    <s v="Hot"/>
    <n v="612000"/>
    <m/>
    <m/>
    <m/>
    <x v="5"/>
    <m/>
    <m/>
    <m/>
    <x v="6"/>
    <m/>
    <m/>
    <m/>
  </r>
  <r>
    <d v="2026-09-08T00:00:00"/>
    <s v="Bashab"/>
    <s v="Bangalore"/>
    <x v="41"/>
    <s v="F2F"/>
    <s v="Aggregator"/>
    <x v="1"/>
    <s v="Pop Up Counter"/>
    <s v="New"/>
    <s v="It"/>
    <s v="Goutham"/>
    <m/>
    <s v="Business Closed"/>
    <s v="Closed(C4)"/>
    <m/>
    <m/>
    <m/>
    <m/>
    <s v="Hot"/>
    <n v="10000"/>
    <n v="7670"/>
    <d v="2026-09-08T00:00:00"/>
    <s v="00KVTA1000028545"/>
    <x v="12"/>
    <s v="Received at HO"/>
    <m/>
    <m/>
    <x v="6"/>
    <m/>
    <s v=""/>
    <m/>
  </r>
  <r>
    <d v="2026-09-08T00:00:00"/>
    <s v="Vishwanath"/>
    <s v="Bangalore"/>
    <x v="509"/>
    <s v="F2F"/>
    <s v="Corporate"/>
    <x v="5"/>
    <s v="Bulk Order"/>
    <s v="New"/>
    <s v="Manufacturing"/>
    <s v="K. Shiva Kumar"/>
    <m/>
    <s v="Discussed on bulk order"/>
    <s v="Introduction( C0 )"/>
    <m/>
    <m/>
    <m/>
    <m/>
    <s v="Warm"/>
    <m/>
    <m/>
    <m/>
    <m/>
    <x v="5"/>
    <m/>
    <m/>
    <m/>
    <x v="6"/>
    <m/>
    <s v=""/>
    <m/>
  </r>
  <r>
    <d v="2026-09-08T00:00:00"/>
    <s v="Vishwanath"/>
    <s v="Bangalore"/>
    <x v="510"/>
    <s v="F2F"/>
    <s v="Corporate"/>
    <x v="5"/>
    <s v="Bulk Order"/>
    <s v="New"/>
    <s v="It"/>
    <s v="PremKumar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09T00:00:00"/>
    <s v="Sameer"/>
    <s v="Hyderabad"/>
    <x v="156"/>
    <s v="F2F"/>
    <s v="Aggregator"/>
    <x v="2"/>
    <s v="Bulk Order"/>
    <s v="New"/>
    <s v="F&amp;B Aggregator"/>
    <s v="Srinivas"/>
    <m/>
    <s v="Business Closed"/>
    <s v="Closed(C4)"/>
    <m/>
    <m/>
    <m/>
    <s v=""/>
    <s v="Hot"/>
    <n v="100000"/>
    <n v="126000"/>
    <d v="2026-09-09T00:00:00"/>
    <s v="CIFSPL070909"/>
    <x v="17"/>
    <s v="Received at HO"/>
    <m/>
    <m/>
    <x v="6"/>
    <m/>
    <s v=""/>
    <m/>
  </r>
  <r>
    <d v="2026-09-09T00:00:00"/>
    <s v="Bashab"/>
    <s v="Hyderabad"/>
    <x v="156"/>
    <s v="Call"/>
    <s v="Aggregator"/>
    <x v="2"/>
    <s v="Bulk Order"/>
    <s v="New"/>
    <s v="F&amp;B Aggregator"/>
    <s v="Srinivas"/>
    <m/>
    <s v="Business Closed"/>
    <s v="Closed(C4)"/>
    <m/>
    <m/>
    <m/>
    <s v=""/>
    <s v="Hot"/>
    <n v="100000"/>
    <n v="126000"/>
    <d v="2026-09-09T00:00:00"/>
    <s v="CIFSPL070909"/>
    <x v="17"/>
    <s v="Received at HO"/>
    <m/>
    <m/>
    <x v="6"/>
    <m/>
    <s v=""/>
    <m/>
  </r>
  <r>
    <d v="2026-09-09T00:00:00"/>
    <s v="Sameer"/>
    <s v="Hyderabad"/>
    <x v="511"/>
    <s v="F2F"/>
    <s v="ODC"/>
    <x v="5"/>
    <s v="Pop Up Counter"/>
    <s v="New"/>
    <s v="College"/>
    <s v="Dinesh"/>
    <m/>
    <s v="Proposed popup counter"/>
    <s v="Negotitaion( C2 )"/>
    <d v="2026-10-02T00:00:00"/>
    <m/>
    <m/>
    <m/>
    <s v="Hot"/>
    <n v="600000"/>
    <m/>
    <d v="2026-10-10T00:00:00"/>
    <m/>
    <x v="26"/>
    <m/>
    <m/>
    <m/>
    <x v="4"/>
    <m/>
    <s v=""/>
    <m/>
  </r>
  <r>
    <d v="2026-09-09T00:00:00"/>
    <s v="Pradeep"/>
    <s v="Hyderabad"/>
    <x v="512"/>
    <s v="F2F"/>
    <s v="Bulk Order"/>
    <x v="5"/>
    <s v="Bulk Order"/>
    <s v="New"/>
    <s v="Healthcare"/>
    <s v="Sanjay"/>
    <m/>
    <s v="Discussed on Bulk order Requirement"/>
    <s v="Introduction( C0 )"/>
    <d v="2026-09-18T00:00:00"/>
    <s v="Call"/>
    <m/>
    <m/>
    <s v="Warm"/>
    <n v="30000"/>
    <m/>
    <m/>
    <m/>
    <x v="5"/>
    <m/>
    <m/>
    <m/>
    <x v="6"/>
    <m/>
    <s v=""/>
    <m/>
  </r>
  <r>
    <d v="2026-09-09T00:00:00"/>
    <s v="Pradeep"/>
    <s v="Hyderabad"/>
    <x v="513"/>
    <s v="F2F"/>
    <s v="Corporate"/>
    <x v="5"/>
    <s v="Bulk Order"/>
    <s v="New"/>
    <s v="It"/>
    <s v="Swathi"/>
    <m/>
    <s v="Proposed for Bulk Order and Biryani Kits for Gifting"/>
    <s v="Follow-up( C1 )"/>
    <d v="2026-09-18T00:00:00"/>
    <s v="F2F"/>
    <m/>
    <m/>
    <s v="Warm"/>
    <n v="70000"/>
    <m/>
    <m/>
    <m/>
    <x v="5"/>
    <m/>
    <m/>
    <m/>
    <x v="6"/>
    <m/>
    <s v=""/>
    <m/>
  </r>
  <r>
    <d v="2026-09-09T00:00:00"/>
    <s v="Pradeep"/>
    <s v="Hyderabad"/>
    <x v="514"/>
    <s v="F2F"/>
    <s v="Bulk Order"/>
    <x v="5"/>
    <s v="Bulk Order"/>
    <s v="New"/>
    <s v="Healthcare"/>
    <s v="Gandgadher"/>
    <m/>
    <s v="Discussed on Bulk order Requirement"/>
    <s v="Negotitaion( C2 )"/>
    <d v="2026-09-23T00:00:00"/>
    <s v="Call"/>
    <m/>
    <m/>
    <s v="Warm"/>
    <n v="40000"/>
    <m/>
    <m/>
    <m/>
    <x v="5"/>
    <m/>
    <m/>
    <m/>
    <x v="6"/>
    <m/>
    <s v=""/>
    <m/>
  </r>
  <r>
    <d v="2026-09-09T00:00:00"/>
    <s v="Pradeep"/>
    <s v="Hyderabad"/>
    <x v="515"/>
    <s v="F2F"/>
    <s v="Bulk Order"/>
    <x v="5"/>
    <s v="Bulk Order"/>
    <s v="New"/>
    <s v="Education"/>
    <s v="Sujatha"/>
    <m/>
    <s v="Discussed on Bulk order Requirement"/>
    <s v="Follow-up( C1 )"/>
    <d v="2026-09-20T00:00:00"/>
    <s v="Call"/>
    <m/>
    <m/>
    <s v="Warm"/>
    <n v="35000"/>
    <m/>
    <m/>
    <m/>
    <x v="5"/>
    <m/>
    <m/>
    <m/>
    <x v="6"/>
    <m/>
    <s v=""/>
    <m/>
  </r>
  <r>
    <d v="2026-09-09T00:00:00"/>
    <s v="Bashab"/>
    <s v="Bangalore"/>
    <x v="516"/>
    <s v="F2F"/>
    <s v="Corporate"/>
    <x v="5"/>
    <s v="Bulk Order"/>
    <s v="New"/>
    <s v="It"/>
    <s v="Hema"/>
    <m/>
    <s v="Business Closed"/>
    <s v="Closed(C4)"/>
    <m/>
    <m/>
    <m/>
    <m/>
    <s v="Hot"/>
    <n v="20000"/>
    <n v="22733"/>
    <d v="2026-09-09T00:00:00"/>
    <s v="00PMTA1000C05259"/>
    <x v="21"/>
    <s v="Received at Store"/>
    <m/>
    <m/>
    <x v="6"/>
    <m/>
    <s v=""/>
    <m/>
  </r>
  <r>
    <d v="2026-09-09T00:00:00"/>
    <s v="Bashab"/>
    <s v="Bangalore"/>
    <x v="37"/>
    <s v="F2F"/>
    <s v="Aggregator"/>
    <x v="1"/>
    <s v="Pop Up Counter"/>
    <s v="New"/>
    <s v="It"/>
    <s v="Goutham"/>
    <m/>
    <s v="Business Closed"/>
    <s v="Closed(C4)"/>
    <m/>
    <m/>
    <m/>
    <m/>
    <s v="Hot"/>
    <n v="10000"/>
    <n v="8695"/>
    <d v="2026-09-09T00:00:00"/>
    <s v="00KVTA1000028545"/>
    <x v="12"/>
    <s v="Received at HO"/>
    <m/>
    <m/>
    <x v="6"/>
    <m/>
    <s v=""/>
    <m/>
  </r>
  <r>
    <d v="2026-09-09T00:00:00"/>
    <s v="Bashab"/>
    <s v="Bangalore"/>
    <x v="517"/>
    <s v="F2F"/>
    <s v="Corporate"/>
    <x v="5"/>
    <s v="Pop Up Counter"/>
    <s v="New"/>
    <s v="It"/>
    <s v="Saurabh"/>
    <m/>
    <s v="Business Closed"/>
    <s v="Closed(C4)"/>
    <m/>
    <m/>
    <m/>
    <m/>
    <s v="Hot"/>
    <n v="10000"/>
    <n v="27748"/>
    <d v="2026-09-09T00:00:00"/>
    <s v="00JNTA1000018086"/>
    <x v="8"/>
    <s v="Received at HO"/>
    <m/>
    <m/>
    <x v="6"/>
    <m/>
    <s v=""/>
    <m/>
  </r>
  <r>
    <d v="2026-09-09T00:00:00"/>
    <s v="Vishwanath"/>
    <s v="Bangalore"/>
    <x v="518"/>
    <s v="F2F"/>
    <s v="Corporate"/>
    <x v="5"/>
    <s v="Bulk Order"/>
    <s v="New"/>
    <s v="Manufacturing"/>
    <s v="Sujini B.H.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09T00:00:00"/>
    <s v="Vishwanath"/>
    <s v="Bangalore"/>
    <x v="519"/>
    <s v="F2F"/>
    <s v="Corporate"/>
    <x v="5"/>
    <s v="Bulk Order"/>
    <s v="New"/>
    <s v="Manufacturing"/>
    <s v="B.G.Deshmukh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09T00:00:00"/>
    <s v="Vishwanath"/>
    <s v="Bangalore"/>
    <x v="16"/>
    <s v="Call"/>
    <s v="Corporate"/>
    <x v="2"/>
    <s v="Bulk Order"/>
    <s v="Repeat"/>
    <s v="Retail"/>
    <s v="Mohammed"/>
    <m/>
    <s v="Business Closed"/>
    <s v="Closed(C4)"/>
    <m/>
    <m/>
    <s v=""/>
    <s v=""/>
    <s v="Hot"/>
    <n v="25000"/>
    <n v="24979"/>
    <d v="2026-09-09T00:00:00"/>
    <s v="00HSA06000008720"/>
    <x v="3"/>
    <s v="Received at HO"/>
    <m/>
    <m/>
    <x v="6"/>
    <m/>
    <s v=""/>
    <m/>
  </r>
  <r>
    <d v="2026-09-09T00:00:00"/>
    <s v="Sameer"/>
    <s v="Bangalore"/>
    <x v="16"/>
    <s v="Call"/>
    <s v="Corporate"/>
    <x v="2"/>
    <s v="Bulk Order"/>
    <s v="Repeat"/>
    <s v="Retail"/>
    <s v="Mohammed"/>
    <m/>
    <s v="Business follow-up"/>
    <s v="Closed(C4)"/>
    <m/>
    <m/>
    <s v=""/>
    <s v=""/>
    <s v="Hot"/>
    <n v="25000"/>
    <n v="24978"/>
    <d v="2026-09-09T00:00:00"/>
    <s v="00HSA06000008720"/>
    <x v="3"/>
    <s v="Received at HO"/>
    <m/>
    <m/>
    <x v="6"/>
    <m/>
    <s v=""/>
    <m/>
  </r>
  <r>
    <d v="2026-09-10T00:00:00"/>
    <s v="Pradeep"/>
    <s v="Hyderabad"/>
    <x v="520"/>
    <s v="F2F"/>
    <s v="Bulk Order"/>
    <x v="5"/>
    <s v="Bulk Order"/>
    <s v="New"/>
    <s v="Education"/>
    <s v="Sharath kumar"/>
    <m/>
    <s v="Proposed for Bulk Order and Biryani Kits for Gifting"/>
    <s v="Negotitaion( C2 )"/>
    <m/>
    <m/>
    <m/>
    <m/>
    <s v="Cold"/>
    <n v="30000"/>
    <m/>
    <m/>
    <m/>
    <x v="5"/>
    <m/>
    <m/>
    <m/>
    <x v="6"/>
    <m/>
    <s v=""/>
    <m/>
  </r>
  <r>
    <d v="2026-09-10T00:00:00"/>
    <s v="Pradeep"/>
    <s v="Hyderabad"/>
    <x v="521"/>
    <s v="F2F"/>
    <s v="Bulk Order"/>
    <x v="5"/>
    <s v="Bulk Order"/>
    <s v="New"/>
    <s v="Realestate"/>
    <s v="Venklat Ramana"/>
    <m/>
    <s v="Proposed for Bulk Order and Biryani Kits for Gifting"/>
    <s v="Introduction( C0 )"/>
    <d v="2026-09-19T00:00:00"/>
    <s v="Call"/>
    <m/>
    <m/>
    <s v="Warm"/>
    <n v="40000"/>
    <m/>
    <m/>
    <m/>
    <x v="5"/>
    <m/>
    <m/>
    <m/>
    <x v="6"/>
    <m/>
    <s v=""/>
    <m/>
  </r>
  <r>
    <d v="2026-09-10T00:00:00"/>
    <s v="Pradeep"/>
    <s v="Hyderabad"/>
    <x v="522"/>
    <s v="F2F"/>
    <s v="Corporate"/>
    <x v="5"/>
    <s v="Bulk Order"/>
    <s v="New"/>
    <s v="It"/>
    <s v="Kiranmai"/>
    <m/>
    <s v="Discussed on Bulk order Requirement"/>
    <s v="Cancelled"/>
    <m/>
    <m/>
    <m/>
    <m/>
    <s v="Hot"/>
    <n v="65000"/>
    <m/>
    <m/>
    <m/>
    <x v="5"/>
    <m/>
    <m/>
    <m/>
    <x v="6"/>
    <m/>
    <s v=""/>
    <m/>
  </r>
  <r>
    <d v="2026-09-10T00:00:00"/>
    <s v="Pradeep"/>
    <s v="Hyderabad"/>
    <x v="523"/>
    <s v="F2F"/>
    <s v="Corporate"/>
    <x v="5"/>
    <s v="Bulk Order"/>
    <s v="New"/>
    <s v="It"/>
    <s v="Vijay"/>
    <m/>
    <s v="Proposed for Bulk Order and Biryani Kits for Gifting"/>
    <s v="Cancelled"/>
    <d v="2026-09-26T00:00:00"/>
    <s v="Call"/>
    <m/>
    <m/>
    <s v="Hot"/>
    <n v="90000"/>
    <m/>
    <m/>
    <m/>
    <x v="5"/>
    <m/>
    <m/>
    <m/>
    <x v="6"/>
    <m/>
    <s v=""/>
    <m/>
  </r>
  <r>
    <d v="2026-09-10T00:00:00"/>
    <s v="Vishwanath"/>
    <s v="Bangalore"/>
    <x v="524"/>
    <s v="F2F"/>
    <s v="Corporate"/>
    <x v="5"/>
    <s v="Bulk Order"/>
    <s v="New"/>
    <s v="Manufacturing"/>
    <s v="Flavy Smrithi Shankar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10T00:00:00"/>
    <s v="Vishwanath"/>
    <s v="Bangalore"/>
    <x v="525"/>
    <s v="F2F"/>
    <s v="Corporate"/>
    <x v="5"/>
    <s v="Bulk Order"/>
    <s v="New"/>
    <s v="Healthcare"/>
    <s v="Bharath Reddy.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11T00:00:00"/>
    <s v="Pradeep"/>
    <s v="Hyderabad"/>
    <x v="526"/>
    <s v="F2F"/>
    <s v="Corporate"/>
    <x v="5"/>
    <s v="Bulk Order"/>
    <s v="New"/>
    <s v="It"/>
    <s v="Shravan Kumar"/>
    <m/>
    <s v="Proposed for Bulk Order and Biryani Kits for Gifting"/>
    <s v="Follow-up( C1 )"/>
    <d v="2026-09-27T00:00:00"/>
    <s v="Call"/>
    <m/>
    <m/>
    <s v="Warm"/>
    <n v="60000"/>
    <m/>
    <m/>
    <m/>
    <x v="5"/>
    <m/>
    <m/>
    <m/>
    <x v="6"/>
    <m/>
    <s v=""/>
    <m/>
  </r>
  <r>
    <d v="2026-09-11T00:00:00"/>
    <s v="Pradeep"/>
    <s v="Hyderabad"/>
    <x v="527"/>
    <s v="F2F"/>
    <s v="Corporate"/>
    <x v="5"/>
    <s v="Bulk Order"/>
    <s v="New"/>
    <s v="Education"/>
    <s v="Shashidar reddy"/>
    <m/>
    <s v="Discussed on Bulk order Requirement"/>
    <s v="Cancelled"/>
    <d v="2026-09-28T00:00:00"/>
    <s v="Call"/>
    <m/>
    <m/>
    <s v="Hot"/>
    <n v="80000"/>
    <m/>
    <m/>
    <m/>
    <x v="5"/>
    <m/>
    <m/>
    <m/>
    <x v="6"/>
    <m/>
    <s v=""/>
    <m/>
  </r>
  <r>
    <d v="2026-09-11T00:00:00"/>
    <s v="Pradeep"/>
    <s v="Hyderabad"/>
    <x v="528"/>
    <s v="F2F"/>
    <s v="Corporate"/>
    <x v="5"/>
    <s v="Bulk Order"/>
    <s v="New"/>
    <s v="Healthcare"/>
    <s v="Sowmya"/>
    <m/>
    <s v="Discussed on Bulk order Requirement"/>
    <s v="Cancelled"/>
    <d v="2026-09-29T00:00:00"/>
    <s v="Call"/>
    <m/>
    <m/>
    <s v="Hot"/>
    <n v="110000"/>
    <m/>
    <m/>
    <m/>
    <x v="5"/>
    <m/>
    <m/>
    <m/>
    <x v="6"/>
    <m/>
    <s v=""/>
    <m/>
  </r>
  <r>
    <d v="2026-09-11T00:00:00"/>
    <s v="Pradeep"/>
    <s v="Hyderabad"/>
    <x v="425"/>
    <s v="F2F"/>
    <s v="Corporate"/>
    <x v="5"/>
    <s v="Bulk Order"/>
    <s v="New"/>
    <s v="Realestate"/>
    <s v="Ravinder Reddy"/>
    <m/>
    <s v="Proposed for Bulk Order and Biryani Kits for Gifting"/>
    <s v="Negotitaion( C2 )"/>
    <d v="2026-09-23T00:00:00"/>
    <s v="F2F"/>
    <m/>
    <m/>
    <s v="Warm"/>
    <n v="55000"/>
    <m/>
    <m/>
    <m/>
    <x v="5"/>
    <m/>
    <m/>
    <m/>
    <x v="6"/>
    <m/>
    <s v=""/>
    <m/>
  </r>
  <r>
    <d v="2026-09-11T00:00:00"/>
    <s v="Vishwanath"/>
    <s v="Bangalore"/>
    <x v="529"/>
    <s v="F2F"/>
    <s v="Corporate"/>
    <x v="5"/>
    <s v="Bulk Order"/>
    <s v="New"/>
    <s v="Healthcare"/>
    <s v="Jibin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11T00:00:00"/>
    <s v="Vishwanath"/>
    <s v="Bangalore"/>
    <x v="530"/>
    <s v="F2F"/>
    <s v="Corporate"/>
    <x v="5"/>
    <s v="Bulk Order"/>
    <s v="New"/>
    <s v="It"/>
    <s v="Pratap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12T00:00:00"/>
    <s v="Bashab"/>
    <s v="Hyderabad"/>
    <x v="531"/>
    <s v="Call"/>
    <s v="Aggregator"/>
    <x v="6"/>
    <s v="ODC"/>
    <s v="New"/>
    <s v="Exhibition"/>
    <s v="Devendar"/>
    <m/>
    <s v="Business Closed"/>
    <s v="Closed(C4)"/>
    <m/>
    <m/>
    <m/>
    <m/>
    <s v="Hot"/>
    <n v="40000"/>
    <n v="32125"/>
    <d v="2026-09-09T00:00:00"/>
    <s v="00MTTA1000034110"/>
    <x v="5"/>
    <m/>
    <m/>
    <m/>
    <x v="6"/>
    <m/>
    <m/>
    <m/>
  </r>
  <r>
    <d v="2026-09-15T00:00:00"/>
    <s v="Anushikha"/>
    <s v="Hyderabad"/>
    <x v="532"/>
    <s v="Call"/>
    <s v="Corporate"/>
    <x v="5"/>
    <s v="Bulk Order"/>
    <s v="New"/>
    <s v="Healthcare"/>
    <s v="Arijith"/>
    <m/>
    <s v="Discussed on bulk order"/>
    <s v="Closed(C4)"/>
    <m/>
    <s v="Call"/>
    <m/>
    <m/>
    <s v="Hot"/>
    <n v="39350"/>
    <n v="39353"/>
    <d v="2026-09-11T00:00:00"/>
    <s v="00BGA09000044720"/>
    <x v="15"/>
    <m/>
    <m/>
    <d v="2026-09-15T00:00:00"/>
    <x v="6"/>
    <m/>
    <s v=""/>
    <m/>
  </r>
  <r>
    <d v="2026-09-15T00:00:00"/>
    <s v="Anushikha"/>
    <s v="Hyderabad"/>
    <x v="533"/>
    <s v="Call"/>
    <s v="Corporate"/>
    <x v="5"/>
    <s v="Bulk Order"/>
    <s v="New"/>
    <s v="Tourism"/>
    <s v="Khusro"/>
    <m/>
    <s v="Discussed on bulk order requirement"/>
    <s v="Follow-up( C1 )"/>
    <m/>
    <s v="Call"/>
    <m/>
    <m/>
    <s v="Warm"/>
    <n v="40000"/>
    <m/>
    <m/>
    <m/>
    <x v="5"/>
    <m/>
    <m/>
    <m/>
    <x v="6"/>
    <m/>
    <s v=""/>
    <m/>
  </r>
  <r>
    <d v="2026-09-15T00:00:00"/>
    <s v="Anushikha"/>
    <s v="Hyderabad"/>
    <x v="534"/>
    <s v="Call"/>
    <s v="Corporate"/>
    <x v="5"/>
    <s v="Bulk Order"/>
    <s v="New"/>
    <s v="Transport"/>
    <s v="Anil"/>
    <m/>
    <s v="Proposed for bulk order"/>
    <s v="Follow-up( C1 )"/>
    <m/>
    <s v="Call"/>
    <m/>
    <m/>
    <s v="Warm"/>
    <n v="30000"/>
    <m/>
    <m/>
    <m/>
    <x v="5"/>
    <m/>
    <m/>
    <m/>
    <x v="6"/>
    <m/>
    <s v=""/>
    <m/>
  </r>
  <r>
    <d v="2026-09-15T00:00:00"/>
    <s v="Anushikha"/>
    <s v="Hyderabad"/>
    <x v="535"/>
    <s v="Call"/>
    <s v="Corporate"/>
    <x v="5"/>
    <s v="Bulk Order"/>
    <s v="New"/>
    <s v="Tourism"/>
    <s v="Ibrahim"/>
    <m/>
    <s v="Discussed on bulk order requirement"/>
    <s v="Follow-up( C1 )"/>
    <d v="2026-09-17T00:00:00"/>
    <s v="Call"/>
    <m/>
    <m/>
    <s v="Warm"/>
    <n v="40000"/>
    <m/>
    <m/>
    <m/>
    <x v="5"/>
    <m/>
    <m/>
    <m/>
    <x v="6"/>
    <m/>
    <s v=""/>
    <m/>
  </r>
  <r>
    <d v="2026-09-15T00:00:00"/>
    <s v="Anushikha"/>
    <s v="Hyderabad"/>
    <x v="536"/>
    <s v="Call"/>
    <s v="Corporate"/>
    <x v="5"/>
    <s v="Bulk Order"/>
    <s v="New"/>
    <s v="Tourism"/>
    <s v="Syed Ahmed"/>
    <m/>
    <s v="Discussed on bulk order reqirement"/>
    <s v="Follow-up( C1 )"/>
    <m/>
    <s v="Call"/>
    <m/>
    <m/>
    <s v="Warm"/>
    <n v="25000"/>
    <m/>
    <m/>
    <m/>
    <x v="5"/>
    <m/>
    <m/>
    <m/>
    <x v="6"/>
    <m/>
    <s v=""/>
    <m/>
  </r>
  <r>
    <d v="2026-09-15T00:00:00"/>
    <s v="Anushikha"/>
    <s v="Hyderabad"/>
    <x v="537"/>
    <s v="Call"/>
    <s v="ODC"/>
    <x v="5"/>
    <s v="Pop Up Counter"/>
    <s v="New"/>
    <s v="Exhibition"/>
    <s v="Manali"/>
    <m/>
    <s v="Discussed for bulk order requirement"/>
    <s v="Negotitaion( C2 )"/>
    <m/>
    <s v="Call"/>
    <m/>
    <m/>
    <s v="Warm"/>
    <m/>
    <m/>
    <m/>
    <m/>
    <x v="5"/>
    <m/>
    <m/>
    <m/>
    <x v="6"/>
    <m/>
    <s v=""/>
    <m/>
  </r>
  <r>
    <d v="2026-09-15T00:00:00"/>
    <s v="Anushikha"/>
    <s v="Hyderabad"/>
    <x v="538"/>
    <s v="Call"/>
    <s v="ODC"/>
    <x v="5"/>
    <s v="Pop Up Counter"/>
    <s v="New"/>
    <s v="Events"/>
    <s v="Nanditha"/>
    <m/>
    <s v="Discussed on bulk order requirement"/>
    <s v="Negotitaion( C2 )"/>
    <m/>
    <s v="Call"/>
    <m/>
    <m/>
    <s v="Hot"/>
    <m/>
    <m/>
    <m/>
    <m/>
    <x v="5"/>
    <m/>
    <m/>
    <m/>
    <x v="6"/>
    <m/>
    <s v=""/>
    <m/>
  </r>
  <r>
    <d v="2026-09-15T00:00:00"/>
    <s v="Anushikha"/>
    <s v="Hyderabad"/>
    <x v="539"/>
    <s v="Call"/>
    <s v="ODC"/>
    <x v="5"/>
    <s v="ODC"/>
    <s v="New"/>
    <s v="Events"/>
    <s v="Aatna"/>
    <m/>
    <s v="Proposed for ODC"/>
    <s v="Introduction( C0 )"/>
    <m/>
    <s v="F2F"/>
    <m/>
    <m/>
    <s v="Cold"/>
    <m/>
    <m/>
    <m/>
    <m/>
    <x v="5"/>
    <m/>
    <m/>
    <m/>
    <x v="6"/>
    <m/>
    <s v=""/>
    <m/>
  </r>
  <r>
    <d v="2026-09-15T00:00:00"/>
    <s v="Pradeep"/>
    <s v="Hyderabad"/>
    <x v="540"/>
    <s v="F2F"/>
    <s v="Corporate"/>
    <x v="5"/>
    <s v="Bulk Order"/>
    <s v="New"/>
    <s v="It"/>
    <s v="Sai Kiran"/>
    <m/>
    <s v="Discussed on bulk order requirement"/>
    <s v="Negotitaion( C2 )"/>
    <d v="2026-09-25T00:00:00"/>
    <s v="Call"/>
    <m/>
    <m/>
    <s v="Warm"/>
    <n v="50000"/>
    <m/>
    <m/>
    <m/>
    <x v="5"/>
    <m/>
    <m/>
    <m/>
    <x v="6"/>
    <m/>
    <s v=""/>
    <m/>
  </r>
  <r>
    <d v="2026-09-15T00:00:00"/>
    <s v="Pradeep"/>
    <s v="Hyderabad"/>
    <x v="541"/>
    <s v="F2F"/>
    <s v="Bulk Order"/>
    <x v="5"/>
    <s v="Bulk Order"/>
    <s v="New"/>
    <s v="Education"/>
    <s v="Anu"/>
    <m/>
    <s v="Discussed on bulk order requirement"/>
    <s v="Confirmed( C3 )"/>
    <d v="2026-10-23T00:00:00"/>
    <s v="Call"/>
    <m/>
    <m/>
    <s v="Hot"/>
    <n v="85000"/>
    <m/>
    <m/>
    <m/>
    <x v="5"/>
    <m/>
    <m/>
    <m/>
    <x v="6"/>
    <m/>
    <s v=""/>
    <m/>
  </r>
  <r>
    <d v="2026-09-15T00:00:00"/>
    <s v="Pradeep"/>
    <s v="Hyderabad"/>
    <x v="542"/>
    <s v="F2F"/>
    <s v="Bulk Order"/>
    <x v="5"/>
    <s v="Bulk Order"/>
    <s v="New"/>
    <s v="Healthcare"/>
    <s v="Simran"/>
    <m/>
    <s v="Proposed for bulk order"/>
    <s v="Negotitaion( C2 )"/>
    <d v="2026-09-30T00:00:00"/>
    <s v="Call"/>
    <m/>
    <m/>
    <s v="Hot"/>
    <n v="60000"/>
    <m/>
    <m/>
    <m/>
    <x v="5"/>
    <m/>
    <m/>
    <m/>
    <x v="6"/>
    <m/>
    <s v=""/>
    <m/>
  </r>
  <r>
    <d v="2026-09-15T00:00:00"/>
    <s v="Pradeep"/>
    <s v="Hyderabad"/>
    <x v="543"/>
    <s v="F2F"/>
    <s v="Corporate"/>
    <x v="5"/>
    <s v="Bulk Order"/>
    <s v="New"/>
    <s v="It"/>
    <s v="Varun"/>
    <m/>
    <s v="Discussed on bulk order reqirement"/>
    <s v="Follow-up( C1 )"/>
    <m/>
    <s v="Call"/>
    <m/>
    <m/>
    <s v="Warm"/>
    <n v="65000"/>
    <m/>
    <m/>
    <m/>
    <x v="5"/>
    <m/>
    <m/>
    <m/>
    <x v="6"/>
    <m/>
    <s v=""/>
    <m/>
  </r>
  <r>
    <d v="2026-09-15T00:00:00"/>
    <s v="Bashab"/>
    <s v="Bangalore"/>
    <x v="41"/>
    <s v="F2F"/>
    <s v="Aggregator"/>
    <x v="1"/>
    <s v="Pop Up Counter"/>
    <s v="New"/>
    <s v="It"/>
    <s v="Goutham"/>
    <m/>
    <s v="Business Closed"/>
    <s v="Closed(C4)"/>
    <m/>
    <m/>
    <m/>
    <m/>
    <s v="Hot"/>
    <n v="10000"/>
    <n v="6860"/>
    <d v="2026-09-15T00:00:00"/>
    <s v="00KVTA1000028545"/>
    <x v="12"/>
    <s v="Received at HO"/>
    <m/>
    <m/>
    <x v="6"/>
    <m/>
    <s v=""/>
    <m/>
  </r>
  <r>
    <d v="2026-09-15T00:00:00"/>
    <s v="Vishwanath"/>
    <s v="Bangalore"/>
    <x v="544"/>
    <s v="F2F"/>
    <s v="Corporate"/>
    <x v="5"/>
    <s v="Bulk Order"/>
    <s v="New"/>
    <s v="Realestate"/>
    <s v="Boby C.Augustin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15T00:00:00"/>
    <s v="Vishwanath"/>
    <s v="Bangalore"/>
    <x v="545"/>
    <s v="F2F"/>
    <s v="Aggregator"/>
    <x v="3"/>
    <s v="Pop Up Counter"/>
    <s v="New"/>
    <s v="F&amp;B Aggregator"/>
    <s v="Kailash"/>
    <m/>
    <s v="Pop UP Counter"/>
    <s v="Introduction( C0 )"/>
    <m/>
    <m/>
    <m/>
    <m/>
    <s v="Warm"/>
    <m/>
    <m/>
    <m/>
    <m/>
    <x v="5"/>
    <m/>
    <m/>
    <m/>
    <x v="6"/>
    <m/>
    <s v=""/>
    <m/>
  </r>
  <r>
    <d v="2026-09-16T00:00:00"/>
    <s v="Pradeep"/>
    <s v="Hyderabad"/>
    <x v="546"/>
    <s v="F2F"/>
    <s v="Corporate"/>
    <x v="5"/>
    <s v="Bulk Order"/>
    <s v="New"/>
    <s v="Manufacturing"/>
    <s v="Rajender"/>
    <m/>
    <s v="Proposed for bulk order"/>
    <s v="Negotitaion( C2 )"/>
    <m/>
    <s v="Call"/>
    <m/>
    <m/>
    <s v="Warm"/>
    <n v="35000"/>
    <m/>
    <m/>
    <m/>
    <x v="5"/>
    <m/>
    <m/>
    <m/>
    <x v="6"/>
    <m/>
    <s v=""/>
    <m/>
  </r>
  <r>
    <d v="2026-09-16T00:00:00"/>
    <s v="Pradeep"/>
    <s v="Hyderabad"/>
    <x v="547"/>
    <s v="F2F"/>
    <s v="Corporate"/>
    <x v="5"/>
    <s v="Bulk Order"/>
    <s v="New"/>
    <s v="Dealers &amp; Distributers"/>
    <s v="Sandeep"/>
    <m/>
    <s v="Proposed for bulk order"/>
    <s v="Follow-up( C1 )"/>
    <m/>
    <m/>
    <m/>
    <m/>
    <s v="Hot"/>
    <n v="40000"/>
    <m/>
    <m/>
    <m/>
    <x v="5"/>
    <m/>
    <m/>
    <m/>
    <x v="6"/>
    <m/>
    <s v=""/>
    <m/>
  </r>
  <r>
    <d v="2026-09-16T00:00:00"/>
    <s v="Pradeep"/>
    <s v="Hyderabad"/>
    <x v="548"/>
    <s v="F2F"/>
    <s v="Corporate"/>
    <x v="5"/>
    <s v="Bulk Order"/>
    <s v="New"/>
    <s v="Manufacturing"/>
    <s v="Narguna"/>
    <m/>
    <s v="Discussed on bulk order requirement"/>
    <s v="Confirmed( C3 )"/>
    <d v="2026-09-25T00:00:00"/>
    <s v="Call"/>
    <m/>
    <m/>
    <s v="Hot"/>
    <n v="80000"/>
    <m/>
    <m/>
    <s v="`"/>
    <x v="5"/>
    <m/>
    <m/>
    <m/>
    <x v="6"/>
    <m/>
    <s v=""/>
    <m/>
  </r>
  <r>
    <d v="2026-09-16T00:00:00"/>
    <s v="Pradeep"/>
    <s v="Hyderabad"/>
    <x v="549"/>
    <s v="F2F"/>
    <s v="Bulk Order"/>
    <x v="5"/>
    <s v="Bulk Order"/>
    <s v="New"/>
    <s v="Healthcare"/>
    <s v="Srujana"/>
    <m/>
    <s v="Proposed for bulk order"/>
    <s v="Follow-up( C1 )"/>
    <m/>
    <m/>
    <m/>
    <m/>
    <s v="Warm"/>
    <n v="35000"/>
    <m/>
    <m/>
    <m/>
    <x v="5"/>
    <m/>
    <m/>
    <m/>
    <x v="6"/>
    <m/>
    <s v=""/>
    <m/>
  </r>
  <r>
    <d v="2026-09-16T00:00:00"/>
    <s v="Bashab"/>
    <s v="Bangalore"/>
    <x v="550"/>
    <s v="F2F"/>
    <s v="Aggregator"/>
    <x v="6"/>
    <s v="ODC"/>
    <s v="New"/>
    <s v="Events"/>
    <s v="Devendra"/>
    <m/>
    <s v="Business Closed"/>
    <s v="Closed(C4)"/>
    <m/>
    <m/>
    <m/>
    <m/>
    <s v="Hot"/>
    <n v="100000"/>
    <n v="172150"/>
    <d v="2026-09-16T00:00:00"/>
    <s v="00JNTA1000018219"/>
    <x v="8"/>
    <s v="Pending"/>
    <m/>
    <m/>
    <x v="6"/>
    <m/>
    <s v=""/>
    <m/>
  </r>
  <r>
    <d v="2026-09-16T00:00:00"/>
    <s v="Vishwanath"/>
    <s v="Bangalore"/>
    <x v="545"/>
    <s v="F2F"/>
    <s v="Aggregator"/>
    <x v="3"/>
    <s v="Pop Up Counter"/>
    <s v="New"/>
    <s v="F&amp;B Aggregator"/>
    <s v="Ramesh"/>
    <m/>
    <s v="Pop UP Counter"/>
    <s v="Confirmed( C3 )"/>
    <m/>
    <m/>
    <m/>
    <m/>
    <s v="Warm"/>
    <m/>
    <m/>
    <m/>
    <m/>
    <x v="5"/>
    <m/>
    <m/>
    <m/>
    <x v="6"/>
    <m/>
    <s v=""/>
    <m/>
  </r>
  <r>
    <d v="2026-09-16T00:00:00"/>
    <s v="Vishwanath"/>
    <s v="Bangalore"/>
    <x v="16"/>
    <s v="Call"/>
    <s v="Corporate"/>
    <x v="5"/>
    <s v="Bulk Order"/>
    <s v="Repeat"/>
    <s v="Retail"/>
    <s v="Mohammed"/>
    <m/>
    <s v="Business Closed"/>
    <s v="Closed(C4)"/>
    <m/>
    <m/>
    <s v=""/>
    <s v=""/>
    <s v="Hot"/>
    <n v="25000"/>
    <n v="26124"/>
    <d v="2026-09-16T00:00:00"/>
    <s v="00HSA06000008848"/>
    <x v="3"/>
    <s v="Pending"/>
    <m/>
    <m/>
    <x v="6"/>
    <m/>
    <s v=""/>
    <m/>
  </r>
  <r>
    <d v="2026-09-16T00:00:00"/>
    <s v="Sameer"/>
    <s v="Bangalore"/>
    <x v="16"/>
    <s v="Call"/>
    <s v="Corporate"/>
    <x v="2"/>
    <s v="Bulk Order"/>
    <s v="Repeat"/>
    <s v="Retail"/>
    <s v="Mohammed"/>
    <m/>
    <s v="Business follow-up"/>
    <s v="Closed(C4)"/>
    <m/>
    <m/>
    <s v=""/>
    <s v=""/>
    <s v="Hot"/>
    <n v="25000"/>
    <n v="26125"/>
    <d v="2026-09-16T00:00:00"/>
    <s v="00HSA06000008848"/>
    <x v="3"/>
    <s v="Pending"/>
    <m/>
    <m/>
    <x v="6"/>
    <m/>
    <s v=""/>
    <m/>
  </r>
  <r>
    <d v="2026-09-17T00:00:00"/>
    <s v="Pradeep"/>
    <s v="Hyderabad"/>
    <x v="189"/>
    <s v="F2F"/>
    <s v="Corporate"/>
    <x v="5"/>
    <s v="Bulk Order"/>
    <s v="New"/>
    <s v="It"/>
    <s v="Suman"/>
    <m/>
    <s v="Bulk order closed"/>
    <s v="Closed(C4)"/>
    <m/>
    <m/>
    <m/>
    <m/>
    <s v="Hot"/>
    <n v="10000"/>
    <n v="2816"/>
    <d v="2026-09-17T00:00:00"/>
    <s v="00HCA5000030137"/>
    <x v="4"/>
    <s v="Received at Store"/>
    <m/>
    <d v="2026-09-17T00:00:00"/>
    <x v="6"/>
    <m/>
    <s v=""/>
    <s v="Takeaway-Bulk-Insti"/>
  </r>
  <r>
    <d v="2026-09-17T00:00:00"/>
    <s v="Pradeep"/>
    <s v="Hyderabad"/>
    <x v="189"/>
    <s v="F2F"/>
    <s v="Corporate"/>
    <x v="5"/>
    <s v="Bulk Order"/>
    <s v="New"/>
    <s v="It"/>
    <s v="Suman"/>
    <m/>
    <s v="Bulk order closed"/>
    <s v="Closed(C4)"/>
    <m/>
    <m/>
    <m/>
    <m/>
    <s v="Hot"/>
    <n v="10000"/>
    <n v="2625"/>
    <d v="2026-09-17T00:00:00"/>
    <s v="00HCA5000030138"/>
    <x v="4"/>
    <s v="Received at Store"/>
    <m/>
    <d v="2026-09-17T00:00:00"/>
    <x v="6"/>
    <m/>
    <m/>
    <s v="Takeaway-Bulk-Insti"/>
  </r>
  <r>
    <d v="2026-09-17T00:00:00"/>
    <s v="Vishwanath"/>
    <s v="Bangalore"/>
    <x v="551"/>
    <s v="F2F"/>
    <s v="Corporate"/>
    <x v="5"/>
    <s v="Bulk Order"/>
    <s v="New"/>
    <s v="It"/>
    <s v="Rathan"/>
    <m/>
    <s v="Business Closed"/>
    <s v="Closed(C4)"/>
    <m/>
    <m/>
    <m/>
    <m/>
    <s v="Hot"/>
    <n v="100000"/>
    <n v="131303"/>
    <d v="2026-09-17T00:00:00"/>
    <m/>
    <x v="11"/>
    <s v="Pending"/>
    <m/>
    <m/>
    <x v="6"/>
    <m/>
    <s v=""/>
    <m/>
  </r>
  <r>
    <d v="2026-09-17T00:00:00"/>
    <s v="Bashab"/>
    <s v="Hyderabad"/>
    <x v="552"/>
    <s v="F2F"/>
    <s v="Aggregator"/>
    <x v="2"/>
    <s v="Bulk Order"/>
    <s v="New"/>
    <s v="It"/>
    <s v="Ashok"/>
    <m/>
    <s v="Business Closed"/>
    <s v="Closed(C4)"/>
    <m/>
    <m/>
    <m/>
    <m/>
    <s v="Hot"/>
    <n v="300000"/>
    <n v="378154"/>
    <d v="2026-09-17T00:00:00"/>
    <m/>
    <x v="5"/>
    <s v="Pending"/>
    <m/>
    <m/>
    <x v="6"/>
    <m/>
    <s v=""/>
    <m/>
  </r>
  <r>
    <d v="2026-09-17T00:00:00"/>
    <s v="Sameer"/>
    <s v="Hyderabad"/>
    <x v="552"/>
    <s v="F2F"/>
    <s v="Aggregator"/>
    <x v="2"/>
    <s v="Bulk Order"/>
    <s v="New"/>
    <s v="It"/>
    <s v="Ashok"/>
    <m/>
    <s v="Business Closed"/>
    <s v="Closed(C4)"/>
    <m/>
    <m/>
    <m/>
    <m/>
    <s v="Hot"/>
    <n v="300000"/>
    <n v="378154"/>
    <d v="2026-09-17T00:00:00"/>
    <m/>
    <x v="5"/>
    <s v="Pending"/>
    <m/>
    <m/>
    <x v="6"/>
    <m/>
    <s v=""/>
    <m/>
  </r>
  <r>
    <d v="2026-09-17T00:00:00"/>
    <s v="Sameer"/>
    <s v="Hyderabad"/>
    <x v="553"/>
    <s v="F2F"/>
    <s v="Corporate"/>
    <x v="5"/>
    <s v="Bulk Order"/>
    <s v="New"/>
    <s v="Realestate"/>
    <s v="MS Reddy"/>
    <m/>
    <s v="Introduction to Bulk supply"/>
    <s v="Introduction( C0 )"/>
    <d v="2026-09-21T00:00:00"/>
    <m/>
    <m/>
    <m/>
    <s v="Cold"/>
    <n v="500000"/>
    <m/>
    <d v="2026-09-17T00:00:00"/>
    <m/>
    <x v="5"/>
    <m/>
    <m/>
    <m/>
    <x v="6"/>
    <m/>
    <s v=""/>
    <m/>
  </r>
  <r>
    <d v="2026-09-17T00:00:00"/>
    <s v="Pradeep"/>
    <s v="Hyderabad"/>
    <x v="554"/>
    <s v="F2F"/>
    <s v="Corporate"/>
    <x v="5"/>
    <s v="ODC"/>
    <s v="New"/>
    <s v="College"/>
    <s v="Amaan"/>
    <m/>
    <s v="ODC on 18 &amp;19 September"/>
    <s v="Closed(C4)"/>
    <m/>
    <m/>
    <m/>
    <m/>
    <s v="Hot"/>
    <n v="100000"/>
    <n v="77843"/>
    <d v="2026-09-17T00:00:00"/>
    <s v="00PRTA1000059902"/>
    <x v="29"/>
    <s v="Received at Store"/>
    <m/>
    <m/>
    <x v="6"/>
    <m/>
    <s v=""/>
    <s v="Takeaway-Bulk-Insti"/>
  </r>
  <r>
    <d v="2026-09-17T00:00:00"/>
    <s v="Vishwanath"/>
    <s v="Bangalore"/>
    <x v="545"/>
    <s v="F2F"/>
    <s v="Aggregator"/>
    <x v="5"/>
    <s v="Pop Up Counter"/>
    <s v="New"/>
    <s v="F&amp;B Aggregator"/>
    <s v="Akash"/>
    <m/>
    <s v="Bulk Order"/>
    <s v="Closed(C4)"/>
    <m/>
    <m/>
    <m/>
    <m/>
    <s v="Warm"/>
    <m/>
    <m/>
    <m/>
    <m/>
    <x v="5"/>
    <m/>
    <m/>
    <m/>
    <x v="6"/>
    <m/>
    <s v=""/>
    <m/>
  </r>
  <r>
    <d v="2026-09-18T00:00:00"/>
    <s v="Bashab"/>
    <s v="Bangalore"/>
    <x v="555"/>
    <s v="F2F"/>
    <s v="Aggregator"/>
    <x v="6"/>
    <s v="ODC"/>
    <s v="New"/>
    <s v="Exhibition"/>
    <s v="Devendar"/>
    <m/>
    <s v="Business Closed"/>
    <s v="Closed(C4)"/>
    <m/>
    <m/>
    <m/>
    <m/>
    <s v="Hot"/>
    <n v="300000"/>
    <n v="450000"/>
    <d v="2026-09-18T00:00:00"/>
    <s v="00JNTA1000018219"/>
    <x v="8"/>
    <s v="Pending"/>
    <m/>
    <m/>
    <x v="6"/>
    <m/>
    <s v=""/>
    <m/>
  </r>
  <r>
    <d v="2026-09-18T00:00:00"/>
    <s v="Vishwanath"/>
    <s v="Bangalore"/>
    <x v="555"/>
    <s v="F2F"/>
    <s v="Aggregator"/>
    <x v="6"/>
    <s v="ODC"/>
    <s v="New"/>
    <s v="Exhibition"/>
    <s v="Devendar"/>
    <m/>
    <s v="Business Closed"/>
    <s v="Closed(C4)"/>
    <m/>
    <m/>
    <m/>
    <m/>
    <s v="Hot"/>
    <n v="250000"/>
    <n v="304650"/>
    <d v="2026-09-18T00:00:00"/>
    <s v="00JNTA1000018219"/>
    <x v="8"/>
    <s v="Pending"/>
    <m/>
    <m/>
    <x v="6"/>
    <m/>
    <s v=""/>
    <m/>
  </r>
  <r>
    <d v="2026-09-18T00:00:00"/>
    <s v="Bashab"/>
    <s v="Bangalore"/>
    <x v="276"/>
    <s v="F2F"/>
    <s v="Corporate"/>
    <x v="5"/>
    <s v="Pop Up Counter"/>
    <s v="New"/>
    <s v="It"/>
    <s v="Adhnan"/>
    <m/>
    <s v="Business Closed"/>
    <s v="Closed(C4)"/>
    <m/>
    <m/>
    <m/>
    <m/>
    <s v="Hot"/>
    <n v="10000"/>
    <n v="23443"/>
    <d v="2026-09-18T00:00:00"/>
    <s v="00MRAO8000009711"/>
    <x v="11"/>
    <s v="Received at HO"/>
    <m/>
    <m/>
    <x v="6"/>
    <m/>
    <s v=""/>
    <m/>
  </r>
  <r>
    <d v="2026-09-18T00:00:00"/>
    <s v="Pradeep"/>
    <s v="Hyderabad"/>
    <x v="556"/>
    <s v="F2F"/>
    <s v="Corporate"/>
    <x v="5"/>
    <s v="Bulk Order"/>
    <s v="New"/>
    <s v="Education"/>
    <s v="Rajesh"/>
    <m/>
    <s v="Discussed on bulk order requirement"/>
    <s v="Negotitaion( C2 )"/>
    <d v="2026-09-29T00:00:00"/>
    <m/>
    <m/>
    <m/>
    <s v="Cold"/>
    <n v="30000"/>
    <m/>
    <m/>
    <m/>
    <x v="5"/>
    <m/>
    <m/>
    <m/>
    <x v="6"/>
    <m/>
    <m/>
    <m/>
  </r>
  <r>
    <d v="2026-09-18T00:00:00"/>
    <s v="Pradeep"/>
    <s v="Hyderabad"/>
    <x v="557"/>
    <s v="F2F"/>
    <s v="Corporate"/>
    <x v="5"/>
    <s v="Bulk Order"/>
    <s v="New"/>
    <s v="Healthcare"/>
    <s v="Ajay"/>
    <m/>
    <s v="Discussed on bulk order requirement"/>
    <s v="Follow-up( C1 )"/>
    <d v="2026-09-26T00:00:00"/>
    <m/>
    <m/>
    <m/>
    <s v="Warm"/>
    <n v="40000"/>
    <m/>
    <m/>
    <m/>
    <x v="5"/>
    <m/>
    <m/>
    <m/>
    <x v="6"/>
    <m/>
    <m/>
    <m/>
  </r>
  <r>
    <d v="2026-09-18T00:00:00"/>
    <s v="Pradeep"/>
    <s v="Hyderabad"/>
    <x v="315"/>
    <s v="F2F"/>
    <s v="Corporate"/>
    <x v="5"/>
    <s v="Bulk Order"/>
    <s v="New"/>
    <s v="Manufacturing"/>
    <s v="Sourav"/>
    <m/>
    <s v="Discussed on bulk order requirement"/>
    <s v="Negotitaion( C2 )"/>
    <m/>
    <m/>
    <m/>
    <m/>
    <s v="Warm"/>
    <n v="25000"/>
    <m/>
    <m/>
    <m/>
    <x v="5"/>
    <m/>
    <m/>
    <m/>
    <x v="6"/>
    <m/>
    <m/>
    <m/>
  </r>
  <r>
    <d v="2026-09-18T00:00:00"/>
    <s v="Vishwanath"/>
    <s v="Bangalore"/>
    <x v="558"/>
    <s v="F2F"/>
    <s v="Corporate"/>
    <x v="5"/>
    <s v="Bulk Order"/>
    <s v="New"/>
    <s v="Manufacturing"/>
    <s v="Anurag.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18T00:00:00"/>
    <s v="Vishwanath"/>
    <s v="Bangalore"/>
    <x v="545"/>
    <s v="F2F"/>
    <s v="Aggregator"/>
    <x v="5"/>
    <s v="Pop Up Counter"/>
    <s v="New"/>
    <s v="F&amp;B Aggregator"/>
    <s v="Akash"/>
    <m/>
    <s v="Bulk Order"/>
    <s v="Closed(C4)"/>
    <m/>
    <m/>
    <m/>
    <m/>
    <s v="Warm"/>
    <m/>
    <m/>
    <m/>
    <m/>
    <x v="5"/>
    <m/>
    <m/>
    <m/>
    <x v="6"/>
    <m/>
    <s v=""/>
    <m/>
  </r>
  <r>
    <d v="2026-09-20T00:00:00"/>
    <s v="Sameer"/>
    <s v="Hyderabad"/>
    <x v="495"/>
    <s v="F2F"/>
    <s v="Corporate"/>
    <x v="5"/>
    <s v="Bulk Order"/>
    <s v="New"/>
    <s v="Manufacturing"/>
    <s v="Bidula"/>
    <m/>
    <s v="Discussed for order in november"/>
    <s v="Follow-up( C1 )"/>
    <d v="2026-09-30T00:00:00"/>
    <s v="Call"/>
    <m/>
    <m/>
    <s v="Hot"/>
    <n v="1500000"/>
    <m/>
    <m/>
    <m/>
    <x v="5"/>
    <m/>
    <m/>
    <m/>
    <x v="6"/>
    <m/>
    <m/>
    <m/>
  </r>
  <r>
    <d v="2026-09-20T00:00:00"/>
    <s v="Pradeep"/>
    <s v="Hyderabad"/>
    <x v="61"/>
    <s v="F2F"/>
    <s v="Bulk Order"/>
    <x v="5"/>
    <s v="Bulk Order"/>
    <s v="New"/>
    <s v="Family Group"/>
    <s v="Chandu"/>
    <m/>
    <s v="Business Closed"/>
    <s v="Closed(C4)"/>
    <m/>
    <m/>
    <m/>
    <m/>
    <s v="Hot"/>
    <n v="25000"/>
    <n v="13195"/>
    <d v="2026-09-20T00:00:00"/>
    <s v="00PRTA1000059889"/>
    <x v="29"/>
    <s v="Received at Store"/>
    <m/>
    <d v="2026-09-20T00:00:00"/>
    <x v="6"/>
    <m/>
    <s v=""/>
    <s v="Takeaway-Bulk-Insti"/>
  </r>
  <r>
    <d v="2026-09-20T00:00:00"/>
    <s v="Anushikha"/>
    <s v="Hyderabad"/>
    <x v="99"/>
    <s v="Call"/>
    <s v="Bulk Order"/>
    <x v="5"/>
    <s v="Bulk Order"/>
    <s v="New"/>
    <s v="It"/>
    <s v="Karan"/>
    <m/>
    <s v="Business Closed"/>
    <s v="Closed(C4)"/>
    <m/>
    <m/>
    <m/>
    <m/>
    <s v="Hot"/>
    <n v="22000"/>
    <n v="24061"/>
    <d v="2026-09-20T00:00:00"/>
    <s v="00MGA01000007471"/>
    <x v="37"/>
    <s v="Received at Store"/>
    <m/>
    <d v="2026-09-20T00:00:00"/>
    <x v="6"/>
    <m/>
    <s v=""/>
    <m/>
  </r>
  <r>
    <d v="2026-09-21T00:00:00"/>
    <s v="Pradeep"/>
    <s v="Hyderabad"/>
    <x v="559"/>
    <s v="F2F"/>
    <s v="Corporate"/>
    <x v="5"/>
    <s v="Bulk Order"/>
    <s v="New"/>
    <s v="It"/>
    <s v="Randheer reddy"/>
    <m/>
    <s v="Discussed on bulk order requirement"/>
    <s v="Negotitaion( C2 )"/>
    <m/>
    <m/>
    <m/>
    <m/>
    <s v="Warm"/>
    <n v="50000"/>
    <m/>
    <m/>
    <m/>
    <x v="5"/>
    <m/>
    <m/>
    <m/>
    <x v="6"/>
    <m/>
    <m/>
    <m/>
  </r>
  <r>
    <d v="2026-09-21T00:00:00"/>
    <s v="Pradeep"/>
    <s v="Hyderabad"/>
    <x v="560"/>
    <s v="F2F"/>
    <s v="Corporate"/>
    <x v="5"/>
    <s v="Bulk Order"/>
    <s v="New"/>
    <s v="It"/>
    <s v="Bhargav"/>
    <m/>
    <s v="Discussed on bulk order requirement"/>
    <s v="Negotitaion( C2 )"/>
    <m/>
    <m/>
    <m/>
    <m/>
    <s v="Cold"/>
    <n v="45000"/>
    <m/>
    <m/>
    <m/>
    <x v="5"/>
    <m/>
    <m/>
    <m/>
    <x v="6"/>
    <m/>
    <m/>
    <m/>
  </r>
  <r>
    <d v="2026-09-21T00:00:00"/>
    <s v="Sameer"/>
    <s v="Hyderabad"/>
    <x v="165"/>
    <s v="F2F"/>
    <s v="Bulk Order"/>
    <x v="2"/>
    <s v="Bulk Order"/>
    <s v="New"/>
    <s v="F&amp;B Aggregator"/>
    <s v="Upendhar"/>
    <m/>
    <s v="Buffet lunch on 30-09-2026"/>
    <s v="Confirmed( C3 )"/>
    <m/>
    <m/>
    <m/>
    <m/>
    <s v="Hot"/>
    <n v="0"/>
    <m/>
    <m/>
    <m/>
    <x v="5"/>
    <m/>
    <m/>
    <m/>
    <x v="6"/>
    <m/>
    <s v=""/>
    <m/>
  </r>
  <r>
    <d v="2026-09-21T00:00:00"/>
    <s v="Pradeep"/>
    <s v="Hyderabad"/>
    <x v="259"/>
    <s v="F2F"/>
    <s v="Aggregator"/>
    <x v="0"/>
    <s v="Pop Up Counter"/>
    <s v="New"/>
    <s v="F&amp;B Aggregator"/>
    <s v="Kiran"/>
    <m/>
    <s v="Popupcounter on 24 &amp; 25 September"/>
    <s v="Closed(C4)"/>
    <m/>
    <m/>
    <m/>
    <m/>
    <s v="Hot"/>
    <n v="110000"/>
    <n v="113155"/>
    <d v="2026-09-21T00:00:00"/>
    <m/>
    <x v="1"/>
    <s v="Received at HO"/>
    <m/>
    <m/>
    <x v="6"/>
    <m/>
    <s v=""/>
    <m/>
  </r>
  <r>
    <d v="2026-09-21T00:00:00"/>
    <s v="Pradeep"/>
    <s v="Hyderabad"/>
    <x v="561"/>
    <s v="F2F"/>
    <s v="Bulk Order"/>
    <x v="5"/>
    <s v="Bulk Order"/>
    <s v="New"/>
    <s v="Healthcare"/>
    <s v="Manoj"/>
    <m/>
    <s v="Discussed on bulk order requirement"/>
    <s v="Negotitaion( C2 )"/>
    <d v="2026-09-27T00:00:00"/>
    <m/>
    <m/>
    <m/>
    <s v="Hot"/>
    <n v="70000"/>
    <m/>
    <m/>
    <m/>
    <x v="5"/>
    <m/>
    <m/>
    <m/>
    <x v="6"/>
    <m/>
    <s v=""/>
    <m/>
  </r>
  <r>
    <d v="2026-09-21T00:00:00"/>
    <s v="Pradeep"/>
    <s v="Hyderabad"/>
    <x v="562"/>
    <s v="F2F"/>
    <s v="Bulk Order"/>
    <x v="5"/>
    <s v="Bulk Order"/>
    <s v="New"/>
    <s v="It"/>
    <s v="Prashanth"/>
    <m/>
    <s v="Proposed for bulk order"/>
    <s v="Follow-up( C1 )"/>
    <d v="2026-10-18T00:00:00"/>
    <m/>
    <m/>
    <m/>
    <s v="Warm"/>
    <n v="30000"/>
    <m/>
    <m/>
    <m/>
    <x v="5"/>
    <m/>
    <m/>
    <m/>
    <x v="6"/>
    <m/>
    <s v=""/>
    <m/>
  </r>
  <r>
    <d v="2026-09-21T00:00:00"/>
    <s v="Sameer"/>
    <s v="Hyderabad"/>
    <x v="563"/>
    <s v="Call"/>
    <s v="Corporate"/>
    <x v="5"/>
    <s v="Bulk Order"/>
    <s v="New"/>
    <s v="Events"/>
    <s v="Ajay"/>
    <m/>
    <s v="Events at 4 locations"/>
    <s v="Cancelled"/>
    <d v="2026-10-01T00:00:00"/>
    <s v="Call"/>
    <m/>
    <m/>
    <s v="Hot"/>
    <n v="50000"/>
    <m/>
    <d v="2026-10-17T00:00:00"/>
    <m/>
    <x v="5"/>
    <m/>
    <m/>
    <m/>
    <x v="4"/>
    <m/>
    <m/>
    <m/>
  </r>
  <r>
    <d v="2026-09-21T00:00:00"/>
    <s v="Vishwanath"/>
    <s v="Bangalore"/>
    <x v="564"/>
    <s v="F2F"/>
    <s v="Corporate"/>
    <x v="5"/>
    <s v="Bulk Order"/>
    <s v="New"/>
    <s v="It"/>
    <s v="Hungerbox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21T00:00:00"/>
    <s v="Vishwanath"/>
    <s v="Bangalore"/>
    <x v="565"/>
    <s v="F2F"/>
    <s v="Corporate"/>
    <x v="5"/>
    <s v="Bulk Order"/>
    <s v="New"/>
    <s v="Healthcare"/>
    <s v=" Junaid. Khan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22T00:00:00"/>
    <s v="Pradeep"/>
    <s v="Hyderabad"/>
    <x v="566"/>
    <s v="F2F"/>
    <s v="Corporate"/>
    <x v="5"/>
    <s v="Bulk Order"/>
    <s v="New"/>
    <s v="It"/>
    <s v="Pavan"/>
    <m/>
    <s v="Discussed on bulk order requirement"/>
    <s v="Negotitaion( C2 )"/>
    <d v="2026-10-10T00:00:00"/>
    <m/>
    <m/>
    <m/>
    <s v="Warm"/>
    <n v="28000"/>
    <m/>
    <m/>
    <m/>
    <x v="5"/>
    <m/>
    <m/>
    <m/>
    <x v="6"/>
    <m/>
    <m/>
    <m/>
  </r>
  <r>
    <d v="2026-09-22T00:00:00"/>
    <s v="Pradeep"/>
    <s v="Hyderabad"/>
    <x v="567"/>
    <s v="F2F"/>
    <s v="Corporate"/>
    <x v="5"/>
    <s v="Bulk Order"/>
    <s v="New"/>
    <s v="It"/>
    <s v="Soujanya"/>
    <m/>
    <s v="Proposed for Bulk Order and Biryani Kits for Gifting"/>
    <s v="Follow-up( C1 )"/>
    <m/>
    <m/>
    <m/>
    <m/>
    <s v="Warm"/>
    <n v="30000"/>
    <m/>
    <m/>
    <m/>
    <x v="5"/>
    <m/>
    <m/>
    <m/>
    <x v="6"/>
    <m/>
    <m/>
    <m/>
  </r>
  <r>
    <d v="2026-09-22T00:00:00"/>
    <s v="Pradeep"/>
    <s v="Hyderabad"/>
    <x v="568"/>
    <s v="F2F"/>
    <s v="Corporate"/>
    <x v="5"/>
    <s v="Bulk Order"/>
    <s v="New"/>
    <s v="Education"/>
    <s v="Ravinder"/>
    <m/>
    <s v="Discussed on bulk order requirement"/>
    <s v="Negotitaion( C2 )"/>
    <d v="2026-10-09T00:00:00"/>
    <s v="Call"/>
    <m/>
    <m/>
    <s v="Warm"/>
    <n v="40000"/>
    <m/>
    <m/>
    <m/>
    <x v="5"/>
    <m/>
    <m/>
    <m/>
    <x v="6"/>
    <m/>
    <m/>
    <m/>
  </r>
  <r>
    <d v="2026-09-22T00:00:00"/>
    <s v="Vishwanath"/>
    <s v="Bangalore"/>
    <x v="569"/>
    <s v="F2F"/>
    <s v="Corporate"/>
    <x v="5"/>
    <s v="Bulk Order"/>
    <s v="New"/>
    <s v="It"/>
    <s v="Yogita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22T00:00:00"/>
    <s v="Vishwanath"/>
    <s v="Bangalore"/>
    <x v="570"/>
    <s v="F2F"/>
    <s v="Corporate"/>
    <x v="5"/>
    <s v="Bulk Order"/>
    <s v="New"/>
    <s v="Manufacturing"/>
    <s v="Vijay Kumar J.R.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23T00:00:00"/>
    <s v="Pradeep"/>
    <s v="Hyderabad"/>
    <x v="156"/>
    <s v="Call"/>
    <s v="Aggregator"/>
    <x v="2"/>
    <s v="Bulk Order"/>
    <s v="New"/>
    <s v="F&amp;B Aggregator"/>
    <s v="Srinivas"/>
    <m/>
    <s v="Business Closed"/>
    <s v="Closed(C4)"/>
    <m/>
    <m/>
    <m/>
    <s v=""/>
    <s v="Hot"/>
    <n v="100000"/>
    <n v="105000"/>
    <d v="2026-09-23T00:00:00"/>
    <s v="CIFSPL070923"/>
    <x v="5"/>
    <s v="Pending"/>
    <m/>
    <m/>
    <x v="6"/>
    <m/>
    <s v=""/>
    <m/>
  </r>
  <r>
    <d v="2026-09-23T00:00:00"/>
    <s v="Bashab"/>
    <s v="Hyderabad"/>
    <x v="156"/>
    <s v="Call"/>
    <s v="Aggregator"/>
    <x v="2"/>
    <s v="Bulk Order"/>
    <s v="New"/>
    <s v="F&amp;B Aggregator"/>
    <s v="Srinivas"/>
    <m/>
    <s v="Business Closed"/>
    <s v="Closed(C4)"/>
    <m/>
    <m/>
    <m/>
    <s v=""/>
    <s v="Hot"/>
    <n v="100000"/>
    <n v="105000"/>
    <d v="2026-09-23T00:00:00"/>
    <s v="CIFSPL070923"/>
    <x v="5"/>
    <s v="Pending"/>
    <m/>
    <m/>
    <x v="6"/>
    <m/>
    <s v=""/>
    <m/>
  </r>
  <r>
    <d v="2026-09-23T00:00:00"/>
    <s v="Pradeep"/>
    <s v="Hyderabad"/>
    <x v="61"/>
    <s v="Call"/>
    <s v="Bulk Order"/>
    <x v="5"/>
    <s v="Bulk Order"/>
    <s v="New"/>
    <s v="Family Group"/>
    <s v="Zafar"/>
    <m/>
    <s v="Business Closed"/>
    <s v="Closed(C4)"/>
    <m/>
    <m/>
    <m/>
    <m/>
    <s v="Hot"/>
    <n v="15000"/>
    <n v="7840"/>
    <d v="2026-09-23T00:00:00"/>
    <s v="00CMTA1000156297"/>
    <x v="38"/>
    <m/>
    <m/>
    <m/>
    <x v="6"/>
    <m/>
    <s v=""/>
    <s v="Takeaway-Bulk-Insti"/>
  </r>
  <r>
    <d v="2026-09-23T00:00:00"/>
    <s v="Pradeep"/>
    <s v="Hyderabad"/>
    <x v="144"/>
    <s v="F2F"/>
    <s v="Corporate"/>
    <x v="5"/>
    <s v="Bulk Order"/>
    <s v="New"/>
    <s v="Transport"/>
    <s v="Sai Kiran"/>
    <m/>
    <s v="Business Closed"/>
    <s v="Closed(C4)"/>
    <m/>
    <m/>
    <m/>
    <m/>
    <s v="Hot"/>
    <n v="15000"/>
    <n v="9000"/>
    <d v="2026-09-23T00:00:00"/>
    <m/>
    <x v="26"/>
    <s v="Received at Store"/>
    <m/>
    <m/>
    <x v="6"/>
    <m/>
    <s v=""/>
    <s v="Takeaway-Bulk-Insti"/>
  </r>
  <r>
    <d v="2026-09-23T00:00:00"/>
    <s v="Vishwanath"/>
    <s v="Bangalore"/>
    <x v="571"/>
    <s v="F2F"/>
    <s v="Corporate"/>
    <x v="5"/>
    <s v="Bulk Order"/>
    <s v="New"/>
    <s v="It"/>
    <s v=" Vanisha.M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23T00:00:00"/>
    <s v="Vishwanath"/>
    <s v="Bangalore"/>
    <x v="16"/>
    <s v="Call"/>
    <s v="Corporate"/>
    <x v="2"/>
    <s v="Bulk Order"/>
    <s v="Repeat"/>
    <s v="Retail"/>
    <s v="Mohammed"/>
    <m/>
    <s v="Business Closed"/>
    <s v="Closed(C4)"/>
    <m/>
    <m/>
    <s v=""/>
    <s v=""/>
    <s v="Hot"/>
    <n v="25000"/>
    <n v="25895"/>
    <d v="2026-09-23T00:00:00"/>
    <s v="00HSA06000009029"/>
    <x v="3"/>
    <s v="Pending"/>
    <m/>
    <m/>
    <x v="6"/>
    <m/>
    <s v=""/>
    <m/>
  </r>
  <r>
    <d v="2026-09-23T00:00:00"/>
    <s v="Sameer"/>
    <s v="Bangalore"/>
    <x v="16"/>
    <s v="Call"/>
    <s v="Corporate"/>
    <x v="2"/>
    <s v="Bulk Order"/>
    <s v="Repeat"/>
    <s v="Retail"/>
    <s v="Mohammed"/>
    <m/>
    <s v="Business Closed"/>
    <s v="Closed(C4)"/>
    <m/>
    <m/>
    <s v=""/>
    <s v=""/>
    <s v="Hot"/>
    <n v="25000"/>
    <n v="25896"/>
    <d v="2026-09-23T00:00:00"/>
    <s v="00HSA06000009029"/>
    <x v="3"/>
    <s v="Pending"/>
    <m/>
    <m/>
    <x v="6"/>
    <m/>
    <s v=""/>
    <m/>
  </r>
  <r>
    <d v="2026-09-23T00:00:00"/>
    <s v="Vishwanath"/>
    <s v="Bangalore"/>
    <x v="16"/>
    <s v="Call"/>
    <s v="Corporate"/>
    <x v="2"/>
    <s v="Bulk Order"/>
    <s v="Repeat"/>
    <s v="Retail"/>
    <s v="Mohammed"/>
    <m/>
    <s v="Business Closed"/>
    <s v="Closed(C4)"/>
    <m/>
    <m/>
    <s v=""/>
    <s v=""/>
    <s v="Hot"/>
    <n v="25000"/>
    <n v="13521"/>
    <d v="2026-09-26T00:00:00"/>
    <s v="00HSA06000009072"/>
    <x v="3"/>
    <s v="Pending"/>
    <m/>
    <m/>
    <x v="6"/>
    <m/>
    <m/>
    <m/>
  </r>
  <r>
    <d v="2026-09-23T00:00:00"/>
    <s v="Sameer"/>
    <s v="Bangalore"/>
    <x v="16"/>
    <s v="Call"/>
    <s v="Corporate"/>
    <x v="2"/>
    <s v="Bulk Order"/>
    <s v="Repeat"/>
    <s v="Retail"/>
    <s v="Mohammed"/>
    <m/>
    <s v="Business Closed"/>
    <s v="Closed(C4)"/>
    <m/>
    <m/>
    <s v=""/>
    <s v=""/>
    <s v="Hot"/>
    <n v="25000"/>
    <n v="13520"/>
    <d v="2026-09-26T00:00:00"/>
    <s v="00HSA06000009072"/>
    <x v="3"/>
    <s v="Pending"/>
    <m/>
    <m/>
    <x v="6"/>
    <m/>
    <m/>
    <m/>
  </r>
  <r>
    <d v="2026-09-24T00:00:00"/>
    <s v="Pradeep"/>
    <s v="Hyderabad"/>
    <x v="572"/>
    <s v="F2F"/>
    <s v="Corporate"/>
    <x v="5"/>
    <s v="Bulk Order"/>
    <s v="New"/>
    <s v="Healthcare"/>
    <s v="Durga"/>
    <m/>
    <s v="Discussed on bulk order requirement"/>
    <s v="Negotitaion( C2 )"/>
    <d v="2026-10-15T00:00:00"/>
    <s v="Call"/>
    <m/>
    <m/>
    <s v="Warm"/>
    <n v="25000"/>
    <m/>
    <m/>
    <m/>
    <x v="5"/>
    <m/>
    <m/>
    <m/>
    <x v="6"/>
    <m/>
    <m/>
    <m/>
  </r>
  <r>
    <d v="2026-09-24T00:00:00"/>
    <s v="Pradeep"/>
    <s v="Hyderabad"/>
    <x v="317"/>
    <s v="F2F"/>
    <s v="Corporate"/>
    <x v="5"/>
    <s v="Bulk Order"/>
    <s v="New"/>
    <s v="It"/>
    <s v="Shyam Kumar"/>
    <m/>
    <s v="Discussed on bulk order requirement"/>
    <s v="Follow-up( C1 )"/>
    <d v="2026-10-05T00:00:00"/>
    <s v="Call"/>
    <m/>
    <m/>
    <s v="Warm"/>
    <n v="15000"/>
    <m/>
    <m/>
    <m/>
    <x v="5"/>
    <m/>
    <m/>
    <m/>
    <x v="6"/>
    <m/>
    <m/>
    <m/>
  </r>
  <r>
    <d v="2026-09-24T00:00:00"/>
    <s v="Anushikha"/>
    <s v="Hyderabad"/>
    <x v="573"/>
    <s v="Call"/>
    <s v="Bulk Order"/>
    <x v="5"/>
    <s v="Bulk Order"/>
    <s v="New"/>
    <s v="Church"/>
    <s v="Jee"/>
    <m/>
    <s v="Proposed for bulk order"/>
    <s v="Introduction( C0 )"/>
    <d v="2026-09-28T00:00:00"/>
    <m/>
    <m/>
    <m/>
    <s v="Warm"/>
    <n v="30000"/>
    <m/>
    <m/>
    <m/>
    <x v="5"/>
    <m/>
    <m/>
    <m/>
    <x v="6"/>
    <m/>
    <s v=""/>
    <m/>
  </r>
  <r>
    <d v="2026-09-24T00:00:00"/>
    <s v="Anushikha"/>
    <s v="Hyderabad"/>
    <x v="574"/>
    <s v="Call"/>
    <s v="Bulk Order"/>
    <x v="5"/>
    <s v="Bulk Order"/>
    <s v="New"/>
    <s v="Church"/>
    <s v="Srikanth"/>
    <m/>
    <s v="Discussed on bulk order requirement"/>
    <s v="Follow-up( C1 )"/>
    <d v="2026-10-05T00:00:00"/>
    <m/>
    <m/>
    <m/>
    <s v="Hot"/>
    <n v="50000"/>
    <m/>
    <m/>
    <m/>
    <x v="5"/>
    <m/>
    <m/>
    <m/>
    <x v="6"/>
    <m/>
    <s v=""/>
    <m/>
  </r>
  <r>
    <d v="2026-09-24T00:00:00"/>
    <s v="Anushikha"/>
    <s v="Hyderabad"/>
    <x v="575"/>
    <s v="Call"/>
    <s v="Corporate"/>
    <x v="5"/>
    <s v="Bulk Order"/>
    <s v="New"/>
    <s v="Healthcare"/>
    <s v="Ashok"/>
    <m/>
    <s v="Discussed on bulk order"/>
    <s v="Introduction( C0 )"/>
    <m/>
    <m/>
    <m/>
    <m/>
    <s v="Warm"/>
    <n v="45000"/>
    <m/>
    <m/>
    <m/>
    <x v="5"/>
    <m/>
    <m/>
    <m/>
    <x v="6"/>
    <m/>
    <s v=""/>
    <m/>
  </r>
  <r>
    <d v="2026-09-24T00:00:00"/>
    <s v="Pradeep"/>
    <s v="Hyderabad"/>
    <x v="487"/>
    <s v="F2F"/>
    <s v="Corporate"/>
    <x v="5"/>
    <s v="Bulk Order"/>
    <s v="New"/>
    <s v="Healthcare"/>
    <s v="Raj reddy"/>
    <m/>
    <s v="Discussed on bulk order requirement"/>
    <s v="Follow-up( C1 )"/>
    <d v="2026-10-02T00:00:00"/>
    <s v="Call"/>
    <m/>
    <m/>
    <s v="Warm"/>
    <n v="35000"/>
    <m/>
    <m/>
    <m/>
    <x v="5"/>
    <m/>
    <m/>
    <m/>
    <x v="6"/>
    <m/>
    <m/>
    <m/>
  </r>
  <r>
    <d v="2026-09-24T00:00:00"/>
    <s v="Pradeep"/>
    <s v="Hyderabad"/>
    <x v="307"/>
    <s v="F2F"/>
    <s v="Corporate"/>
    <x v="5"/>
    <s v="Bulk Order"/>
    <s v="New"/>
    <s v="It"/>
    <s v="Sunith"/>
    <m/>
    <s v="Proposed for bulk order"/>
    <s v="Follow-up( C1 )"/>
    <d v="2026-10-07T00:00:00"/>
    <s v="Call"/>
    <m/>
    <m/>
    <s v="Cold"/>
    <n v="50000"/>
    <m/>
    <m/>
    <m/>
    <x v="5"/>
    <m/>
    <m/>
    <m/>
    <x v="6"/>
    <m/>
    <m/>
    <m/>
  </r>
  <r>
    <d v="2026-09-24T00:00:00"/>
    <s v="Anushikha"/>
    <s v="Hyderabad"/>
    <x v="576"/>
    <s v="Call"/>
    <s v="Bulk Order"/>
    <x v="5"/>
    <s v="Bulk Order"/>
    <s v="New"/>
    <s v="Church"/>
    <s v="Jyothi Sampath"/>
    <m/>
    <s v="Discussed on bulk order"/>
    <s v="Follow-up( C1 )"/>
    <m/>
    <m/>
    <m/>
    <m/>
    <m/>
    <m/>
    <m/>
    <m/>
    <m/>
    <x v="5"/>
    <m/>
    <m/>
    <m/>
    <x v="6"/>
    <m/>
    <s v=""/>
    <m/>
  </r>
  <r>
    <d v="2026-09-24T00:00:00"/>
    <s v="Vishwanath"/>
    <s v="Bangalore"/>
    <x v="577"/>
    <s v="F2F"/>
    <s v="Corporate"/>
    <x v="5"/>
    <s v="Bulk Order"/>
    <s v="New"/>
    <s v="It"/>
    <s v="Anil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24T00:00:00"/>
    <s v="Bashab"/>
    <s v="Bangalore"/>
    <x v="37"/>
    <s v="F2F"/>
    <s v="Aggregator"/>
    <x v="1"/>
    <s v="Pop Up Counter"/>
    <s v="New"/>
    <s v="It"/>
    <s v="Goutham"/>
    <m/>
    <s v="Business Closed"/>
    <s v="Closed(C4)"/>
    <m/>
    <m/>
    <m/>
    <m/>
    <s v="Hot"/>
    <n v="10000"/>
    <n v="9890"/>
    <d v="2026-09-24T00:00:00"/>
    <s v="00KVTA1000028545"/>
    <x v="12"/>
    <s v="Received at HO"/>
    <m/>
    <m/>
    <x v="6"/>
    <m/>
    <s v=""/>
    <m/>
  </r>
  <r>
    <d v="2026-09-25T00:00:00"/>
    <s v="Pradeep"/>
    <s v="Hyderabad"/>
    <x v="578"/>
    <s v="F2F"/>
    <s v="Corporate"/>
    <x v="5"/>
    <s v="Bulk Order"/>
    <s v="New"/>
    <s v="Healthcare"/>
    <s v="Jyothi"/>
    <m/>
    <s v="Proposed for bulk order"/>
    <s v="Negotitaion( C2 )"/>
    <d v="2026-10-08T00:00:00"/>
    <s v="Call"/>
    <m/>
    <m/>
    <s v="Warm"/>
    <n v="32000"/>
    <m/>
    <m/>
    <m/>
    <x v="5"/>
    <m/>
    <m/>
    <m/>
    <x v="6"/>
    <m/>
    <m/>
    <m/>
  </r>
  <r>
    <d v="2026-09-25T00:00:00"/>
    <s v="Pradeep"/>
    <s v="Hyderabad"/>
    <x v="579"/>
    <s v="F2F"/>
    <s v="Corporate"/>
    <x v="5"/>
    <s v="Bulk Order"/>
    <s v="New"/>
    <s v="Education"/>
    <s v="Imran "/>
    <m/>
    <s v="Discussed on bulk order requirement"/>
    <s v="Confirmed( C3 )"/>
    <d v="2026-10-13T00:00:00"/>
    <s v="Call"/>
    <m/>
    <m/>
    <s v="Hot"/>
    <n v="65000"/>
    <m/>
    <m/>
    <m/>
    <x v="5"/>
    <m/>
    <m/>
    <m/>
    <x v="6"/>
    <m/>
    <m/>
    <m/>
  </r>
  <r>
    <d v="2026-09-25T00:00:00"/>
    <s v="Vishwanath"/>
    <s v="Bangalore"/>
    <x v="41"/>
    <s v="F2F"/>
    <s v="Aggregator"/>
    <x v="1"/>
    <s v="Pop Up Counter"/>
    <s v="New"/>
    <s v="It"/>
    <s v="Goutham"/>
    <m/>
    <s v="Business Closed"/>
    <s v="Closed(C4)"/>
    <m/>
    <m/>
    <m/>
    <m/>
    <s v="Hot"/>
    <n v="10000"/>
    <n v="8670"/>
    <d v="2026-09-25T00:00:00"/>
    <s v="00KVTA1000028545"/>
    <x v="12"/>
    <s v="Pending"/>
    <m/>
    <m/>
    <x v="6"/>
    <m/>
    <s v=""/>
    <m/>
  </r>
  <r>
    <d v="2026-09-28T00:00:00"/>
    <s v="Pradeep"/>
    <s v="Hyderabad"/>
    <x v="580"/>
    <s v="Call"/>
    <s v="Corporate"/>
    <x v="5"/>
    <s v="Bulk Order"/>
    <s v="New"/>
    <s v="Events"/>
    <s v="Kanthraj"/>
    <m/>
    <s v="Business Closed"/>
    <s v="Closed(C4)"/>
    <m/>
    <m/>
    <m/>
    <m/>
    <s v="Cold"/>
    <n v="20000"/>
    <n v="13351"/>
    <d v="2026-09-28T00:00:00"/>
    <s v="00BGA09000046997"/>
    <x v="15"/>
    <s v="Received at Store"/>
    <m/>
    <d v="2026-09-28T00:00:00"/>
    <x v="6"/>
    <m/>
    <m/>
    <s v="Takeaway-Bulk-Insti"/>
  </r>
  <r>
    <d v="2026-09-28T00:00:00"/>
    <s v="Pradeep"/>
    <s v="Hyderabad"/>
    <x v="581"/>
    <s v="F2F"/>
    <s v="Corporate"/>
    <x v="5"/>
    <s v="Bulk Order"/>
    <s v="New"/>
    <s v="It"/>
    <m/>
    <m/>
    <s v="Business Closed"/>
    <s v="Closed(C4)"/>
    <m/>
    <m/>
    <m/>
    <m/>
    <s v="Hot"/>
    <n v="7000"/>
    <n v="9500"/>
    <d v="2026-09-28T00:00:00"/>
    <s v="00BGA04000037378"/>
    <x v="15"/>
    <s v="Received at Store"/>
    <m/>
    <d v="2026-09-28T00:00:00"/>
    <x v="6"/>
    <m/>
    <s v=""/>
    <s v="Takeaway-Bulk-Insti"/>
  </r>
  <r>
    <d v="2026-09-28T00:00:00"/>
    <s v="Pradeep"/>
    <s v="Hyderabad"/>
    <x v="582"/>
    <s v="F2F"/>
    <s v="Corporate"/>
    <x v="5"/>
    <s v="Bulk Order"/>
    <s v="New"/>
    <s v="Events"/>
    <m/>
    <m/>
    <s v="Discussed on bulk order requirement for ODC"/>
    <s v="Confirmed( C3 )"/>
    <d v="2026-10-20T00:00:00"/>
    <s v="Call"/>
    <m/>
    <m/>
    <s v="Hot"/>
    <n v="200000"/>
    <m/>
    <m/>
    <m/>
    <x v="5"/>
    <m/>
    <m/>
    <m/>
    <x v="6"/>
    <m/>
    <s v=""/>
    <m/>
  </r>
  <r>
    <d v="2026-09-28T00:00:00"/>
    <s v="Pradeep"/>
    <s v="Hyderabad"/>
    <x v="583"/>
    <s v="F2F"/>
    <s v="Corporate"/>
    <x v="5"/>
    <s v="Pop Up Counter"/>
    <s v="New"/>
    <s v="Events"/>
    <s v="Koushq"/>
    <m/>
    <s v="Durga Pooja at ameerpet"/>
    <s v="Confirmed( C3 )"/>
    <d v="2026-10-17T00:00:00"/>
    <s v="Call"/>
    <m/>
    <m/>
    <s v="Hot"/>
    <n v="100000"/>
    <m/>
    <d v="2026-10-16T00:00:00"/>
    <m/>
    <x v="5"/>
    <m/>
    <m/>
    <m/>
    <x v="4"/>
    <m/>
    <s v=""/>
    <m/>
  </r>
  <r>
    <d v="2026-09-28T00:00:00"/>
    <s v="Vishwanath"/>
    <s v="Bangalore"/>
    <x v="479"/>
    <s v="Call"/>
    <s v="Corporate"/>
    <x v="5"/>
    <s v="Bulk Order"/>
    <s v="New"/>
    <s v="Retail"/>
    <s v="Nihal"/>
    <m/>
    <s v="Business Closed"/>
    <s v="Closed(C4)"/>
    <m/>
    <m/>
    <s v=""/>
    <s v=""/>
    <s v="Hot"/>
    <n v="12000"/>
    <n v="14525"/>
    <d v="2026-09-30T00:00:00"/>
    <s v="00MRAO8000010415"/>
    <x v="3"/>
    <s v="Pending"/>
    <m/>
    <m/>
    <x v="6"/>
    <m/>
    <s v=""/>
    <m/>
  </r>
  <r>
    <d v="2026-09-30T00:00:00"/>
    <s v="Pradeep"/>
    <s v="Hyderabad"/>
    <x v="157"/>
    <s v="F2F"/>
    <s v="Corporate"/>
    <x v="5"/>
    <s v="Bulk Order"/>
    <s v="New"/>
    <s v="It"/>
    <s v="Dinesh Reddy"/>
    <m/>
    <s v="Bulk order Closed"/>
    <s v="Closed(C4)"/>
    <m/>
    <m/>
    <m/>
    <m/>
    <s v="Hot"/>
    <n v="100000"/>
    <n v="81090"/>
    <d v="2026-09-30T00:00:00"/>
    <s v="00MTTA1000034112"/>
    <x v="18"/>
    <s v="Pending"/>
    <m/>
    <m/>
    <x v="6"/>
    <m/>
    <s v=""/>
    <s v="Takeaway-Bulk-Insti"/>
  </r>
  <r>
    <d v="2026-09-30T00:00:00"/>
    <s v="Pradeep"/>
    <s v="Hyderabad"/>
    <x v="156"/>
    <s v="F2F"/>
    <s v="Aggregator"/>
    <x v="2"/>
    <s v="Bulk Order"/>
    <s v="New"/>
    <s v="F&amp;B Aggregator"/>
    <s v="Srinivas"/>
    <m/>
    <s v="Business Closed"/>
    <s v="Closed(C4)"/>
    <m/>
    <m/>
    <m/>
    <s v=""/>
    <s v="Hot"/>
    <n v="100000"/>
    <n v="195300"/>
    <d v="2026-09-30T00:00:00"/>
    <s v="CIFSPL070930"/>
    <x v="26"/>
    <s v="Pending"/>
    <m/>
    <m/>
    <x v="6"/>
    <m/>
    <s v=""/>
    <m/>
  </r>
  <r>
    <d v="2026-09-30T00:00:00"/>
    <s v="Bashab"/>
    <s v="Hyderabad"/>
    <x v="156"/>
    <s v="Call"/>
    <s v="Aggregator"/>
    <x v="2"/>
    <s v="Bulk Order"/>
    <s v="New"/>
    <s v="F&amp;B Aggregator"/>
    <s v="Srinivas"/>
    <m/>
    <s v="Business Closed"/>
    <s v="Closed(C4)"/>
    <m/>
    <m/>
    <m/>
    <s v=""/>
    <s v="Hot"/>
    <n v="100000"/>
    <n v="195300"/>
    <d v="2026-09-30T00:00:00"/>
    <s v="CIFSPL070930"/>
    <x v="26"/>
    <s v="Pending"/>
    <m/>
    <m/>
    <x v="6"/>
    <m/>
    <s v=""/>
    <m/>
  </r>
  <r>
    <d v="2026-09-30T00:00:00"/>
    <s v="Pradeep"/>
    <s v="Hyderabad"/>
    <x v="584"/>
    <s v="F2F"/>
    <s v="Corporate"/>
    <x v="5"/>
    <s v="Bulk Order"/>
    <s v="New"/>
    <s v="Events"/>
    <s v="Suresh"/>
    <m/>
    <s v="Business Closed"/>
    <s v="Closed(C4)"/>
    <m/>
    <m/>
    <m/>
    <m/>
    <s v="Hot"/>
    <n v="5000"/>
    <n v="6438"/>
    <d v="2026-10-01T00:00:00"/>
    <m/>
    <x v="2"/>
    <s v="Received at Store"/>
    <m/>
    <m/>
    <x v="6"/>
    <m/>
    <s v=""/>
    <m/>
  </r>
  <r>
    <d v="2026-09-30T00:00:00"/>
    <s v="Pradeep"/>
    <s v="Hyderabad"/>
    <x v="585"/>
    <s v="F2F"/>
    <s v="Corporate"/>
    <x v="5"/>
    <s v="Bulk Order"/>
    <s v="New"/>
    <s v="Transport"/>
    <s v="Nagaraj"/>
    <m/>
    <s v="Delivery and serving on 01-10-2026 from kompally"/>
    <s v="Closed(C4)"/>
    <m/>
    <m/>
    <m/>
    <m/>
    <s v="Hot"/>
    <n v="10000"/>
    <n v="16340"/>
    <d v="2026-10-01T00:00:00"/>
    <s v="00KMDE1000003070"/>
    <x v="36"/>
    <s v="Received at Store"/>
    <m/>
    <d v="2026-10-01T00:00:00"/>
    <x v="4"/>
    <m/>
    <s v=""/>
    <m/>
  </r>
  <r>
    <d v="2026-09-30T00:00:00"/>
    <s v="Vishwanath"/>
    <s v="Bangalore"/>
    <x v="16"/>
    <s v="Call"/>
    <s v="Corporate"/>
    <x v="2"/>
    <s v="Bulk Order"/>
    <s v="Repeat"/>
    <s v="Retail"/>
    <s v="Mohammed"/>
    <m/>
    <s v="Business Closed"/>
    <s v="Closed(C4)"/>
    <m/>
    <m/>
    <s v=""/>
    <s v=""/>
    <s v="Hot"/>
    <n v="25000"/>
    <n v="26812"/>
    <d v="2026-09-30T00:00:00"/>
    <s v="00HSA06000009343"/>
    <x v="3"/>
    <s v="Pending"/>
    <m/>
    <m/>
    <x v="6"/>
    <m/>
    <s v=""/>
    <m/>
  </r>
  <r>
    <d v="2026-09-30T00:00:00"/>
    <s v="Pradeep"/>
    <s v="Bangalore"/>
    <x v="16"/>
    <s v="Call"/>
    <s v="Corporate"/>
    <x v="2"/>
    <s v="Bulk Order"/>
    <s v="Repeat"/>
    <s v="Retail"/>
    <s v="Mohammed"/>
    <m/>
    <s v="Business Closed"/>
    <s v="Closed(C4)"/>
    <m/>
    <m/>
    <s v=""/>
    <s v=""/>
    <s v="Hot"/>
    <n v="25000"/>
    <n v="26812"/>
    <d v="2026-09-30T00:00:00"/>
    <s v="00HSA06000009343"/>
    <x v="3"/>
    <s v="Pending"/>
    <m/>
    <m/>
    <x v="6"/>
    <m/>
    <s v=""/>
    <m/>
  </r>
  <r>
    <d v="2026-10-01T00:00:00"/>
    <s v="Bashab"/>
    <s v="Bangalore"/>
    <x v="37"/>
    <s v="Call"/>
    <s v="Aggregator"/>
    <x v="1"/>
    <s v="Pop Up Counter"/>
    <s v="Repeat"/>
    <s v="It"/>
    <s v="Harish"/>
    <m/>
    <s v="Popup Confirmed"/>
    <s v="Confirmed( C3 )"/>
    <m/>
    <m/>
    <m/>
    <s v=""/>
    <s v="Warm"/>
    <n v="15000"/>
    <m/>
    <m/>
    <m/>
    <x v="5"/>
    <m/>
    <m/>
    <m/>
    <x v="4"/>
    <m/>
    <m/>
    <m/>
  </r>
  <r>
    <d v="2026-10-01T00:00:00"/>
    <s v="Vishwanath"/>
    <s v="Bangalore"/>
    <x v="16"/>
    <s v="F2F"/>
    <s v="Aggregator"/>
    <x v="2"/>
    <s v="Bulk Order"/>
    <s v="Repeat"/>
    <s v="It"/>
    <s v="Saadh"/>
    <m/>
    <s v="Business Closed"/>
    <s v="Confirmed( C3 )"/>
    <m/>
    <m/>
    <m/>
    <m/>
    <s v="Warm"/>
    <n v="100000"/>
    <m/>
    <m/>
    <m/>
    <x v="5"/>
    <m/>
    <m/>
    <m/>
    <x v="4"/>
    <m/>
    <m/>
    <m/>
  </r>
  <r>
    <d v="2026-10-01T00:00:00"/>
    <s v="Vishwanath"/>
    <s v="Bangalore"/>
    <x v="586"/>
    <s v="F2F"/>
    <s v="Aggregator"/>
    <x v="1"/>
    <s v="Bulk Order"/>
    <s v="Repeat"/>
    <s v="It"/>
    <s v="Harish"/>
    <m/>
    <s v="Popup Confirmed"/>
    <s v="Confirmed( C3 )"/>
    <m/>
    <m/>
    <m/>
    <m/>
    <s v="Warm"/>
    <n v="50000"/>
    <m/>
    <m/>
    <m/>
    <x v="5"/>
    <m/>
    <m/>
    <m/>
    <x v="4"/>
    <m/>
    <m/>
    <m/>
  </r>
  <r>
    <d v="2026-10-01T00:00:00"/>
    <s v="Bashab"/>
    <s v="Bangalore"/>
    <x v="41"/>
    <s v="Call"/>
    <s v="Aggregator"/>
    <x v="1"/>
    <s v="Pop Up Counter"/>
    <s v="Repeat"/>
    <s v="It"/>
    <s v="Harish"/>
    <m/>
    <s v="Popup Confirmed"/>
    <s v="Confirmed( C3 )"/>
    <m/>
    <m/>
    <m/>
    <s v=""/>
    <s v="Warm"/>
    <n v="15000"/>
    <m/>
    <m/>
    <m/>
    <x v="5"/>
    <m/>
    <m/>
    <m/>
    <x v="4"/>
    <m/>
    <s v=""/>
    <m/>
  </r>
  <r>
    <d v="2026-10-01T00:00:00"/>
    <s v="Bashab"/>
    <s v="Bangalore"/>
    <x v="122"/>
    <s v="Call"/>
    <s v="Aggregator"/>
    <x v="1"/>
    <s v="Pop Up Counter"/>
    <s v="Repeat"/>
    <s v="It"/>
    <s v="Naveen"/>
    <m/>
    <s v="Pop-up counter done"/>
    <s v="Confirmed( C3 )"/>
    <m/>
    <m/>
    <m/>
    <s v=""/>
    <s v="Warm"/>
    <n v="10000"/>
    <m/>
    <m/>
    <m/>
    <x v="5"/>
    <m/>
    <m/>
    <m/>
    <x v="4"/>
    <m/>
    <s v=""/>
    <m/>
  </r>
  <r>
    <d v="2026-10-01T00:00:00"/>
    <s v="Bashab"/>
    <s v="Bangalore"/>
    <x v="225"/>
    <s v="F2F"/>
    <s v="Aggregator"/>
    <x v="1"/>
    <s v="Popup Counter"/>
    <s v="Repeat"/>
    <s v="It"/>
    <s v="Naveen"/>
    <m/>
    <s v="Popup Confirmed"/>
    <s v="Confirmed( C3 )"/>
    <m/>
    <m/>
    <m/>
    <s v=""/>
    <s v="Warm"/>
    <n v="10000"/>
    <m/>
    <m/>
    <m/>
    <x v="5"/>
    <m/>
    <m/>
    <m/>
    <x v="4"/>
    <m/>
    <s v=""/>
    <m/>
  </r>
  <r>
    <d v="2026-10-01T00:00:00"/>
    <s v="Bashab"/>
    <s v="Bangalore"/>
    <x v="587"/>
    <s v="F2F"/>
    <s v="ODC"/>
    <x v="5"/>
    <s v="ODC"/>
    <s v="New"/>
    <s v="Events"/>
    <s v="Devendar"/>
    <m/>
    <s v="ODC Confirmed"/>
    <s v="Confirmed( C3 )"/>
    <m/>
    <m/>
    <m/>
    <s v=""/>
    <s v="Warm"/>
    <n v="150000"/>
    <m/>
    <m/>
    <m/>
    <x v="5"/>
    <m/>
    <m/>
    <m/>
    <x v="4"/>
    <m/>
    <s v=""/>
    <m/>
  </r>
  <r>
    <d v="2026-10-01T00:00:00"/>
    <s v="Vishwanath"/>
    <s v="Bangalore"/>
    <x v="588"/>
    <s v="F2F"/>
    <s v="ODC"/>
    <x v="5"/>
    <s v="ODC"/>
    <s v="New"/>
    <s v="Events"/>
    <s v="Rawath"/>
    <m/>
    <s v="ODC Confirmed"/>
    <s v="Confirmed( C3 )"/>
    <m/>
    <m/>
    <m/>
    <s v=""/>
    <s v="Warm"/>
    <n v="150000"/>
    <m/>
    <m/>
    <m/>
    <x v="5"/>
    <m/>
    <m/>
    <m/>
    <x v="4"/>
    <m/>
    <s v=""/>
    <m/>
  </r>
  <r>
    <d v="2026-10-01T00:00:00"/>
    <s v="Bashab"/>
    <s v="Hyderabad"/>
    <x v="156"/>
    <s v="F2F"/>
    <s v="Aggregator"/>
    <x v="2"/>
    <s v="Bulk Order"/>
    <s v="New"/>
    <s v="F&amp;B Aggregator"/>
    <s v="Srinivas"/>
    <m/>
    <s v="Business Closed"/>
    <s v="Confirmed( C3 )"/>
    <m/>
    <m/>
    <m/>
    <s v=""/>
    <s v="Warm"/>
    <n v="600000"/>
    <m/>
    <m/>
    <m/>
    <x v="5"/>
    <m/>
    <m/>
    <m/>
    <x v="4"/>
    <m/>
    <s v=""/>
    <m/>
  </r>
  <r>
    <d v="2026-10-01T00:00:00"/>
    <s v="Bashab"/>
    <s v="Bangalore"/>
    <x v="66"/>
    <s v="Call"/>
    <s v="Aggregator"/>
    <x v="3"/>
    <s v="Pop Up Counter"/>
    <s v="Repeat"/>
    <s v="It"/>
    <s v="Navya"/>
    <m/>
    <s v="Popup Confirmed"/>
    <s v="Confirmed( C3 )"/>
    <m/>
    <m/>
    <m/>
    <s v=""/>
    <s v="Warm"/>
    <n v="30000"/>
    <m/>
    <m/>
    <m/>
    <x v="5"/>
    <m/>
    <m/>
    <m/>
    <x v="4"/>
    <m/>
    <s v=""/>
    <m/>
  </r>
  <r>
    <d v="2026-10-01T00:00:00"/>
    <s v="Vishwanath"/>
    <s v="Bangalore"/>
    <x v="545"/>
    <s v="F2F"/>
    <s v="Aggregator"/>
    <x v="3"/>
    <s v="Pop Up Counter"/>
    <s v="New"/>
    <s v="F&amp;B Aggregator"/>
    <s v="Ramesh"/>
    <m/>
    <s v="Pop UP Counter"/>
    <s v="Confirmed( C3 )"/>
    <m/>
    <m/>
    <m/>
    <m/>
    <s v="Warm"/>
    <n v="50000"/>
    <m/>
    <m/>
    <m/>
    <x v="5"/>
    <m/>
    <m/>
    <m/>
    <x v="4"/>
    <m/>
    <s v=""/>
    <m/>
  </r>
  <r>
    <d v="2026-10-01T00:00:00"/>
    <s v="Vishwanath"/>
    <s v="RO AP"/>
    <x v="589"/>
    <s v="Call"/>
    <s v="ODC"/>
    <x v="5"/>
    <s v="ODC"/>
    <s v="New"/>
    <s v="F&amp;B Aggregator"/>
    <s v="Ramesh"/>
    <m/>
    <s v="Pop UP Counter"/>
    <s v="Negotitaion( C2 )"/>
    <m/>
    <m/>
    <m/>
    <m/>
    <s v="Warm"/>
    <n v="150000"/>
    <m/>
    <m/>
    <m/>
    <x v="5"/>
    <m/>
    <m/>
    <m/>
    <x v="4"/>
    <m/>
    <s v=""/>
    <m/>
  </r>
  <r>
    <d v="2026-10-01T00:00:00"/>
    <s v="Sameer"/>
    <s v="Hyderabad"/>
    <x v="590"/>
    <s v="F2F"/>
    <s v="Bulk Order"/>
    <x v="5"/>
    <s v="Bulk Order"/>
    <s v="New"/>
    <s v="Manufacturing"/>
    <s v="Praveen"/>
    <m/>
    <s v="Discussed on bulk order requirement "/>
    <s v="Negotitaion( C2 )"/>
    <d v="2026-10-23T00:00:00"/>
    <s v="Call"/>
    <m/>
    <m/>
    <s v="Hot"/>
    <n v="50000"/>
    <m/>
    <m/>
    <m/>
    <x v="5"/>
    <m/>
    <m/>
    <m/>
    <x v="4"/>
    <m/>
    <s v=""/>
    <m/>
  </r>
  <r>
    <d v="2026-10-01T00:00:00"/>
    <s v="Pradeep"/>
    <s v="Hyderabad"/>
    <x v="591"/>
    <s v="F2F"/>
    <s v="Corporate"/>
    <x v="5"/>
    <s v="Bulk Order"/>
    <s v="New"/>
    <s v="Manufacturing"/>
    <s v="Abhishek"/>
    <m/>
    <s v="Proposed for bulk order"/>
    <s v="Negotitaion( C2 )"/>
    <d v="2026-10-24T00:00:00"/>
    <s v="Call"/>
    <m/>
    <m/>
    <s v="Hot"/>
    <n v="40000"/>
    <m/>
    <m/>
    <m/>
    <x v="5"/>
    <m/>
    <m/>
    <m/>
    <x v="4"/>
    <m/>
    <s v=""/>
    <m/>
  </r>
  <r>
    <d v="2026-10-01T00:00:00"/>
    <s v="Sameer"/>
    <s v="Hyderabad"/>
    <x v="592"/>
    <s v="F2F"/>
    <s v="Corporate"/>
    <x v="5"/>
    <s v="Bulk Order"/>
    <s v="New"/>
    <s v="Automobile"/>
    <s v="Ram"/>
    <m/>
    <s v="Proposed for bulk order"/>
    <s v="Follow-up( C1 )"/>
    <d v="2026-10-25T00:00:00"/>
    <s v="Call"/>
    <m/>
    <m/>
    <s v="Warm"/>
    <n v="45000"/>
    <m/>
    <m/>
    <m/>
    <x v="5"/>
    <m/>
    <m/>
    <m/>
    <x v="4"/>
    <m/>
    <s v=""/>
    <m/>
  </r>
  <r>
    <d v="2026-10-01T00:00:00"/>
    <s v="Pradeep"/>
    <s v="Hyderabad"/>
    <x v="593"/>
    <s v="F2F"/>
    <s v="Corporate"/>
    <x v="5"/>
    <s v="Bulk Order"/>
    <s v="New"/>
    <s v="Dealers &amp; Distributers"/>
    <s v="Abhilash"/>
    <m/>
    <s v="Discussed on bulk order requirement "/>
    <s v="Follow-up( C1 )"/>
    <m/>
    <m/>
    <m/>
    <m/>
    <s v="Warm"/>
    <n v="50000"/>
    <m/>
    <m/>
    <m/>
    <x v="5"/>
    <m/>
    <m/>
    <m/>
    <x v="4"/>
    <m/>
    <s v=""/>
    <m/>
  </r>
  <r>
    <d v="2026-10-04T00:00:00"/>
    <s v="Pradeep"/>
    <s v="Hyderabad"/>
    <x v="164"/>
    <s v="F2F"/>
    <s v="Corporate"/>
    <x v="5"/>
    <s v="Bulk Order"/>
    <s v="New"/>
    <s v="Banking Finance &amp; Insurance"/>
    <m/>
    <m/>
    <s v="Business Closed"/>
    <s v="Closed(C4)"/>
    <m/>
    <m/>
    <m/>
    <m/>
    <s v="Hot"/>
    <n v="15000"/>
    <n v="8296"/>
    <d v="2026-10-04T00:00:00"/>
    <s v="00GDMTA000036967"/>
    <x v="0"/>
    <s v="Received at Store"/>
    <m/>
    <d v="2026-10-04T00:00:00"/>
    <x v="4"/>
    <m/>
    <s v=""/>
    <s v="Takeaway-Bulk-Insti"/>
  </r>
  <r>
    <d v="2026-10-05T00:00:00"/>
    <s v="Pradeep"/>
    <s v="Hyderabad"/>
    <x v="594"/>
    <s v="F2F"/>
    <s v="Corporate"/>
    <x v="5"/>
    <s v="Bulk Order"/>
    <s v="New"/>
    <s v="Dealers &amp; Distributers"/>
    <s v="Ravi Kumar"/>
    <m/>
    <s v="Discussed on bulk order requirement "/>
    <s v="Negotitaion( C2 )"/>
    <d v="2026-10-24T00:00:00"/>
    <s v="Call"/>
    <m/>
    <m/>
    <s v="Warm"/>
    <n v="110000"/>
    <m/>
    <m/>
    <m/>
    <x v="5"/>
    <m/>
    <m/>
    <m/>
    <x v="4"/>
    <m/>
    <m/>
    <m/>
  </r>
  <r>
    <d v="2026-10-05T00:00:00"/>
    <s v="Pradeep"/>
    <s v="Hyderabad"/>
    <x v="193"/>
    <s v="F2F"/>
    <s v="Corporate"/>
    <x v="5"/>
    <s v="Bulk Order"/>
    <s v="New"/>
    <s v="Realestate"/>
    <s v="Akshay"/>
    <m/>
    <s v="Discussed on bulk order requirement "/>
    <s v="Negotitaion( C2 )"/>
    <d v="2026-10-26T00:00:00"/>
    <s v="Call"/>
    <m/>
    <m/>
    <s v="Warm"/>
    <n v="60000"/>
    <m/>
    <m/>
    <m/>
    <x v="5"/>
    <m/>
    <m/>
    <m/>
    <x v="4"/>
    <m/>
    <m/>
    <m/>
  </r>
  <r>
    <d v="2026-10-05T00:00:00"/>
    <s v="Pradeep"/>
    <s v="Hyderabad"/>
    <x v="151"/>
    <s v="F2F"/>
    <s v="Corporate"/>
    <x v="5"/>
    <s v="Bulk Order"/>
    <s v="New"/>
    <s v="Education"/>
    <s v="Amarnath"/>
    <m/>
    <s v="Proposed for bulk order"/>
    <s v="Follow-up( C1 )"/>
    <d v="2026-10-23T00:00:00"/>
    <s v="Call"/>
    <m/>
    <m/>
    <s v="Warm"/>
    <n v="40000"/>
    <m/>
    <m/>
    <m/>
    <x v="5"/>
    <m/>
    <m/>
    <m/>
    <x v="4"/>
    <m/>
    <m/>
    <m/>
  </r>
  <r>
    <d v="2026-10-05T00:00:00"/>
    <s v="Pradeep"/>
    <s v="Hyderabad"/>
    <x v="595"/>
    <s v="F2F"/>
    <s v="Corporate"/>
    <x v="5"/>
    <s v="Bulk Order"/>
    <s v="New"/>
    <s v="Automobile"/>
    <s v="Ravinder"/>
    <m/>
    <s v="Discussed on bulk order requirement "/>
    <s v="Follow-up( C1 )"/>
    <d v="2026-10-29T00:00:00"/>
    <s v="Call"/>
    <m/>
    <m/>
    <s v="Warm"/>
    <n v="20000"/>
    <m/>
    <m/>
    <m/>
    <x v="5"/>
    <m/>
    <m/>
    <m/>
    <x v="4"/>
    <m/>
    <m/>
    <m/>
  </r>
  <r>
    <d v="2026-10-06T00:00:00"/>
    <s v="Pradeep"/>
    <s v="Hyderabad"/>
    <x v="596"/>
    <s v="F2F"/>
    <s v="Corporate"/>
    <x v="5"/>
    <s v="Bulk Order"/>
    <s v="New"/>
    <s v="Healthcare"/>
    <s v="Kiran"/>
    <m/>
    <s v="Proposed for bulk order"/>
    <s v="Follow-up( C1 )"/>
    <d v="2026-10-23T00:00:00"/>
    <s v="Call"/>
    <m/>
    <m/>
    <s v="Cold"/>
    <n v="25000"/>
    <m/>
    <m/>
    <m/>
    <x v="5"/>
    <m/>
    <m/>
    <m/>
    <x v="4"/>
    <m/>
    <m/>
    <m/>
  </r>
  <r>
    <d v="2026-10-06T00:00:00"/>
    <s v="Pradeep"/>
    <s v="Hyderabad"/>
    <x v="556"/>
    <s v="F2F"/>
    <s v="Corporate"/>
    <x v="5"/>
    <s v="Bulk Order"/>
    <s v="New"/>
    <s v="Education"/>
    <s v="Sharath"/>
    <m/>
    <s v="Discussed on bulk order requirement "/>
    <s v="Introduction( C0 )"/>
    <d v="2026-10-25T00:00:00"/>
    <s v="Call"/>
    <m/>
    <m/>
    <s v="Warm"/>
    <n v="30000"/>
    <m/>
    <m/>
    <m/>
    <x v="5"/>
    <m/>
    <m/>
    <m/>
    <x v="4"/>
    <m/>
    <m/>
    <m/>
  </r>
  <r>
    <d v="2026-10-06T00:00:00"/>
    <s v="Pradeep"/>
    <s v="Hyderabad"/>
    <x v="597"/>
    <s v="F2F"/>
    <s v="Corporate"/>
    <x v="5"/>
    <s v="Bulk Order"/>
    <s v="New"/>
    <s v="It"/>
    <s v="MAmatha"/>
    <m/>
    <s v="Discussed on bulk order requirement "/>
    <s v="Negotitaion( C2 )"/>
    <d v="2026-10-26T00:00:00"/>
    <s v="Call"/>
    <m/>
    <m/>
    <s v="Warm"/>
    <n v="50000"/>
    <m/>
    <m/>
    <m/>
    <x v="5"/>
    <m/>
    <m/>
    <m/>
    <x v="4"/>
    <m/>
    <m/>
    <m/>
  </r>
  <r>
    <d v="2026-10-06T00:00:00"/>
    <s v="Pradeep"/>
    <s v="Hyderabad"/>
    <x v="598"/>
    <s v="F2F"/>
    <s v="Corporate"/>
    <x v="5"/>
    <s v="Bulk Order"/>
    <s v="New"/>
    <s v="Manufacturing"/>
    <s v="priya"/>
    <m/>
    <s v="Discussed on bulk order requirement "/>
    <s v="Negotitaion( C2 )"/>
    <d v="2026-10-29T00:00:00"/>
    <s v="Call"/>
    <m/>
    <m/>
    <s v="Warm"/>
    <n v="20000"/>
    <m/>
    <m/>
    <m/>
    <x v="5"/>
    <m/>
    <m/>
    <m/>
    <x v="4"/>
    <m/>
    <m/>
    <m/>
  </r>
  <r>
    <d v="2026-10-07T00:00:00"/>
    <s v="Pradeep"/>
    <s v="Hyderabad"/>
    <x v="156"/>
    <s v="Call"/>
    <s v="Aggregator"/>
    <x v="2"/>
    <s v="Bulk Order"/>
    <s v="New"/>
    <s v="F&amp;B Aggregator"/>
    <s v="Srinivas"/>
    <m/>
    <s v="Business Closed"/>
    <s v="Closed(C4)"/>
    <m/>
    <m/>
    <m/>
    <s v=""/>
    <s v="Hot"/>
    <n v="100000"/>
    <n v="208950"/>
    <d v="2026-10-07T00:00:00"/>
    <m/>
    <x v="26"/>
    <s v="Pending"/>
    <m/>
    <m/>
    <x v="4"/>
    <m/>
    <s v=""/>
    <m/>
  </r>
  <r>
    <d v="2026-10-07T00:00:00"/>
    <s v="Bashab"/>
    <s v="Hyderabad"/>
    <x v="156"/>
    <s v="Call"/>
    <s v="Aggregator"/>
    <x v="2"/>
    <s v="Bulk Order"/>
    <s v="New"/>
    <s v="F&amp;B Aggregator"/>
    <s v="Srinivas"/>
    <m/>
    <s v="Business Closed"/>
    <s v="Closed(C4)"/>
    <m/>
    <m/>
    <m/>
    <s v=""/>
    <s v="Hot"/>
    <n v="100000"/>
    <n v="208950"/>
    <d v="2026-10-07T00:00:00"/>
    <m/>
    <x v="26"/>
    <s v="Pending"/>
    <m/>
    <m/>
    <x v="4"/>
    <m/>
    <s v=""/>
    <m/>
  </r>
  <r>
    <d v="2026-10-08T00:00:00"/>
    <s v="Pradeep"/>
    <s v="Hyderabad"/>
    <x v="599"/>
    <s v="F2F"/>
    <s v="Corporate"/>
    <x v="5"/>
    <s v="Bulk Order"/>
    <s v="New"/>
    <s v="Healthcare"/>
    <s v="Shiva"/>
    <m/>
    <s v="Business Closed"/>
    <s v="Closed(C4)"/>
    <m/>
    <m/>
    <m/>
    <m/>
    <s v="Hot"/>
    <n v="20000"/>
    <n v="7709"/>
    <d v="2026-10-08T00:00:00"/>
    <s v="00STA02000041184"/>
    <x v="14"/>
    <s v="Received at Store"/>
    <m/>
    <d v="2026-10-08T00:00:00"/>
    <x v="4"/>
    <m/>
    <s v=""/>
    <s v="Takeaway-Bulk-Insti"/>
  </r>
  <r>
    <d v="2026-10-08T00:00:00"/>
    <s v="Sameer"/>
    <s v="Hyderabad"/>
    <x v="600"/>
    <s v="F2F"/>
    <s v="Corporate"/>
    <x v="5"/>
    <s v="Bulk Order"/>
    <s v="New"/>
    <s v="Manufacturing"/>
    <s v="Anand"/>
    <m/>
    <s v="Business confimed"/>
    <s v="Closed(C4)"/>
    <m/>
    <m/>
    <m/>
    <m/>
    <s v="Hot"/>
    <n v="0"/>
    <n v="0"/>
    <m/>
    <m/>
    <x v="14"/>
    <m/>
    <m/>
    <m/>
    <x v="4"/>
    <m/>
    <m/>
    <m/>
  </r>
  <r>
    <d v="2026-10-09T00:00:00"/>
    <s v="Pradeep"/>
    <s v="Hyderabad"/>
    <x v="164"/>
    <s v="F2F"/>
    <s v="Corporate"/>
    <x v="5"/>
    <s v="Bulk Order"/>
    <s v="New"/>
    <s v="Banking Finance &amp; Insurance"/>
    <s v="Sandeep"/>
    <m/>
    <s v="Business Closed"/>
    <s v="Closed(C4)"/>
    <m/>
    <m/>
    <m/>
    <m/>
    <s v="Hot"/>
    <n v="15000"/>
    <n v="6966"/>
    <d v="2026-10-10T00:00:00"/>
    <s v="00VNTA1000065745"/>
    <x v="35"/>
    <s v="Received at Store"/>
    <m/>
    <d v="2026-10-10T00:00:00"/>
    <x v="4"/>
    <m/>
    <s v=""/>
    <s v="Takeaway-Bulk-Insti"/>
  </r>
  <r>
    <d v="2026-10-09T00:00:00"/>
    <s v="Pradeep"/>
    <s v="Hyderabad"/>
    <x v="601"/>
    <s v="F2F"/>
    <s v="Corporate"/>
    <x v="5"/>
    <s v="Bulk Order"/>
    <s v="New"/>
    <s v="Dealers &amp; Distributers"/>
    <s v="Pawan"/>
    <m/>
    <s v="500 pax  food dinner requirement in January dine in at secunderabad"/>
    <s v="Confirmed( C3 )"/>
    <d v="2027-01-01T00:00:00"/>
    <s v="Call"/>
    <m/>
    <m/>
    <s v="Hot"/>
    <n v="300000"/>
    <m/>
    <d v="2027-01-02T00:00:00"/>
    <m/>
    <x v="14"/>
    <m/>
    <m/>
    <m/>
    <x v="8"/>
    <m/>
    <s v=""/>
    <m/>
  </r>
  <r>
    <d v="2026-10-09T00:00:00"/>
    <s v="Sameer"/>
    <s v="Hyderabad"/>
    <x v="602"/>
    <s v="F2F"/>
    <s v="Corporate"/>
    <x v="5"/>
    <s v="Bulk Order"/>
    <s v="New"/>
    <s v="Transport"/>
    <s v="Mallikarjuna"/>
    <m/>
    <s v="Pop-up Business closed delivery on 16th october"/>
    <s v="Closed(C4)"/>
    <m/>
    <m/>
    <m/>
    <m/>
    <s v="Hot"/>
    <n v="0"/>
    <n v="0"/>
    <m/>
    <m/>
    <x v="5"/>
    <m/>
    <m/>
    <m/>
    <x v="4"/>
    <m/>
    <s v=""/>
    <m/>
  </r>
  <r>
    <d v="2026-10-11T00:00:00"/>
    <s v="Pradeep"/>
    <s v="Hyderabad"/>
    <x v="61"/>
    <s v="Call"/>
    <s v="Bulk Order"/>
    <x v="5"/>
    <s v="Bulk Order"/>
    <s v="New"/>
    <s v="Family Group"/>
    <s v="Poonam"/>
    <m/>
    <s v="Business Closed"/>
    <s v="Closed(C4)"/>
    <m/>
    <m/>
    <m/>
    <m/>
    <s v="Hot"/>
    <n v="10000"/>
    <n v="3600"/>
    <d v="2026-10-11T00:00:00"/>
    <s v="00STA02000041852"/>
    <x v="14"/>
    <s v="Received at Store"/>
    <m/>
    <d v="2026-10-11T00:00:00"/>
    <x v="4"/>
    <m/>
    <s v=""/>
    <s v="Takeaway-Bulk-Insti"/>
  </r>
  <r>
    <d v="2026-10-12T00:00:00"/>
    <s v="Anushikha"/>
    <s v="Hyderabad"/>
    <x v="603"/>
    <s v="Call"/>
    <s v="Bulk Order"/>
    <x v="5"/>
    <s v="Bulk Order"/>
    <s v="New"/>
    <s v="Tourism"/>
    <s v="Ahmed"/>
    <m/>
    <s v="Discussed on bulk order"/>
    <s v="Introduction( C0 )"/>
    <m/>
    <m/>
    <m/>
    <m/>
    <m/>
    <m/>
    <m/>
    <m/>
    <m/>
    <x v="5"/>
    <m/>
    <m/>
    <m/>
    <x v="4"/>
    <m/>
    <s v=""/>
    <m/>
  </r>
  <r>
    <d v="2026-10-12T00:00:00"/>
    <s v="Anushikha"/>
    <s v="Hyderabad"/>
    <x v="604"/>
    <s v="Call"/>
    <s v="Bulk Order"/>
    <x v="5"/>
    <s v="Bulk Order"/>
    <s v="New"/>
    <s v="Others"/>
    <m/>
    <m/>
    <s v="Discussed on tie-ups"/>
    <s v="Introduction( C0 )"/>
    <m/>
    <m/>
    <m/>
    <m/>
    <m/>
    <m/>
    <m/>
    <m/>
    <m/>
    <x v="5"/>
    <m/>
    <m/>
    <m/>
    <x v="4"/>
    <m/>
    <s v=""/>
    <m/>
  </r>
  <r>
    <d v="2026-10-12T00:00:00"/>
    <s v="Anushikha"/>
    <s v="Hyderabad"/>
    <x v="605"/>
    <s v="Call"/>
    <s v="Bulk Order"/>
    <x v="5"/>
    <s v="Bulk Order"/>
    <s v="New"/>
    <s v="Others"/>
    <s v="neha"/>
    <m/>
    <s v="Discussed on tie-ups"/>
    <s v="Cancelled"/>
    <m/>
    <m/>
    <m/>
    <m/>
    <m/>
    <m/>
    <m/>
    <m/>
    <m/>
    <x v="5"/>
    <m/>
    <m/>
    <m/>
    <x v="4"/>
    <m/>
    <s v=""/>
    <m/>
  </r>
  <r>
    <d v="2026-10-13T00:00:00"/>
    <s v="Sameer"/>
    <s v="Hyderabad"/>
    <x v="606"/>
    <s v="F2F"/>
    <s v="ODC"/>
    <x v="5"/>
    <s v="Pop Up Counter"/>
    <s v="New"/>
    <s v="Exhibition"/>
    <s v="Tanmoy"/>
    <m/>
    <s v="Site visit and visibility planning"/>
    <s v="Confirmed( C3 )"/>
    <m/>
    <m/>
    <m/>
    <m/>
    <s v="Hot"/>
    <n v="0"/>
    <n v="0"/>
    <d v="2026-10-19T00:00:00"/>
    <m/>
    <x v="39"/>
    <m/>
    <m/>
    <m/>
    <x v="4"/>
    <m/>
    <s v=""/>
    <m/>
  </r>
  <r>
    <d v="2026-10-14T00:00:00"/>
    <s v="Pradeep"/>
    <s v="Hyderabad"/>
    <x v="156"/>
    <s v="Call"/>
    <s v="Aggregator"/>
    <x v="2"/>
    <s v="Bulk Order"/>
    <s v="New"/>
    <s v="F&amp;B Aggregator"/>
    <s v="Srinivas"/>
    <m/>
    <s v="Business Closed"/>
    <s v="Closed(C4)"/>
    <m/>
    <m/>
    <m/>
    <s v=""/>
    <s v="Hot"/>
    <n v="100000"/>
    <n v="109200"/>
    <d v="2026-10-14T00:00:00"/>
    <s v="CIFSPL071014"/>
    <x v="1"/>
    <s v="Pending"/>
    <m/>
    <m/>
    <x v="4"/>
    <m/>
    <s v=""/>
    <m/>
  </r>
  <r>
    <d v="2026-10-14T00:00:00"/>
    <s v="Bashab"/>
    <s v="Hyderabad"/>
    <x v="156"/>
    <s v="Call"/>
    <s v="Aggregator"/>
    <x v="2"/>
    <s v="Bulk Order"/>
    <s v="New"/>
    <s v="F&amp;B Aggregator"/>
    <s v="Srinivas"/>
    <m/>
    <s v="Business Closed"/>
    <s v="Closed(C4)"/>
    <m/>
    <m/>
    <m/>
    <s v=""/>
    <s v="Hot"/>
    <n v="100000"/>
    <n v="109200"/>
    <d v="2026-10-14T00:00:00"/>
    <s v="CIFSPL071014"/>
    <x v="1"/>
    <s v="Pending"/>
    <m/>
    <m/>
    <x v="4"/>
    <m/>
    <s v=""/>
    <m/>
  </r>
  <r>
    <d v="2026-10-16T00:00:00"/>
    <s v="Anushikha"/>
    <s v="Hyderabad"/>
    <x v="607"/>
    <s v="Call"/>
    <s v="Corporate"/>
    <x v="5"/>
    <s v="Bulk Order"/>
    <s v="New"/>
    <s v="Transport"/>
    <s v="Gautam"/>
    <m/>
    <s v="Business Closed"/>
    <s v="Closed(C4)"/>
    <m/>
    <m/>
    <m/>
    <m/>
    <s v="Hot"/>
    <n v="200000"/>
    <n v="241870"/>
    <d v="2026-10-16T00:00:00"/>
    <m/>
    <x v="1"/>
    <m/>
    <m/>
    <m/>
    <x v="4"/>
    <m/>
    <m/>
    <m/>
  </r>
  <r>
    <d v="2026-10-17T00:00:00"/>
    <s v="Sameer"/>
    <s v="Hyderabad"/>
    <x v="495"/>
    <s v="F2F"/>
    <s v="Gifting"/>
    <x v="5"/>
    <s v="Bulk Order"/>
    <s v="New"/>
    <s v="Manufacturing"/>
    <s v="Harsha"/>
    <m/>
    <s v="Business Closed"/>
    <s v="Closed(C4)"/>
    <m/>
    <m/>
    <m/>
    <m/>
    <s v="Hot"/>
    <n v="2500000"/>
    <n v="3027675"/>
    <d v="2026-10-17T00:00:00"/>
    <s v="PFCPL1126"/>
    <x v="14"/>
    <s v="Received at HO"/>
    <m/>
    <d v="2026-10-19T00:00:00"/>
    <x v="4"/>
    <m/>
    <s v=""/>
    <m/>
  </r>
  <r>
    <d v="2026-10-18T00:00:00"/>
    <s v="Anushikha"/>
    <s v="Hyderabad"/>
    <x v="608"/>
    <s v="Call"/>
    <s v="Corporate"/>
    <x v="5"/>
    <s v="Bulk Order"/>
    <s v="New"/>
    <s v="Transport"/>
    <s v="Lakshman"/>
    <m/>
    <s v="Business Closed"/>
    <s v="Closed(C4)"/>
    <m/>
    <m/>
    <m/>
    <m/>
    <s v="Hot"/>
    <n v="30000"/>
    <n v="33000"/>
    <d v="2026-10-18T00:00:00"/>
    <m/>
    <x v="1"/>
    <m/>
    <m/>
    <m/>
    <x v="4"/>
    <m/>
    <s v=""/>
    <m/>
  </r>
  <r>
    <d v="2026-10-18T00:00:00"/>
    <s v="Anushikha"/>
    <s v="Hyderabad"/>
    <x v="609"/>
    <s v="Call"/>
    <s v="Corporate"/>
    <x v="5"/>
    <s v="Bulk Order"/>
    <s v="New"/>
    <s v="Transport"/>
    <s v="Rohit"/>
    <m/>
    <s v="Business Closed"/>
    <s v="Closed(C4)"/>
    <m/>
    <m/>
    <m/>
    <m/>
    <s v="Hot"/>
    <n v="65000"/>
    <n v="75000"/>
    <d v="2026-10-18T00:00:00"/>
    <m/>
    <x v="1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  <r>
    <m/>
    <m/>
    <m/>
    <x v="610"/>
    <m/>
    <m/>
    <x v="5"/>
    <m/>
    <m/>
    <m/>
    <m/>
    <m/>
    <m/>
    <m/>
    <m/>
    <m/>
    <m/>
    <m/>
    <m/>
    <m/>
    <m/>
    <m/>
    <m/>
    <x v="5"/>
    <m/>
    <m/>
    <m/>
    <x v="4"/>
    <m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1">
  <r>
    <d v="2026-04-01T00:00:00"/>
    <s v="Sameer"/>
    <s v="Hyderabad"/>
    <x v="0"/>
    <s v="Call"/>
    <s v="Aggregator"/>
    <s v="Hunger Box"/>
    <s v="Popup Counter"/>
    <s v="Repeat"/>
    <s v="F&amp;B Aggregator"/>
    <s v="Praveen"/>
    <m/>
    <s v="Haleem popup  1-04-2026 Gudimalkapur"/>
    <s v="Closed(C4)"/>
    <m/>
    <m/>
    <s v=""/>
    <s v=""/>
    <s v="Hot"/>
    <n v="7200"/>
    <n v="7200"/>
    <d v="2026-04-01T00:00:00"/>
    <m/>
    <x v="0"/>
    <s v="Received at HO"/>
    <m/>
    <d v="2026-04-30T00:00:00"/>
    <x v="0"/>
    <s v="Yes"/>
    <n v="144"/>
    <m/>
  </r>
  <r>
    <d v="2026-04-01T00:00:00"/>
    <s v="Sameer"/>
    <s v="Hyderabad"/>
    <x v="1"/>
    <s v="F2F"/>
    <s v="Aggregator"/>
    <s v="Hunger Box"/>
    <s v="Popup Counter"/>
    <s v="Repeat"/>
    <s v="F&amp;B Aggregator"/>
    <s v="Rajender"/>
    <m/>
    <s v="Popup from BHEL on 01-4-2026"/>
    <s v="Closed(C4)"/>
    <m/>
    <m/>
    <s v=""/>
    <s v=""/>
    <s v="Hot"/>
    <n v="72790"/>
    <n v="72790"/>
    <d v="2026-04-01T00:00:00"/>
    <m/>
    <x v="1"/>
    <s v="Received at HO"/>
    <m/>
    <d v="2026-04-30T00:00:00"/>
    <x v="0"/>
    <m/>
    <s v=""/>
    <m/>
  </r>
  <r>
    <d v="2026-04-01T00:00:00"/>
    <s v="Sameer"/>
    <s v="Hyderabad"/>
    <x v="2"/>
    <s v="F2F"/>
    <s v="Aggregator"/>
    <s v="SmartQ"/>
    <s v="Popup Counter"/>
    <s v="Repeat"/>
    <s v="F&amp;B Aggregator"/>
    <s v="Samruddhi"/>
    <m/>
    <s v="Popup on 1-4-2026 gachibowli"/>
    <s v="Closed(C4)"/>
    <m/>
    <m/>
    <s v=""/>
    <s v=""/>
    <s v="Hot"/>
    <n v="38810"/>
    <n v="38810"/>
    <d v="2026-04-01T00:00:00"/>
    <s v="00GCBTA000287033"/>
    <x v="2"/>
    <s v="Received at HO"/>
    <m/>
    <d v="2026-04-30T00:00:00"/>
    <x v="0"/>
    <m/>
    <s v=""/>
    <m/>
  </r>
  <r>
    <d v="2026-04-01T00:00:00"/>
    <s v="Sameer"/>
    <s v="Bangalore"/>
    <x v="3"/>
    <s v="Call"/>
    <s v="Aggregator"/>
    <s v="Compass"/>
    <s v="Bulk Order"/>
    <s v="Repeat"/>
    <s v="F&amp;B Agrigator"/>
    <s v="Saad"/>
    <m/>
    <s v="Delivery on 1-4-2026 from HSR"/>
    <s v="Closed(C4)"/>
    <m/>
    <m/>
    <s v=""/>
    <s v=""/>
    <s v="Hot"/>
    <n v="22456"/>
    <n v="20166"/>
    <d v="2026-04-01T00:00:00"/>
    <s v="00HSA06000002828"/>
    <x v="3"/>
    <s v="Received at HO"/>
    <m/>
    <d v="2026-05-30T00:00:00"/>
    <x v="0"/>
    <m/>
    <s v=""/>
    <m/>
  </r>
  <r>
    <d v="2026-04-01T00:00:00"/>
    <s v="Sameer"/>
    <s v="Hyderabad"/>
    <x v="4"/>
    <s v="Call"/>
    <s v="Aggregator"/>
    <s v="Compass"/>
    <s v="Bulk Order"/>
    <s v="New"/>
    <s v="F&amp;B Agrigator"/>
    <s v="Suman"/>
    <m/>
    <s v="CB , VB on 1-4-2026 from Hitec"/>
    <s v="Closed(C4)"/>
    <m/>
    <m/>
    <s v=""/>
    <s v=""/>
    <s v="Hot"/>
    <n v="54200"/>
    <n v="54200"/>
    <d v="2026-04-01T00:00:00"/>
    <s v="00HCA05000015649"/>
    <x v="4"/>
    <s v="Received at HO"/>
    <m/>
    <d v="2026-05-30T00:00:00"/>
    <x v="0"/>
    <m/>
    <s v=""/>
    <m/>
  </r>
  <r>
    <d v="2026-04-01T00:00:00"/>
    <s v="Bashab"/>
    <s v="Bangalore"/>
    <x v="5"/>
    <s v="Call"/>
    <s v="Aggregator"/>
    <s v="Gokhana"/>
    <m/>
    <m/>
    <s v="F&amp;B Aggregator"/>
    <s v="Taranjot"/>
    <m/>
    <s v="Following for corporate pop-up and bulkorders"/>
    <s v="Introduction( C0 )"/>
    <m/>
    <m/>
    <n v="201"/>
    <s v=""/>
    <s v="Warm"/>
    <m/>
    <m/>
    <m/>
    <m/>
    <x v="5"/>
    <m/>
    <m/>
    <m/>
    <x v="0"/>
    <m/>
    <s v=""/>
    <m/>
  </r>
  <r>
    <d v="2026-04-01T00:00:00"/>
    <s v="Bashab"/>
    <s v="Hyderabad"/>
    <x v="5"/>
    <s v="Call"/>
    <s v="Aggregator"/>
    <s v="Gokhana"/>
    <m/>
    <m/>
    <s v="F&amp;B Aggregator"/>
    <s v="Taranjot"/>
    <m/>
    <s v="Following for corporate pop-up and bulkorders"/>
    <s v="Follow-up( C1 )"/>
    <d v="2026-09-19T00:00:00"/>
    <s v="F2F"/>
    <n v="201"/>
    <s v="Yes"/>
    <s v="Warm"/>
    <m/>
    <m/>
    <m/>
    <m/>
    <x v="5"/>
    <m/>
    <m/>
    <m/>
    <x v="0"/>
    <m/>
    <s v=""/>
    <m/>
  </r>
  <r>
    <d v="2026-04-01T00:00:00"/>
    <s v="Bashab"/>
    <s v="Bangalore"/>
    <x v="6"/>
    <s v="Call"/>
    <s v="Aggregator"/>
    <s v="Meals &amp; More"/>
    <m/>
    <m/>
    <s v="F&amp;B Aggregator"/>
    <s v="Satyam"/>
    <m/>
    <s v="Got some negative feedback from the organizers, currently on Hold"/>
    <s v="Follow-up( C1 )"/>
    <d v="2026-09-25T00:00:00"/>
    <s v="Call"/>
    <n v="201"/>
    <s v="Yes"/>
    <s v="Cold"/>
    <m/>
    <m/>
    <m/>
    <m/>
    <x v="5"/>
    <m/>
    <m/>
    <m/>
    <x v="0"/>
    <m/>
    <s v=""/>
    <m/>
  </r>
  <r>
    <d v="2026-04-01T00:00:00"/>
    <s v="Bashab"/>
    <s v="Bangalore"/>
    <x v="7"/>
    <s v="F2F"/>
    <s v="Corporate"/>
    <m/>
    <m/>
    <m/>
    <s v="Banking Finance &amp; Insurance"/>
    <s v="Santosh"/>
    <m/>
    <s v="Follow Up"/>
    <s v="Follow-up( C1 )"/>
    <m/>
    <m/>
    <n v="201"/>
    <s v=""/>
    <s v="Warm"/>
    <m/>
    <m/>
    <m/>
    <m/>
    <x v="5"/>
    <m/>
    <m/>
    <m/>
    <x v="0"/>
    <m/>
    <s v=""/>
    <m/>
  </r>
  <r>
    <d v="2026-04-01T00:00:00"/>
    <s v="Bashab"/>
    <s v="Bangalore"/>
    <x v="8"/>
    <s v="F2F"/>
    <s v="Corporate"/>
    <m/>
    <m/>
    <m/>
    <m/>
    <s v="Ajay"/>
    <m/>
    <s v="Follow Up"/>
    <s v="Follow-up( C1 )"/>
    <d v="2026-09-25T00:00:00"/>
    <s v="F2F"/>
    <n v="201"/>
    <s v="Yes"/>
    <s v="Hot"/>
    <m/>
    <m/>
    <m/>
    <m/>
    <x v="5"/>
    <m/>
    <m/>
    <m/>
    <x v="0"/>
    <m/>
    <s v=""/>
    <m/>
  </r>
  <r>
    <d v="2026-04-01T00:00:00"/>
    <s v="Bashab"/>
    <s v="Bangalore"/>
    <x v="9"/>
    <s v="Call"/>
    <s v="Aggregator"/>
    <s v="Hunger Box"/>
    <m/>
    <m/>
    <s v="F&amp;B Aggregator"/>
    <s v="Palna"/>
    <m/>
    <s v="Follow Up"/>
    <s v="Follow-up( C1 )"/>
    <d v="2026-09-18T00:00:00"/>
    <s v="F2F"/>
    <n v="201"/>
    <s v="Yes"/>
    <s v="Hot"/>
    <m/>
    <m/>
    <m/>
    <m/>
    <x v="5"/>
    <m/>
    <m/>
    <m/>
    <x v="0"/>
    <m/>
    <s v=""/>
    <m/>
  </r>
  <r>
    <d v="2026-04-01T00:00:00"/>
    <s v="Bashab"/>
    <s v="Chennai"/>
    <x v="9"/>
    <s v="Call"/>
    <s v="Aggregator"/>
    <s v="Hunger Box"/>
    <m/>
    <m/>
    <s v="F&amp;B Aggregator"/>
    <s v="Palna"/>
    <m/>
    <s v="Follow Up"/>
    <s v="Follow-up( C1 )"/>
    <d v="2026-09-18T00:00:00"/>
    <s v="Call"/>
    <n v="201"/>
    <s v="Yes"/>
    <s v="Hot"/>
    <m/>
    <m/>
    <m/>
    <m/>
    <x v="5"/>
    <m/>
    <m/>
    <m/>
    <x v="0"/>
    <m/>
    <s v=""/>
    <m/>
  </r>
  <r>
    <d v="2026-04-01T00:00:00"/>
    <s v="Bashab"/>
    <s v="Bangalore"/>
    <x v="10"/>
    <s v="Call"/>
    <s v="Aggregator"/>
    <s v="Compass"/>
    <m/>
    <m/>
    <s v="F&amp;B Aggregator"/>
    <s v="Saurabh"/>
    <m/>
    <s v="Trying to push our brand, expecting some business from Jan 2nd Half"/>
    <s v="Closed(C4)"/>
    <m/>
    <m/>
    <s v=""/>
    <s v=""/>
    <s v="Warm"/>
    <m/>
    <m/>
    <m/>
    <m/>
    <x v="5"/>
    <m/>
    <m/>
    <m/>
    <x v="0"/>
    <m/>
    <s v=""/>
    <m/>
  </r>
  <r>
    <d v="2026-04-01T00:00:00"/>
    <s v="Bashab"/>
    <s v="Bangalore"/>
    <x v="11"/>
    <s v="F2F"/>
    <s v="Corporate"/>
    <m/>
    <m/>
    <m/>
    <s v="It"/>
    <s v="Vishwanath"/>
    <m/>
    <s v="Follow-up"/>
    <s v="Follow-up( C1 )"/>
    <m/>
    <m/>
    <n v="201"/>
    <s v=""/>
    <s v="Warm"/>
    <m/>
    <m/>
    <m/>
    <m/>
    <x v="5"/>
    <m/>
    <m/>
    <m/>
    <x v="0"/>
    <m/>
    <s v=""/>
    <m/>
  </r>
  <r>
    <d v="2026-04-01T00:00:00"/>
    <s v="Bashab"/>
    <s v="Bangalore"/>
    <x v="12"/>
    <s v="F2F"/>
    <s v="Corporate"/>
    <m/>
    <m/>
    <m/>
    <s v="Banking Finance &amp; Insurance"/>
    <s v="Gopal"/>
    <m/>
    <s v="Proposed for Corporate events, Bulk Orders"/>
    <s v="Follow-up( C1 )"/>
    <d v="2026-09-25T00:00:00"/>
    <s v="F2F"/>
    <n v="201"/>
    <s v="Yes"/>
    <s v="Warm"/>
    <m/>
    <m/>
    <m/>
    <m/>
    <x v="5"/>
    <m/>
    <m/>
    <m/>
    <x v="0"/>
    <m/>
    <s v=""/>
    <m/>
  </r>
  <r>
    <d v="2026-04-01T00:00:00"/>
    <s v="Bashab"/>
    <s v="Hyderabad"/>
    <x v="13"/>
    <s v="Call"/>
    <s v="Aggregator"/>
    <m/>
    <m/>
    <m/>
    <s v="Events"/>
    <s v="Ashutosh"/>
    <m/>
    <s v="Event date is from 4th to 6th HiTex"/>
    <s v="Confirmed( C3 )"/>
    <m/>
    <m/>
    <m/>
    <s v=""/>
    <s v="Hot"/>
    <m/>
    <m/>
    <m/>
    <m/>
    <x v="5"/>
    <m/>
    <m/>
    <m/>
    <x v="0"/>
    <m/>
    <s v=""/>
    <m/>
  </r>
  <r>
    <d v="2026-04-01T00:00:00"/>
    <s v="Bashab"/>
    <s v="Bangalore"/>
    <x v="14"/>
    <s v="F2F"/>
    <s v="Corporate"/>
    <m/>
    <s v="Bulk Order"/>
    <s v="Repeat"/>
    <s v="It"/>
    <s v="Sashi"/>
    <m/>
    <s v="Business Closed"/>
    <s v="Closed(C4)"/>
    <m/>
    <m/>
    <s v=""/>
    <s v=""/>
    <s v="Hot"/>
    <n v="10095"/>
    <n v="10095"/>
    <d v="2026-04-01T00:00:00"/>
    <s v="00ENA01000003840"/>
    <x v="6"/>
    <s v="Received at Store"/>
    <m/>
    <m/>
    <x v="0"/>
    <m/>
    <s v=""/>
    <m/>
  </r>
  <r>
    <d v="2026-04-01T00:00:00"/>
    <s v="Bashab"/>
    <s v="Bangalore"/>
    <x v="15"/>
    <s v="Call"/>
    <s v="Corporate"/>
    <m/>
    <s v="Pop Up Counter"/>
    <s v="Repeat"/>
    <m/>
    <s v="James"/>
    <m/>
    <s v="Business Closed"/>
    <s v="Closed(C4)"/>
    <m/>
    <m/>
    <s v=""/>
    <s v=""/>
    <s v="Hot"/>
    <n v="7200"/>
    <n v="7200"/>
    <d v="2026-04-01T00:00:00"/>
    <m/>
    <x v="7"/>
    <s v="Received at Store"/>
    <m/>
    <m/>
    <x v="0"/>
    <m/>
    <s v=""/>
    <m/>
  </r>
  <r>
    <d v="2026-04-01T00:00:00"/>
    <s v="Bashab"/>
    <s v="Bangalore"/>
    <x v="16"/>
    <s v="Call"/>
    <s v="Corporate"/>
    <m/>
    <s v="Bulk Order"/>
    <s v="Repeat"/>
    <s v="Retail"/>
    <s v="Mohammed"/>
    <m/>
    <s v="Business Closed"/>
    <s v="Closed(C4)"/>
    <m/>
    <m/>
    <s v=""/>
    <s v=""/>
    <s v="Hot"/>
    <n v="22456"/>
    <n v="20166"/>
    <d v="2026-04-01T00:00:00"/>
    <s v="00HSA06000002828"/>
    <x v="3"/>
    <s v="Received at HO"/>
    <m/>
    <m/>
    <x v="0"/>
    <m/>
    <s v=""/>
    <m/>
  </r>
  <r>
    <d v="2026-04-02T00:00:00"/>
    <s v="Sameer"/>
    <s v="Hyderabad"/>
    <x v="1"/>
    <s v="F2F"/>
    <s v="Aggregator"/>
    <s v="Hunger Box"/>
    <s v="Popup Counter"/>
    <s v="Repeat"/>
    <s v="F&amp;B Agrigator"/>
    <s v="Rajender"/>
    <m/>
    <s v="Popup from BHEL on 02-4-2026  "/>
    <s v="Closed(C4)"/>
    <m/>
    <m/>
    <s v=""/>
    <s v=""/>
    <s v="Hot"/>
    <n v="48640"/>
    <n v="48640"/>
    <d v="2026-04-02T00:00:00"/>
    <m/>
    <x v="1"/>
    <s v="Received at HO"/>
    <m/>
    <d v="2026-04-30T00:00:00"/>
    <x v="0"/>
    <m/>
    <s v=""/>
    <m/>
  </r>
  <r>
    <d v="2026-04-02T00:00:00"/>
    <s v="Sameer"/>
    <s v="Hyderabad"/>
    <x v="2"/>
    <s v="F2F"/>
    <s v="Aggregator"/>
    <s v="SmartQ"/>
    <s v="Popup Counter"/>
    <s v="Repeat"/>
    <s v="F&amp;B Agrigator"/>
    <s v="Samruddhi"/>
    <m/>
    <s v="Popup on 2-4-2026 Gachibowli"/>
    <s v="Closed(C4)"/>
    <m/>
    <m/>
    <s v=""/>
    <s v=""/>
    <s v="Hot"/>
    <n v="42480"/>
    <n v="42480"/>
    <d v="2026-04-02T00:00:00"/>
    <s v="_x0009__x000a_00GCBTA000287036"/>
    <x v="2"/>
    <s v="Received at HO"/>
    <m/>
    <d v="2026-04-30T00:00:00"/>
    <x v="0"/>
    <m/>
    <s v=""/>
    <m/>
  </r>
  <r>
    <d v="2026-04-02T00:00:00"/>
    <s v="Sameer"/>
    <s v="Hyderabad"/>
    <x v="0"/>
    <s v="Call"/>
    <s v="Aggregator"/>
    <s v="Hunger Box"/>
    <s v="Popup Counter"/>
    <s v="Repeat"/>
    <s v="F&amp;B Agrigator"/>
    <s v="Praveen"/>
    <m/>
    <s v="Haleem popup  2-04-2026 Gudimalkapur"/>
    <s v="Closed(C4)"/>
    <m/>
    <m/>
    <s v=""/>
    <s v=""/>
    <s v="Hot"/>
    <n v="8500"/>
    <n v="8500"/>
    <d v="2026-04-02T00:00:00"/>
    <m/>
    <x v="0"/>
    <s v="Received at HO"/>
    <m/>
    <d v="2026-04-30T00:00:00"/>
    <x v="0"/>
    <m/>
    <s v=""/>
    <m/>
  </r>
  <r>
    <d v="2026-04-02T00:00:00"/>
    <s v="Bashab"/>
    <s v="Bangalore"/>
    <x v="17"/>
    <s v="F2F"/>
    <s v="Corporate"/>
    <m/>
    <s v="Bulk Order"/>
    <s v="Repeat"/>
    <s v="It"/>
    <s v="Joshi"/>
    <m/>
    <s v="Business Closed"/>
    <s v="Closed(C4)"/>
    <m/>
    <m/>
    <s v=""/>
    <s v=""/>
    <s v="Hot"/>
    <n v="8850"/>
    <n v="8850"/>
    <d v="2026-04-02T00:00:00"/>
    <s v="00JNC01000016878"/>
    <x v="8"/>
    <s v="Received at Store"/>
    <m/>
    <m/>
    <x v="0"/>
    <m/>
    <s v=""/>
    <m/>
  </r>
  <r>
    <d v="2026-04-02T00:00:00"/>
    <s v="Bashab"/>
    <s v="Bangalore"/>
    <x v="18"/>
    <s v="Call"/>
    <s v="Corporate"/>
    <m/>
    <s v="Pop Up Counter"/>
    <s v="Repeat"/>
    <m/>
    <s v="Vinod"/>
    <m/>
    <s v="Business Closed"/>
    <s v="Closed(C4)"/>
    <m/>
    <m/>
    <s v=""/>
    <s v=""/>
    <s v="Hot"/>
    <n v="14678"/>
    <n v="14678"/>
    <d v="2026-04-02T00:00:00"/>
    <m/>
    <x v="7"/>
    <s v="Received at Store"/>
    <m/>
    <m/>
    <x v="0"/>
    <m/>
    <s v=""/>
    <m/>
  </r>
  <r>
    <d v="2026-04-03T00:00:00"/>
    <s v="Sameer"/>
    <s v="Hyderabad"/>
    <x v="19"/>
    <s v="F2F"/>
    <s v="Corporate"/>
    <m/>
    <s v="Bulk Order"/>
    <s v="New"/>
    <s v="Automobile"/>
    <s v="Balajirao"/>
    <m/>
    <s v="Shared details of Advance booking vouchers at Nexus Mall"/>
    <s v="Cancelled"/>
    <m/>
    <m/>
    <n v="199"/>
    <s v=""/>
    <s v="Cold"/>
    <n v="30000"/>
    <m/>
    <d v="2026-04-24T00:00:00"/>
    <m/>
    <x v="9"/>
    <m/>
    <m/>
    <m/>
    <x v="0"/>
    <m/>
    <s v=""/>
    <m/>
  </r>
  <r>
    <d v="2026-04-03T00:00:00"/>
    <s v="Sameer"/>
    <s v="Hyderabad"/>
    <x v="20"/>
    <s v="Call"/>
    <s v="Aggregator"/>
    <s v="SmartQ"/>
    <s v="Popup Counter"/>
    <s v="Repeat"/>
    <s v="F&amp;B Agrigator"/>
    <s v="Priyansh"/>
    <m/>
    <s v="popup  3-04-2026 Gachibowli"/>
    <s v="Closed(C4)"/>
    <m/>
    <m/>
    <s v=""/>
    <s v=""/>
    <s v="Hot"/>
    <n v="72210"/>
    <n v="72210"/>
    <d v="2026-04-03T00:00:00"/>
    <s v="00GCBTA000287037"/>
    <x v="2"/>
    <s v="Received at HO"/>
    <m/>
    <d v="2026-04-30T00:00:00"/>
    <x v="0"/>
    <m/>
    <s v=""/>
    <m/>
  </r>
  <r>
    <d v="2026-04-03T00:00:00"/>
    <s v="Sameer"/>
    <s v="Hyderabad"/>
    <x v="21"/>
    <s v="Call"/>
    <s v="Aggregator"/>
    <s v="SmartQ"/>
    <s v="Popup Counter"/>
    <s v="Repeat"/>
    <s v="F&amp;B Agrigator"/>
    <s v="Priyansh"/>
    <m/>
    <s v="Popup 3-4-2026 Sarat City 4th Floor"/>
    <s v="Closed(C4)"/>
    <m/>
    <m/>
    <s v=""/>
    <s v=""/>
    <s v="Hot"/>
    <n v="19250"/>
    <n v="19250"/>
    <d v="2026-04-03T00:00:00"/>
    <m/>
    <x v="10"/>
    <s v="Received at HO"/>
    <m/>
    <d v="2026-04-30T00:00:00"/>
    <x v="0"/>
    <m/>
    <s v=""/>
    <m/>
  </r>
  <r>
    <d v="2026-04-03T00:00:00"/>
    <s v="Sameer"/>
    <s v="Hyderabad"/>
    <x v="1"/>
    <s v="F2F"/>
    <s v="Aggregator"/>
    <s v="Hunger Box"/>
    <s v="Popup Counter"/>
    <s v="New"/>
    <s v="F&amp;B Agrigator"/>
    <s v="Rajender"/>
    <m/>
    <s v="Popup from BHEL on 03-4-2026  "/>
    <s v="Closed(C4)"/>
    <m/>
    <m/>
    <s v=""/>
    <s v=""/>
    <s v="Hot"/>
    <n v="50320"/>
    <n v="50320"/>
    <d v="2026-04-03T00:00:00"/>
    <m/>
    <x v="1"/>
    <s v="Received at HO"/>
    <m/>
    <d v="2026-04-30T00:00:00"/>
    <x v="0"/>
    <m/>
    <s v=""/>
    <m/>
  </r>
  <r>
    <d v="2026-04-03T00:00:00"/>
    <s v="Sameer"/>
    <s v="Hyderabad"/>
    <x v="0"/>
    <s v="Call"/>
    <s v="Aggregator"/>
    <s v="Hunger Box"/>
    <s v="Popup Counter"/>
    <s v="Repeat"/>
    <s v="F&amp;B Agrigator"/>
    <s v="Praveen"/>
    <m/>
    <s v="Haleem popup  3-04-2026 Gudimalkapur"/>
    <s v="Closed(C4)"/>
    <m/>
    <m/>
    <s v=""/>
    <s v=""/>
    <s v="Hot"/>
    <n v="10200"/>
    <n v="10200"/>
    <d v="2026-04-03T00:00:00"/>
    <m/>
    <x v="0"/>
    <s v="Received at HO"/>
    <m/>
    <d v="2026-04-30T00:00:00"/>
    <x v="0"/>
    <m/>
    <s v=""/>
    <m/>
  </r>
  <r>
    <d v="2026-04-03T00:00:00"/>
    <s v="Bashab"/>
    <s v="Bangalore"/>
    <x v="22"/>
    <s v="F2F"/>
    <s v="Corporate"/>
    <m/>
    <s v="Bulk Order"/>
    <s v="Repeat"/>
    <s v="It"/>
    <s v="Monty"/>
    <m/>
    <s v="Business Closed"/>
    <s v="Closed(C4)"/>
    <m/>
    <m/>
    <s v=""/>
    <s v=""/>
    <s v="Hot"/>
    <n v="6090"/>
    <n v="6090"/>
    <d v="2026-04-03T00:00:00"/>
    <s v="00JNC01000016924"/>
    <x v="8"/>
    <s v="Received at Store"/>
    <m/>
    <m/>
    <x v="0"/>
    <m/>
    <s v=""/>
    <m/>
  </r>
  <r>
    <d v="2026-04-03T00:00:00"/>
    <s v="Bashab"/>
    <s v="Bangalore"/>
    <x v="23"/>
    <s v="F2F"/>
    <s v="Corporate"/>
    <m/>
    <s v="Bulk Order"/>
    <s v="Repeat"/>
    <s v="It"/>
    <s v="Sunitha"/>
    <m/>
    <s v="Business Closed"/>
    <s v="Closed(C4)"/>
    <m/>
    <m/>
    <s v=""/>
    <s v=""/>
    <s v="Hot"/>
    <n v="6070"/>
    <n v="6070"/>
    <d v="2026-04-03T00:00:00"/>
    <s v="00WFC01000026256"/>
    <x v="7"/>
    <s v="Received at Store"/>
    <m/>
    <m/>
    <x v="0"/>
    <m/>
    <s v=""/>
    <m/>
  </r>
  <r>
    <d v="2026-04-04T00:00:00"/>
    <s v="Sameer"/>
    <s v="Hyderabad"/>
    <x v="24"/>
    <s v="F2F"/>
    <s v="Aggregator"/>
    <s v="Pinnacle"/>
    <s v="Popup Counter"/>
    <s v="New"/>
    <s v="Pharma"/>
    <s v="Nawsad"/>
    <m/>
    <s v="Popup at Hitex on 4-4-2026 Hitec City"/>
    <s v="Closed(C4)"/>
    <m/>
    <m/>
    <s v=""/>
    <s v=""/>
    <s v="Hot"/>
    <n v="34120"/>
    <n v="34120"/>
    <d v="2026-04-04T00:00:00"/>
    <m/>
    <x v="4"/>
    <s v="Received at HO"/>
    <m/>
    <d v="2026-04-30T00:00:00"/>
    <x v="0"/>
    <m/>
    <s v=""/>
    <m/>
  </r>
  <r>
    <d v="2026-04-04T00:00:00"/>
    <s v="Sameer"/>
    <s v="Hyderabad"/>
    <x v="25"/>
    <s v="Call"/>
    <s v="Aggregator"/>
    <s v="Compass"/>
    <s v="Popup Counter"/>
    <s v="New"/>
    <s v="Pharma"/>
    <s v="Bibekananda"/>
    <m/>
    <s v="Delivery of CB from Gachibowli 4-4-2026"/>
    <s v="Closed(C4)"/>
    <m/>
    <m/>
    <s v=""/>
    <s v=""/>
    <s v="Hot"/>
    <n v="24800"/>
    <n v="24800"/>
    <d v="2026-04-04T00:00:00"/>
    <s v="00GCBTA000287089"/>
    <x v="2"/>
    <s v="Received at HO"/>
    <m/>
    <d v="2026-05-30T00:00:00"/>
    <x v="0"/>
    <m/>
    <s v=""/>
    <m/>
  </r>
  <r>
    <d v="2026-04-04T00:00:00"/>
    <s v="Bashab"/>
    <s v="Hyderabad"/>
    <x v="26"/>
    <s v="Call"/>
    <s v="Aggregator"/>
    <s v="Pinnacle"/>
    <s v="Popup Counter"/>
    <s v="New"/>
    <s v="Pharma"/>
    <s v="Ashutosh"/>
    <m/>
    <s v="Business Closed"/>
    <s v="Closed(C4)"/>
    <m/>
    <m/>
    <s v=""/>
    <s v=""/>
    <s v="Hot"/>
    <n v="34120"/>
    <n v="34120"/>
    <d v="2026-04-04T00:00:00"/>
    <m/>
    <x v="5"/>
    <s v="Received at HO"/>
    <m/>
    <m/>
    <x v="0"/>
    <m/>
    <s v=""/>
    <m/>
  </r>
  <r>
    <d v="2026-04-05T00:00:00"/>
    <s v="Sameer"/>
    <s v="Hyderabad"/>
    <x v="27"/>
    <s v="Call"/>
    <s v="Bulk Order"/>
    <m/>
    <s v="Popup Counter"/>
    <s v="New"/>
    <s v="Pharma"/>
    <s v="Sunita Bomma"/>
    <m/>
    <s v="Delivery of MB Gachibowli"/>
    <s v="Closed(C4)"/>
    <m/>
    <m/>
    <s v=""/>
    <s v=""/>
    <s v="Hot"/>
    <n v="8800"/>
    <n v="8800"/>
    <d v="2026-04-04T00:00:00"/>
    <m/>
    <x v="2"/>
    <s v="Received at Store"/>
    <m/>
    <d v="2026-04-05T00:00:00"/>
    <x v="0"/>
    <m/>
    <s v=""/>
    <m/>
  </r>
  <r>
    <d v="2026-04-05T00:00:00"/>
    <s v="Sameer"/>
    <s v="Hyderabad"/>
    <x v="24"/>
    <s v="Call"/>
    <s v="Aggregator"/>
    <s v="Pinnacle"/>
    <s v="Popup Counter"/>
    <s v="New"/>
    <s v="Pharma"/>
    <s v="Nawsad"/>
    <m/>
    <s v="Popup at Hitex on 5-4-2026 Hitec City"/>
    <s v="Closed(C4)"/>
    <m/>
    <m/>
    <s v=""/>
    <s v=""/>
    <s v="Hot"/>
    <n v="52350"/>
    <n v="52350"/>
    <d v="2026-04-05T00:00:00"/>
    <s v="00HCA05000015649"/>
    <x v="4"/>
    <s v="Received at HO"/>
    <m/>
    <d v="2026-04-30T00:00:00"/>
    <x v="0"/>
    <m/>
    <s v=""/>
    <m/>
  </r>
  <r>
    <d v="2026-04-05T00:00:00"/>
    <s v="Bashab"/>
    <s v="Bangalore"/>
    <x v="28"/>
    <s v="F2F"/>
    <s v="Aggregator"/>
    <s v="Gokhana"/>
    <s v="Bulk Order"/>
    <s v="Repeat"/>
    <s v="It"/>
    <s v="Navya"/>
    <m/>
    <s v="Business Closed"/>
    <s v="Closed(C4)"/>
    <m/>
    <m/>
    <s v=""/>
    <s v=""/>
    <s v="Hot"/>
    <n v="36920"/>
    <n v="36920"/>
    <d v="2026-04-05T00:00:00"/>
    <m/>
    <x v="8"/>
    <s v="Received at HO"/>
    <m/>
    <m/>
    <x v="0"/>
    <m/>
    <s v=""/>
    <m/>
  </r>
  <r>
    <d v="2026-04-05T00:00:00"/>
    <s v="Bashab"/>
    <s v="Hyderabad"/>
    <x v="26"/>
    <s v="Call"/>
    <s v="Aggregator"/>
    <s v="Pinnacle"/>
    <s v="Popup Counter"/>
    <s v="New"/>
    <s v="Pharma"/>
    <s v="Ashutosh"/>
    <m/>
    <s v="Business Closed"/>
    <s v="Closed(C4)"/>
    <m/>
    <m/>
    <s v=""/>
    <s v=""/>
    <s v="Hot"/>
    <n v="52350"/>
    <n v="52350"/>
    <d v="2026-04-05T00:00:00"/>
    <m/>
    <x v="5"/>
    <s v="Received at HO"/>
    <m/>
    <m/>
    <x v="0"/>
    <m/>
    <s v=""/>
    <m/>
  </r>
  <r>
    <d v="2026-04-06T00:00:00"/>
    <s v="Sameer"/>
    <s v="Hyderabad"/>
    <x v="24"/>
    <s v="F2F"/>
    <s v="Aggregator"/>
    <s v="Pinnacle"/>
    <s v="Popup Counter"/>
    <s v="New"/>
    <s v="Pharma"/>
    <s v="Nawsad"/>
    <m/>
    <s v="Popup at Hitex on 6-4-2026 Hitec City"/>
    <s v="Closed(C4)"/>
    <m/>
    <m/>
    <s v=""/>
    <s v=""/>
    <s v="Hot"/>
    <n v="27150"/>
    <n v="27150"/>
    <d v="2026-04-06T00:00:00"/>
    <m/>
    <x v="4"/>
    <s v="Received at HO"/>
    <m/>
    <d v="2026-04-30T00:00:00"/>
    <x v="0"/>
    <m/>
    <s v=""/>
    <m/>
  </r>
  <r>
    <d v="2026-04-06T00:00:00"/>
    <s v="Sameer"/>
    <s v="Hyderabad"/>
    <x v="1"/>
    <s v="F2F"/>
    <s v="Aggregator"/>
    <s v="Hunger Box"/>
    <s v="Popup Counter"/>
    <s v="New"/>
    <s v="F&amp;B Agrigator"/>
    <s v="Rajender"/>
    <m/>
    <s v="Popup from BHEL on 06-4-2026  "/>
    <s v="Closed(C4)"/>
    <m/>
    <m/>
    <s v=""/>
    <s v=""/>
    <s v="Hot"/>
    <n v="33665"/>
    <n v="33665"/>
    <d v="2026-04-06T00:00:00"/>
    <m/>
    <x v="1"/>
    <s v="Received at HO"/>
    <m/>
    <d v="2026-04-30T00:00:00"/>
    <x v="0"/>
    <m/>
    <s v=""/>
    <m/>
  </r>
  <r>
    <d v="2026-04-06T00:00:00"/>
    <s v="Bashab"/>
    <s v="Hyderabad"/>
    <x v="26"/>
    <s v="Call"/>
    <s v="Aggregator"/>
    <s v="Pinnacle"/>
    <s v="Popup Counter"/>
    <s v="New"/>
    <s v="Pharma"/>
    <s v="Ashutosh"/>
    <m/>
    <s v="Business Closed"/>
    <s v="Closed(C4)"/>
    <m/>
    <m/>
    <s v=""/>
    <s v=""/>
    <s v="Hot"/>
    <n v="27150"/>
    <n v="27150"/>
    <d v="2026-04-06T00:00:00"/>
    <m/>
    <x v="5"/>
    <s v="Received at HO"/>
    <m/>
    <m/>
    <x v="0"/>
    <m/>
    <s v=""/>
    <m/>
  </r>
  <r>
    <d v="2026-04-06T00:00:00"/>
    <s v="Bashab"/>
    <s v="Bangalore"/>
    <x v="29"/>
    <s v="F2F"/>
    <s v="Corporate"/>
    <m/>
    <s v="Bulk Order"/>
    <s v="Repeat"/>
    <s v="It"/>
    <s v="Arpit"/>
    <m/>
    <s v="Business Closed"/>
    <s v="Closed(C4)"/>
    <m/>
    <m/>
    <s v=""/>
    <s v=""/>
    <s v="Hot"/>
    <n v="5315"/>
    <n v="5315"/>
    <d v="2026-04-06T00:00:00"/>
    <s v="00ENA01000003980"/>
    <x v="6"/>
    <s v="Received at Store"/>
    <m/>
    <m/>
    <x v="0"/>
    <m/>
    <s v=""/>
    <m/>
  </r>
  <r>
    <d v="2026-04-06T00:00:00"/>
    <s v="Bashab"/>
    <s v="Bangalore"/>
    <x v="30"/>
    <s v="F2F"/>
    <s v="Corporate"/>
    <m/>
    <s v="Bulk Order"/>
    <s v="Repeat"/>
    <s v="It"/>
    <s v="Savita"/>
    <m/>
    <s v="Business Closed"/>
    <s v="Closed(C4)"/>
    <m/>
    <m/>
    <s v=""/>
    <s v=""/>
    <s v="Hot"/>
    <n v="7290"/>
    <n v="7290"/>
    <d v="2026-04-06T00:00:00"/>
    <s v="00ENA01000003990"/>
    <x v="6"/>
    <s v="Received at Store"/>
    <m/>
    <m/>
    <x v="0"/>
    <m/>
    <s v=""/>
    <m/>
  </r>
  <r>
    <d v="2026-04-07T00:00:00"/>
    <s v="Sameer"/>
    <s v="Hyderabad"/>
    <x v="20"/>
    <s v="Call"/>
    <s v="Aggregator"/>
    <s v="SmartQ"/>
    <s v="Popup Counter"/>
    <s v="New"/>
    <s v="F&amp;B Agrigator"/>
    <s v="Priyansh"/>
    <m/>
    <s v="popup  7-04-2026 Gachibowli"/>
    <s v="Closed(C4)"/>
    <m/>
    <m/>
    <s v=""/>
    <s v=""/>
    <s v="Hot"/>
    <n v="57290"/>
    <n v="57290"/>
    <d v="2026-04-07T00:00:00"/>
    <s v="_x0009__x000a_00GCBTA000287324"/>
    <x v="2"/>
    <s v="Received at HO"/>
    <m/>
    <d v="2026-04-30T00:00:00"/>
    <x v="0"/>
    <m/>
    <s v=""/>
    <m/>
  </r>
  <r>
    <d v="2026-04-07T00:00:00"/>
    <s v="Sameer"/>
    <s v="Hyderabad"/>
    <x v="21"/>
    <s v="Call"/>
    <s v="Aggregator"/>
    <s v="SmartQ"/>
    <s v="Popup Counter"/>
    <s v="New"/>
    <s v="F&amp;B Agrigator"/>
    <s v="Priyansh"/>
    <m/>
    <s v="Popup 7-4-2026 Sarat City 4th Floor"/>
    <s v="Closed(C4)"/>
    <m/>
    <m/>
    <s v=""/>
    <s v=""/>
    <s v="Hot"/>
    <n v="21980"/>
    <n v="21980"/>
    <d v="2026-04-07T00:00:00"/>
    <m/>
    <x v="10"/>
    <s v="Received at HO"/>
    <m/>
    <d v="2026-04-30T00:00:00"/>
    <x v="0"/>
    <m/>
    <s v=""/>
    <m/>
  </r>
  <r>
    <d v="2026-04-07T00:00:00"/>
    <s v="Sameer"/>
    <s v="Hyderabad"/>
    <x v="1"/>
    <s v="F2F"/>
    <s v="Aggregator"/>
    <s v="Hunger Box"/>
    <s v="Popup Counter"/>
    <s v="New"/>
    <s v="F&amp;B Agrigator"/>
    <s v="Rajender"/>
    <m/>
    <s v="Popup from BHEL on 07-4-2026  "/>
    <s v="Closed(C4)"/>
    <m/>
    <m/>
    <s v=""/>
    <s v=""/>
    <s v="Hot"/>
    <n v="57406"/>
    <n v="57406"/>
    <d v="2026-04-07T00:00:00"/>
    <m/>
    <x v="1"/>
    <s v="Received at HO"/>
    <m/>
    <d v="2026-04-30T00:00:00"/>
    <x v="0"/>
    <m/>
    <s v=""/>
    <m/>
  </r>
  <r>
    <d v="2026-04-07T00:00:00"/>
    <s v="Bashab"/>
    <s v="Bangalore"/>
    <x v="31"/>
    <s v="Call"/>
    <s v="Corporate"/>
    <m/>
    <s v="Pop Up Counter"/>
    <s v="Repeat"/>
    <m/>
    <s v="Mueenudheen"/>
    <m/>
    <s v="Business Closed"/>
    <s v="Closed(C4)"/>
    <m/>
    <m/>
    <s v=""/>
    <s v=""/>
    <s v="Hot"/>
    <n v="15731"/>
    <n v="15731"/>
    <d v="2026-04-07T00:00:00"/>
    <m/>
    <x v="7"/>
    <s v="Received at Store"/>
    <m/>
    <m/>
    <x v="0"/>
    <m/>
    <s v=""/>
    <m/>
  </r>
  <r>
    <d v="2026-04-07T00:00:00"/>
    <s v="Bashab"/>
    <s v="Chennai"/>
    <x v="32"/>
    <s v="Call"/>
    <s v="Aggregator"/>
    <s v="Pinnacle"/>
    <s v="ODC"/>
    <s v="New"/>
    <s v="Events"/>
    <s v="Devendar"/>
    <m/>
    <s v="Business Confirmed"/>
    <s v="Confirmed( C3 )"/>
    <m/>
    <m/>
    <m/>
    <s v=""/>
    <s v="Hot"/>
    <m/>
    <m/>
    <m/>
    <m/>
    <x v="5"/>
    <m/>
    <m/>
    <m/>
    <x v="0"/>
    <m/>
    <s v=""/>
    <m/>
  </r>
  <r>
    <d v="2026-04-07T00:00:00"/>
    <s v="Bashab"/>
    <s v="Bangalore"/>
    <x v="10"/>
    <s v="F2F"/>
    <s v="Aggregator"/>
    <s v="Compass"/>
    <m/>
    <m/>
    <s v="F&amp;B Aggregator"/>
    <s v="Sarvesh"/>
    <m/>
    <s v="Business Confirmed"/>
    <s v="Confirmed( C3 )"/>
    <m/>
    <m/>
    <m/>
    <s v=""/>
    <s v="Hot"/>
    <m/>
    <m/>
    <m/>
    <m/>
    <x v="5"/>
    <m/>
    <m/>
    <m/>
    <x v="0"/>
    <m/>
    <s v=""/>
    <m/>
  </r>
  <r>
    <d v="2026-04-07T00:00:00"/>
    <s v="Bashab"/>
    <s v="Bangalore"/>
    <x v="33"/>
    <s v="Call"/>
    <s v="Aggregator"/>
    <s v="SmartQ"/>
    <s v="Pop Up Counter"/>
    <m/>
    <s v="F&amp;B Aggregator"/>
    <s v="Harish"/>
    <m/>
    <s v="Business Confirmed"/>
    <s v="Confirmed( C3 )"/>
    <m/>
    <m/>
    <m/>
    <s v=""/>
    <s v="Hot"/>
    <m/>
    <m/>
    <m/>
    <m/>
    <x v="5"/>
    <m/>
    <m/>
    <m/>
    <x v="0"/>
    <m/>
    <s v=""/>
    <m/>
  </r>
  <r>
    <d v="2026-04-07T00:00:00"/>
    <s v="Bashab"/>
    <s v="Bangalore"/>
    <x v="34"/>
    <s v="F2F"/>
    <s v="Corporate"/>
    <m/>
    <s v="Bulk Order"/>
    <m/>
    <s v="It"/>
    <s v="Sunit"/>
    <m/>
    <s v="Business Closed"/>
    <s v="Closed(C4)"/>
    <m/>
    <m/>
    <s v=""/>
    <s v=""/>
    <s v="Hot"/>
    <n v="6500"/>
    <n v="6500"/>
    <d v="2026-04-07T00:00:00"/>
    <s v="00ENA01000004004"/>
    <x v="6"/>
    <s v="Received at Store"/>
    <m/>
    <m/>
    <x v="0"/>
    <m/>
    <s v=""/>
    <m/>
  </r>
  <r>
    <d v="2026-04-07T00:00:00"/>
    <s v="Bashab"/>
    <s v="Bangalore"/>
    <x v="35"/>
    <s v="F2F"/>
    <s v="Corporate"/>
    <m/>
    <s v="Bulk Order"/>
    <m/>
    <s v="It"/>
    <s v="Sukumar"/>
    <m/>
    <s v="Business Closed"/>
    <s v="Closed(C4)"/>
    <m/>
    <m/>
    <s v=""/>
    <s v=""/>
    <s v="Hot"/>
    <n v="6040"/>
    <n v="6040"/>
    <d v="2026-04-07T00:00:00"/>
    <s v="00WFC01000026325"/>
    <x v="7"/>
    <s v="Received at Store"/>
    <m/>
    <m/>
    <x v="0"/>
    <m/>
    <s v=""/>
    <m/>
  </r>
  <r>
    <d v="2026-04-08T00:00:00"/>
    <s v="Bashab"/>
    <s v="Bangalore"/>
    <x v="16"/>
    <s v="Call"/>
    <s v="Corporate"/>
    <m/>
    <s v="Bulk Order"/>
    <s v="Repeat"/>
    <s v="Retail"/>
    <s v="Mohammed"/>
    <m/>
    <s v="Business Closed"/>
    <s v="Closed(C4)"/>
    <m/>
    <m/>
    <s v=""/>
    <s v=""/>
    <s v="Hot"/>
    <n v="22456"/>
    <n v="22458"/>
    <d v="2026-04-08T00:00:00"/>
    <s v="00HSA06000002819"/>
    <x v="3"/>
    <s v="Received at HO"/>
    <m/>
    <m/>
    <x v="0"/>
    <m/>
    <s v=""/>
    <m/>
  </r>
  <r>
    <d v="2026-04-08T00:00:00"/>
    <s v="Sameer"/>
    <s v="Hyderabad"/>
    <x v="20"/>
    <s v="Call"/>
    <s v="Aggregator"/>
    <s v="SmartQ"/>
    <s v="Popup Counter"/>
    <s v="New"/>
    <s v="F&amp;B Agrigator"/>
    <s v="Priyansh"/>
    <m/>
    <s v="popup  8-04-2026 Gachibowli"/>
    <s v="Closed(C4)"/>
    <m/>
    <m/>
    <s v=""/>
    <s v=""/>
    <s v="Hot"/>
    <n v="58360"/>
    <n v="58360"/>
    <d v="2026-04-08T00:00:00"/>
    <s v="00GCBTA000287325_x000a_"/>
    <x v="2"/>
    <s v="Received at HO"/>
    <m/>
    <d v="2026-04-30T00:00:00"/>
    <x v="0"/>
    <m/>
    <s v=""/>
    <m/>
  </r>
  <r>
    <d v="2026-04-08T00:00:00"/>
    <s v="Sameer"/>
    <s v="Hyderabad"/>
    <x v="21"/>
    <s v="Call"/>
    <s v="Aggregator"/>
    <s v="SmartQ"/>
    <s v="Popup Counter"/>
    <s v="New"/>
    <s v="F&amp;B Agrigator"/>
    <s v="Priyansh"/>
    <m/>
    <s v="Popup 8-4-2026 Sarat City 4th Floor"/>
    <s v="Closed(C4)"/>
    <m/>
    <m/>
    <s v=""/>
    <s v=""/>
    <s v="Hot"/>
    <n v="16140"/>
    <n v="16140"/>
    <d v="2026-04-08T00:00:00"/>
    <m/>
    <x v="10"/>
    <s v="Received at HO"/>
    <m/>
    <d v="2026-04-30T00:00:00"/>
    <x v="0"/>
    <m/>
    <s v=""/>
    <m/>
  </r>
  <r>
    <d v="2026-04-08T00:00:00"/>
    <s v="Sameer"/>
    <s v="Hyderabad"/>
    <x v="1"/>
    <s v="F2F"/>
    <s v="Aggregator"/>
    <s v="Hunger Box"/>
    <s v="Popup Counter"/>
    <s v="New"/>
    <s v="F&amp;B Agrigator"/>
    <s v="Rajender"/>
    <m/>
    <s v="Popup from BHEL on 08-4-2026  "/>
    <s v="Closed(C4)"/>
    <m/>
    <m/>
    <s v=""/>
    <s v=""/>
    <s v="Hot"/>
    <n v="61550"/>
    <n v="61550"/>
    <d v="2026-04-08T00:00:00"/>
    <m/>
    <x v="1"/>
    <s v="Received at HO"/>
    <m/>
    <d v="2026-04-30T00:00:00"/>
    <x v="0"/>
    <m/>
    <s v=""/>
    <m/>
  </r>
  <r>
    <d v="2026-04-08T00:00:00"/>
    <s v="Sameer"/>
    <s v="Bangalore"/>
    <x v="3"/>
    <s v="Call"/>
    <s v="Aggregator"/>
    <s v="Compass"/>
    <s v="Bulk Order"/>
    <s v="New"/>
    <s v="F&amp;B Agrigator"/>
    <s v="Saad"/>
    <m/>
    <s v="Delivery on 8-4-2026 from HSR"/>
    <s v="Closed(C4)"/>
    <m/>
    <m/>
    <s v=""/>
    <s v=""/>
    <s v="Hot"/>
    <n v="22456"/>
    <n v="22458"/>
    <d v="2026-04-08T00:00:00"/>
    <s v="00HSA06000002819"/>
    <x v="3"/>
    <s v="Received at HO"/>
    <m/>
    <d v="2026-05-30T00:00:00"/>
    <x v="0"/>
    <m/>
    <s v=""/>
    <m/>
  </r>
  <r>
    <d v="2026-04-08T00:00:00"/>
    <s v="Bashab"/>
    <s v="Bangalore"/>
    <x v="36"/>
    <s v="F2F"/>
    <s v="Corporate"/>
    <m/>
    <s v="Bulk Order"/>
    <m/>
    <s v="It"/>
    <s v="Rajiv"/>
    <m/>
    <s v="Business Closed"/>
    <s v="Closed(C4)"/>
    <m/>
    <m/>
    <s v=""/>
    <s v=""/>
    <s v="Hot"/>
    <n v="5850"/>
    <n v="5850"/>
    <d v="2026-04-08T00:00:00"/>
    <s v="00MRA01000003738"/>
    <x v="11"/>
    <s v="Received at Store"/>
    <m/>
    <m/>
    <x v="0"/>
    <m/>
    <s v=""/>
    <m/>
  </r>
  <r>
    <d v="2026-04-08T00:00:00"/>
    <s v="Bashab"/>
    <s v="Bangalore"/>
    <x v="37"/>
    <s v="Call"/>
    <s v="Aggregator"/>
    <s v="SmartQ"/>
    <s v="Popup Counter"/>
    <m/>
    <s v="F&amp;B Agrigator"/>
    <s v="Harish"/>
    <m/>
    <s v="Business Closed"/>
    <s v="Closed(C4)"/>
    <m/>
    <m/>
    <s v=""/>
    <s v=""/>
    <s v="Hot"/>
    <n v="20616"/>
    <n v="20616"/>
    <d v="2026-04-08T00:00:00"/>
    <m/>
    <x v="12"/>
    <s v="Received at HO"/>
    <m/>
    <m/>
    <x v="0"/>
    <m/>
    <s v=""/>
    <m/>
  </r>
  <r>
    <d v="2026-04-09T00:00:00"/>
    <s v="Sameer"/>
    <s v="Hyderabad"/>
    <x v="20"/>
    <s v="Call"/>
    <s v="Aggregator"/>
    <s v="SmartQ"/>
    <s v="Popup Counter"/>
    <s v="New"/>
    <s v="F&amp;B Agrigator"/>
    <s v="Priyansh"/>
    <m/>
    <s v="popup  9-04-2026 Gachibowli"/>
    <s v="Closed(C4)"/>
    <m/>
    <m/>
    <s v=""/>
    <s v=""/>
    <s v="Hot"/>
    <n v="70450"/>
    <n v="70450"/>
    <d v="2026-04-09T00:00:00"/>
    <m/>
    <x v="2"/>
    <s v="Received at HO"/>
    <m/>
    <d v="2026-04-30T00:00:00"/>
    <x v="0"/>
    <m/>
    <s v=""/>
    <m/>
  </r>
  <r>
    <d v="2026-04-09T00:00:00"/>
    <s v="Sameer"/>
    <s v="Hyderabad"/>
    <x v="21"/>
    <s v="Call"/>
    <s v="Aggregator"/>
    <s v="SmartQ"/>
    <s v="Popup Counter"/>
    <s v="New"/>
    <s v="F&amp;B Agrigator"/>
    <s v="Priyansh"/>
    <m/>
    <s v="Popup 9-4-2026 Sarat City 4th Floor"/>
    <s v="Closed(C4)"/>
    <m/>
    <m/>
    <s v=""/>
    <s v=""/>
    <s v="Hot"/>
    <n v="17320"/>
    <n v="17320"/>
    <d v="2026-04-09T00:00:00"/>
    <m/>
    <x v="10"/>
    <s v="Received at HO"/>
    <m/>
    <d v="2026-04-30T00:00:00"/>
    <x v="0"/>
    <m/>
    <s v=""/>
    <m/>
  </r>
  <r>
    <d v="2026-04-09T00:00:00"/>
    <s v="Sameer"/>
    <s v="Hyderabad"/>
    <x v="1"/>
    <s v="F2F"/>
    <s v="Aggregator"/>
    <s v="Hunger Box"/>
    <s v="Popup Counter"/>
    <s v="New"/>
    <s v="F&amp;B Agrigator"/>
    <s v="Rajender"/>
    <m/>
    <s v="Popup from BHEL on 09-4-2026  "/>
    <s v="Closed(C4)"/>
    <m/>
    <m/>
    <s v=""/>
    <s v=""/>
    <s v="Hot"/>
    <n v="63812"/>
    <n v="63812"/>
    <d v="2026-04-09T00:00:00"/>
    <m/>
    <x v="1"/>
    <s v="Received at HO"/>
    <m/>
    <d v="2026-04-30T00:00:00"/>
    <x v="0"/>
    <m/>
    <s v=""/>
    <m/>
  </r>
  <r>
    <d v="2026-04-09T00:00:00"/>
    <s v="Bashab"/>
    <s v="Bangalore"/>
    <x v="38"/>
    <s v="F2F"/>
    <s v="Corporate"/>
    <m/>
    <s v="Bulk Order"/>
    <m/>
    <s v="Banking Finance &amp; Insurance"/>
    <s v="Kishore"/>
    <m/>
    <s v="Business Closed"/>
    <s v="Closed(C4)"/>
    <m/>
    <m/>
    <s v=""/>
    <s v=""/>
    <s v="Hot"/>
    <n v="5375"/>
    <n v="5375"/>
    <d v="2026-04-09T00:00:00"/>
    <s v="00DDC01000021507"/>
    <x v="13"/>
    <s v="Received at Store"/>
    <m/>
    <m/>
    <x v="0"/>
    <m/>
    <s v=""/>
    <m/>
  </r>
  <r>
    <d v="2026-04-09T00:00:00"/>
    <s v="Bashab"/>
    <s v="Bangalore"/>
    <x v="39"/>
    <s v="F2F"/>
    <s v="Aggregator"/>
    <s v="Compass"/>
    <s v="Bulk Order"/>
    <m/>
    <s v="It"/>
    <s v="Sadashiv"/>
    <m/>
    <s v="Business Closed"/>
    <s v="Closed(C4)"/>
    <m/>
    <m/>
    <s v=""/>
    <s v=""/>
    <s v="Hot"/>
    <n v="17655"/>
    <n v="17655"/>
    <d v="2026-04-09T00:00:00"/>
    <m/>
    <x v="11"/>
    <s v="Received at HO"/>
    <m/>
    <m/>
    <x v="0"/>
    <m/>
    <s v=""/>
    <m/>
  </r>
  <r>
    <d v="2026-04-09T00:00:00"/>
    <s v="Bashab"/>
    <s v="Bangalore"/>
    <x v="40"/>
    <s v="Call"/>
    <s v="Corporate"/>
    <m/>
    <s v="Pop Up Counter"/>
    <m/>
    <m/>
    <s v="Srinivas"/>
    <m/>
    <s v="Business Closed"/>
    <s v="Closed(C4)"/>
    <m/>
    <m/>
    <s v=""/>
    <s v=""/>
    <s v="Hot"/>
    <n v="21840"/>
    <n v="21840"/>
    <d v="2026-04-09T00:00:00"/>
    <m/>
    <x v="7"/>
    <s v="Received at Store"/>
    <m/>
    <m/>
    <x v="0"/>
    <m/>
    <s v=""/>
    <m/>
  </r>
  <r>
    <d v="2026-04-10T00:00:00"/>
    <s v="Sameer"/>
    <s v="Hyderabad"/>
    <x v="20"/>
    <s v="Call"/>
    <s v="Aggregator"/>
    <s v="SmartQ"/>
    <s v="Popup Counter"/>
    <s v="New"/>
    <s v="F&amp;B Agrigator"/>
    <s v="Priyansh"/>
    <m/>
    <s v="popup  10-04-2026 Gachibowli"/>
    <s v="Closed(C4)"/>
    <m/>
    <m/>
    <s v=""/>
    <s v=""/>
    <s v="Hot"/>
    <n v="83720"/>
    <n v="83720"/>
    <d v="2026-04-10T00:00:00"/>
    <m/>
    <x v="2"/>
    <s v="Received at HO"/>
    <m/>
    <d v="2026-04-30T00:00:00"/>
    <x v="0"/>
    <m/>
    <s v=""/>
    <m/>
  </r>
  <r>
    <d v="2026-04-10T00:00:00"/>
    <s v="Sameer"/>
    <s v="Hyderabad"/>
    <x v="21"/>
    <s v="Call"/>
    <s v="Aggregator"/>
    <s v="SmartQ"/>
    <s v="Popup Counter"/>
    <s v="New"/>
    <s v="F&amp;B Agrigator"/>
    <s v="Priyansh"/>
    <m/>
    <s v="Popup 10-4-2026 Sarat City 4th Floor"/>
    <s v="Closed(C4)"/>
    <m/>
    <m/>
    <s v=""/>
    <s v=""/>
    <s v="Hot"/>
    <n v="19120"/>
    <n v="19120"/>
    <d v="2026-04-10T00:00:00"/>
    <m/>
    <x v="10"/>
    <s v="Received at HO"/>
    <m/>
    <d v="2026-04-30T00:00:00"/>
    <x v="0"/>
    <m/>
    <s v=""/>
    <m/>
  </r>
  <r>
    <d v="2026-04-10T00:00:00"/>
    <s v="Sameer"/>
    <s v="Hyderabad"/>
    <x v="1"/>
    <s v="F2F"/>
    <s v="Aggregator"/>
    <s v="Hunger Box"/>
    <s v="Popup Counter"/>
    <s v="New"/>
    <s v="F&amp;B Agrigator"/>
    <s v="Rajender"/>
    <m/>
    <s v="Popup from BHEL on 10-4-2026  "/>
    <s v="Closed(C4)"/>
    <m/>
    <m/>
    <s v=""/>
    <s v=""/>
    <s v="Hot"/>
    <n v="49754"/>
    <n v="49754"/>
    <d v="2026-04-10T00:00:00"/>
    <m/>
    <x v="1"/>
    <s v="Received at HO"/>
    <m/>
    <d v="2026-04-30T00:00:00"/>
    <x v="0"/>
    <m/>
    <s v=""/>
    <m/>
  </r>
  <r>
    <d v="2026-04-10T00:00:00"/>
    <s v="Bashab"/>
    <s v="Bangalore"/>
    <x v="41"/>
    <s v="Call"/>
    <s v="Aggregator"/>
    <s v="SmartQ"/>
    <s v="Popup Counter"/>
    <m/>
    <s v="F&amp;B Agrigator"/>
    <s v="Harish"/>
    <m/>
    <s v="Business Closed"/>
    <s v="Closed(C4)"/>
    <m/>
    <m/>
    <s v=""/>
    <s v=""/>
    <s v="Hot"/>
    <n v="23705"/>
    <n v="23705"/>
    <d v="2026-04-10T00:00:00"/>
    <m/>
    <x v="12"/>
    <s v="Received at HO"/>
    <m/>
    <m/>
    <x v="0"/>
    <m/>
    <s v=""/>
    <m/>
  </r>
  <r>
    <d v="2026-04-11T00:00:00"/>
    <s v="Sameer"/>
    <s v="Hyderabad"/>
    <x v="42"/>
    <s v="Call"/>
    <s v="Bulk Order"/>
    <m/>
    <s v="Bulk Order"/>
    <s v="New"/>
    <s v="Family Group"/>
    <s v="Sunita"/>
    <m/>
    <s v="Delivery of CB 12-04-2026 BHEL"/>
    <s v="Closed(C4)"/>
    <m/>
    <m/>
    <s v=""/>
    <s v=""/>
    <s v="Hot"/>
    <n v="6500"/>
    <n v="6500"/>
    <d v="2026-04-12T00:00:00"/>
    <m/>
    <x v="1"/>
    <s v="Received at Store"/>
    <m/>
    <d v="2026-04-11T00:00:00"/>
    <x v="0"/>
    <m/>
    <s v=""/>
    <m/>
  </r>
  <r>
    <d v="2026-04-12T00:00:00"/>
    <s v="Sameer"/>
    <s v="Hyderabad"/>
    <x v="43"/>
    <s v="Call"/>
    <s v="Corporate"/>
    <m/>
    <s v="Bulk Order"/>
    <s v="New"/>
    <s v="Tourism"/>
    <s v="Arjith"/>
    <m/>
    <s v="Closed Bulk Order"/>
    <s v="Closed(C4)"/>
    <m/>
    <m/>
    <m/>
    <m/>
    <s v="Hot"/>
    <n v="30000"/>
    <n v="16150"/>
    <d v="2026-04-12T00:00:00"/>
    <s v="00SGA03000031323"/>
    <x v="14"/>
    <s v="Received at Store"/>
    <m/>
    <d v="2026-04-12T00:00:00"/>
    <x v="0"/>
    <m/>
    <m/>
    <s v="Takeaway-Bulk-Insti"/>
  </r>
  <r>
    <d v="2026-04-13T00:00:00"/>
    <s v="Sameer"/>
    <s v="Hyderabad"/>
    <x v="44"/>
    <s v="Call"/>
    <s v="Bulk Order"/>
    <m/>
    <s v="Bulk Order"/>
    <s v="New"/>
    <s v="Family Group"/>
    <s v="Hari Prasad"/>
    <m/>
    <s v="Delivery of CB 13-4-2026 Gachibowli"/>
    <s v="Closed(C4)"/>
    <m/>
    <m/>
    <s v=""/>
    <s v=""/>
    <s v="Hot"/>
    <n v="16500"/>
    <n v="16500"/>
    <d v="2026-04-13T00:00:00"/>
    <m/>
    <x v="2"/>
    <s v="Received at Store"/>
    <m/>
    <d v="2026-04-13T00:00:00"/>
    <x v="0"/>
    <m/>
    <s v=""/>
    <m/>
  </r>
  <r>
    <d v="2026-04-13T00:00:00"/>
    <s v="Sameer"/>
    <s v="Hyderabad"/>
    <x v="20"/>
    <s v="Call"/>
    <s v="Aggregator"/>
    <s v="SmartQ"/>
    <s v="Popup Counter"/>
    <s v="Repeat"/>
    <s v="F&amp;B Agrigator"/>
    <s v="Priyansh"/>
    <m/>
    <s v="popup  13-04-2026 Gachibowli"/>
    <s v="Closed(C4)"/>
    <m/>
    <m/>
    <s v=""/>
    <s v=""/>
    <s v="Hot"/>
    <n v="40960"/>
    <n v="40960"/>
    <d v="2026-04-13T00:00:00"/>
    <m/>
    <x v="2"/>
    <s v="Received at HO"/>
    <m/>
    <d v="2026-04-30T00:00:00"/>
    <x v="0"/>
    <m/>
    <s v=""/>
    <m/>
  </r>
  <r>
    <d v="2026-04-13T00:00:00"/>
    <s v="Sameer"/>
    <s v="Hyderabad"/>
    <x v="21"/>
    <s v="Call"/>
    <s v="Aggregator"/>
    <s v="SmartQ"/>
    <s v="Popup Counter"/>
    <s v="Repeat"/>
    <s v="F&amp;B Agrigator"/>
    <s v="Priyansh"/>
    <m/>
    <s v="Popup 13-4-2026 Sarat City 4th Floor"/>
    <s v="Closed(C4)"/>
    <m/>
    <m/>
    <s v=""/>
    <s v=""/>
    <s v="Hot"/>
    <n v="9440"/>
    <n v="9440"/>
    <d v="2026-04-13T00:00:00"/>
    <m/>
    <x v="10"/>
    <s v="Received at HO"/>
    <m/>
    <d v="2026-04-30T00:00:00"/>
    <x v="0"/>
    <m/>
    <s v=""/>
    <m/>
  </r>
  <r>
    <d v="2026-04-13T00:00:00"/>
    <s v="Bashab"/>
    <s v="Bangalore"/>
    <x v="22"/>
    <s v="F2F"/>
    <s v="Corporate"/>
    <m/>
    <s v="Bulk Order"/>
    <m/>
    <s v="It"/>
    <s v="Adithya"/>
    <m/>
    <s v="Business Closed"/>
    <s v="Closed(C4)"/>
    <m/>
    <m/>
    <s v=""/>
    <s v=""/>
    <s v="Hot"/>
    <n v="16910"/>
    <n v="16910"/>
    <d v="2026-04-13T00:00:00"/>
    <m/>
    <x v="7"/>
    <s v="Received at Store"/>
    <m/>
    <m/>
    <x v="0"/>
    <m/>
    <s v=""/>
    <m/>
  </r>
  <r>
    <d v="2026-04-13T00:00:00"/>
    <s v="Bashab"/>
    <s v="Bangalore"/>
    <x v="45"/>
    <s v="Call"/>
    <s v="Aggregator"/>
    <s v="Meals &amp; More"/>
    <s v="ODC"/>
    <m/>
    <s v="Events"/>
    <s v="Satyam"/>
    <m/>
    <s v="Business Confirmed"/>
    <s v="Confirmed( C3 )"/>
    <m/>
    <m/>
    <m/>
    <s v=""/>
    <s v="Hot"/>
    <m/>
    <m/>
    <m/>
    <m/>
    <x v="5"/>
    <m/>
    <m/>
    <m/>
    <x v="0"/>
    <m/>
    <s v=""/>
    <m/>
  </r>
  <r>
    <d v="2026-04-14T00:00:00"/>
    <s v="Sameer"/>
    <s v="Hyderabad"/>
    <x v="20"/>
    <s v="Call"/>
    <s v="Aggregator"/>
    <s v="SmartQ"/>
    <s v="Popup Counter"/>
    <s v="Repeat"/>
    <s v="F&amp;B Agrigator"/>
    <s v="Priyansh"/>
    <m/>
    <s v="popup  14-04-2026 Gachibowli"/>
    <s v="Closed(C4)"/>
    <m/>
    <m/>
    <s v=""/>
    <s v=""/>
    <s v="Hot"/>
    <n v="45220"/>
    <n v="45220"/>
    <d v="2026-04-14T00:00:00"/>
    <m/>
    <x v="2"/>
    <s v="Received at HO"/>
    <m/>
    <d v="2026-04-30T00:00:00"/>
    <x v="0"/>
    <m/>
    <s v=""/>
    <m/>
  </r>
  <r>
    <d v="2026-04-14T00:00:00"/>
    <s v="Sameer"/>
    <s v="Hyderabad"/>
    <x v="21"/>
    <s v="Call"/>
    <s v="Aggregator"/>
    <s v="SmartQ"/>
    <s v="Popup Counter"/>
    <s v="Repeat"/>
    <s v="F&amp;B Agrigator"/>
    <s v="Priyansh"/>
    <m/>
    <s v="Popup 14-4-2026 Sarat City 4th Floor"/>
    <s v="Closed(C4)"/>
    <m/>
    <m/>
    <s v=""/>
    <s v=""/>
    <s v="Hot"/>
    <n v="17180"/>
    <n v="17180"/>
    <d v="2026-04-14T00:00:00"/>
    <m/>
    <x v="10"/>
    <s v="Received at HO"/>
    <m/>
    <d v="2026-04-30T00:00:00"/>
    <x v="0"/>
    <m/>
    <s v=""/>
    <m/>
  </r>
  <r>
    <d v="2026-04-14T00:00:00"/>
    <s v="Bashab"/>
    <s v="Bangalore"/>
    <x v="34"/>
    <s v="F2F"/>
    <s v="Corporate"/>
    <m/>
    <s v="Bulk Order"/>
    <m/>
    <s v="It"/>
    <s v="Manisha"/>
    <m/>
    <s v="Business Closed"/>
    <s v="Closed(C4)"/>
    <m/>
    <m/>
    <s v=""/>
    <s v=""/>
    <s v="Hot"/>
    <n v="7620"/>
    <n v="7620"/>
    <d v="2026-04-14T00:00:00"/>
    <m/>
    <x v="6"/>
    <s v="Received at Store"/>
    <m/>
    <m/>
    <x v="0"/>
    <m/>
    <s v=""/>
    <m/>
  </r>
  <r>
    <d v="2026-04-14T00:00:00"/>
    <s v="Bashab"/>
    <s v="Bangalore"/>
    <x v="36"/>
    <s v="F2F"/>
    <s v="Corporate"/>
    <m/>
    <s v="Bulk Order"/>
    <m/>
    <s v="It"/>
    <s v="Hemanth"/>
    <m/>
    <s v="Business Closed"/>
    <s v="Closed(C4)"/>
    <m/>
    <m/>
    <s v=""/>
    <s v=""/>
    <s v="Hot"/>
    <n v="5560"/>
    <n v="5560"/>
    <d v="2026-04-14T00:00:00"/>
    <s v="00MRA01000003878"/>
    <x v="11"/>
    <s v="Received at Store"/>
    <m/>
    <m/>
    <x v="0"/>
    <m/>
    <s v=""/>
    <m/>
  </r>
  <r>
    <d v="2026-04-14T00:00:00"/>
    <s v="Bashab"/>
    <s v="Bangalore"/>
    <x v="15"/>
    <s v="Call"/>
    <s v="Corporate"/>
    <m/>
    <s v="Popup Counter"/>
    <m/>
    <s v="Retail"/>
    <s v="James"/>
    <m/>
    <s v="Business Closed"/>
    <s v="Closed(C4)"/>
    <m/>
    <m/>
    <s v=""/>
    <s v=""/>
    <s v="Hot"/>
    <n v="10962"/>
    <n v="10962"/>
    <d v="2026-04-14T00:00:00"/>
    <m/>
    <x v="7"/>
    <s v="Received at Store"/>
    <m/>
    <m/>
    <x v="0"/>
    <m/>
    <s v=""/>
    <m/>
  </r>
  <r>
    <d v="2026-04-15T00:00:00"/>
    <s v="Sameer"/>
    <s v="Hyderabad"/>
    <x v="46"/>
    <s v="Call"/>
    <s v="Aggregator"/>
    <s v="Hunger Box"/>
    <s v="Popup Counter"/>
    <s v="Repeat"/>
    <s v="F&amp;B Aggregator"/>
    <s v="Pawan"/>
    <m/>
    <s v="Haleem popup  15-04-2026 BHEL"/>
    <s v="Closed(C4)"/>
    <m/>
    <m/>
    <s v=""/>
    <s v=""/>
    <s v="Hot"/>
    <n v="19150"/>
    <n v="19150"/>
    <d v="2026-04-15T00:00:00"/>
    <m/>
    <x v="1"/>
    <s v="Received at HO"/>
    <m/>
    <d v="2026-04-30T00:00:00"/>
    <x v="0"/>
    <m/>
    <s v=""/>
    <m/>
  </r>
  <r>
    <d v="2026-04-15T00:00:00"/>
    <s v="Sameer"/>
    <s v="Hyderabad"/>
    <x v="20"/>
    <s v="Call"/>
    <s v="Aggregator"/>
    <s v="SmartQ"/>
    <s v="Popup Counter"/>
    <s v="Repeat"/>
    <s v="F&amp;B Agrigator"/>
    <s v="Priyansh"/>
    <m/>
    <s v="popup  15-04-2026 Gachibowli"/>
    <s v="Closed(C4)"/>
    <m/>
    <m/>
    <s v=""/>
    <s v=""/>
    <s v="Hot"/>
    <n v="54120"/>
    <n v="54120"/>
    <d v="2026-04-15T00:00:00"/>
    <m/>
    <x v="2"/>
    <s v="Received at HO"/>
    <m/>
    <d v="2026-04-30T00:00:00"/>
    <x v="0"/>
    <m/>
    <s v=""/>
    <m/>
  </r>
  <r>
    <d v="2026-04-15T00:00:00"/>
    <s v="Sameer"/>
    <s v="Hyderabad"/>
    <x v="21"/>
    <s v="Call"/>
    <s v="Aggregator"/>
    <s v="SmartQ"/>
    <s v="Popup Counter"/>
    <s v="Repeat"/>
    <s v="F&amp;B Agrigator"/>
    <s v="Priyansh"/>
    <m/>
    <s v="Popup 15-4-2026 Sarat City 4th Floor"/>
    <s v="Closed(C4)"/>
    <m/>
    <m/>
    <s v=""/>
    <s v=""/>
    <s v="Hot"/>
    <n v="18500"/>
    <n v="18500"/>
    <d v="2026-04-15T00:00:00"/>
    <m/>
    <x v="10"/>
    <s v="Received at HO"/>
    <m/>
    <d v="2026-04-30T00:00:00"/>
    <x v="0"/>
    <m/>
    <s v=""/>
    <m/>
  </r>
  <r>
    <d v="2026-04-15T00:00:00"/>
    <s v="Sameer"/>
    <s v="Bangalore"/>
    <x v="3"/>
    <s v="Call"/>
    <s v="Aggregator"/>
    <s v="Compass"/>
    <s v="Bulk Order"/>
    <s v="Repeat"/>
    <s v="F&amp;B Agrigator"/>
    <s v="Saad"/>
    <m/>
    <s v="Delivery on 15-4-2026 from HSR"/>
    <s v="Closed(C4)"/>
    <m/>
    <m/>
    <s v=""/>
    <s v=""/>
    <s v="Hot"/>
    <n v="25208"/>
    <n v="25208"/>
    <d v="2026-04-15T00:00:00"/>
    <s v="00HSA06000002860"/>
    <x v="3"/>
    <s v="Received at HO"/>
    <m/>
    <d v="2026-05-30T00:00:00"/>
    <x v="0"/>
    <m/>
    <s v=""/>
    <m/>
  </r>
  <r>
    <d v="2026-04-15T00:00:00"/>
    <s v="Bashab"/>
    <s v="Bangalore"/>
    <x v="41"/>
    <s v="Call"/>
    <s v="Aggregator"/>
    <s v="SmartQ"/>
    <s v="Popup Counter"/>
    <m/>
    <s v="F&amp;B Agrigator"/>
    <s v="Harish"/>
    <m/>
    <s v="Business Closed"/>
    <s v="Closed(C4)"/>
    <m/>
    <m/>
    <s v=""/>
    <s v=""/>
    <s v="Hot"/>
    <n v="20440"/>
    <n v="20440"/>
    <d v="2026-04-15T00:00:00"/>
    <m/>
    <x v="12"/>
    <s v="Received at HO"/>
    <m/>
    <m/>
    <x v="0"/>
    <m/>
    <s v=""/>
    <m/>
  </r>
  <r>
    <d v="2026-04-15T00:00:00"/>
    <s v="Bashab"/>
    <s v="Bangalore"/>
    <x v="16"/>
    <s v="Call"/>
    <s v="Corporate"/>
    <m/>
    <s v="Bulk Order"/>
    <s v="Repeat"/>
    <s v="Retail"/>
    <s v="Mohammed"/>
    <m/>
    <s v="Business Closed"/>
    <s v="Closed(C4)"/>
    <m/>
    <m/>
    <s v=""/>
    <s v=""/>
    <s v="Hot"/>
    <n v="25208"/>
    <n v="25208"/>
    <d v="2026-04-15T00:00:00"/>
    <s v="00HSA06000002860"/>
    <x v="3"/>
    <s v="Received at HO"/>
    <m/>
    <m/>
    <x v="0"/>
    <m/>
    <s v=""/>
    <m/>
  </r>
  <r>
    <d v="2026-04-15T00:00:00"/>
    <s v="Bashab"/>
    <s v="Bangalore"/>
    <x v="47"/>
    <s v="Call"/>
    <s v="Aggregator"/>
    <s v="Pinnacle"/>
    <s v="ODC"/>
    <m/>
    <s v="Events"/>
    <s v="Devendar"/>
    <m/>
    <s v="Business Confirmed"/>
    <s v="Confirmed( C3 )"/>
    <m/>
    <m/>
    <m/>
    <s v=""/>
    <s v="Hot"/>
    <m/>
    <m/>
    <m/>
    <m/>
    <x v="5"/>
    <m/>
    <m/>
    <m/>
    <x v="0"/>
    <m/>
    <s v=""/>
    <m/>
  </r>
  <r>
    <d v="2026-04-15T00:00:00"/>
    <s v="Bashab"/>
    <s v="Bangalore"/>
    <x v="40"/>
    <s v="Call"/>
    <s v="Corporate"/>
    <m/>
    <s v="Popup Counter"/>
    <m/>
    <s v="Retail"/>
    <s v="Srinivas"/>
    <m/>
    <s v="Business Closed"/>
    <s v="Closed(C4)"/>
    <m/>
    <m/>
    <s v=""/>
    <s v=""/>
    <s v="Hot"/>
    <n v="22503"/>
    <n v="22503"/>
    <d v="2026-04-15T00:00:00"/>
    <m/>
    <x v="7"/>
    <s v="Received at Store"/>
    <m/>
    <m/>
    <x v="0"/>
    <m/>
    <s v=""/>
    <m/>
  </r>
  <r>
    <d v="2026-04-16T00:00:00"/>
    <s v="Sameer"/>
    <s v="Hyderabad"/>
    <x v="46"/>
    <s v="Call"/>
    <s v="Aggregator"/>
    <s v="Hunger Box"/>
    <s v="Popup Counter"/>
    <s v="New"/>
    <s v="F&amp;B Aggregator"/>
    <s v="Pawan"/>
    <m/>
    <s v="Haleem popup  16-04-2026 BHEL"/>
    <s v="Closed(C4)"/>
    <m/>
    <m/>
    <s v=""/>
    <s v=""/>
    <s v="Hot"/>
    <n v="65980"/>
    <n v="65980"/>
    <d v="2026-04-16T00:00:00"/>
    <m/>
    <x v="1"/>
    <s v="Received at HO"/>
    <m/>
    <d v="2026-04-30T00:00:00"/>
    <x v="0"/>
    <m/>
    <s v=""/>
    <m/>
  </r>
  <r>
    <d v="2026-04-16T00:00:00"/>
    <s v="Sameer"/>
    <s v="Hyderabad"/>
    <x v="20"/>
    <s v="Call"/>
    <s v="Aggregator"/>
    <s v="SmartQ"/>
    <s v="Popup Counter"/>
    <s v="Repeat"/>
    <s v="F&amp;B Agrigator"/>
    <s v="Priyansh"/>
    <m/>
    <s v="popup  16-04-2026 Gachibowli"/>
    <s v="Closed(C4)"/>
    <m/>
    <m/>
    <s v=""/>
    <s v=""/>
    <s v="Hot"/>
    <n v="64620"/>
    <n v="64620"/>
    <d v="2026-04-16T00:00:00"/>
    <m/>
    <x v="2"/>
    <s v="Received at HO"/>
    <m/>
    <d v="2026-04-30T00:00:00"/>
    <x v="0"/>
    <m/>
    <s v=""/>
    <m/>
  </r>
  <r>
    <d v="2026-04-16T00:00:00"/>
    <s v="Sameer"/>
    <s v="Hyderabad"/>
    <x v="21"/>
    <s v="Call"/>
    <s v="Aggregator"/>
    <s v="SmartQ"/>
    <s v="Popup Counter"/>
    <s v="Repeat"/>
    <s v="F&amp;B Agrigator"/>
    <s v="Priyansh"/>
    <m/>
    <s v="Popup 16-4-2026 Sarat City 4th Floor"/>
    <s v="Closed(C4)"/>
    <m/>
    <m/>
    <s v=""/>
    <s v=""/>
    <s v="Hot"/>
    <n v="17240"/>
    <n v="17240"/>
    <d v="2026-04-16T00:00:00"/>
    <m/>
    <x v="10"/>
    <s v="Received at HO"/>
    <m/>
    <d v="2026-04-30T00:00:00"/>
    <x v="0"/>
    <m/>
    <s v=""/>
    <m/>
  </r>
  <r>
    <d v="2026-04-16T00:00:00"/>
    <s v="Bashab"/>
    <s v="Bangalore"/>
    <x v="18"/>
    <s v="Call"/>
    <s v="Corporate"/>
    <m/>
    <s v="Popup Counter"/>
    <m/>
    <s v="Retail"/>
    <s v="Vinod"/>
    <m/>
    <s v="Business Closed"/>
    <s v="Closed(C4)"/>
    <m/>
    <m/>
    <s v=""/>
    <s v=""/>
    <s v="Hot"/>
    <n v="14230"/>
    <n v="14230"/>
    <d v="2026-04-16T00:00:00"/>
    <m/>
    <x v="7"/>
    <s v="Received at Store"/>
    <m/>
    <m/>
    <x v="0"/>
    <m/>
    <s v=""/>
    <m/>
  </r>
  <r>
    <d v="2026-04-17T00:00:00"/>
    <s v="Sameer"/>
    <s v="Hyderabad"/>
    <x v="48"/>
    <s v="F2F"/>
    <s v="Corporate"/>
    <m/>
    <s v="Bulk Order"/>
    <s v="New"/>
    <s v="Retail"/>
    <s v="Maanya"/>
    <m/>
    <s v="Deliverd  vouchers from Nexus Mall 17-4-2026"/>
    <s v="Closed(C4)"/>
    <m/>
    <m/>
    <s v=""/>
    <s v=""/>
    <s v="Hot"/>
    <n v="100240"/>
    <n v="100240"/>
    <d v="2026-04-17T00:00:00"/>
    <m/>
    <x v="9"/>
    <s v="Received at HO"/>
    <m/>
    <d v="2026-04-12T00:00:00"/>
    <x v="0"/>
    <s v="Yes"/>
    <n v="2004.8"/>
    <m/>
  </r>
  <r>
    <d v="2026-04-17T00:00:00"/>
    <s v="Sameer"/>
    <s v="Hyderabad"/>
    <x v="49"/>
    <s v="F2F"/>
    <s v="Corporate"/>
    <m/>
    <s v="Bulk Order"/>
    <s v="New"/>
    <s v="Events"/>
    <s v="Arijit"/>
    <m/>
    <s v="Kims Hospital Begumpet 17-04-2026"/>
    <s v="Closed(C4)"/>
    <m/>
    <m/>
    <s v=""/>
    <s v=""/>
    <s v="Hot"/>
    <n v="15000"/>
    <n v="12524"/>
    <d v="2026-04-17T00:00:00"/>
    <m/>
    <x v="15"/>
    <s v="Received at HO"/>
    <m/>
    <d v="2026-04-17T00:00:00"/>
    <x v="0"/>
    <s v="Yes"/>
    <n v="250.48000000000002"/>
    <m/>
  </r>
  <r>
    <d v="2026-04-17T00:00:00"/>
    <s v="Sameer"/>
    <s v="Hyderabad"/>
    <x v="46"/>
    <s v="Call"/>
    <s v="Aggregator"/>
    <s v="Hunger Box"/>
    <s v="Popup Counter"/>
    <s v="Repeat"/>
    <s v="F&amp;B Aggregator"/>
    <s v="Pawan"/>
    <m/>
    <s v="Haleem popup  17-04-2026 BHEL"/>
    <s v="Closed(C4)"/>
    <m/>
    <m/>
    <s v=""/>
    <s v=""/>
    <s v="Hot"/>
    <n v="70930"/>
    <n v="70930"/>
    <d v="2026-04-17T00:00:00"/>
    <m/>
    <x v="1"/>
    <s v="Received at HO"/>
    <m/>
    <d v="2026-04-30T00:00:00"/>
    <x v="0"/>
    <m/>
    <s v=""/>
    <m/>
  </r>
  <r>
    <d v="2026-04-17T00:00:00"/>
    <s v="Sameer"/>
    <s v="Hyderabad"/>
    <x v="20"/>
    <s v="Call"/>
    <s v="Aggregator"/>
    <s v="SmartQ"/>
    <s v="Popup Counter"/>
    <s v="Repeat"/>
    <s v="F&amp;B Agrigator"/>
    <s v="Priyansh"/>
    <m/>
    <s v="popup  17-04-2026 Gachibowli"/>
    <s v="Closed(C4)"/>
    <m/>
    <m/>
    <s v=""/>
    <s v=""/>
    <s v="Hot"/>
    <n v="86350"/>
    <n v="86350"/>
    <d v="2026-04-17T00:00:00"/>
    <m/>
    <x v="2"/>
    <s v="Received at HO"/>
    <m/>
    <d v="2026-04-30T00:00:00"/>
    <x v="0"/>
    <m/>
    <s v=""/>
    <m/>
  </r>
  <r>
    <d v="2026-04-17T00:00:00"/>
    <s v="Sameer"/>
    <s v="Hyderabad"/>
    <x v="21"/>
    <s v="Call"/>
    <s v="Aggregator"/>
    <s v="SmartQ"/>
    <s v="Popup Counter"/>
    <s v="Repeat"/>
    <s v="F&amp;B Agrigator"/>
    <s v="Priyansh"/>
    <m/>
    <s v="Popup 17-4-2026 from Lingampally"/>
    <s v="Closed(C4)"/>
    <m/>
    <m/>
    <s v=""/>
    <s v=""/>
    <s v="Hot"/>
    <n v="19180"/>
    <n v="19180"/>
    <d v="2026-04-17T00:00:00"/>
    <m/>
    <x v="16"/>
    <s v="Received at HO"/>
    <m/>
    <d v="2026-04-30T00:00:00"/>
    <x v="0"/>
    <m/>
    <s v=""/>
    <m/>
  </r>
  <r>
    <d v="2026-04-17T00:00:00"/>
    <s v="Bashab"/>
    <s v="Bangalore"/>
    <x v="37"/>
    <s v="Call"/>
    <s v="Aggregator"/>
    <s v="SmartQ"/>
    <s v="Popup Counter"/>
    <m/>
    <s v="F&amp;B Agrigator"/>
    <s v="Harish"/>
    <m/>
    <s v="Business Closed"/>
    <s v="Closed(C4)"/>
    <m/>
    <m/>
    <s v=""/>
    <s v=""/>
    <s v="Hot"/>
    <n v="18650"/>
    <n v="18650"/>
    <d v="2026-04-17T00:00:00"/>
    <m/>
    <x v="12"/>
    <s v="Received at HO"/>
    <m/>
    <m/>
    <x v="0"/>
    <m/>
    <s v=""/>
    <m/>
  </r>
  <r>
    <d v="2026-04-18T00:00:00"/>
    <s v="Sameer"/>
    <s v="Hyderabad"/>
    <x v="43"/>
    <s v="Call"/>
    <s v="Corporate"/>
    <m/>
    <s v="Bulk Order"/>
    <s v="New"/>
    <s v="Tourism"/>
    <s v="Arjith"/>
    <m/>
    <s v="Business Closed"/>
    <s v="Closed(C4)"/>
    <m/>
    <m/>
    <m/>
    <m/>
    <s v="Hot"/>
    <n v="25000"/>
    <n v="11702"/>
    <d v="2026-04-18T00:00:00"/>
    <s v="00SGA14000013461"/>
    <x v="14"/>
    <s v="Received at Store"/>
    <m/>
    <d v="2026-04-18T00:00:00"/>
    <x v="0"/>
    <m/>
    <m/>
    <s v="Takeaway-Bulk-Insti"/>
  </r>
  <r>
    <d v="2026-04-18T00:00:00"/>
    <s v="Sameer"/>
    <s v="Hyderabad"/>
    <x v="50"/>
    <s v="F2F"/>
    <s v="Bulk Order"/>
    <m/>
    <s v="Bulk Order"/>
    <s v="New"/>
    <s v="Tourism"/>
    <s v="Rupanta"/>
    <m/>
    <s v="Dine in at gachibowli on 18-4-2026"/>
    <s v="Closed(C4)"/>
    <m/>
    <m/>
    <s v=""/>
    <s v=""/>
    <s v="Hot"/>
    <n v="35495"/>
    <n v="35495"/>
    <d v="2026-04-18T00:00:00"/>
    <m/>
    <x v="2"/>
    <s v="Received at Store"/>
    <m/>
    <d v="2026-04-18T00:00:00"/>
    <x v="0"/>
    <m/>
    <s v=""/>
    <m/>
  </r>
  <r>
    <d v="2026-04-18T00:00:00"/>
    <s v="Bashab"/>
    <s v="Bangalore"/>
    <x v="45"/>
    <s v="Call"/>
    <s v="Aggregator"/>
    <s v="Meals &amp; More"/>
    <s v="ODC"/>
    <m/>
    <s v="Events"/>
    <s v="Satyam"/>
    <m/>
    <s v="Business Closed"/>
    <s v="Closed(C4)"/>
    <m/>
    <m/>
    <s v=""/>
    <s v=""/>
    <s v="Hot"/>
    <n v="218650"/>
    <n v="218650"/>
    <d v="2026-04-29T00:00:00"/>
    <m/>
    <x v="8"/>
    <s v="Received at HO"/>
    <m/>
    <d v="2026-05-30T00:00:00"/>
    <x v="0"/>
    <m/>
    <s v=""/>
    <m/>
  </r>
  <r>
    <d v="2026-04-20T00:00:00"/>
    <s v="Sameer"/>
    <s v="Hyderabad"/>
    <x v="20"/>
    <s v="Call"/>
    <s v="Aggregator"/>
    <s v="SmartQ"/>
    <s v="Popup Counter"/>
    <s v="Repeat"/>
    <s v="F&amp;B Agrigator"/>
    <s v="Priyansh"/>
    <m/>
    <s v="popup  20-04-2026 Gachibowli"/>
    <s v="Closed(C4)"/>
    <m/>
    <m/>
    <s v=""/>
    <s v=""/>
    <s v="Hot"/>
    <n v="45590"/>
    <n v="45590"/>
    <d v="2026-04-20T00:00:00"/>
    <m/>
    <x v="2"/>
    <s v="Received at HO"/>
    <m/>
    <d v="2026-04-30T00:00:00"/>
    <x v="0"/>
    <m/>
    <s v=""/>
    <m/>
  </r>
  <r>
    <d v="2026-04-20T00:00:00"/>
    <s v="Sameer"/>
    <s v="Hyderabad"/>
    <x v="21"/>
    <s v="Call"/>
    <s v="Aggregator"/>
    <s v="SmartQ"/>
    <s v="Popup Counter"/>
    <s v="Repeat"/>
    <s v="F&amp;B Agrigator"/>
    <s v="Priyansh"/>
    <m/>
    <s v="Popup 20-04-2026 from Lingampally"/>
    <s v="Closed(C4)"/>
    <m/>
    <m/>
    <s v=""/>
    <s v=""/>
    <s v="Hot"/>
    <n v="11189"/>
    <n v="11189"/>
    <d v="2026-04-20T00:00:00"/>
    <m/>
    <x v="16"/>
    <s v="Received at HO"/>
    <m/>
    <d v="2026-04-30T00:00:00"/>
    <x v="0"/>
    <m/>
    <s v=""/>
    <m/>
  </r>
  <r>
    <d v="2026-04-20T00:00:00"/>
    <s v="Sameer"/>
    <s v="Hyderabad"/>
    <x v="43"/>
    <s v="F2F"/>
    <s v="Corporate"/>
    <m/>
    <s v="Bulk Order"/>
    <s v="New"/>
    <s v="Tourism"/>
    <s v="Arjith"/>
    <m/>
    <s v="Business Closed"/>
    <s v="Closed(C4)"/>
    <m/>
    <m/>
    <m/>
    <m/>
    <s v="Hot"/>
    <n v="30000"/>
    <n v="18297"/>
    <d v="2026-04-20T00:00:00"/>
    <s v="00SGA14000013527"/>
    <x v="14"/>
    <s v="Received at Store"/>
    <m/>
    <d v="2026-04-20T00:00:00"/>
    <x v="0"/>
    <m/>
    <m/>
    <s v="Takeaway-Bulk-Insti"/>
  </r>
  <r>
    <d v="2026-04-20T00:00:00"/>
    <s v="Sameer"/>
    <s v="Hyderabad"/>
    <x v="25"/>
    <s v="Call"/>
    <s v="Aggregator"/>
    <s v="Compass"/>
    <s v="Bulk Order"/>
    <s v="New"/>
    <s v="F&amp;B Agrigator"/>
    <s v="Bibekananda"/>
    <m/>
    <s v="CB &amp; VB fron gachibowli on 20-04-2026"/>
    <s v="Closed(C4)"/>
    <m/>
    <m/>
    <s v=""/>
    <s v=""/>
    <s v="Hot"/>
    <n v="18200"/>
    <n v="18200"/>
    <d v="2026-04-20T00:00:00"/>
    <m/>
    <x v="2"/>
    <s v="Received at HO"/>
    <m/>
    <d v="2026-05-30T00:00:00"/>
    <x v="0"/>
    <m/>
    <s v=""/>
    <m/>
  </r>
  <r>
    <d v="2026-04-21T00:00:00"/>
    <s v="Sameer"/>
    <s v="Hyderabad"/>
    <x v="20"/>
    <s v="Call"/>
    <s v="Aggregator"/>
    <s v="SmartQ"/>
    <s v="Popup Counter"/>
    <s v="Repeat"/>
    <s v="F&amp;B Agrigator"/>
    <s v="Priyansh"/>
    <m/>
    <s v="popup  21-04-2026 Gachibowli"/>
    <s v="Closed(C4)"/>
    <m/>
    <m/>
    <s v=""/>
    <s v=""/>
    <s v="Hot"/>
    <n v="52920"/>
    <n v="52920"/>
    <d v="2026-04-21T00:00:00"/>
    <m/>
    <x v="2"/>
    <s v="Received at HO"/>
    <m/>
    <d v="2026-04-30T00:00:00"/>
    <x v="0"/>
    <m/>
    <s v=""/>
    <m/>
  </r>
  <r>
    <d v="2026-04-21T00:00:00"/>
    <s v="Sameer"/>
    <s v="Hyderabad"/>
    <x v="21"/>
    <s v="Call"/>
    <s v="Aggregator"/>
    <s v="SmartQ"/>
    <s v="Popup Counter"/>
    <s v="Repeat"/>
    <s v="F&amp;B Agrigator"/>
    <s v="Priyansh"/>
    <m/>
    <s v="Popup 21-04-2026 from Lingampally"/>
    <s v="Closed(C4)"/>
    <m/>
    <m/>
    <s v=""/>
    <s v=""/>
    <s v="Hot"/>
    <n v="9650"/>
    <n v="9650"/>
    <d v="2026-04-21T00:00:00"/>
    <m/>
    <x v="16"/>
    <s v="Received at HO"/>
    <m/>
    <d v="2026-04-30T00:00:00"/>
    <x v="0"/>
    <m/>
    <s v=""/>
    <m/>
  </r>
  <r>
    <d v="2026-04-21T00:00:00"/>
    <s v="Sameer"/>
    <s v="Hyderabad"/>
    <x v="2"/>
    <s v="Call"/>
    <s v="Aggregator"/>
    <s v="SmartQ"/>
    <s v="Popup Counter"/>
    <s v="Repeat"/>
    <s v="F&amp;B Aggregator"/>
    <s v="Samruddhi"/>
    <m/>
    <s v="Popup on 21-4-2026 from BHEL"/>
    <s v="Closed(C4)"/>
    <m/>
    <m/>
    <s v=""/>
    <s v=""/>
    <s v="Hot"/>
    <n v="38280"/>
    <n v="38280"/>
    <d v="2026-04-21T00:00:00"/>
    <m/>
    <x v="1"/>
    <s v="Received at HO"/>
    <m/>
    <d v="2026-04-30T00:00:00"/>
    <x v="0"/>
    <m/>
    <s v=""/>
    <m/>
  </r>
  <r>
    <d v="2026-04-21T00:00:00"/>
    <s v="Sameer"/>
    <s v="Hyderabad"/>
    <x v="51"/>
    <s v="Call"/>
    <s v="Corporate"/>
    <m/>
    <s v="Bulk Order"/>
    <s v="New"/>
    <s v="Banking Fiinance &amp; Insurance"/>
    <s v="Chitra"/>
    <m/>
    <s v="Delivery of CB from Hitec on 21-04-2026"/>
    <s v="Closed(C4)"/>
    <m/>
    <m/>
    <s v=""/>
    <s v=""/>
    <s v="Hot"/>
    <n v="17220"/>
    <n v="17220"/>
    <d v="2026-04-21T00:00:00"/>
    <m/>
    <x v="4"/>
    <s v="Received at Store"/>
    <m/>
    <d v="2026-04-21T00:00:00"/>
    <x v="0"/>
    <m/>
    <s v=""/>
    <m/>
  </r>
  <r>
    <d v="2026-04-21T00:00:00"/>
    <s v="Bashab"/>
    <s v="Bangalore"/>
    <x v="31"/>
    <s v="Call"/>
    <s v="Corporate"/>
    <m/>
    <s v="Popup Counter"/>
    <m/>
    <s v="Retail"/>
    <s v="Mueenudheen"/>
    <m/>
    <s v="Business Closed"/>
    <s v="Closed(C4)"/>
    <m/>
    <m/>
    <s v=""/>
    <s v=""/>
    <s v="Hot"/>
    <n v="17230"/>
    <n v="17230"/>
    <d v="2026-04-21T00:00:00"/>
    <m/>
    <x v="7"/>
    <s v="Received at Store"/>
    <m/>
    <m/>
    <x v="0"/>
    <m/>
    <s v=""/>
    <m/>
  </r>
  <r>
    <d v="2026-04-22T00:00:00"/>
    <s v="Sameer"/>
    <s v="Hyderabad"/>
    <x v="20"/>
    <s v="Call"/>
    <s v="Aggregator"/>
    <s v="SmartQ"/>
    <s v="Popup Counter"/>
    <s v="Repeat"/>
    <s v="F&amp;B Agrigator"/>
    <s v="Priyansh"/>
    <m/>
    <s v="popup  22-04-2026 Gachibowli"/>
    <s v="Closed(C4)"/>
    <m/>
    <m/>
    <s v=""/>
    <s v=""/>
    <s v="Hot"/>
    <n v="56660"/>
    <n v="56660"/>
    <d v="2026-04-22T00:00:00"/>
    <s v="00GCBTA000288244"/>
    <x v="2"/>
    <s v="Received at HO"/>
    <m/>
    <d v="2026-04-30T00:00:00"/>
    <x v="0"/>
    <m/>
    <s v=""/>
    <m/>
  </r>
  <r>
    <d v="2026-04-22T00:00:00"/>
    <s v="Sameer"/>
    <s v="Hyderabad"/>
    <x v="21"/>
    <s v="Call"/>
    <s v="Aggregator"/>
    <s v="SmartQ"/>
    <s v="Popup Counter"/>
    <s v="Repeat"/>
    <s v="F&amp;B Agrigator"/>
    <s v="Priyansh"/>
    <m/>
    <s v="Popup 22-04-2026 from Lingampally"/>
    <s v="Closed(C4)"/>
    <m/>
    <m/>
    <s v=""/>
    <s v=""/>
    <s v="Hot"/>
    <n v="14310"/>
    <n v="14310"/>
    <d v="2026-04-22T00:00:00"/>
    <m/>
    <x v="16"/>
    <s v="Received at HO"/>
    <m/>
    <d v="2026-04-30T00:00:00"/>
    <x v="0"/>
    <m/>
    <s v=""/>
    <m/>
  </r>
  <r>
    <d v="2026-04-22T00:00:00"/>
    <s v="Sameer"/>
    <s v="Hyderabad"/>
    <x v="2"/>
    <s v="Call"/>
    <s v="Aggregator"/>
    <s v="SmartQ"/>
    <s v="Popup Counter"/>
    <s v="New"/>
    <s v="It"/>
    <s v="Samruddhi"/>
    <m/>
    <s v="Popup on 22-4-2026 from BHEL"/>
    <s v="Closed(C4)"/>
    <m/>
    <m/>
    <s v=""/>
    <s v=""/>
    <s v="Hot"/>
    <n v="51000"/>
    <n v="51000"/>
    <d v="2026-04-22T00:00:00"/>
    <m/>
    <x v="1"/>
    <s v="Received at HO"/>
    <m/>
    <d v="2026-04-30T00:00:00"/>
    <x v="0"/>
    <m/>
    <s v=""/>
    <m/>
  </r>
  <r>
    <d v="2026-04-22T00:00:00"/>
    <s v="Sameer"/>
    <s v="Hyderabad"/>
    <x v="52"/>
    <s v="F2F"/>
    <s v="Aggregator"/>
    <s v="Compass"/>
    <s v="Bulk Order"/>
    <s v="Repeat"/>
    <s v="It"/>
    <s v="Dinesh"/>
    <m/>
    <s v="Biryani on 22-04-2026 from Kukatpally"/>
    <s v="Closed(C4)"/>
    <m/>
    <m/>
    <s v=""/>
    <s v=""/>
    <s v="Hot"/>
    <n v="66280"/>
    <n v="66280"/>
    <d v="2026-04-22T00:00:00"/>
    <s v="00KKPTB000482825"/>
    <x v="17"/>
    <s v="Received at HO"/>
    <m/>
    <d v="2026-04-30T00:00:00"/>
    <x v="0"/>
    <m/>
    <s v=""/>
    <m/>
  </r>
  <r>
    <d v="2026-04-22T00:00:00"/>
    <s v="Sameer"/>
    <s v="Hyderabad"/>
    <x v="53"/>
    <s v="Call"/>
    <s v="Aggregator"/>
    <s v="Compass"/>
    <s v="Bulk Order"/>
    <s v="New"/>
    <s v="F&amp;B Agrigator"/>
    <s v="Sireesh"/>
    <m/>
    <s v="Haleem from kukatpally on 22-04-2026"/>
    <s v="Closed(C4)"/>
    <m/>
    <m/>
    <s v=""/>
    <s v=""/>
    <s v="Hot"/>
    <n v="20160"/>
    <n v="20160"/>
    <d v="2026-04-22T00:00:00"/>
    <m/>
    <x v="17"/>
    <s v="Received at HO"/>
    <m/>
    <d v="2026-05-30T00:00:00"/>
    <x v="0"/>
    <m/>
    <s v=""/>
    <m/>
  </r>
  <r>
    <d v="2026-04-22T00:00:00"/>
    <s v="Sameer"/>
    <s v="Bangalore"/>
    <x v="3"/>
    <s v="Call"/>
    <s v="Aggregator"/>
    <s v="Compass"/>
    <s v="Bulk Order"/>
    <s v="Repeat"/>
    <s v="F&amp;B Agrigator"/>
    <s v="Saad"/>
    <m/>
    <s v="Delivery on 22-4-2026 from HSR"/>
    <s v="Closed(C4)"/>
    <m/>
    <m/>
    <s v=""/>
    <s v=""/>
    <s v="Hot"/>
    <n v="24062"/>
    <n v="24062"/>
    <d v="2026-04-22T00:00:00"/>
    <s v="00HSA06000002879"/>
    <x v="3"/>
    <s v="Received at HO"/>
    <m/>
    <d v="2026-05-30T00:00:00"/>
    <x v="0"/>
    <m/>
    <s v=""/>
    <m/>
  </r>
  <r>
    <d v="2026-04-22T00:00:00"/>
    <s v="Bashab"/>
    <s v="Bangalore"/>
    <x v="16"/>
    <s v="Call"/>
    <s v="Corporate"/>
    <m/>
    <s v="Bulk Order"/>
    <s v="Repeat"/>
    <s v="Retail"/>
    <s v="Mohammed"/>
    <m/>
    <s v="Business Closed"/>
    <s v="Closed(C4)"/>
    <m/>
    <m/>
    <s v=""/>
    <s v=""/>
    <s v="Hot"/>
    <n v="24062"/>
    <n v="24062"/>
    <d v="2026-04-22T00:00:00"/>
    <s v="00HSA06000002879"/>
    <x v="3"/>
    <s v="Received at HO"/>
    <m/>
    <m/>
    <x v="0"/>
    <m/>
    <s v=""/>
    <m/>
  </r>
  <r>
    <d v="2026-04-22T00:00:00"/>
    <s v="Bashab"/>
    <s v="Bangalore"/>
    <x v="37"/>
    <s v="Call"/>
    <s v="Aggregator"/>
    <s v="SmartQ"/>
    <s v="Popup Counter"/>
    <m/>
    <s v="F&amp;B Agrigator"/>
    <s v="Harish"/>
    <m/>
    <s v="Business Closed"/>
    <s v="Closed(C4)"/>
    <m/>
    <m/>
    <s v=""/>
    <s v=""/>
    <s v="Hot"/>
    <n v="19720"/>
    <n v="19720"/>
    <d v="2026-04-22T00:00:00"/>
    <m/>
    <x v="12"/>
    <s v="Received at HO"/>
    <m/>
    <m/>
    <x v="0"/>
    <m/>
    <s v=""/>
    <m/>
  </r>
  <r>
    <d v="2026-04-22T00:00:00"/>
    <s v="Bashab"/>
    <s v="Bangalore"/>
    <x v="40"/>
    <s v="Call"/>
    <s v="Corporate"/>
    <m/>
    <s v="Popup Counter"/>
    <m/>
    <s v="Retail"/>
    <s v="Srinivas"/>
    <m/>
    <s v="Business Closed"/>
    <s v="Closed(C4)"/>
    <m/>
    <m/>
    <s v=""/>
    <s v=""/>
    <s v="Hot"/>
    <n v="21749"/>
    <n v="21749"/>
    <d v="2026-04-22T00:00:00"/>
    <m/>
    <x v="7"/>
    <s v="Received at Store"/>
    <m/>
    <m/>
    <x v="0"/>
    <m/>
    <s v=""/>
    <m/>
  </r>
  <r>
    <d v="2026-04-23T00:00:00"/>
    <s v="Sameer"/>
    <s v="Hyderabad"/>
    <x v="20"/>
    <s v="Call"/>
    <s v="Aggregator"/>
    <s v="SmartQ"/>
    <s v="Popup Counter"/>
    <s v="Repeat"/>
    <s v="F&amp;B Agrigator"/>
    <s v="Priyansh"/>
    <m/>
    <s v="popup  23-04-2026 Gachibowli"/>
    <s v="Closed(C4)"/>
    <m/>
    <m/>
    <s v=""/>
    <s v=""/>
    <s v="Hot"/>
    <n v="69280"/>
    <n v="69280"/>
    <d v="2026-04-23T00:00:00"/>
    <s v="00GCBTA000288245"/>
    <x v="2"/>
    <s v="Received at HO"/>
    <m/>
    <d v="2026-04-30T00:00:00"/>
    <x v="0"/>
    <m/>
    <s v=""/>
    <m/>
  </r>
  <r>
    <d v="2026-04-23T00:00:00"/>
    <s v="Sameer"/>
    <s v="Hyderabad"/>
    <x v="21"/>
    <s v="Call"/>
    <s v="Aggregator"/>
    <s v="SmartQ"/>
    <s v="Popup Counter"/>
    <s v="Repeat"/>
    <s v="F&amp;B Agrigator"/>
    <s v="Priyansh"/>
    <m/>
    <s v="Popup 23-04-2026 from Lingampally"/>
    <s v="Closed(C4)"/>
    <m/>
    <m/>
    <s v=""/>
    <s v=""/>
    <s v="Hot"/>
    <n v="10110"/>
    <n v="10110"/>
    <d v="2026-04-23T00:00:00"/>
    <m/>
    <x v="16"/>
    <s v="Received at HO"/>
    <m/>
    <d v="2026-04-30T00:00:00"/>
    <x v="0"/>
    <m/>
    <s v=""/>
    <m/>
  </r>
  <r>
    <d v="2026-04-23T00:00:00"/>
    <s v="Sameer"/>
    <s v="Hyderabad"/>
    <x v="2"/>
    <s v="Call"/>
    <s v="Aggregator"/>
    <s v="SmartQ"/>
    <s v="Popup Counter"/>
    <s v="Repeat"/>
    <s v="It"/>
    <s v="Samruddhi"/>
    <m/>
    <s v="Popup on 23-4-2026 from BHEL"/>
    <s v="Closed(C4)"/>
    <m/>
    <m/>
    <s v=""/>
    <s v=""/>
    <s v="Hot"/>
    <n v="44750"/>
    <n v="44750"/>
    <d v="2026-04-23T00:00:00"/>
    <m/>
    <x v="1"/>
    <s v="Received at HO"/>
    <m/>
    <d v="2026-04-30T00:00:00"/>
    <x v="0"/>
    <m/>
    <s v=""/>
    <m/>
  </r>
  <r>
    <d v="2026-04-23T00:00:00"/>
    <s v="Bashab"/>
    <s v="Bangalore"/>
    <x v="39"/>
    <s v="F2F"/>
    <s v="Aggregator"/>
    <s v="Compass"/>
    <s v="Bulk Order"/>
    <m/>
    <s v="It"/>
    <s v="Sadashiv"/>
    <m/>
    <s v="Business Closed"/>
    <s v="Closed(C4)"/>
    <m/>
    <m/>
    <s v=""/>
    <s v=""/>
    <s v="Hot"/>
    <n v="19512"/>
    <n v="19512"/>
    <d v="2026-04-23T00:00:00"/>
    <m/>
    <x v="11"/>
    <s v="Received at HO"/>
    <m/>
    <d v="2026-05-30T00:00:00"/>
    <x v="0"/>
    <m/>
    <s v=""/>
    <m/>
  </r>
  <r>
    <d v="2026-04-23T00:00:00"/>
    <s v="Bashab"/>
    <s v="Bangalore"/>
    <x v="18"/>
    <s v="Call"/>
    <s v="Corporate"/>
    <m/>
    <s v="Popup Counter"/>
    <m/>
    <s v="Retail"/>
    <s v="Vinod"/>
    <m/>
    <s v="Business Closed"/>
    <s v="Closed(C4)"/>
    <m/>
    <m/>
    <s v=""/>
    <s v=""/>
    <s v="Hot"/>
    <n v="11320"/>
    <n v="11320"/>
    <d v="2026-04-23T00:00:00"/>
    <m/>
    <x v="7"/>
    <s v="Received at Store"/>
    <m/>
    <m/>
    <x v="0"/>
    <m/>
    <s v=""/>
    <m/>
  </r>
  <r>
    <d v="2026-04-24T00:00:00"/>
    <s v="Sameer"/>
    <s v="Hyderabad"/>
    <x v="20"/>
    <s v="Call"/>
    <s v="Aggregator"/>
    <s v="SmartQ"/>
    <s v="Popup Counter"/>
    <s v="Repeat"/>
    <s v="F&amp;B Agrigator"/>
    <s v="Priyansh"/>
    <m/>
    <s v="popup  24-04-2026 Muthangi"/>
    <s v="Closed(C4)"/>
    <m/>
    <m/>
    <s v=""/>
    <s v=""/>
    <s v="Hot"/>
    <n v="72490"/>
    <n v="72490"/>
    <d v="2026-04-24T00:00:00"/>
    <m/>
    <x v="18"/>
    <s v="Received at HO"/>
    <m/>
    <d v="2026-04-30T00:00:00"/>
    <x v="0"/>
    <m/>
    <s v=""/>
    <m/>
  </r>
  <r>
    <d v="2026-04-24T00:00:00"/>
    <s v="Sameer"/>
    <s v="Hyderabad"/>
    <x v="21"/>
    <s v="Call"/>
    <s v="Aggregator"/>
    <s v="SmartQ"/>
    <s v="Popup Counter"/>
    <s v="Repeat"/>
    <s v="F&amp;B Agrigator"/>
    <s v="Priyansh"/>
    <m/>
    <s v="Popup 24-04-2026 from Lingampally"/>
    <s v="Closed(C4)"/>
    <m/>
    <m/>
    <s v=""/>
    <s v=""/>
    <s v="Hot"/>
    <n v="18050"/>
    <n v="18050"/>
    <d v="2026-04-24T00:00:00"/>
    <m/>
    <x v="16"/>
    <s v="Received at HO"/>
    <m/>
    <d v="2026-04-30T00:00:00"/>
    <x v="0"/>
    <m/>
    <s v=""/>
    <m/>
  </r>
  <r>
    <d v="2026-04-24T00:00:00"/>
    <s v="Bashab"/>
    <s v="Bangalore"/>
    <x v="41"/>
    <s v="Call"/>
    <s v="Aggregator"/>
    <s v="SmartQ"/>
    <s v="Popup Counter"/>
    <m/>
    <s v="F&amp;B Agrigator"/>
    <s v="Harish"/>
    <m/>
    <s v="Business Closed"/>
    <s v="Closed(C4)"/>
    <m/>
    <m/>
    <s v=""/>
    <s v=""/>
    <s v="Hot"/>
    <n v="17000"/>
    <n v="17000"/>
    <d v="2026-04-24T00:00:00"/>
    <m/>
    <x v="12"/>
    <s v="Received at HO"/>
    <m/>
    <m/>
    <x v="0"/>
    <m/>
    <s v=""/>
    <m/>
  </r>
  <r>
    <d v="2026-04-25T00:00:00"/>
    <s v="Sameer"/>
    <s v="Hyderabad"/>
    <x v="54"/>
    <s v="Call"/>
    <s v="Bulk Order"/>
    <m/>
    <s v="Bulk Order"/>
    <s v="New"/>
    <s v="Family Group"/>
    <s v="Sattar"/>
    <m/>
    <s v="Take away CB from Begumpet 25-04-2026"/>
    <s v="Closed(C4)"/>
    <m/>
    <m/>
    <s v=""/>
    <s v=""/>
    <s v="Hot"/>
    <n v="5564"/>
    <n v="5564"/>
    <d v="2026-04-25T00:00:00"/>
    <m/>
    <x v="15"/>
    <s v="Received at Store"/>
    <m/>
    <d v="2026-04-25T00:00:00"/>
    <x v="0"/>
    <m/>
    <s v=""/>
    <m/>
  </r>
  <r>
    <d v="2026-04-25T00:00:00"/>
    <s v="Bashab"/>
    <s v="Bangalore"/>
    <x v="47"/>
    <s v="Call"/>
    <s v="Aggregator"/>
    <s v="Pinnacle"/>
    <s v="ODC"/>
    <m/>
    <s v="Events"/>
    <s v="Devendar"/>
    <m/>
    <s v="Business Closed"/>
    <s v="Closed(C4)"/>
    <m/>
    <m/>
    <s v=""/>
    <s v=""/>
    <s v="Hot"/>
    <n v="168150"/>
    <n v="168150"/>
    <d v="2026-04-25T00:00:00"/>
    <m/>
    <x v="8"/>
    <s v="Received at HO"/>
    <m/>
    <d v="2026-05-30T00:00:00"/>
    <x v="0"/>
    <m/>
    <s v=""/>
    <m/>
  </r>
  <r>
    <d v="2026-04-27T00:00:00"/>
    <s v="Sameer"/>
    <s v="Hyderabad"/>
    <x v="55"/>
    <s v="F2F"/>
    <s v="Bulk Order"/>
    <m/>
    <s v="Bulk Order"/>
    <s v="New"/>
    <s v="Events"/>
    <s v="Jyothi"/>
    <m/>
    <s v="Take away supreme CB from secundrabad 27-4-2026"/>
    <s v="Closed(C4)"/>
    <m/>
    <m/>
    <s v=""/>
    <s v=""/>
    <s v="Hot"/>
    <n v="5856"/>
    <n v="5856"/>
    <d v="2026-04-27T00:00:00"/>
    <m/>
    <x v="14"/>
    <s v="Received at Store"/>
    <m/>
    <d v="2026-04-27T00:00:00"/>
    <x v="0"/>
    <m/>
    <s v=""/>
    <m/>
  </r>
  <r>
    <d v="2026-04-27T00:00:00"/>
    <s v="Sameer"/>
    <s v="Hyderabad"/>
    <x v="20"/>
    <s v="Call"/>
    <s v="Aggregator"/>
    <s v="SmartQ"/>
    <s v="Pop Up Counter"/>
    <s v="Repeat"/>
    <s v="F&amp;B Agrigator"/>
    <s v="Priyansh"/>
    <m/>
    <s v="popup  27-04-2026 Muthangi"/>
    <s v="Closed(C4)"/>
    <m/>
    <m/>
    <s v=""/>
    <s v=""/>
    <s v="Hot"/>
    <n v="51600"/>
    <n v="51600"/>
    <d v="2026-04-27T00:00:00"/>
    <m/>
    <x v="18"/>
    <s v="Received at HO"/>
    <m/>
    <d v="2026-04-30T00:00:00"/>
    <x v="0"/>
    <m/>
    <s v=""/>
    <m/>
  </r>
  <r>
    <d v="2026-04-27T00:00:00"/>
    <s v="Sameer"/>
    <s v="Hyderabad"/>
    <x v="21"/>
    <s v="Call"/>
    <s v="Aggregator"/>
    <s v="SmartQ"/>
    <s v="Pop Up Counter"/>
    <s v="Repeat"/>
    <s v="F&amp;B Agrigator"/>
    <s v="Priyansh"/>
    <m/>
    <s v="Popup 27-07-2026 from Lingampally"/>
    <s v="Closed(C4)"/>
    <m/>
    <m/>
    <s v=""/>
    <s v=""/>
    <s v="Hot"/>
    <n v="9470"/>
    <n v="9470"/>
    <d v="2026-04-27T00:00:00"/>
    <m/>
    <x v="16"/>
    <s v="Received at HO"/>
    <m/>
    <d v="2026-04-30T00:00:00"/>
    <x v="0"/>
    <m/>
    <s v=""/>
    <m/>
  </r>
  <r>
    <d v="2026-04-27T00:00:00"/>
    <s v="Sameer"/>
    <s v="Hyderabad"/>
    <x v="56"/>
    <s v="F2F"/>
    <s v="Bulk Order"/>
    <m/>
    <s v="Bulk Order"/>
    <s v="New"/>
    <s v="Pharma"/>
    <s v="Asad"/>
    <m/>
    <s v="Delivery of CB at Hospital in May"/>
    <s v="Cancelled"/>
    <m/>
    <m/>
    <n v="175"/>
    <s v=""/>
    <s v="Hot"/>
    <n v="0"/>
    <n v="0"/>
    <m/>
    <m/>
    <x v="5"/>
    <m/>
    <m/>
    <m/>
    <x v="0"/>
    <m/>
    <s v=""/>
    <m/>
  </r>
  <r>
    <d v="2026-04-28T00:00:00"/>
    <s v="Bashab"/>
    <s v="Bangalore"/>
    <x v="41"/>
    <s v="Call"/>
    <s v="Aggregator"/>
    <s v="SmartQ"/>
    <s v="Popup Counter"/>
    <m/>
    <s v="F&amp;B Agrigator"/>
    <s v="Harish"/>
    <m/>
    <s v="Business Closed"/>
    <s v="Closed(C4)"/>
    <m/>
    <m/>
    <s v=""/>
    <s v=""/>
    <s v="Hot"/>
    <n v="17400"/>
    <n v="17400"/>
    <d v="2026-04-28T00:00:00"/>
    <m/>
    <x v="12"/>
    <s v="Received at HO"/>
    <m/>
    <m/>
    <x v="0"/>
    <m/>
    <s v=""/>
    <m/>
  </r>
  <r>
    <d v="2026-04-28T00:00:00"/>
    <s v="Bashab"/>
    <s v="Bangalore"/>
    <x v="15"/>
    <s v="Call"/>
    <s v="Corporate"/>
    <m/>
    <s v="Popup Counter"/>
    <m/>
    <s v="Retail"/>
    <s v="James"/>
    <m/>
    <s v="Business Closed"/>
    <s v="Closed(C4)"/>
    <m/>
    <m/>
    <s v=""/>
    <s v=""/>
    <s v="Hot"/>
    <n v="9620"/>
    <n v="9620"/>
    <d v="2026-04-28T00:00:00"/>
    <m/>
    <x v="7"/>
    <s v="Received at Store"/>
    <m/>
    <m/>
    <x v="0"/>
    <m/>
    <s v=""/>
    <m/>
  </r>
  <r>
    <d v="2026-04-28T00:00:00"/>
    <s v="Sameer"/>
    <s v="Hyderabad"/>
    <x v="20"/>
    <s v="Call"/>
    <s v="Aggregator"/>
    <s v="SmartQ"/>
    <s v="Pop Up Counter"/>
    <s v="Repeat"/>
    <s v="F&amp;B Agrigator"/>
    <s v="Priyansh"/>
    <m/>
    <s v="popup  28-04-2026 Muthangi"/>
    <s v="Closed(C4)"/>
    <m/>
    <m/>
    <s v=""/>
    <s v=""/>
    <s v="Hot"/>
    <n v="52880"/>
    <n v="52880"/>
    <d v="2026-04-28T00:00:00"/>
    <m/>
    <x v="18"/>
    <s v="Received at HO"/>
    <m/>
    <d v="2026-04-30T00:00:00"/>
    <x v="0"/>
    <m/>
    <s v=""/>
    <m/>
  </r>
  <r>
    <d v="2026-04-28T00:00:00"/>
    <s v="Sameer"/>
    <s v="Hyderabad"/>
    <x v="21"/>
    <s v="Call"/>
    <s v="Aggregator"/>
    <s v="SmartQ"/>
    <s v="Pop Up Counter"/>
    <s v="Repeat"/>
    <s v="F&amp;B Agrigator"/>
    <s v="Priyansh"/>
    <m/>
    <s v="Popup 28-07-2026 from Lingampally"/>
    <s v="Closed(C4)"/>
    <m/>
    <m/>
    <s v=""/>
    <s v=""/>
    <s v="Hot"/>
    <n v="12340"/>
    <n v="12340"/>
    <d v="2026-04-28T00:00:00"/>
    <m/>
    <x v="16"/>
    <s v="Received at HO"/>
    <m/>
    <d v="2026-04-30T00:00:00"/>
    <x v="0"/>
    <m/>
    <s v=""/>
    <m/>
  </r>
  <r>
    <d v="2026-04-29T00:00:00"/>
    <s v="Bashab"/>
    <s v="Chennai"/>
    <x v="32"/>
    <s v="Call"/>
    <s v="Aggregator"/>
    <s v="Pinnacle"/>
    <s v="ODC"/>
    <m/>
    <s v="Events"/>
    <s v="Devendar"/>
    <m/>
    <s v="Business Confirmed"/>
    <s v="Closed(C4)"/>
    <m/>
    <m/>
    <s v=""/>
    <s v=""/>
    <s v="Hot"/>
    <n v="192856"/>
    <n v="192856"/>
    <d v="2026-04-29T00:00:00"/>
    <s v="OOKTA03000005742"/>
    <x v="19"/>
    <s v="Received at HO"/>
    <m/>
    <d v="2026-05-15T00:00:00"/>
    <x v="0"/>
    <m/>
    <s v=""/>
    <m/>
  </r>
  <r>
    <d v="2026-04-29T00:00:00"/>
    <s v="Bashab"/>
    <s v="Bangalore"/>
    <x v="16"/>
    <s v="Call"/>
    <s v="Corporate"/>
    <m/>
    <s v="Bulk Order"/>
    <s v="Repeat"/>
    <s v="Retail"/>
    <s v="Mohammed"/>
    <m/>
    <s v="Business Closed"/>
    <s v="Closed(C4)"/>
    <m/>
    <m/>
    <s v=""/>
    <s v=""/>
    <s v="Hot"/>
    <n v="20166"/>
    <n v="20166"/>
    <d v="2026-04-29T00:00:00"/>
    <s v="00HSA06000002920"/>
    <x v="3"/>
    <s v="Received at HO"/>
    <m/>
    <m/>
    <x v="0"/>
    <m/>
    <s v=""/>
    <m/>
  </r>
  <r>
    <d v="2026-04-29T00:00:00"/>
    <s v="Bashab"/>
    <s v="Bangalore"/>
    <x v="31"/>
    <s v="Call"/>
    <s v="Corporate"/>
    <m/>
    <s v="Popup Counter"/>
    <m/>
    <s v="Retail"/>
    <s v="Mueenudheen"/>
    <m/>
    <s v="Business Closed"/>
    <s v="Closed(C4)"/>
    <m/>
    <m/>
    <s v=""/>
    <s v=""/>
    <s v="Hot"/>
    <n v="15680"/>
    <n v="15680"/>
    <d v="2026-04-29T00:00:00"/>
    <m/>
    <x v="7"/>
    <s v="Received at Store"/>
    <m/>
    <m/>
    <x v="0"/>
    <m/>
    <s v=""/>
    <m/>
  </r>
  <r>
    <d v="2026-04-29T00:00:00"/>
    <s v="Sameer"/>
    <s v="Hyderabad"/>
    <x v="20"/>
    <s v="Call"/>
    <s v="Aggregator"/>
    <s v="SmartQ"/>
    <s v="Pop Up Counter"/>
    <s v="Repeat"/>
    <s v="F&amp;B Agrigator"/>
    <s v="Priyansh"/>
    <m/>
    <s v="popup  29-04-2026 Muthangi"/>
    <s v="Closed(C4)"/>
    <m/>
    <m/>
    <s v=""/>
    <s v=""/>
    <s v="Hot"/>
    <n v="64990"/>
    <n v="64990"/>
    <d v="2026-04-29T00:00:00"/>
    <m/>
    <x v="18"/>
    <s v="Received at HO"/>
    <m/>
    <d v="2026-05-30T00:00:00"/>
    <x v="0"/>
    <m/>
    <s v=""/>
    <m/>
  </r>
  <r>
    <d v="2026-04-29T00:00:00"/>
    <s v="Sameer"/>
    <s v="Hyderabad"/>
    <x v="21"/>
    <s v="Call"/>
    <s v="Aggregator"/>
    <s v="SmartQ"/>
    <s v="Pop Up Counter"/>
    <s v="Repeat"/>
    <s v="F&amp;B Agrigator"/>
    <s v="Priyansh"/>
    <m/>
    <s v="Popup 29-07-2026 from Lingampally"/>
    <s v="Closed(C4)"/>
    <m/>
    <m/>
    <s v=""/>
    <s v=""/>
    <s v="Hot"/>
    <n v="11940"/>
    <n v="11940"/>
    <d v="2026-04-29T00:00:00"/>
    <m/>
    <x v="16"/>
    <s v="Received at HO"/>
    <m/>
    <d v="2026-05-30T00:00:00"/>
    <x v="0"/>
    <m/>
    <s v=""/>
    <m/>
  </r>
  <r>
    <d v="2026-04-29T00:00:00"/>
    <s v="Sameer"/>
    <s v="Hyderabad"/>
    <x v="57"/>
    <s v="Call"/>
    <s v="Bulk Order"/>
    <m/>
    <s v="Bulk Order"/>
    <s v="New"/>
    <s v="Healthcare"/>
    <s v="Sridhar"/>
    <m/>
    <s v="Takeaway secundrabad CB 29-04-2026"/>
    <s v="Closed(C4)"/>
    <m/>
    <m/>
    <s v=""/>
    <s v=""/>
    <s v="Hot"/>
    <n v="9324"/>
    <n v="9324"/>
    <d v="2026-04-29T00:00:00"/>
    <m/>
    <x v="14"/>
    <s v="Received at Store"/>
    <m/>
    <d v="2026-04-29T00:00:00"/>
    <x v="0"/>
    <m/>
    <s v=""/>
    <m/>
  </r>
  <r>
    <d v="2026-04-29T00:00:00"/>
    <s v="Sameer"/>
    <s v="Bangalore"/>
    <x v="3"/>
    <s v="Call"/>
    <s v="Aggregator"/>
    <s v="Compass"/>
    <s v="Bulk Order"/>
    <s v="Repeat"/>
    <s v="F&amp;B Agrigator"/>
    <s v="Saad"/>
    <m/>
    <s v="Delivery on 29-4-2026 from HSR"/>
    <s v="Closed(C4)"/>
    <m/>
    <m/>
    <s v=""/>
    <s v=""/>
    <s v="Hot"/>
    <n v="20166"/>
    <n v="20166"/>
    <d v="2026-04-29T00:00:00"/>
    <s v="00HSA06000002920"/>
    <x v="3"/>
    <s v="Received at HO"/>
    <m/>
    <d v="2026-05-30T00:00:00"/>
    <x v="0"/>
    <m/>
    <s v=""/>
    <m/>
  </r>
  <r>
    <d v="2026-04-30T00:00:00"/>
    <s v="Bashab"/>
    <s v="Bangalore"/>
    <x v="58"/>
    <s v="Call"/>
    <s v="Aggregator"/>
    <s v="Meals &amp; More"/>
    <s v="ODC"/>
    <m/>
    <s v="Events"/>
    <s v="Rawath"/>
    <m/>
    <s v="Business Closed"/>
    <s v="Closed(C4)"/>
    <m/>
    <m/>
    <s v=""/>
    <s v=""/>
    <s v="Hot"/>
    <n v="200000"/>
    <n v="173750"/>
    <d v="2026-04-29T00:00:00"/>
    <m/>
    <x v="8"/>
    <s v="Received at HO"/>
    <m/>
    <d v="2026-05-30T00:00:00"/>
    <x v="0"/>
    <m/>
    <s v=""/>
    <m/>
  </r>
  <r>
    <d v="2026-04-30T00:00:00"/>
    <s v="Sameer"/>
    <s v="Hyderabad"/>
    <x v="20"/>
    <s v="Call"/>
    <s v="Aggregator"/>
    <s v="SmartQ"/>
    <s v="Pop Up Counter"/>
    <s v="Repeat"/>
    <s v="F&amp;B Agrigator"/>
    <s v="Priyansh"/>
    <m/>
    <s v="popup  30-04-2026 Muthangi"/>
    <s v="Closed(C4)"/>
    <m/>
    <m/>
    <s v=""/>
    <s v=""/>
    <s v="Hot"/>
    <n v="76320"/>
    <n v="76320"/>
    <d v="2026-04-30T00:00:00"/>
    <m/>
    <x v="18"/>
    <s v="Received at HO"/>
    <m/>
    <d v="2026-05-30T00:00:00"/>
    <x v="0"/>
    <m/>
    <s v=""/>
    <m/>
  </r>
  <r>
    <d v="2026-04-30T00:00:00"/>
    <s v="Sameer"/>
    <s v="Hyderabad"/>
    <x v="21"/>
    <s v="Call"/>
    <s v="Aggregator"/>
    <s v="SmartQ"/>
    <s v="Pop Up Counter"/>
    <s v="Repeat"/>
    <s v="F&amp;B Agrigator"/>
    <s v="Priyansh"/>
    <m/>
    <s v="Popup 30-07-2026 from Lingampally"/>
    <s v="Closed(C4)"/>
    <m/>
    <m/>
    <s v=""/>
    <s v=""/>
    <s v="Hot"/>
    <n v="12350"/>
    <n v="12350"/>
    <d v="2026-04-30T00:00:00"/>
    <m/>
    <x v="16"/>
    <s v="Received at HO"/>
    <m/>
    <d v="2026-05-30T00:00:00"/>
    <x v="0"/>
    <m/>
    <s v=""/>
    <m/>
  </r>
  <r>
    <d v="2026-04-30T00:00:00"/>
    <s v="Sameer"/>
    <s v="Hyderabad"/>
    <x v="59"/>
    <s v="F2F"/>
    <s v="Bulk Order"/>
    <m/>
    <s v="Bulk Order"/>
    <s v="New"/>
    <s v="Family Group"/>
    <s v="Vinay"/>
    <m/>
    <s v="Delivery 1st April at Kapra from Malakjgiri"/>
    <s v="Closed(C4)"/>
    <m/>
    <m/>
    <s v=""/>
    <s v=""/>
    <s v="Hot"/>
    <n v="9808"/>
    <n v="9808"/>
    <d v="2026-05-01T00:00:00"/>
    <m/>
    <x v="20"/>
    <s v="Received at Store"/>
    <m/>
    <d v="2026-05-01T00:00:00"/>
    <x v="1"/>
    <m/>
    <s v=""/>
    <m/>
  </r>
  <r>
    <d v="2026-05-03T00:00:00"/>
    <s v="Bashab"/>
    <s v="Bangalore"/>
    <x v="60"/>
    <s v="Call"/>
    <s v="Corporate"/>
    <m/>
    <s v="Bulk Order"/>
    <s v="New"/>
    <s v="It"/>
    <s v="Sunil"/>
    <m/>
    <s v="Business Closed"/>
    <s v="Closed(C4)"/>
    <m/>
    <m/>
    <s v=""/>
    <s v=""/>
    <s v="Hot"/>
    <n v="10000"/>
    <n v="10360"/>
    <d v="2026-05-03T00:00:00"/>
    <m/>
    <x v="12"/>
    <s v="Received at Store"/>
    <m/>
    <d v="2026-05-03T00:00:00"/>
    <x v="1"/>
    <m/>
    <m/>
    <m/>
  </r>
  <r>
    <d v="2026-05-04T00:00:00"/>
    <s v="Pradeep"/>
    <s v="Hyderabad"/>
    <x v="61"/>
    <s v="Call"/>
    <s v="Bulk Order"/>
    <m/>
    <s v="Bulk Order"/>
    <s v="New"/>
    <s v="Family Group"/>
    <s v="Ashoak"/>
    <m/>
    <s v="Bulk order cancelled coz of budget issue"/>
    <s v="Cancelled"/>
    <m/>
    <m/>
    <n v="168"/>
    <s v="Cancelled"/>
    <s v="Cold"/>
    <n v="10000"/>
    <m/>
    <m/>
    <m/>
    <x v="5"/>
    <m/>
    <m/>
    <m/>
    <x v="1"/>
    <m/>
    <s v=""/>
    <m/>
  </r>
  <r>
    <d v="2026-05-04T00:00:00"/>
    <s v="Pradeep"/>
    <s v="Hyderabad"/>
    <x v="62"/>
    <s v="F2F"/>
    <s v="Bulk Order"/>
    <m/>
    <s v="Bulk Order"/>
    <s v="New"/>
    <s v="Hotel"/>
    <s v="Abhinay Reddy"/>
    <m/>
    <s v="Bulk order requirement "/>
    <s v="Cancelled"/>
    <d v="2026-05-04T00:00:00"/>
    <s v="F2F"/>
    <n v="168"/>
    <s v=""/>
    <s v="Cold"/>
    <n v="20000"/>
    <m/>
    <m/>
    <m/>
    <x v="5"/>
    <m/>
    <m/>
    <m/>
    <x v="1"/>
    <m/>
    <s v=""/>
    <m/>
  </r>
  <r>
    <d v="2026-05-04T00:00:00"/>
    <s v="Pradeep"/>
    <s v="Hyderabad"/>
    <x v="63"/>
    <s v="F2F"/>
    <s v="Bulk Order"/>
    <m/>
    <s v="Bulk Order"/>
    <s v="New"/>
    <s v="Transport"/>
    <s v="Sai Kiran"/>
    <m/>
    <s v="Bulk order for 40 pax"/>
    <s v="Follow-up( C1 )"/>
    <m/>
    <s v="F2F"/>
    <n v="168"/>
    <s v=""/>
    <s v="Hot"/>
    <n v="25000"/>
    <m/>
    <m/>
    <m/>
    <x v="5"/>
    <m/>
    <m/>
    <m/>
    <x v="1"/>
    <m/>
    <s v=""/>
    <m/>
  </r>
  <r>
    <d v="2026-05-04T00:00:00"/>
    <s v="Sameer"/>
    <s v="Hyderabad"/>
    <x v="64"/>
    <s v="F2F"/>
    <s v="Bulk Order"/>
    <m/>
    <s v="Bulk Order"/>
    <s v="New"/>
    <s v="Healthcare"/>
    <s v="Bapi Raju"/>
    <m/>
    <s v="Discussed for team lunch "/>
    <s v="Cancelled"/>
    <m/>
    <m/>
    <n v="168"/>
    <s v=""/>
    <s v="Warm"/>
    <n v="0"/>
    <m/>
    <m/>
    <m/>
    <x v="5"/>
    <m/>
    <m/>
    <m/>
    <x v="1"/>
    <m/>
    <s v=""/>
    <m/>
  </r>
  <r>
    <d v="2026-05-04T00:00:00"/>
    <s v="Sameer"/>
    <s v="Hyderabad"/>
    <x v="20"/>
    <s v="Call"/>
    <s v="Aggregator"/>
    <s v="SmartQ"/>
    <s v="Pop Up Counter"/>
    <s v="Repeat"/>
    <s v="F&amp;B Aggregator"/>
    <s v="Sekhar"/>
    <m/>
    <s v="Popup counter on 4-05-2026 from Gachibowli"/>
    <s v="Closed(C4)"/>
    <m/>
    <m/>
    <s v=""/>
    <s v=""/>
    <s v="Hot"/>
    <n v="32820"/>
    <n v="32820"/>
    <d v="2026-05-04T00:00:00"/>
    <s v="00GCBTA000288805"/>
    <x v="2"/>
    <s v="Received at HO"/>
    <m/>
    <d v="2026-05-30T00:00:00"/>
    <x v="1"/>
    <m/>
    <s v=""/>
    <m/>
  </r>
  <r>
    <d v="2026-05-04T00:00:00"/>
    <s v="Bashab"/>
    <s v="Hyderabad"/>
    <x v="65"/>
    <s v="Call"/>
    <s v="Aggregator"/>
    <s v="Pinnacle"/>
    <s v="ODC"/>
    <s v="New"/>
    <s v="Exhibition"/>
    <s v="Ashutosh"/>
    <m/>
    <s v="Confirmed the event."/>
    <s v="Confirmed( C3 )"/>
    <m/>
    <m/>
    <m/>
    <s v=""/>
    <s v="Hot"/>
    <m/>
    <m/>
    <m/>
    <m/>
    <x v="5"/>
    <m/>
    <m/>
    <m/>
    <x v="1"/>
    <m/>
    <s v=""/>
    <m/>
  </r>
  <r>
    <d v="2026-05-04T00:00:00"/>
    <s v="Bashab"/>
    <s v="Bangalore"/>
    <x v="41"/>
    <s v="Call"/>
    <s v="Aggregator"/>
    <s v="SmartQ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1"/>
    <m/>
    <s v=""/>
    <m/>
  </r>
  <r>
    <d v="2026-05-04T00:00:00"/>
    <s v="Bashab"/>
    <s v="Bangalore"/>
    <x v="37"/>
    <s v="Call"/>
    <s v="Aggregator"/>
    <s v="SmartQ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1"/>
    <m/>
    <s v=""/>
    <m/>
  </r>
  <r>
    <d v="2026-05-04T00:00:00"/>
    <s v="Bashab"/>
    <s v="Bangalore"/>
    <x v="41"/>
    <s v="Call"/>
    <s v="Aggregator"/>
    <s v="SmartQ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1"/>
    <m/>
    <s v=""/>
    <m/>
  </r>
  <r>
    <d v="2026-05-04T00:00:00"/>
    <s v="Bashab"/>
    <s v="Bangalore"/>
    <x v="37"/>
    <s v="Call"/>
    <s v="Aggregator"/>
    <s v="SmartQ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1"/>
    <m/>
    <s v=""/>
    <m/>
  </r>
  <r>
    <d v="2026-05-04T00:00:00"/>
    <s v="Bashab"/>
    <s v="Bangalore"/>
    <x v="41"/>
    <s v="Call"/>
    <s v="Aggregator"/>
    <s v="SmartQ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1"/>
    <m/>
    <s v=""/>
    <m/>
  </r>
  <r>
    <d v="2026-05-04T00:00:00"/>
    <s v="Bashab"/>
    <s v="Bangalore"/>
    <x v="37"/>
    <s v="Call"/>
    <s v="Aggregator"/>
    <s v="SmartQ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1"/>
    <m/>
    <s v=""/>
    <m/>
  </r>
  <r>
    <d v="2026-05-04T00:00:00"/>
    <s v="Bashab"/>
    <s v="Bangalore"/>
    <x v="41"/>
    <s v="Call"/>
    <s v="Aggregator"/>
    <s v="SmartQ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1"/>
    <m/>
    <s v=""/>
    <m/>
  </r>
  <r>
    <d v="2026-05-04T00:00:00"/>
    <s v="Bashab"/>
    <s v="Bangalore"/>
    <x v="37"/>
    <s v="Call"/>
    <s v="Aggregator"/>
    <s v="SmartQ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1"/>
    <m/>
    <s v=""/>
    <m/>
  </r>
  <r>
    <d v="2026-05-04T00:00:00"/>
    <s v="Bashab"/>
    <s v="Bangalore"/>
    <x v="66"/>
    <s v="Call"/>
    <s v="Aggregator"/>
    <s v="Gokhana"/>
    <s v="Pop Up Counter"/>
    <s v="Repeat"/>
    <s v="It"/>
    <s v="Navya"/>
    <m/>
    <s v="Popup Confirmed"/>
    <s v="Confirmed( C3 )"/>
    <m/>
    <m/>
    <m/>
    <s v=""/>
    <s v="Hot"/>
    <m/>
    <m/>
    <m/>
    <m/>
    <x v="5"/>
    <m/>
    <m/>
    <m/>
    <x v="1"/>
    <m/>
    <s v=""/>
    <m/>
  </r>
  <r>
    <d v="2026-05-04T00:00:00"/>
    <s v="Bashab"/>
    <s v="Bangalore"/>
    <x v="67"/>
    <s v="Call"/>
    <s v="Aggregator"/>
    <s v="Gokhana"/>
    <s v="Pop Up Counter"/>
    <s v="Repeat"/>
    <s v="It"/>
    <s v="Navya"/>
    <m/>
    <s v="Popup Confirmed"/>
    <s v="Confirmed( C3 )"/>
    <m/>
    <m/>
    <m/>
    <s v=""/>
    <s v="Hot"/>
    <m/>
    <m/>
    <m/>
    <m/>
    <x v="7"/>
    <m/>
    <m/>
    <m/>
    <x v="1"/>
    <m/>
    <s v=""/>
    <m/>
  </r>
  <r>
    <d v="2026-05-04T00:00:00"/>
    <s v="Bashab"/>
    <s v="Bangalore"/>
    <x v="68"/>
    <s v="Call"/>
    <s v="Aggregator"/>
    <s v="Gokhana"/>
    <s v="Pop Up Counter"/>
    <s v="Repeat"/>
    <s v="It"/>
    <s v="Navya"/>
    <m/>
    <s v="Popup Confirmed"/>
    <s v="Confirmed( C3 )"/>
    <m/>
    <m/>
    <m/>
    <s v=""/>
    <s v="Hot"/>
    <m/>
    <m/>
    <m/>
    <m/>
    <x v="7"/>
    <m/>
    <m/>
    <m/>
    <x v="1"/>
    <m/>
    <s v=""/>
    <m/>
  </r>
  <r>
    <d v="2026-05-04T00:00:00"/>
    <s v="Bashab"/>
    <s v="Bangalore"/>
    <x v="69"/>
    <s v="Call"/>
    <s v="Aggregator"/>
    <s v="Gokhana"/>
    <s v="Pop Up Counter"/>
    <s v="Repeat"/>
    <s v="It"/>
    <s v="Navya"/>
    <m/>
    <s v="Popup Confirmed"/>
    <s v="Confirmed( C3 )"/>
    <m/>
    <m/>
    <m/>
    <s v=""/>
    <s v="Hot"/>
    <m/>
    <m/>
    <m/>
    <m/>
    <x v="11"/>
    <m/>
    <m/>
    <m/>
    <x v="1"/>
    <m/>
    <s v=""/>
    <m/>
  </r>
  <r>
    <d v="2026-05-04T00:00:00"/>
    <s v="Bashab"/>
    <s v="Bangalore"/>
    <x v="70"/>
    <s v="Call"/>
    <s v="Aggregator"/>
    <s v="Gokhana"/>
    <s v="Pop Up Counter"/>
    <s v="Repeat"/>
    <s v="It"/>
    <s v="Navya"/>
    <m/>
    <s v="Popup Confirmed"/>
    <s v="Confirmed( C3 )"/>
    <m/>
    <m/>
    <m/>
    <s v=""/>
    <s v="Hot"/>
    <m/>
    <m/>
    <m/>
    <m/>
    <x v="11"/>
    <m/>
    <m/>
    <m/>
    <x v="1"/>
    <m/>
    <s v=""/>
    <m/>
  </r>
  <r>
    <d v="2026-05-04T00:00:00"/>
    <s v="Bashab"/>
    <s v="Bangalore"/>
    <x v="71"/>
    <s v="Call"/>
    <s v="Aggregator"/>
    <s v="Gokhana"/>
    <s v="Pop Up Counter"/>
    <s v="Repeat"/>
    <s v="It"/>
    <s v="Navya"/>
    <m/>
    <s v="Popup Confirmed"/>
    <s v="Confirmed( C3 )"/>
    <m/>
    <m/>
    <m/>
    <s v=""/>
    <s v="Hot"/>
    <m/>
    <m/>
    <m/>
    <m/>
    <x v="11"/>
    <m/>
    <m/>
    <m/>
    <x v="1"/>
    <m/>
    <s v=""/>
    <m/>
  </r>
  <r>
    <d v="2026-05-04T00:00:00"/>
    <s v="Bashab"/>
    <s v="Bangalore"/>
    <x v="72"/>
    <s v="F2F"/>
    <s v="Aggregator"/>
    <s v="Meals &amp; More"/>
    <s v="ODC"/>
    <s v="New"/>
    <s v="Events"/>
    <s v="Rawath"/>
    <m/>
    <s v="event confirmed from 9th to 11th May"/>
    <s v="Confirmed( C3 )"/>
    <m/>
    <m/>
    <m/>
    <s v=""/>
    <s v="Hot"/>
    <m/>
    <m/>
    <m/>
    <m/>
    <x v="8"/>
    <m/>
    <m/>
    <m/>
    <x v="1"/>
    <m/>
    <s v=""/>
    <m/>
  </r>
  <r>
    <d v="2026-05-04T00:00:00"/>
    <s v="Bashab"/>
    <s v="Bangalore"/>
    <x v="73"/>
    <s v="F2F"/>
    <s v="Aggregator"/>
    <s v="Meals &amp; More"/>
    <s v="ODC"/>
    <s v="New"/>
    <s v="Events"/>
    <s v="Rawath"/>
    <m/>
    <s v="event confirmed from 14th to 17th May"/>
    <s v="Confirmed( C3 )"/>
    <m/>
    <m/>
    <m/>
    <s v=""/>
    <s v="Hot"/>
    <m/>
    <m/>
    <m/>
    <m/>
    <x v="8"/>
    <m/>
    <m/>
    <m/>
    <x v="1"/>
    <m/>
    <s v=""/>
    <m/>
  </r>
  <r>
    <d v="2026-05-04T00:00:00"/>
    <s v="Bashab"/>
    <s v="Bangalore"/>
    <x v="40"/>
    <s v="F2F"/>
    <s v="Corporate"/>
    <m/>
    <s v="Popup Counter"/>
    <s v="Repeat"/>
    <s v="Retail"/>
    <s v="Srinivas"/>
    <m/>
    <s v="Popup Confirmed"/>
    <s v="Confirmed( C3 )"/>
    <m/>
    <m/>
    <m/>
    <s v=""/>
    <s v="Hot"/>
    <m/>
    <m/>
    <m/>
    <m/>
    <x v="7"/>
    <m/>
    <m/>
    <m/>
    <x v="1"/>
    <m/>
    <s v=""/>
    <m/>
  </r>
  <r>
    <d v="2026-05-04T00:00:00"/>
    <s v="Bashab"/>
    <s v="Bangalore"/>
    <x v="18"/>
    <s v="F2F"/>
    <s v="Corporate"/>
    <m/>
    <s v="Popup Counter"/>
    <s v="Repeat"/>
    <s v="Retail"/>
    <s v="Vinod"/>
    <m/>
    <s v="Popup Confirmed"/>
    <s v="Confirmed( C3 )"/>
    <m/>
    <m/>
    <m/>
    <s v=""/>
    <s v="Hot"/>
    <m/>
    <m/>
    <m/>
    <m/>
    <x v="7"/>
    <m/>
    <m/>
    <m/>
    <x v="1"/>
    <m/>
    <s v=""/>
    <m/>
  </r>
  <r>
    <d v="2026-05-04T00:00:00"/>
    <s v="Bashab"/>
    <s v="Bangalore"/>
    <x v="15"/>
    <s v="F2F"/>
    <s v="Corporate"/>
    <m/>
    <s v="Popup Counter"/>
    <s v="Repeat"/>
    <s v="Retail"/>
    <s v="James"/>
    <m/>
    <s v="Popup Confirmed"/>
    <s v="Confirmed( C3 )"/>
    <m/>
    <m/>
    <m/>
    <s v=""/>
    <s v="Hot"/>
    <m/>
    <m/>
    <m/>
    <m/>
    <x v="7"/>
    <m/>
    <m/>
    <m/>
    <x v="1"/>
    <m/>
    <s v=""/>
    <m/>
  </r>
  <r>
    <d v="2026-05-04T00:00:00"/>
    <s v="Bashab"/>
    <s v="Bangalore"/>
    <x v="31"/>
    <s v="F2F"/>
    <s v="Corporate"/>
    <m/>
    <s v="Popup Counter"/>
    <s v="Repeat"/>
    <s v="Retail"/>
    <s v="Mueenudheen"/>
    <m/>
    <s v="Popup Confirmed"/>
    <s v="Confirmed( C3 )"/>
    <m/>
    <m/>
    <m/>
    <s v=""/>
    <s v="Hot"/>
    <m/>
    <m/>
    <m/>
    <m/>
    <x v="7"/>
    <m/>
    <m/>
    <m/>
    <x v="1"/>
    <m/>
    <s v=""/>
    <m/>
  </r>
  <r>
    <d v="2026-05-05T00:00:00"/>
    <s v="Pradeep"/>
    <s v="Hyderabad"/>
    <x v="74"/>
    <s v="Call"/>
    <s v="ODC"/>
    <m/>
    <s v="ODC"/>
    <s v="New"/>
    <s v="Events"/>
    <s v="Nawsad khan"/>
    <m/>
    <s v="had  event from 08th to 10th may  in fallowup with client"/>
    <s v="Closed(C4)"/>
    <m/>
    <m/>
    <s v=""/>
    <s v=""/>
    <s v="Hot"/>
    <n v="100000"/>
    <n v="0"/>
    <m/>
    <m/>
    <x v="5"/>
    <m/>
    <m/>
    <m/>
    <x v="1"/>
    <m/>
    <s v=""/>
    <m/>
  </r>
  <r>
    <d v="2026-05-05T00:00:00"/>
    <s v="Pradeep"/>
    <s v="Hyderabad"/>
    <x v="75"/>
    <s v="F2F"/>
    <s v="ODC"/>
    <m/>
    <s v="ODC"/>
    <s v="New"/>
    <s v="Events"/>
    <s v="Abhirami"/>
    <m/>
    <s v="event on 6th june in fallow up with client"/>
    <s v="Closed(C4)"/>
    <m/>
    <m/>
    <s v=""/>
    <s v=""/>
    <s v="Warm"/>
    <n v="50000"/>
    <m/>
    <m/>
    <m/>
    <x v="5"/>
    <m/>
    <m/>
    <m/>
    <x v="1"/>
    <m/>
    <s v=""/>
    <m/>
  </r>
  <r>
    <d v="2026-05-05T00:00:00"/>
    <s v="Pradeep"/>
    <s v="Hyderabad"/>
    <x v="76"/>
    <s v="F2F"/>
    <s v="Bulk Order"/>
    <m/>
    <s v="Bulk Order"/>
    <s v="New"/>
    <s v="Family Group"/>
    <s v="Srinivas"/>
    <m/>
    <s v="Bulk order  for 50 pax"/>
    <s v="Cancelled"/>
    <m/>
    <m/>
    <n v="167"/>
    <s v=""/>
    <s v="Hot"/>
    <n v="10000"/>
    <m/>
    <m/>
    <m/>
    <x v="5"/>
    <m/>
    <m/>
    <m/>
    <x v="1"/>
    <m/>
    <s v=""/>
    <m/>
  </r>
  <r>
    <d v="2026-05-05T00:00:00"/>
    <s v="Sameer"/>
    <s v="Hyderabad"/>
    <x v="77"/>
    <s v="F2F"/>
    <s v="Bulk Order"/>
    <m/>
    <s v="Bulk Order"/>
    <s v="New"/>
    <s v="Pharma"/>
    <s v="Shravan"/>
    <m/>
    <s v="Discussed for Regular Purchases and team lunch bulk bookings"/>
    <s v="Cancelled"/>
    <m/>
    <m/>
    <n v="167"/>
    <s v=""/>
    <s v="Hot"/>
    <n v="0"/>
    <n v="0"/>
    <m/>
    <m/>
    <x v="5"/>
    <m/>
    <m/>
    <m/>
    <x v="1"/>
    <m/>
    <s v=""/>
    <m/>
  </r>
  <r>
    <d v="2026-05-05T00:00:00"/>
    <s v="Bashab"/>
    <s v="Bangalore"/>
    <x v="78"/>
    <s v="F2F"/>
    <s v="Corporate"/>
    <m/>
    <s v="Bulk Order"/>
    <s v="New"/>
    <s v="It"/>
    <s v="Kamal"/>
    <m/>
    <s v="Discussed on the requirement for catering and bulk order deliveries."/>
    <s v="Follow-up( C1 )"/>
    <d v="2026-09-25T00:00:00"/>
    <s v="Call"/>
    <n v="167"/>
    <s v="Yes"/>
    <s v="Warm"/>
    <m/>
    <m/>
    <m/>
    <m/>
    <x v="5"/>
    <m/>
    <m/>
    <m/>
    <x v="1"/>
    <m/>
    <s v=""/>
    <m/>
  </r>
  <r>
    <d v="2026-05-05T00:00:00"/>
    <s v="Bashab"/>
    <s v="Bangalore"/>
    <x v="79"/>
    <s v="F2F"/>
    <s v="Corporate"/>
    <m/>
    <s v="Bulk Order"/>
    <s v="New"/>
    <s v="Others"/>
    <s v="Daniel"/>
    <m/>
    <s v="Discussed on the bulk order requirement"/>
    <s v="Follow-up( C1 )"/>
    <d v="2026-08-25T00:00:00"/>
    <s v="Call"/>
    <n v="167"/>
    <s v="Yes"/>
    <s v="Warm"/>
    <m/>
    <m/>
    <m/>
    <m/>
    <x v="5"/>
    <m/>
    <m/>
    <m/>
    <x v="1"/>
    <m/>
    <s v=""/>
    <m/>
  </r>
  <r>
    <d v="2026-05-05T00:00:00"/>
    <s v="Bashab"/>
    <s v="Bangalore"/>
    <x v="39"/>
    <s v="Call"/>
    <s v="Aggregator"/>
    <s v="Compass"/>
    <s v="Bulk Order"/>
    <s v="Repeat"/>
    <s v="It"/>
    <s v="Sarvesh"/>
    <m/>
    <s v="Follow-up for the upcoming requirement"/>
    <s v="Follow-up( C1 )"/>
    <d v="2026-09-25T00:00:00"/>
    <s v="F2F"/>
    <n v="167"/>
    <s v="Yes"/>
    <s v="Hot"/>
    <m/>
    <m/>
    <m/>
    <m/>
    <x v="5"/>
    <m/>
    <m/>
    <m/>
    <x v="1"/>
    <m/>
    <s v=""/>
    <m/>
  </r>
  <r>
    <d v="2026-05-05T00:00:00"/>
    <s v="Sameer"/>
    <s v="Hyderabad"/>
    <x v="20"/>
    <s v="Call"/>
    <s v="Aggregator"/>
    <s v="SmartQ"/>
    <s v="Pop Up Counter"/>
    <s v="Repeat"/>
    <s v="F&amp;B Aggregator"/>
    <s v="Sekhar"/>
    <m/>
    <s v="Popup counter on 5-05-2026 from Gachibowli"/>
    <s v="Closed(C4)"/>
    <m/>
    <m/>
    <s v=""/>
    <s v=""/>
    <s v="Hot"/>
    <n v="39910"/>
    <n v="39910"/>
    <d v="2026-05-05T00:00:00"/>
    <s v="00GCBTA000288806"/>
    <x v="2"/>
    <s v="Received at HO"/>
    <m/>
    <d v="2026-05-30T00:00:00"/>
    <x v="1"/>
    <m/>
    <s v=""/>
    <m/>
  </r>
  <r>
    <d v="2026-05-05T00:00:00"/>
    <s v="Sameer"/>
    <s v="Hyderabad"/>
    <x v="80"/>
    <s v="F2F"/>
    <s v="Gifting"/>
    <m/>
    <s v="Bulk Order"/>
    <s v="Repeat"/>
    <s v="Pharma"/>
    <s v="Sandeep"/>
    <m/>
    <s v="Discussion about Next PO and follow up for Payment"/>
    <s v="Cancelled"/>
    <m/>
    <m/>
    <n v="167"/>
    <s v=""/>
    <s v="Hot"/>
    <n v="0"/>
    <m/>
    <m/>
    <m/>
    <x v="5"/>
    <m/>
    <m/>
    <m/>
    <x v="1"/>
    <m/>
    <s v=""/>
    <m/>
  </r>
  <r>
    <d v="2026-05-06T00:00:00"/>
    <s v="Pradeep"/>
    <s v="Hyderabad"/>
    <x v="81"/>
    <s v="F2F"/>
    <s v="ODC"/>
    <m/>
    <s v="Pop Up Counter"/>
    <s v="New"/>
    <s v="Healthcare"/>
    <s v="Srikanth"/>
    <m/>
    <s v="Pop up  event on 14th &amp; 15th May"/>
    <s v="Cancelled"/>
    <m/>
    <m/>
    <n v="166"/>
    <s v=""/>
    <s v="Hot"/>
    <n v="50000"/>
    <m/>
    <m/>
    <m/>
    <x v="5"/>
    <m/>
    <m/>
    <m/>
    <x v="1"/>
    <m/>
    <s v=""/>
    <m/>
  </r>
  <r>
    <d v="2026-05-06T00:00:00"/>
    <s v="Sameer"/>
    <s v="Hyderabad"/>
    <x v="82"/>
    <s v="F2F"/>
    <s v="Aggregator"/>
    <s v="Hunger Box"/>
    <s v="Bulk Order"/>
    <s v="New"/>
    <s v="F&amp;B Aggregator"/>
    <s v="pawan"/>
    <m/>
    <s v="event on 14th &amp; 15th may"/>
    <s v="Cancelled"/>
    <m/>
    <m/>
    <n v="166"/>
    <s v=""/>
    <s v="Hot"/>
    <n v="0"/>
    <n v="0"/>
    <m/>
    <m/>
    <x v="5"/>
    <m/>
    <m/>
    <m/>
    <x v="1"/>
    <m/>
    <s v=""/>
    <m/>
  </r>
  <r>
    <d v="2026-05-06T00:00:00"/>
    <s v="Pradeep"/>
    <s v="Hyderabad"/>
    <x v="83"/>
    <s v="F2F"/>
    <s v="Corporate"/>
    <m/>
    <s v="Bulk Order"/>
    <s v="New"/>
    <s v="Manufacturing"/>
    <s v="Ravi"/>
    <m/>
    <s v="Has a requirement of bulk booking"/>
    <s v="Cancelled"/>
    <d v="2026-09-07T00:00:00"/>
    <s v="Call"/>
    <n v="166"/>
    <s v=""/>
    <s v="Warm"/>
    <n v="50000"/>
    <m/>
    <m/>
    <m/>
    <x v="5"/>
    <m/>
    <m/>
    <m/>
    <x v="1"/>
    <m/>
    <s v=""/>
    <m/>
  </r>
  <r>
    <d v="2026-05-06T00:00:00"/>
    <s v="Sameer"/>
    <s v="Hyderabad"/>
    <x v="84"/>
    <s v="Call"/>
    <s v="Bulk Order"/>
    <m/>
    <s v="Bulk Order"/>
    <s v="New"/>
    <s v="Family Group"/>
    <s v="Prashanti"/>
    <m/>
    <s v="Bulk order for 30 pax "/>
    <s v="Cancelled"/>
    <m/>
    <m/>
    <n v="166"/>
    <s v=""/>
    <s v="Warm"/>
    <n v="0"/>
    <n v="0"/>
    <m/>
    <m/>
    <x v="5"/>
    <m/>
    <m/>
    <m/>
    <x v="1"/>
    <m/>
    <s v=""/>
    <m/>
  </r>
  <r>
    <d v="2026-05-06T00:00:00"/>
    <s v="Bashab"/>
    <s v="Bangalore"/>
    <x v="85"/>
    <s v="F2F"/>
    <s v="Corporate"/>
    <m/>
    <s v="Bulk Order"/>
    <s v="New"/>
    <s v="Education"/>
    <s v="Rajaram"/>
    <m/>
    <s v="Proposed for Bulk order and Pop-up counter"/>
    <s v="Follow-up( C1 )"/>
    <d v="2026-09-25T00:00:00"/>
    <s v="F2F"/>
    <n v="166"/>
    <s v="Yes"/>
    <s v="Warm"/>
    <m/>
    <m/>
    <m/>
    <m/>
    <x v="5"/>
    <m/>
    <m/>
    <m/>
    <x v="1"/>
    <m/>
    <s v=""/>
    <m/>
  </r>
  <r>
    <d v="2026-05-06T00:00:00"/>
    <s v="Bashab"/>
    <s v="Bangalore"/>
    <x v="5"/>
    <s v="Call"/>
    <s v="Aggregator"/>
    <s v="Gokhana"/>
    <s v="Bulk Order"/>
    <s v="Repeat"/>
    <s v="F&amp;B Aggregator"/>
    <s v="Navya"/>
    <m/>
    <s v="Follow-up for the upcoming requirement"/>
    <s v="Follow-up( C1 )"/>
    <d v="2026-09-19T00:00:00"/>
    <s v="F2F"/>
    <n v="166"/>
    <s v="Yes"/>
    <s v="Warm"/>
    <m/>
    <m/>
    <m/>
    <m/>
    <x v="5"/>
    <m/>
    <m/>
    <m/>
    <x v="1"/>
    <m/>
    <s v=""/>
    <m/>
  </r>
  <r>
    <d v="2026-05-06T00:00:00"/>
    <s v="Bashab"/>
    <s v="Bangalore"/>
    <x v="9"/>
    <s v="Call"/>
    <s v="Aggregator"/>
    <s v="Hunger Box"/>
    <s v="Bulk Order"/>
    <s v="Repeat"/>
    <s v="F&amp;B Aggregator"/>
    <s v="Yashi"/>
    <m/>
    <s v="Follow-up for the upcoming requirement"/>
    <s v="Follow-up( C1 )"/>
    <d v="2026-09-18T00:00:00"/>
    <s v="F2F"/>
    <n v="166"/>
    <s v="Yes"/>
    <s v="Warm"/>
    <m/>
    <m/>
    <m/>
    <m/>
    <x v="5"/>
    <m/>
    <m/>
    <m/>
    <x v="1"/>
    <m/>
    <s v=""/>
    <m/>
  </r>
  <r>
    <d v="2026-05-06T00:00:00"/>
    <s v="Bashab"/>
    <s v="Bangalore"/>
    <x v="86"/>
    <s v="Call"/>
    <s v="Aggregator"/>
    <m/>
    <s v="Bulk Order"/>
    <s v="New"/>
    <s v="F&amp;B Aggregator"/>
    <s v="Keshav"/>
    <m/>
    <s v="Follow-up for the upcoming requirement"/>
    <s v="Follow-up( C1 )"/>
    <d v="2026-09-25T00:00:00"/>
    <s v="F2F"/>
    <n v="166"/>
    <s v="Yes"/>
    <s v="Warm"/>
    <m/>
    <m/>
    <m/>
    <m/>
    <x v="5"/>
    <m/>
    <m/>
    <m/>
    <x v="1"/>
    <m/>
    <s v=""/>
    <m/>
  </r>
  <r>
    <d v="2026-05-06T00:00:00"/>
    <s v="Bashab"/>
    <s v="Bangalore"/>
    <x v="37"/>
    <s v="Call"/>
    <s v="Aggregator"/>
    <s v="SmartQ"/>
    <s v="Pop Up Counter"/>
    <s v="Repeat"/>
    <s v="It"/>
    <s v="Harish"/>
    <m/>
    <s v="Pop-up counter business closed"/>
    <s v="Closed(C4)"/>
    <m/>
    <m/>
    <s v=""/>
    <s v=""/>
    <s v="Hot"/>
    <n v="15000"/>
    <n v="15885"/>
    <d v="2026-05-06T00:00:00"/>
    <m/>
    <x v="12"/>
    <s v="Received at HO"/>
    <m/>
    <m/>
    <x v="1"/>
    <m/>
    <s v=""/>
    <m/>
  </r>
  <r>
    <d v="2026-05-06T00:00:00"/>
    <s v="Bashab"/>
    <s v="Bangalore"/>
    <x v="41"/>
    <s v="Call"/>
    <s v="Aggregator"/>
    <s v="SmartQ"/>
    <s v="Pop Up Counter"/>
    <s v="Repeat"/>
    <s v="It"/>
    <s v="Harish"/>
    <m/>
    <s v="Pop-up counter business closed"/>
    <s v="Closed(C4)"/>
    <m/>
    <m/>
    <s v=""/>
    <s v=""/>
    <s v="Hot"/>
    <n v="15000"/>
    <n v="16050"/>
    <d v="2026-05-06T00:00:00"/>
    <m/>
    <x v="12"/>
    <s v="Received at HO"/>
    <m/>
    <m/>
    <x v="1"/>
    <m/>
    <s v=""/>
    <m/>
  </r>
  <r>
    <d v="2026-05-06T00:00:00"/>
    <s v="Bashab"/>
    <s v="Bangalore"/>
    <x v="87"/>
    <s v="Call"/>
    <s v="Corporate"/>
    <m/>
    <s v="Pop Up Counter"/>
    <s v="Repeat"/>
    <s v="It"/>
    <s v="Govardhan"/>
    <m/>
    <s v="Pop-up counter business closed"/>
    <s v="Closed(C4)"/>
    <m/>
    <m/>
    <s v=""/>
    <s v=""/>
    <s v="Hot"/>
    <n v="20000"/>
    <n v="22191"/>
    <d v="2026-05-06T00:00:00"/>
    <m/>
    <x v="7"/>
    <s v="Received at Store"/>
    <m/>
    <d v="2026-05-06T00:00:00"/>
    <x v="1"/>
    <m/>
    <s v=""/>
    <m/>
  </r>
  <r>
    <d v="2026-05-06T00:00:00"/>
    <s v="Sameer"/>
    <s v="Hyderabad"/>
    <x v="20"/>
    <s v="Call"/>
    <s v="Aggregator"/>
    <s v="SmartQ"/>
    <s v="Pop Up Counter"/>
    <s v="Repeat"/>
    <s v="F&amp;B Aggregator"/>
    <s v="Sekhar"/>
    <m/>
    <s v="Popup counter on 6-05-2026 from Gachibowli"/>
    <s v="Closed(C4)"/>
    <m/>
    <m/>
    <s v=""/>
    <s v=""/>
    <s v="Hot"/>
    <n v="50090"/>
    <n v="50090"/>
    <d v="2026-05-06T00:00:00"/>
    <s v="00GCBTA000288862"/>
    <x v="2"/>
    <s v="Received at HO"/>
    <m/>
    <d v="2026-05-30T00:00:00"/>
    <x v="1"/>
    <m/>
    <s v=""/>
    <m/>
  </r>
  <r>
    <d v="2026-05-06T00:00:00"/>
    <s v="Sameer"/>
    <s v="Bangalore"/>
    <x v="3"/>
    <s v="Call"/>
    <s v="Aggregator"/>
    <s v="Compass"/>
    <s v="Bulk Order"/>
    <s v="Repeat"/>
    <s v="F&amp;B Agrigator"/>
    <s v="Saad"/>
    <m/>
    <s v="Delivery on 6-5-2026 from HSR"/>
    <s v="Closed(C4)"/>
    <m/>
    <m/>
    <s v=""/>
    <s v=""/>
    <s v="Hot"/>
    <n v="23833"/>
    <n v="23833"/>
    <d v="2026-05-06T00:00:00"/>
    <s v="00HSA06000003012"/>
    <x v="3"/>
    <s v="Received at HO"/>
    <m/>
    <m/>
    <x v="1"/>
    <m/>
    <s v=""/>
    <m/>
  </r>
  <r>
    <d v="2026-05-06T00:00:00"/>
    <s v="Bashab"/>
    <s v="Bangalore"/>
    <x v="16"/>
    <s v="Call"/>
    <s v="Corporate"/>
    <m/>
    <s v="Bulk Order"/>
    <s v="Repeat"/>
    <s v="Retail"/>
    <s v="Mohammed"/>
    <m/>
    <s v="Business Closed"/>
    <s v="Closed(C4)"/>
    <m/>
    <m/>
    <s v=""/>
    <s v=""/>
    <s v="Hot"/>
    <n v="22687"/>
    <n v="23833"/>
    <d v="2026-05-06T00:00:00"/>
    <s v="00HSA06000003012"/>
    <x v="3"/>
    <s v="Received at HO"/>
    <m/>
    <m/>
    <x v="1"/>
    <m/>
    <m/>
    <m/>
  </r>
  <r>
    <d v="2026-05-07T00:00:00"/>
    <s v="Manohar"/>
    <s v="Bangalore"/>
    <x v="88"/>
    <s v="Call"/>
    <s v="Corporate"/>
    <m/>
    <s v="Pop Up Counter"/>
    <s v="Repeat"/>
    <s v="It"/>
    <s v="Savitha"/>
    <m/>
    <s v="pop up counter on  13/05/2026 in  Embassy tech villge tech park"/>
    <s v="Closed(C4)"/>
    <m/>
    <m/>
    <s v=""/>
    <s v=""/>
    <s v="Hot"/>
    <n v="15000"/>
    <n v="7500"/>
    <d v="2026-05-13T00:00:00"/>
    <m/>
    <x v="11"/>
    <s v="Received at Store"/>
    <m/>
    <d v="2026-05-14T00:00:00"/>
    <x v="1"/>
    <m/>
    <s v=""/>
    <m/>
  </r>
  <r>
    <d v="2026-05-07T00:00:00"/>
    <s v="Manohar"/>
    <s v="Bangalore"/>
    <x v="89"/>
    <s v="Call"/>
    <s v="Corporate"/>
    <m/>
    <m/>
    <s v="New"/>
    <s v="It"/>
    <s v="Mr. Keshav Jha"/>
    <m/>
    <m/>
    <s v="Introduction( C0 )"/>
    <m/>
    <m/>
    <n v="165"/>
    <s v=""/>
    <s v="Warm"/>
    <m/>
    <m/>
    <m/>
    <m/>
    <x v="5"/>
    <m/>
    <m/>
    <m/>
    <x v="1"/>
    <m/>
    <s v=""/>
    <m/>
  </r>
  <r>
    <d v="2026-05-07T00:00:00"/>
    <s v="Manohar"/>
    <s v="Bangalore"/>
    <x v="90"/>
    <s v="Call"/>
    <s v="Corporate"/>
    <m/>
    <m/>
    <s v="New"/>
    <s v="It"/>
    <s v="abhilash"/>
    <m/>
    <s v="office visit "/>
    <s v="Introduction( C0 )"/>
    <m/>
    <m/>
    <n v="165"/>
    <s v=""/>
    <s v="Warm"/>
    <m/>
    <m/>
    <m/>
    <m/>
    <x v="5"/>
    <m/>
    <m/>
    <m/>
    <x v="1"/>
    <m/>
    <s v=""/>
    <m/>
  </r>
  <r>
    <d v="2026-05-07T00:00:00"/>
    <s v="Pradeep"/>
    <s v="Hyderabad"/>
    <x v="91"/>
    <s v="F2F"/>
    <s v="Corporate"/>
    <m/>
    <s v="Pop Up Counter"/>
    <s v="New"/>
    <s v="It"/>
    <s v="Priyansh"/>
    <m/>
    <s v="Follow-up from 8th to 12th june"/>
    <s v="Cancelled"/>
    <m/>
    <m/>
    <n v="165"/>
    <s v=""/>
    <s v="Warm"/>
    <n v="100000"/>
    <m/>
    <m/>
    <m/>
    <x v="5"/>
    <m/>
    <m/>
    <m/>
    <x v="1"/>
    <m/>
    <s v=""/>
    <m/>
  </r>
  <r>
    <d v="2026-05-07T00:00:00"/>
    <s v="Pradeep"/>
    <s v="Hyderabad"/>
    <x v="92"/>
    <s v="F2F"/>
    <s v="Bulk Order"/>
    <m/>
    <s v="Bulk Order"/>
    <s v="New"/>
    <s v="Education"/>
    <s v="Ravi"/>
    <m/>
    <s v="Has a requirement of bulk booking , cancellled"/>
    <s v="Cancelled"/>
    <m/>
    <m/>
    <n v="165"/>
    <s v=""/>
    <s v="Warm"/>
    <n v="25000"/>
    <m/>
    <m/>
    <m/>
    <x v="5"/>
    <m/>
    <m/>
    <m/>
    <x v="1"/>
    <m/>
    <s v=""/>
    <m/>
  </r>
  <r>
    <d v="2026-05-07T00:00:00"/>
    <s v="Pradeep"/>
    <s v="Hyderabad"/>
    <x v="93"/>
    <s v="F2F"/>
    <s v="Gifting"/>
    <m/>
    <s v="Bulk Order"/>
    <s v="New"/>
    <s v="It"/>
    <s v="Bhanu"/>
    <m/>
    <s v="Proposed for Bulk order and Gifting"/>
    <s v="Cancelled"/>
    <m/>
    <m/>
    <n v="165"/>
    <s v=""/>
    <s v="Warm"/>
    <n v="30000"/>
    <m/>
    <m/>
    <m/>
    <x v="5"/>
    <m/>
    <m/>
    <m/>
    <x v="1"/>
    <m/>
    <s v=""/>
    <m/>
  </r>
  <r>
    <d v="2026-05-07T00:00:00"/>
    <s v="Sameer"/>
    <s v="Hyderabad"/>
    <x v="20"/>
    <s v="Call"/>
    <s v="Aggregator"/>
    <s v="SmartQ"/>
    <s v="Pop Up Counter"/>
    <s v="Repeat"/>
    <s v="F&amp;B Aggregator"/>
    <s v="Sekhar"/>
    <m/>
    <s v="Popup counter on 6-05-2026 from Gachibowli"/>
    <s v="Closed(C4)"/>
    <m/>
    <m/>
    <s v=""/>
    <s v=""/>
    <s v="Hot"/>
    <n v="50090"/>
    <n v="50090"/>
    <d v="2026-05-07T00:00:00"/>
    <s v="00GCBTA000288862"/>
    <x v="2"/>
    <s v="Received at HO"/>
    <m/>
    <m/>
    <x v="1"/>
    <m/>
    <s v=""/>
    <m/>
  </r>
  <r>
    <d v="2026-05-07T00:00:00"/>
    <s v="Sameer"/>
    <s v="Hyderabad"/>
    <x v="94"/>
    <s v="F2F"/>
    <s v="Aggregator"/>
    <s v="SmartQ"/>
    <s v="Pop Up Counter"/>
    <s v="New"/>
    <s v="F&amp;B Aggregator"/>
    <s v="Priyansh"/>
    <m/>
    <s v="Popup counter from 8-12 June, cancelled due to client issue with Us"/>
    <s v="Cancelled"/>
    <m/>
    <m/>
    <n v="165"/>
    <s v=""/>
    <s v="Hot"/>
    <n v="600000"/>
    <n v="0"/>
    <d v="2026-06-08T00:00:00"/>
    <m/>
    <x v="5"/>
    <m/>
    <m/>
    <m/>
    <x v="2"/>
    <m/>
    <s v=""/>
    <m/>
  </r>
  <r>
    <d v="2026-05-07T00:00:00"/>
    <s v="Sameer"/>
    <s v="Hyderabad"/>
    <x v="95"/>
    <s v="F2F"/>
    <s v="Corporate"/>
    <m/>
    <s v="Bulk Order"/>
    <s v="New"/>
    <s v="Retail"/>
    <s v="Nagaraju"/>
    <m/>
    <s v="Proposed gifting vouchers employees"/>
    <s v="Cancelled"/>
    <m/>
    <m/>
    <n v="165"/>
    <s v=""/>
    <s v="Warm"/>
    <n v="0"/>
    <n v="0"/>
    <d v="2026-05-28T00:00:00"/>
    <m/>
    <x v="5"/>
    <m/>
    <m/>
    <m/>
    <x v="1"/>
    <m/>
    <s v=""/>
    <m/>
  </r>
  <r>
    <d v="2026-05-07T00:00:00"/>
    <s v="Sameer"/>
    <s v="Hyderabad"/>
    <x v="96"/>
    <s v="F2F"/>
    <s v="Corporate"/>
    <m/>
    <s v="Bulk Order"/>
    <s v="New"/>
    <s v="Transport"/>
    <s v="Kiran"/>
    <m/>
    <s v="Buffet lunch in May 1st and 3rd week, Cancelled from client"/>
    <s v="Cancelled"/>
    <m/>
    <m/>
    <n v="165"/>
    <s v=""/>
    <s v="Hot"/>
    <n v="312000"/>
    <n v="0"/>
    <d v="2026-05-22T00:00:00"/>
    <m/>
    <x v="5"/>
    <m/>
    <m/>
    <m/>
    <x v="1"/>
    <m/>
    <s v=""/>
    <m/>
  </r>
  <r>
    <d v="2026-05-07T00:00:00"/>
    <s v="Sameer"/>
    <s v="Hyderabad"/>
    <x v="20"/>
    <s v="Call"/>
    <s v="Aggregator"/>
    <s v="SmartQ"/>
    <s v="Pop Up Counter"/>
    <s v="Repeat"/>
    <s v="F&amp;B Aggregator"/>
    <s v="Sekhar"/>
    <m/>
    <s v="Popup counter till 15-05-2026 from Gachibowli"/>
    <s v="Cancelled"/>
    <m/>
    <m/>
    <n v="165"/>
    <s v=""/>
    <s v="Hot"/>
    <n v="0"/>
    <n v="0"/>
    <d v="2026-05-15T00:00:00"/>
    <m/>
    <x v="5"/>
    <m/>
    <m/>
    <m/>
    <x v="1"/>
    <m/>
    <s v=""/>
    <m/>
  </r>
  <r>
    <d v="2026-05-07T00:00:00"/>
    <s v="Sameer"/>
    <s v="Hyderabad"/>
    <x v="97"/>
    <s v="F2F"/>
    <s v="ODC"/>
    <m/>
    <s v="Pop Up Counter"/>
    <m/>
    <s v="Healthcare"/>
    <s v="Sneha"/>
    <m/>
    <s v="Pop up  event on 14th &amp; 15th May"/>
    <s v="Closed(C4)"/>
    <m/>
    <m/>
    <s v=""/>
    <s v=""/>
    <s v="Hot"/>
    <n v="0"/>
    <n v="0"/>
    <d v="2026-05-15T00:00:00"/>
    <m/>
    <x v="5"/>
    <m/>
    <m/>
    <m/>
    <x v="1"/>
    <m/>
    <s v=""/>
    <m/>
  </r>
  <r>
    <d v="2026-05-07T00:00:00"/>
    <s v="Sameer"/>
    <s v="Hyderabad"/>
    <x v="46"/>
    <s v="Call"/>
    <s v="Aggregator"/>
    <s v="Hunger Box"/>
    <s v="Popup Counter"/>
    <s v="Repeat"/>
    <s v="F&amp;B Aggregator"/>
    <s v="Pawan"/>
    <m/>
    <s v="Haleem popup  on 14 &amp; 15 May"/>
    <s v="Cancelled"/>
    <m/>
    <m/>
    <n v="165"/>
    <s v=""/>
    <s v="Hot"/>
    <n v="0"/>
    <n v="0"/>
    <d v="2026-05-15T00:00:00"/>
    <m/>
    <x v="5"/>
    <m/>
    <m/>
    <m/>
    <x v="1"/>
    <m/>
    <s v=""/>
    <m/>
  </r>
  <r>
    <d v="2026-05-07T00:00:00"/>
    <s v="Bashab"/>
    <s v="Bangalore"/>
    <x v="18"/>
    <s v="F2F"/>
    <s v="Corporate"/>
    <m/>
    <s v="Popup Counter"/>
    <s v="Repeat"/>
    <s v="Retail"/>
    <s v="Vinod"/>
    <m/>
    <s v="Business Closed"/>
    <s v="Closed(C4)"/>
    <m/>
    <m/>
    <s v=""/>
    <s v=""/>
    <s v="Hot"/>
    <n v="15000"/>
    <n v="13689"/>
    <d v="2026-05-07T00:00:00"/>
    <m/>
    <x v="7"/>
    <s v="Received at Store"/>
    <m/>
    <d v="2026-05-07T00:00:00"/>
    <x v="1"/>
    <m/>
    <s v=""/>
    <m/>
  </r>
  <r>
    <d v="2026-05-07T00:00:00"/>
    <s v="Sameer"/>
    <s v="Hyderabad"/>
    <x v="20"/>
    <s v="Call"/>
    <s v="Aggregator"/>
    <s v="SmartQ"/>
    <s v="Pop Up Counter"/>
    <s v="Repeat"/>
    <s v="F&amp;B Aggregator"/>
    <s v="Sekhar"/>
    <m/>
    <s v="Popup counter on 7-05-2026 from Gachibowli"/>
    <s v="Closed(C4)"/>
    <m/>
    <m/>
    <s v=""/>
    <s v=""/>
    <s v="Hot"/>
    <n v="60890"/>
    <n v="60890"/>
    <d v="2026-05-07T00:00:00"/>
    <s v="00GCBTA000288906"/>
    <x v="2"/>
    <s v="Received at HO"/>
    <m/>
    <d v="2026-05-30T00:00:00"/>
    <x v="1"/>
    <m/>
    <s v=""/>
    <m/>
  </r>
  <r>
    <d v="2026-05-08T00:00:00"/>
    <s v="Manohar"/>
    <s v="Bangalore"/>
    <x v="98"/>
    <s v="F2F"/>
    <s v="Corporate"/>
    <m/>
    <s v="Bulk Order"/>
    <s v="New"/>
    <s v="It"/>
    <s v="Aman sheety"/>
    <m/>
    <s v="theay are planning for team lunch"/>
    <s v="Introduction( C0 )"/>
    <m/>
    <m/>
    <n v="164"/>
    <s v=""/>
    <s v="Warm"/>
    <m/>
    <m/>
    <m/>
    <m/>
    <x v="5"/>
    <m/>
    <m/>
    <m/>
    <x v="1"/>
    <m/>
    <s v=""/>
    <m/>
  </r>
  <r>
    <d v="2026-05-08T00:00:00"/>
    <s v="Manohar"/>
    <s v="Bangalore"/>
    <x v="99"/>
    <s v="Call"/>
    <s v="Corporate"/>
    <m/>
    <s v="Bulk Order"/>
    <s v="New"/>
    <s v="It"/>
    <s v="Harsha N"/>
    <m/>
    <s v="introduction"/>
    <s v="Introduction( C0 )"/>
    <m/>
    <m/>
    <n v="164"/>
    <s v=""/>
    <s v="Cold"/>
    <m/>
    <m/>
    <m/>
    <m/>
    <x v="5"/>
    <m/>
    <m/>
    <m/>
    <x v="1"/>
    <m/>
    <s v=""/>
    <m/>
  </r>
  <r>
    <d v="2026-05-08T00:00:00"/>
    <s v="Manohar"/>
    <s v="Bangalore"/>
    <x v="99"/>
    <s v="Call"/>
    <s v="Corporate"/>
    <m/>
    <s v="ODC"/>
    <s v="New"/>
    <s v="It"/>
    <s v="Anil Yadav"/>
    <m/>
    <s v="introduction"/>
    <s v="Introduction( C0 )"/>
    <m/>
    <m/>
    <n v="164"/>
    <s v=""/>
    <s v="Cold"/>
    <m/>
    <m/>
    <m/>
    <m/>
    <x v="5"/>
    <m/>
    <m/>
    <m/>
    <x v="1"/>
    <m/>
    <s v=""/>
    <m/>
  </r>
  <r>
    <d v="2026-05-08T00:00:00"/>
    <s v="Manohar"/>
    <s v="Bangalore"/>
    <x v="100"/>
    <s v="Call"/>
    <s v="Corporate"/>
    <m/>
    <s v="Bulk Order"/>
    <s v="New"/>
    <s v="It"/>
    <s v="Ms. Sudha Prasad"/>
    <m/>
    <s v="Introduction"/>
    <s v="Introduction( C0 )"/>
    <m/>
    <m/>
    <n v="164"/>
    <s v=""/>
    <s v="Cold"/>
    <m/>
    <m/>
    <m/>
    <m/>
    <x v="5"/>
    <m/>
    <m/>
    <m/>
    <x v="1"/>
    <m/>
    <s v=""/>
    <m/>
  </r>
  <r>
    <d v="2026-05-08T00:00:00"/>
    <s v="Manohar"/>
    <s v="Bangalore"/>
    <x v="85"/>
    <s v="Call"/>
    <s v="Corporate"/>
    <m/>
    <s v="Pop Up Counter"/>
    <s v="New"/>
    <s v="Education"/>
    <s v="Chaithanya C"/>
    <m/>
    <s v="planning for next week"/>
    <s v="Negotitaion( C2 )"/>
    <m/>
    <m/>
    <n v="164"/>
    <s v=""/>
    <s v="Warm"/>
    <n v="20000"/>
    <m/>
    <m/>
    <m/>
    <x v="5"/>
    <m/>
    <m/>
    <m/>
    <x v="1"/>
    <m/>
    <s v=""/>
    <m/>
  </r>
  <r>
    <d v="2026-05-08T00:00:00"/>
    <s v="Bashab"/>
    <s v="Bangalore"/>
    <x v="66"/>
    <s v="Call"/>
    <s v="Aggregator"/>
    <s v="Gokhana"/>
    <s v="Pop Up Counter"/>
    <s v="Repeat"/>
    <s v="It"/>
    <s v="Navya"/>
    <m/>
    <s v="Popup Closed"/>
    <s v="Closed(C4)"/>
    <m/>
    <m/>
    <s v=""/>
    <s v=""/>
    <s v="Hot"/>
    <n v="20000"/>
    <n v="21917"/>
    <d v="2026-05-08T00:00:00"/>
    <s v="00PMTA2000C05756"/>
    <x v="21"/>
    <s v="Received at HO"/>
    <m/>
    <m/>
    <x v="1"/>
    <m/>
    <s v=""/>
    <m/>
  </r>
  <r>
    <d v="2026-05-08T00:00:00"/>
    <s v="Bashab"/>
    <s v="Bangalore"/>
    <x v="101"/>
    <s v="F2F"/>
    <s v="Corporate"/>
    <m/>
    <s v="Bulk Order"/>
    <s v="New"/>
    <s v="It"/>
    <s v="Arjun"/>
    <m/>
    <s v="Business Closed"/>
    <s v="Closed(C4)"/>
    <m/>
    <m/>
    <s v=""/>
    <s v=""/>
    <s v="Hot"/>
    <n v="10000"/>
    <n v="10300"/>
    <d v="2026-05-08T00:00:00"/>
    <m/>
    <x v="3"/>
    <s v="Received at Store"/>
    <m/>
    <d v="2026-05-08T00:00:00"/>
    <x v="1"/>
    <m/>
    <s v=""/>
    <m/>
  </r>
  <r>
    <d v="2026-05-08T00:00:00"/>
    <s v="Pradeep"/>
    <s v="Hyderabad"/>
    <x v="102"/>
    <s v="F2F"/>
    <s v="Corporate"/>
    <m/>
    <s v="Bulk Order"/>
    <s v="New"/>
    <s v="Healthcare"/>
    <s v="Shiva"/>
    <m/>
    <s v="Proposed for Bulk order and Gifting"/>
    <s v="Follow-up( C1 )"/>
    <d v="2026-08-17T00:00:00"/>
    <s v="F2F"/>
    <n v="164"/>
    <s v="Yes"/>
    <s v="Warm"/>
    <n v="100000"/>
    <m/>
    <m/>
    <m/>
    <x v="5"/>
    <m/>
    <m/>
    <m/>
    <x v="1"/>
    <m/>
    <s v=""/>
    <m/>
  </r>
  <r>
    <d v="2026-05-08T00:00:00"/>
    <s v="Pradeep"/>
    <s v="Hyderabad"/>
    <x v="103"/>
    <s v="F2F"/>
    <s v="Corporate"/>
    <m/>
    <s v="Bulk Order"/>
    <s v="New"/>
    <s v="Healthcare"/>
    <s v="Uday"/>
    <m/>
    <s v="Proposed for Bulk order and Gifting"/>
    <s v="Cancelled"/>
    <d v="2026-09-01T00:00:00"/>
    <s v="Call"/>
    <n v="164"/>
    <s v=""/>
    <s v="Warm"/>
    <n v="50000"/>
    <m/>
    <m/>
    <m/>
    <x v="5"/>
    <m/>
    <m/>
    <m/>
    <x v="1"/>
    <m/>
    <s v=""/>
    <m/>
  </r>
  <r>
    <d v="2026-05-08T00:00:00"/>
    <s v="Pradeep"/>
    <s v="Hyderabad"/>
    <x v="104"/>
    <s v="F2F"/>
    <s v="Corporate"/>
    <m/>
    <s v="Bulk Order"/>
    <s v="New"/>
    <s v="Banking Finance &amp; Insurance"/>
    <s v="Vinay"/>
    <m/>
    <s v="Proposed for Bulk order and Gifting"/>
    <s v="Cancelled"/>
    <m/>
    <s v="Call"/>
    <n v="164"/>
    <s v=""/>
    <s v="Cold"/>
    <n v="50000"/>
    <m/>
    <m/>
    <m/>
    <x v="5"/>
    <m/>
    <m/>
    <m/>
    <x v="1"/>
    <m/>
    <s v=""/>
    <m/>
  </r>
  <r>
    <d v="2026-05-08T00:00:00"/>
    <s v="Pradeep"/>
    <s v="Hyderabad"/>
    <x v="105"/>
    <s v="Call"/>
    <s v="Bulk Order"/>
    <m/>
    <s v="Bulk Order"/>
    <s v="New"/>
    <s v="Family Group"/>
    <s v="Srinivas"/>
    <m/>
    <s v="Has a bulk order requirement 40 people "/>
    <s v="Cancelled"/>
    <m/>
    <m/>
    <n v="164"/>
    <s v=""/>
    <s v="Warm"/>
    <n v="10000"/>
    <m/>
    <m/>
    <m/>
    <x v="5"/>
    <m/>
    <m/>
    <m/>
    <x v="1"/>
    <m/>
    <s v=""/>
    <m/>
  </r>
  <r>
    <d v="2026-05-08T00:00:00"/>
    <s v="Sameer"/>
    <s v="Hyderabad"/>
    <x v="106"/>
    <s v="F2F"/>
    <s v="Aggregator"/>
    <s v="Pinnacle"/>
    <s v="ODC"/>
    <s v="New"/>
    <s v="Exhibition"/>
    <s v="Nawsad"/>
    <m/>
    <s v="ODC on 8th 9th &amp; 10th May from BHEL"/>
    <s v="Closed(C4)"/>
    <m/>
    <m/>
    <s v=""/>
    <s v=""/>
    <s v="Hot"/>
    <n v="45250"/>
    <n v="45250"/>
    <d v="2026-05-10T00:00:00"/>
    <m/>
    <x v="1"/>
    <s v="Received at HO"/>
    <m/>
    <m/>
    <x v="1"/>
    <m/>
    <s v=""/>
    <m/>
  </r>
  <r>
    <d v="2026-05-08T00:00:00"/>
    <s v="Sameer"/>
    <s v="Hyderabad"/>
    <x v="20"/>
    <s v="Call"/>
    <s v="Aggregator"/>
    <s v="SmartQ"/>
    <s v="Pop Up Counter"/>
    <s v="Repeat"/>
    <s v="F&amp;B Aggregator"/>
    <s v="Sekhar"/>
    <m/>
    <s v="Popup counter on 8-05-2026 from Gachibowli"/>
    <s v="Closed(C4)"/>
    <m/>
    <m/>
    <s v=""/>
    <s v=""/>
    <s v="Hot"/>
    <n v="78270"/>
    <n v="78270"/>
    <d v="2026-05-08T00:00:00"/>
    <s v="00GCBTA000289129"/>
    <x v="2"/>
    <s v="Received at HO"/>
    <m/>
    <d v="2026-05-30T00:00:00"/>
    <x v="1"/>
    <m/>
    <s v=""/>
    <m/>
  </r>
  <r>
    <d v="2026-05-08T00:00:00"/>
    <s v="Bashab"/>
    <s v="Bangalore"/>
    <x v="106"/>
    <s v="F2F"/>
    <s v="Aggregator"/>
    <s v="Pinnacle"/>
    <s v="ODC"/>
    <s v="New"/>
    <s v="Exhibition"/>
    <s v="Ashutosh"/>
    <m/>
    <s v="ODC on 8th 9th &amp; 10th May from BHEL"/>
    <s v="Closed(C4)"/>
    <m/>
    <m/>
    <s v=""/>
    <s v=""/>
    <s v="Hot"/>
    <n v="45000"/>
    <n v="45250"/>
    <d v="2026-05-10T00:00:00"/>
    <m/>
    <x v="2"/>
    <s v="Received at HO"/>
    <m/>
    <m/>
    <x v="1"/>
    <m/>
    <s v=""/>
    <m/>
  </r>
  <r>
    <d v="2026-05-09T00:00:00"/>
    <s v="Bashab"/>
    <s v="Bangalore"/>
    <x v="72"/>
    <s v="F2F"/>
    <s v="Aggregator"/>
    <s v="Meals &amp; More"/>
    <s v="ODC"/>
    <s v="New"/>
    <s v="Events"/>
    <s v="Rawath"/>
    <m/>
    <s v="event confirmed from 9th to 11th May"/>
    <s v="Closed(C4)"/>
    <m/>
    <m/>
    <s v=""/>
    <s v=""/>
    <s v="Hot"/>
    <n v="25000"/>
    <n v="22400"/>
    <d v="2026-05-09T00:00:00"/>
    <m/>
    <x v="8"/>
    <s v="Received at HO"/>
    <m/>
    <m/>
    <x v="1"/>
    <m/>
    <s v=""/>
    <m/>
  </r>
  <r>
    <d v="2026-05-10T00:00:00"/>
    <s v="Bashab"/>
    <s v="Bangalore"/>
    <x v="72"/>
    <s v="F2F"/>
    <s v="Aggregator"/>
    <s v="Meals &amp; More"/>
    <s v="ODC"/>
    <s v="New"/>
    <s v="Events"/>
    <s v="Rawath"/>
    <m/>
    <s v="event confirmed from 9th to 11th May"/>
    <s v="Closed(C4)"/>
    <m/>
    <m/>
    <s v=""/>
    <s v=""/>
    <s v="Hot"/>
    <n v="20000"/>
    <n v="22100"/>
    <d v="2026-05-10T00:00:00"/>
    <m/>
    <x v="8"/>
    <s v="Received at HO"/>
    <m/>
    <m/>
    <x v="1"/>
    <m/>
    <s v=""/>
    <m/>
  </r>
  <r>
    <d v="2026-05-11T00:00:00"/>
    <s v="Manohar"/>
    <s v="Bangalore"/>
    <x v="107"/>
    <s v="Call"/>
    <s v="Corporate"/>
    <m/>
    <s v="Bulk Order"/>
    <s v="New"/>
    <s v="It"/>
    <s v="Mahesh"/>
    <m/>
    <s v="for 15 members lunch reqvirment"/>
    <s v="Closed(C4)"/>
    <m/>
    <m/>
    <s v=""/>
    <s v=""/>
    <s v="Hot"/>
    <n v="6847"/>
    <n v="6847"/>
    <d v="2026-05-11T00:00:00"/>
    <s v="00KVC01000022854"/>
    <x v="12"/>
    <s v="Received at Store"/>
    <m/>
    <d v="2026-05-11T00:00:00"/>
    <x v="1"/>
    <m/>
    <s v=""/>
    <s v="Takeaway-Bulk-Insti"/>
  </r>
  <r>
    <d v="2026-05-11T00:00:00"/>
    <s v="Sameer"/>
    <s v="Hyderabad"/>
    <x v="52"/>
    <s v="F2F"/>
    <s v="Aggregator"/>
    <s v="Compass"/>
    <s v="Bulk Order"/>
    <s v="Repeat"/>
    <s v="It"/>
    <s v="Dinesh"/>
    <m/>
    <s v="Biryani on 20-05-2026 "/>
    <s v="Cancelled"/>
    <m/>
    <m/>
    <n v="161"/>
    <s v=""/>
    <s v="Hot"/>
    <n v="0"/>
    <n v="0"/>
    <d v="2026-05-20T00:00:00"/>
    <m/>
    <x v="5"/>
    <m/>
    <m/>
    <m/>
    <x v="1"/>
    <m/>
    <s v=""/>
    <m/>
  </r>
  <r>
    <d v="2026-05-11T00:00:00"/>
    <s v="Manohar"/>
    <s v="Bangalore"/>
    <x v="108"/>
    <s v="F2F"/>
    <s v="Corporate"/>
    <m/>
    <s v="ODC"/>
    <s v="New"/>
    <s v="It"/>
    <s v="sophia"/>
    <m/>
    <s v="team lunch for employees plannining "/>
    <s v="Introduction( C0 )"/>
    <m/>
    <m/>
    <n v="161"/>
    <s v=""/>
    <s v="Cold"/>
    <m/>
    <m/>
    <m/>
    <m/>
    <x v="5"/>
    <m/>
    <m/>
    <m/>
    <x v="1"/>
    <m/>
    <s v=""/>
    <m/>
  </r>
  <r>
    <d v="2026-05-11T00:00:00"/>
    <s v="Manohar"/>
    <s v="Bangalore"/>
    <x v="109"/>
    <s v="F2F"/>
    <s v="Corporate"/>
    <m/>
    <s v="Bulk Order"/>
    <s v="New"/>
    <s v="It"/>
    <s v="amith"/>
    <m/>
    <s v="every month theay have  4 event and employes are around 500 peoples"/>
    <s v="Negotitaion( C2 )"/>
    <m/>
    <m/>
    <n v="161"/>
    <s v=""/>
    <s v="Warm"/>
    <m/>
    <m/>
    <m/>
    <m/>
    <x v="5"/>
    <m/>
    <m/>
    <m/>
    <x v="1"/>
    <m/>
    <s v=""/>
    <m/>
  </r>
  <r>
    <d v="2026-05-11T00:00:00"/>
    <s v="Manohar"/>
    <s v="Bangalore"/>
    <x v="110"/>
    <s v="Call"/>
    <s v="Corporate"/>
    <m/>
    <s v="Bulk Order"/>
    <s v="New"/>
    <s v="It"/>
    <s v="Avinash Kanna"/>
    <m/>
    <s v="still conversation going on"/>
    <s v="Introduction( C0 )"/>
    <m/>
    <m/>
    <n v="161"/>
    <s v=""/>
    <s v="Warm"/>
    <m/>
    <m/>
    <m/>
    <m/>
    <x v="5"/>
    <m/>
    <m/>
    <m/>
    <x v="1"/>
    <m/>
    <s v=""/>
    <m/>
  </r>
  <r>
    <d v="2026-05-11T00:00:00"/>
    <s v="Bashab"/>
    <s v="Bangalore"/>
    <x v="111"/>
    <s v="Call"/>
    <s v="Aggregator"/>
    <s v="SmartQ"/>
    <s v="Pop Up Counter"/>
    <s v="New"/>
    <s v="It"/>
    <s v="Naveen"/>
    <m/>
    <s v="Pop-up counter done"/>
    <s v="Closed(C4)"/>
    <m/>
    <m/>
    <s v=""/>
    <s v=""/>
    <s v="Hot"/>
    <n v="15000"/>
    <n v="13450"/>
    <d v="2026-05-11T00:00:00"/>
    <m/>
    <x v="3"/>
    <s v="Received at HO"/>
    <m/>
    <m/>
    <x v="1"/>
    <m/>
    <s v=""/>
    <m/>
  </r>
  <r>
    <d v="2026-05-11T00:00:00"/>
    <s v="Bashab"/>
    <s v="Bangalore"/>
    <x v="72"/>
    <s v="F2F"/>
    <s v="Aggregator"/>
    <s v="Meals &amp; More"/>
    <s v="ODC"/>
    <s v="New"/>
    <s v="Events"/>
    <s v="Rawath"/>
    <m/>
    <s v="event confirmed from 9th to 11th May"/>
    <s v="Closed(C4)"/>
    <m/>
    <m/>
    <s v=""/>
    <s v=""/>
    <s v="Hot"/>
    <n v="5000"/>
    <n v="3700"/>
    <d v="2026-05-11T00:00:00"/>
    <m/>
    <x v="8"/>
    <s v="Received at HO"/>
    <m/>
    <m/>
    <x v="1"/>
    <m/>
    <s v=""/>
    <m/>
  </r>
  <r>
    <d v="2026-05-11T00:00:00"/>
    <s v="Pradeep"/>
    <s v="Hyderabad"/>
    <x v="112"/>
    <s v="F2F"/>
    <s v="Bulk Order"/>
    <m/>
    <s v="Bulk Order"/>
    <s v="New"/>
    <s v="Events"/>
    <s v="Stallin"/>
    <m/>
    <s v="Has a event on 23rd of may for 150 pax  got postponed"/>
    <s v="Cancelled"/>
    <m/>
    <m/>
    <n v="161"/>
    <s v=""/>
    <s v="Warm"/>
    <n v="30000"/>
    <m/>
    <m/>
    <m/>
    <x v="5"/>
    <m/>
    <m/>
    <m/>
    <x v="1"/>
    <m/>
    <s v=""/>
    <m/>
  </r>
  <r>
    <d v="2026-05-11T00:00:00"/>
    <s v="Sameer"/>
    <s v="Hyderabad"/>
    <x v="20"/>
    <s v="Call"/>
    <s v="Aggregator"/>
    <s v="SmartQ"/>
    <s v="Pop Up Counter"/>
    <s v="Repeat"/>
    <s v="F&amp;B Aggregator"/>
    <s v="Sekhar"/>
    <m/>
    <s v="Popup counter on 11-05-2026 from Gachibowli"/>
    <s v="Closed(C4)"/>
    <m/>
    <m/>
    <s v=""/>
    <s v=""/>
    <s v="Hot"/>
    <n v="54000"/>
    <n v="54000"/>
    <d v="2026-05-11T00:00:00"/>
    <m/>
    <x v="2"/>
    <s v="Received at HO"/>
    <m/>
    <d v="2026-05-30T00:00:00"/>
    <x v="1"/>
    <m/>
    <s v=""/>
    <m/>
  </r>
  <r>
    <d v="2026-05-11T00:00:00"/>
    <s v="Pradeep"/>
    <s v="Hyderabad"/>
    <x v="113"/>
    <s v="F2F"/>
    <s v="Bulk Order"/>
    <m/>
    <s v="Bulk Order"/>
    <s v="New"/>
    <s v="Manufacturing"/>
    <s v="Srinivas"/>
    <m/>
    <s v="Proposed for Bulk order and Gifting"/>
    <s v="Cancelled"/>
    <d v="2026-08-25T00:00:00"/>
    <s v="F2F"/>
    <n v="161"/>
    <s v=""/>
    <s v="Cold"/>
    <n v="20000"/>
    <m/>
    <m/>
    <m/>
    <x v="5"/>
    <m/>
    <m/>
    <m/>
    <x v="1"/>
    <m/>
    <s v=""/>
    <m/>
  </r>
  <r>
    <d v="2026-05-11T00:00:00"/>
    <s v="Pradeep"/>
    <s v="Hyderabad"/>
    <x v="114"/>
    <s v="F2F"/>
    <s v="Bulk Order"/>
    <m/>
    <s v="Bulk Order"/>
    <s v="New"/>
    <s v="Manufacturing"/>
    <s v="Vanaja"/>
    <m/>
    <s v="Proposed for Bulk order and Gifting"/>
    <s v="Cancelled"/>
    <d v="2026-08-21T00:00:00"/>
    <s v="Call"/>
    <n v="161"/>
    <s v=""/>
    <s v="Cold"/>
    <n v="10000"/>
    <m/>
    <m/>
    <m/>
    <x v="5"/>
    <m/>
    <m/>
    <m/>
    <x v="1"/>
    <m/>
    <s v=""/>
    <m/>
  </r>
  <r>
    <d v="2026-05-11T00:00:00"/>
    <s v="Pradeep"/>
    <s v="Hyderabad"/>
    <x v="115"/>
    <s v="Call"/>
    <s v="Bulk Order"/>
    <m/>
    <s v="Bulk Order"/>
    <s v="New"/>
    <s v="Manufacturing"/>
    <s v="Sainath"/>
    <m/>
    <s v="Proposed for Bulk order and Gifting"/>
    <s v="Cancelled"/>
    <m/>
    <m/>
    <n v="161"/>
    <s v=""/>
    <s v="Cold"/>
    <n v="20000"/>
    <m/>
    <m/>
    <m/>
    <x v="5"/>
    <m/>
    <m/>
    <m/>
    <x v="1"/>
    <m/>
    <s v=""/>
    <m/>
  </r>
  <r>
    <d v="2026-05-11T00:00:00"/>
    <s v="Sameer"/>
    <s v="Hyderabad"/>
    <x v="116"/>
    <s v="F2F"/>
    <s v="Bulk Order"/>
    <m/>
    <s v="Bulk Order"/>
    <s v="New"/>
    <s v="Events"/>
    <s v="Fatima"/>
    <m/>
    <s v="Has a requirement of chicken biryani &amp; Haleem for 30 pax"/>
    <s v="Cancelled"/>
    <m/>
    <m/>
    <n v="161"/>
    <s v=""/>
    <s v="Hot"/>
    <n v="20000"/>
    <m/>
    <m/>
    <m/>
    <x v="5"/>
    <m/>
    <m/>
    <m/>
    <x v="1"/>
    <m/>
    <s v=""/>
    <m/>
  </r>
  <r>
    <d v="2026-05-11T00:00:00"/>
    <s v="Sameer"/>
    <s v="Hyderabad"/>
    <x v="117"/>
    <s v="Call"/>
    <s v="Bulk Order"/>
    <m/>
    <s v="Bulk Order"/>
    <s v="New"/>
    <s v="Manufacturing"/>
    <s v="Nandita"/>
    <m/>
    <s v="Proposed for Bulk order and Gifting"/>
    <s v="Cancelled"/>
    <m/>
    <m/>
    <n v="161"/>
    <s v=""/>
    <s v="Cold"/>
    <n v="20000"/>
    <m/>
    <m/>
    <m/>
    <x v="5"/>
    <m/>
    <m/>
    <m/>
    <x v="1"/>
    <m/>
    <s v=""/>
    <m/>
  </r>
  <r>
    <d v="2026-05-12T00:00:00"/>
    <s v="Manohar"/>
    <s v="Bangalore"/>
    <x v="118"/>
    <s v="F2F"/>
    <s v="Corporate"/>
    <m/>
    <s v="Bulk Order"/>
    <s v="New"/>
    <s v="It"/>
    <s v="Gagan sagar"/>
    <m/>
    <s v="every month theay need a 1 bulk order it means for 300 peoples"/>
    <s v="Introduction( C0 )"/>
    <m/>
    <m/>
    <n v="160"/>
    <s v=""/>
    <s v="Warm"/>
    <m/>
    <m/>
    <m/>
    <m/>
    <x v="5"/>
    <m/>
    <m/>
    <m/>
    <x v="1"/>
    <m/>
    <s v=""/>
    <m/>
  </r>
  <r>
    <d v="2026-05-12T00:00:00"/>
    <s v="Manohar"/>
    <s v="Bangalore"/>
    <x v="119"/>
    <s v="F2F"/>
    <s v="Corporate"/>
    <m/>
    <s v="Bulk Order"/>
    <s v="New"/>
    <s v="It"/>
    <s v="Shaik ali"/>
    <m/>
    <s v="every 3 month theay have team lunch total employes 180"/>
    <s v="Introduction( C0 )"/>
    <m/>
    <m/>
    <n v="160"/>
    <s v=""/>
    <s v="Warm"/>
    <m/>
    <m/>
    <m/>
    <m/>
    <x v="5"/>
    <m/>
    <m/>
    <m/>
    <x v="1"/>
    <m/>
    <s v=""/>
    <m/>
  </r>
  <r>
    <d v="2026-05-12T00:00:00"/>
    <s v="Manohar"/>
    <s v="Bangalore"/>
    <x v="98"/>
    <s v="Call"/>
    <s v="Corporate"/>
    <m/>
    <s v="Bulk Order"/>
    <s v="New"/>
    <s v="It"/>
    <s v="syed"/>
    <m/>
    <s v="its a bpo company every saturday theay want lunch"/>
    <s v="Introduction( C0 )"/>
    <m/>
    <m/>
    <n v="160"/>
    <s v=""/>
    <s v="Cold"/>
    <m/>
    <m/>
    <m/>
    <m/>
    <x v="5"/>
    <m/>
    <m/>
    <m/>
    <x v="1"/>
    <m/>
    <s v=""/>
    <m/>
  </r>
  <r>
    <d v="2026-05-12T00:00:00"/>
    <s v="Manohar"/>
    <s v="Bangalore"/>
    <x v="120"/>
    <s v="Call"/>
    <s v="Corporate"/>
    <m/>
    <s v="Bulk Order"/>
    <s v="New"/>
    <s v="It"/>
    <s v="Maryann"/>
    <m/>
    <s v="in future she will give bulk order cureently she dont have reqvirments"/>
    <s v="Introduction( C0 )"/>
    <m/>
    <m/>
    <n v="160"/>
    <s v=""/>
    <s v="Cold"/>
    <m/>
    <m/>
    <m/>
    <m/>
    <x v="5"/>
    <m/>
    <m/>
    <m/>
    <x v="1"/>
    <m/>
    <s v=""/>
    <m/>
  </r>
  <r>
    <d v="2026-05-12T00:00:00"/>
    <s v="Manohar"/>
    <s v="Bangalore"/>
    <x v="121"/>
    <s v="Call"/>
    <s v="Corporate"/>
    <m/>
    <s v="Bulk Order"/>
    <s v="New"/>
    <s v="It"/>
    <s v="vinod kumar"/>
    <m/>
    <s v="tommrow he given appointment to meet"/>
    <s v="Introduction( C0 )"/>
    <m/>
    <m/>
    <n v="160"/>
    <s v=""/>
    <s v="Cold"/>
    <m/>
    <m/>
    <m/>
    <m/>
    <x v="5"/>
    <m/>
    <m/>
    <m/>
    <x v="1"/>
    <m/>
    <s v=""/>
    <m/>
  </r>
  <r>
    <d v="2026-05-12T00:00:00"/>
    <s v="Bashab"/>
    <s v="Bangalore"/>
    <x v="122"/>
    <s v="Call"/>
    <s v="Aggregator"/>
    <s v="SmartQ"/>
    <s v="Pop Up Counter"/>
    <s v="New"/>
    <s v="It"/>
    <s v="Naveen"/>
    <m/>
    <s v="Pop-up counter done"/>
    <s v="Confirmed( C3 )"/>
    <m/>
    <m/>
    <m/>
    <s v=""/>
    <s v="Hot"/>
    <m/>
    <m/>
    <m/>
    <m/>
    <x v="5"/>
    <m/>
    <m/>
    <m/>
    <x v="1"/>
    <m/>
    <s v=""/>
    <m/>
  </r>
  <r>
    <d v="2026-05-12T00:00:00"/>
    <s v="Bashab"/>
    <s v="Bangalore"/>
    <x v="123"/>
    <s v="Call"/>
    <s v="Corporate"/>
    <m/>
    <s v="Pop Up Counter"/>
    <s v="New"/>
    <s v="It"/>
    <s v="Anand"/>
    <m/>
    <s v="Pop-up counter confirmed"/>
    <s v="Confirmed( C3 )"/>
    <m/>
    <m/>
    <m/>
    <s v=""/>
    <s v="Hot"/>
    <m/>
    <m/>
    <m/>
    <m/>
    <x v="5"/>
    <m/>
    <m/>
    <m/>
    <x v="1"/>
    <m/>
    <s v=""/>
    <m/>
  </r>
  <r>
    <d v="2026-05-12T00:00:00"/>
    <s v="Bashab"/>
    <s v="Bangalore"/>
    <x v="39"/>
    <s v="F2F"/>
    <s v="Aggregator"/>
    <s v="Compass"/>
    <s v="Bulk Order"/>
    <s v="Repeat"/>
    <s v="It"/>
    <s v="Sarvesh"/>
    <m/>
    <s v="Follow-up for the upcoming requirement"/>
    <s v="Follow-up( C1 )"/>
    <d v="2026-09-25T00:00:00"/>
    <s v="F2F"/>
    <n v="160"/>
    <s v="Yes"/>
    <s v="Hot"/>
    <m/>
    <m/>
    <m/>
    <m/>
    <x v="5"/>
    <m/>
    <m/>
    <m/>
    <x v="1"/>
    <m/>
    <s v=""/>
    <m/>
  </r>
  <r>
    <d v="2026-05-12T00:00:00"/>
    <s v="Sameer"/>
    <s v="Hyderabad"/>
    <x v="20"/>
    <s v="Call"/>
    <s v="Aggregator"/>
    <s v="SmartQ"/>
    <s v="Pop Up Counter"/>
    <s v="Repeat"/>
    <s v="It"/>
    <s v="Priyansh"/>
    <m/>
    <s v="Popup counter on 12-05-2026 from Gachibowli"/>
    <s v="Closed(C4)"/>
    <m/>
    <m/>
    <s v=""/>
    <s v=""/>
    <s v="Hot"/>
    <n v="30000"/>
    <n v="39690"/>
    <d v="2026-05-12T00:00:00"/>
    <s v="00GCBTA000289175"/>
    <x v="2"/>
    <s v="Received at HO"/>
    <m/>
    <d v="2026-05-30T00:00:00"/>
    <x v="1"/>
    <m/>
    <s v=""/>
    <m/>
  </r>
  <r>
    <d v="2026-05-12T00:00:00"/>
    <s v="Sameer"/>
    <s v="Hyderabad"/>
    <x v="124"/>
    <s v="Call"/>
    <s v="Corporate"/>
    <m/>
    <s v="Bulk Order"/>
    <s v="New"/>
    <s v="Healthcare"/>
    <s v="Sandeep"/>
    <m/>
    <s v="Bulk order requirement for 40 pax"/>
    <s v="Cancelled"/>
    <m/>
    <m/>
    <n v="160"/>
    <s v=""/>
    <s v="Warm"/>
    <n v="20000"/>
    <m/>
    <m/>
    <m/>
    <x v="5"/>
    <m/>
    <m/>
    <m/>
    <x v="1"/>
    <m/>
    <s v=""/>
    <m/>
  </r>
  <r>
    <d v="2026-05-12T00:00:00"/>
    <s v="Sameer"/>
    <s v="Hyderabad"/>
    <x v="125"/>
    <s v="Call"/>
    <s v="Corporate"/>
    <m/>
    <s v="Bulk Order"/>
    <s v="New"/>
    <s v="Amusement"/>
    <s v="Arijit"/>
    <m/>
    <s v="Bulk order requirement for 50 pax"/>
    <s v="Cancelled"/>
    <m/>
    <m/>
    <n v="160"/>
    <s v=""/>
    <s v="Warm"/>
    <n v="20000"/>
    <m/>
    <m/>
    <m/>
    <x v="5"/>
    <m/>
    <m/>
    <m/>
    <x v="1"/>
    <m/>
    <s v=""/>
    <m/>
  </r>
  <r>
    <d v="2026-05-12T00:00:00"/>
    <s v="Pradeep"/>
    <s v="Hyderabad"/>
    <x v="43"/>
    <s v="F2F"/>
    <s v="Corporate"/>
    <m/>
    <s v="Bulk Order"/>
    <s v="New"/>
    <s v="Tourism"/>
    <s v="Sujil"/>
    <m/>
    <s v="Bulk order requirement for 25 pax"/>
    <s v="Cancelled"/>
    <m/>
    <m/>
    <n v="160"/>
    <s v=""/>
    <s v="Cold"/>
    <n v="10000"/>
    <m/>
    <m/>
    <m/>
    <x v="5"/>
    <m/>
    <m/>
    <m/>
    <x v="1"/>
    <m/>
    <s v=""/>
    <m/>
  </r>
  <r>
    <d v="2026-05-12T00:00:00"/>
    <s v="Sameer"/>
    <s v="Hyderabad"/>
    <x v="126"/>
    <s v="F2F"/>
    <s v="Bulk Order"/>
    <m/>
    <s v="Bulk Order"/>
    <s v="New"/>
    <s v="Family Group"/>
    <s v="Sai kumar"/>
    <m/>
    <s v="Bulk order requirement for 25 pax"/>
    <s v="Cancelled"/>
    <m/>
    <m/>
    <n v="160"/>
    <s v=""/>
    <s v="Warm"/>
    <n v="10000"/>
    <m/>
    <m/>
    <m/>
    <x v="5"/>
    <m/>
    <m/>
    <m/>
    <x v="1"/>
    <m/>
    <s v=""/>
    <m/>
  </r>
  <r>
    <d v="2026-05-12T00:00:00"/>
    <s v="Pradeep"/>
    <s v="Hyderabad"/>
    <x v="76"/>
    <s v="F2F"/>
    <s v="Bulk Order"/>
    <m/>
    <s v="Bulk Order"/>
    <s v="New"/>
    <s v="Retail"/>
    <s v="Ayub"/>
    <m/>
    <s v="Bulk Order Closed for 50 Pax"/>
    <s v="Closed(C4)"/>
    <m/>
    <m/>
    <m/>
    <m/>
    <s v="Hot"/>
    <n v="30000"/>
    <n v="13776"/>
    <d v="2026-05-12T00:00:00"/>
    <s v="00HTA05000007033"/>
    <x v="22"/>
    <s v="Received at Store"/>
    <m/>
    <d v="2026-05-12T00:00:00"/>
    <x v="1"/>
    <m/>
    <m/>
    <s v="Takeaway-Bulk-Insti"/>
  </r>
  <r>
    <d v="2026-05-12T00:00:00"/>
    <s v="Pradeep"/>
    <s v="Hyderabad"/>
    <x v="127"/>
    <s v="F2F"/>
    <s v="Bulk Order"/>
    <m/>
    <s v="Bulk Order"/>
    <s v="New"/>
    <s v="Healthcare"/>
    <s v="Imran"/>
    <m/>
    <s v="Proposed for Bulk order and Biryani Kits for Gifting "/>
    <s v="Cancelled"/>
    <m/>
    <s v="Call"/>
    <n v="160"/>
    <s v=""/>
    <s v="Cold"/>
    <n v="30000"/>
    <m/>
    <m/>
    <m/>
    <x v="5"/>
    <m/>
    <m/>
    <m/>
    <x v="1"/>
    <m/>
    <s v=""/>
    <m/>
  </r>
  <r>
    <d v="2026-05-12T00:00:00"/>
    <s v="Pradeep"/>
    <s v="Hyderabad"/>
    <x v="128"/>
    <s v="F2F"/>
    <s v="Bulk Order"/>
    <m/>
    <s v="Bulk Order"/>
    <s v="New"/>
    <s v="Manufacturing"/>
    <s v="Sridhar"/>
    <m/>
    <s v="Proposed for Bulk order and Biryani Kits for Gifting"/>
    <s v="Cancelled"/>
    <m/>
    <m/>
    <n v="160"/>
    <s v=""/>
    <s v="Cold"/>
    <n v="10000"/>
    <m/>
    <m/>
    <m/>
    <x v="5"/>
    <m/>
    <m/>
    <m/>
    <x v="1"/>
    <m/>
    <s v=""/>
    <m/>
  </r>
  <r>
    <d v="2026-05-12T00:00:00"/>
    <s v="Pradeep"/>
    <s v="Hyderabad"/>
    <x v="129"/>
    <s v="F2F"/>
    <s v="Bulk Order"/>
    <m/>
    <s v="Bulk Order"/>
    <s v="New"/>
    <s v="Manufacturing"/>
    <s v="Sai"/>
    <m/>
    <s v="Proposed for Bulk order and Biryani Kits for Gifting"/>
    <s v="Cancelled"/>
    <d v="2026-09-07T00:00:00"/>
    <s v="Call"/>
    <n v="160"/>
    <s v=""/>
    <s v="Cold"/>
    <n v="50000"/>
    <m/>
    <m/>
    <m/>
    <x v="5"/>
    <m/>
    <m/>
    <m/>
    <x v="1"/>
    <m/>
    <s v=""/>
    <m/>
  </r>
  <r>
    <d v="2026-05-12T00:00:00"/>
    <s v="Pradeep"/>
    <s v="Hyderabad"/>
    <x v="130"/>
    <s v="Call"/>
    <s v="Bulk Order"/>
    <m/>
    <s v="Bulk Order"/>
    <s v="New"/>
    <s v="Family Group"/>
    <s v="kumar"/>
    <m/>
    <s v="Has a Bulk order on 14th may for 25 pax"/>
    <s v="Cancelled"/>
    <m/>
    <m/>
    <n v="160"/>
    <s v=""/>
    <s v="Cold"/>
    <n v="20000"/>
    <m/>
    <m/>
    <m/>
    <x v="5"/>
    <m/>
    <m/>
    <m/>
    <x v="1"/>
    <m/>
    <s v=""/>
    <m/>
  </r>
  <r>
    <d v="2026-05-13T00:00:00"/>
    <s v="Manohar"/>
    <s v="Bangalore"/>
    <x v="131"/>
    <s v="Call"/>
    <s v="Bulk Order"/>
    <m/>
    <s v="Bulk Order"/>
    <s v="New"/>
    <s v="Healthcare"/>
    <s v="pallavi"/>
    <m/>
    <s v="in future she will give bulk meal box order"/>
    <s v="Introduction( C0 )"/>
    <m/>
    <m/>
    <n v="159"/>
    <s v=""/>
    <s v="Cold"/>
    <m/>
    <m/>
    <m/>
    <m/>
    <x v="5"/>
    <m/>
    <m/>
    <m/>
    <x v="1"/>
    <m/>
    <s v=""/>
    <m/>
  </r>
  <r>
    <d v="2026-05-13T00:00:00"/>
    <s v="Manohar"/>
    <s v="Bangalore"/>
    <x v="132"/>
    <s v="Call"/>
    <s v="Corporate"/>
    <m/>
    <s v="ODC"/>
    <s v="New"/>
    <s v="It"/>
    <s v="manjunath"/>
    <m/>
    <s v="if any reqvirments is there means theay will reach out"/>
    <s v="Introduction( C0 )"/>
    <m/>
    <m/>
    <n v="159"/>
    <s v=""/>
    <s v="Cold"/>
    <m/>
    <m/>
    <m/>
    <m/>
    <x v="5"/>
    <m/>
    <m/>
    <m/>
    <x v="1"/>
    <m/>
    <s v=""/>
    <m/>
  </r>
  <r>
    <d v="2026-05-13T00:00:00"/>
    <s v="Manohar"/>
    <s v="Bangalore"/>
    <x v="133"/>
    <s v="Call"/>
    <s v="Corporate"/>
    <m/>
    <s v="Bulk Order"/>
    <s v="New"/>
    <s v="It"/>
    <s v="Mahammad Rasheed"/>
    <m/>
    <s v="conversation going on call about coming events"/>
    <s v="Introduction( C0 )"/>
    <m/>
    <m/>
    <n v="159"/>
    <s v=""/>
    <s v="Cold"/>
    <m/>
    <m/>
    <m/>
    <m/>
    <x v="5"/>
    <m/>
    <m/>
    <m/>
    <x v="1"/>
    <m/>
    <s v=""/>
    <m/>
  </r>
  <r>
    <d v="2026-05-13T00:00:00"/>
    <s v="Bashab"/>
    <s v="Bangalore"/>
    <x v="37"/>
    <s v="Call"/>
    <s v="Aggregator"/>
    <s v="SmartQ"/>
    <s v="Pop Up Counter"/>
    <s v="Repeat"/>
    <s v="It"/>
    <s v="Harish"/>
    <m/>
    <s v="Pop-up counter business closed"/>
    <s v="Closed(C4)"/>
    <m/>
    <m/>
    <s v=""/>
    <s v=""/>
    <s v="Hot"/>
    <n v="15000"/>
    <n v="14575"/>
    <d v="2026-05-13T00:00:00"/>
    <m/>
    <x v="12"/>
    <s v="Received at HO"/>
    <m/>
    <m/>
    <x v="1"/>
    <m/>
    <s v=""/>
    <m/>
  </r>
  <r>
    <d v="2026-05-13T00:00:00"/>
    <s v="Sameer"/>
    <s v="Bangalore"/>
    <x v="3"/>
    <s v="Call"/>
    <s v="Aggregator"/>
    <s v="Compass"/>
    <s v="Bulk Order"/>
    <s v="Repeat"/>
    <s v="F&amp;B Agrigator"/>
    <s v="Saad"/>
    <m/>
    <s v="Delivery in May Month from HSR"/>
    <s v="Closed(C4)"/>
    <m/>
    <m/>
    <s v=""/>
    <s v=""/>
    <s v="Hot"/>
    <n v="22687"/>
    <n v="22687"/>
    <d v="2026-05-13T00:00:00"/>
    <s v="00HSA06000003006"/>
    <x v="3"/>
    <s v="Received at HO"/>
    <m/>
    <m/>
    <x v="1"/>
    <m/>
    <m/>
    <m/>
  </r>
  <r>
    <d v="2026-05-13T00:00:00"/>
    <s v="Bashab"/>
    <s v="Bangalore"/>
    <x v="16"/>
    <s v="Call"/>
    <s v="Corporate"/>
    <m/>
    <s v="Bulk Order"/>
    <s v="Repeat"/>
    <s v="Retail"/>
    <s v="Mohammed"/>
    <m/>
    <s v="Business Closed"/>
    <s v="Closed(C4)"/>
    <m/>
    <m/>
    <s v=""/>
    <s v=""/>
    <s v="Hot"/>
    <n v="22687"/>
    <n v="22687"/>
    <d v="2026-05-13T00:00:00"/>
    <s v="00HSA06000003006"/>
    <x v="3"/>
    <s v="Received at HO"/>
    <m/>
    <m/>
    <x v="1"/>
    <m/>
    <m/>
    <m/>
  </r>
  <r>
    <d v="2026-05-13T00:00:00"/>
    <s v="Bashab"/>
    <s v="Bangalore"/>
    <x v="41"/>
    <s v="Call"/>
    <s v="Aggregator"/>
    <s v="SmartQ"/>
    <s v="Pop Up Counter"/>
    <s v="Repeat"/>
    <s v="It"/>
    <s v="Harish"/>
    <m/>
    <s v="Pop-up counter business closed"/>
    <s v="Closed(C4)"/>
    <m/>
    <m/>
    <s v=""/>
    <s v=""/>
    <s v="Hot"/>
    <n v="16000"/>
    <n v="15590"/>
    <d v="2026-05-13T00:00:00"/>
    <m/>
    <x v="12"/>
    <s v="Received at HO"/>
    <m/>
    <m/>
    <x v="1"/>
    <m/>
    <s v=""/>
    <m/>
  </r>
  <r>
    <d v="2026-05-13T00:00:00"/>
    <s v="Bashab"/>
    <s v="Bangalore"/>
    <x v="31"/>
    <s v="F2F"/>
    <s v="Corporate"/>
    <m/>
    <s v="Popup Counter"/>
    <s v="Repeat"/>
    <s v="Retail"/>
    <s v="Mueenudheen"/>
    <m/>
    <s v="Pop-up counter business closed"/>
    <s v="Closed(C4)"/>
    <m/>
    <m/>
    <s v=""/>
    <s v=""/>
    <s v="Hot"/>
    <n v="12000"/>
    <n v="10320"/>
    <d v="2026-05-13T00:00:00"/>
    <m/>
    <x v="7"/>
    <s v="Received at Store"/>
    <m/>
    <m/>
    <x v="1"/>
    <m/>
    <s v=""/>
    <m/>
  </r>
  <r>
    <d v="2026-05-13T00:00:00"/>
    <s v="Pradeep"/>
    <s v="Hyderabad"/>
    <x v="134"/>
    <s v="F2F"/>
    <s v="Bulk Order"/>
    <m/>
    <s v="Bulk Order"/>
    <s v="New"/>
    <s v="Family Group"/>
    <s v="Sujith"/>
    <m/>
    <s v="Bulk order   Business closed"/>
    <s v="Closed(C4)"/>
    <m/>
    <m/>
    <s v=""/>
    <s v=""/>
    <s v="Hot"/>
    <n v="25000"/>
    <n v="9223"/>
    <d v="2026-05-12T00:00:00"/>
    <s v="OOSGA13000014989"/>
    <x v="14"/>
    <s v="Received at Store"/>
    <m/>
    <d v="2026-05-12T00:00:00"/>
    <x v="1"/>
    <m/>
    <s v=""/>
    <m/>
  </r>
  <r>
    <d v="2026-05-13T00:00:00"/>
    <s v="Pradeep"/>
    <s v="Hyderabad"/>
    <x v="135"/>
    <s v="Call"/>
    <s v="Bulk Order"/>
    <m/>
    <s v="Bulk Order"/>
    <s v="New"/>
    <s v="Healthcare"/>
    <s v="Nisita"/>
    <m/>
    <s v="Proposed for Bulk order and Biryani Kits for Gifting, intially planning for 25 pax for bulk booking"/>
    <s v="Cancelled"/>
    <m/>
    <m/>
    <n v="159"/>
    <s v=""/>
    <s v="Hot"/>
    <n v="50000"/>
    <m/>
    <m/>
    <m/>
    <x v="5"/>
    <m/>
    <m/>
    <m/>
    <x v="1"/>
    <m/>
    <s v=""/>
    <m/>
  </r>
  <r>
    <d v="2026-05-13T00:00:00"/>
    <s v="Pradeep"/>
    <s v="Hyderabad"/>
    <x v="136"/>
    <s v="F2F"/>
    <s v="Bulk Order"/>
    <m/>
    <s v="Bulk Order"/>
    <s v="New"/>
    <s v="Healthcare"/>
    <s v="Sujil"/>
    <m/>
    <s v="Bulk order for 25 pax"/>
    <s v="Cancelled"/>
    <m/>
    <m/>
    <n v="159"/>
    <s v=""/>
    <s v="Hot"/>
    <n v="30000"/>
    <m/>
    <m/>
    <m/>
    <x v="5"/>
    <m/>
    <m/>
    <m/>
    <x v="1"/>
    <m/>
    <s v=""/>
    <m/>
  </r>
  <r>
    <d v="2026-05-13T00:00:00"/>
    <s v="Sameer"/>
    <s v="Hyderabad"/>
    <x v="137"/>
    <s v="Call"/>
    <s v="Bulk Order"/>
    <m/>
    <s v="Bulk Order"/>
    <s v="New"/>
    <s v="Family Group"/>
    <s v="Munesh Kumar"/>
    <m/>
    <s v="Has a Bulk order requirement"/>
    <s v="Cancelled"/>
    <m/>
    <m/>
    <n v="159"/>
    <s v=""/>
    <s v="Warm"/>
    <n v="0"/>
    <n v="0"/>
    <m/>
    <m/>
    <x v="5"/>
    <m/>
    <m/>
    <m/>
    <x v="1"/>
    <m/>
    <s v=""/>
    <m/>
  </r>
  <r>
    <d v="2026-05-13T00:00:00"/>
    <s v="Sameer"/>
    <s v="Hyderabad"/>
    <x v="138"/>
    <s v="Call"/>
    <s v="Bulk Order"/>
    <m/>
    <s v="Bulk Order"/>
    <s v="New"/>
    <s v="Education"/>
    <s v="Abnik"/>
    <m/>
    <s v="Proposed for Bulk order and Biryani Kits for Gifting"/>
    <s v="Confirmed( C3 )"/>
    <d v="2026-10-01T00:00:00"/>
    <m/>
    <n v="159"/>
    <s v="Yes"/>
    <s v="Hot"/>
    <n v="0"/>
    <n v="0"/>
    <m/>
    <m/>
    <x v="5"/>
    <m/>
    <m/>
    <m/>
    <x v="1"/>
    <m/>
    <s v=""/>
    <m/>
  </r>
  <r>
    <d v="2026-05-13T00:00:00"/>
    <s v="Sameer"/>
    <s v="Hyderabad"/>
    <x v="91"/>
    <s v="Call"/>
    <s v="Bulk Order"/>
    <m/>
    <s v="Bulk Order"/>
    <s v="New"/>
    <s v="It"/>
    <s v="Ashutosh"/>
    <m/>
    <s v="Has a Bulk order requirement "/>
    <s v="Cancelled"/>
    <m/>
    <m/>
    <n v="159"/>
    <s v=""/>
    <s v="Warm"/>
    <n v="0"/>
    <n v="0"/>
    <m/>
    <m/>
    <x v="5"/>
    <m/>
    <m/>
    <m/>
    <x v="1"/>
    <m/>
    <s v=""/>
    <m/>
  </r>
  <r>
    <d v="2026-05-14T00:00:00"/>
    <s v="Sameer"/>
    <s v="Hyderabad"/>
    <x v="20"/>
    <s v="Call"/>
    <s v="Aggregator"/>
    <s v="SmartQ"/>
    <s v="Bulk Order"/>
    <s v="Repeat"/>
    <s v="It"/>
    <s v="Sekhar"/>
    <m/>
    <s v="Popup counter on 13-05-2026 "/>
    <s v="Closed(C4)"/>
    <m/>
    <m/>
    <s v=""/>
    <s v=""/>
    <s v="Hot"/>
    <n v="30000"/>
    <n v="64420"/>
    <d v="2026-05-13T00:00:00"/>
    <s v="00GCBTA000289313"/>
    <x v="2"/>
    <s v="Received at HO"/>
    <m/>
    <m/>
    <x v="1"/>
    <m/>
    <s v=""/>
    <m/>
  </r>
  <r>
    <d v="2026-05-14T00:00:00"/>
    <s v="Manohar"/>
    <s v="Bangalore"/>
    <x v="139"/>
    <s v="Call"/>
    <s v="Corporate"/>
    <m/>
    <s v="Bulk Order"/>
    <s v="New"/>
    <s v="It"/>
    <s v="Mohamad ashif"/>
    <m/>
    <s v="introduction stage"/>
    <s v="Introduction( C0 )"/>
    <m/>
    <m/>
    <n v="158"/>
    <s v=""/>
    <s v="Cold"/>
    <m/>
    <m/>
    <m/>
    <m/>
    <x v="5"/>
    <m/>
    <m/>
    <m/>
    <x v="1"/>
    <m/>
    <s v=""/>
    <m/>
  </r>
  <r>
    <d v="2026-05-14T00:00:00"/>
    <s v="Manohar"/>
    <s v="Bangalore"/>
    <x v="140"/>
    <s v="Call"/>
    <s v="Corporate"/>
    <m/>
    <s v="Bulk Order"/>
    <s v="New"/>
    <s v="It"/>
    <s v="Kavitha"/>
    <m/>
    <s v="introduction satge"/>
    <s v="Introduction( C0 )"/>
    <m/>
    <m/>
    <n v="158"/>
    <s v=""/>
    <s v="Cold"/>
    <m/>
    <m/>
    <m/>
    <m/>
    <x v="5"/>
    <m/>
    <m/>
    <m/>
    <x v="1"/>
    <m/>
    <s v=""/>
    <m/>
  </r>
  <r>
    <d v="2026-05-14T00:00:00"/>
    <s v="Manohar"/>
    <s v="Bangalore"/>
    <x v="98"/>
    <s v="F2F"/>
    <s v="Corporate"/>
    <m/>
    <s v="Bulk Order"/>
    <s v="New"/>
    <s v="It"/>
    <s v="Rohit"/>
    <m/>
    <s v="every week theay have team lunch "/>
    <s v="Negotitaion( C2 )"/>
    <m/>
    <m/>
    <n v="158"/>
    <s v=""/>
    <s v="Warm"/>
    <m/>
    <m/>
    <m/>
    <m/>
    <x v="5"/>
    <m/>
    <m/>
    <m/>
    <x v="1"/>
    <m/>
    <s v=""/>
    <m/>
  </r>
  <r>
    <d v="2026-05-14T00:00:00"/>
    <s v="Pradeep"/>
    <s v="Hyderabad"/>
    <x v="141"/>
    <s v="F2F"/>
    <s v="Bulk Order"/>
    <m/>
    <s v="Bulk Order"/>
    <s v="New"/>
    <s v="Family Group"/>
    <s v="Shashidar Reddy"/>
    <m/>
    <s v="Has a bulk order Requirement"/>
    <s v="Closed(C4)"/>
    <m/>
    <m/>
    <s v=""/>
    <s v=""/>
    <s v="Hot"/>
    <n v="10000"/>
    <m/>
    <m/>
    <m/>
    <x v="5"/>
    <m/>
    <m/>
    <m/>
    <x v="1"/>
    <m/>
    <s v=""/>
    <m/>
  </r>
  <r>
    <d v="2026-05-14T00:00:00"/>
    <s v="Pradeep"/>
    <s v="Hyderabad"/>
    <x v="142"/>
    <s v="F2F"/>
    <s v="Bulk Order"/>
    <m/>
    <s v="Bulk Order"/>
    <s v="New"/>
    <s v="Hotel"/>
    <s v="Veera"/>
    <m/>
    <s v="Has a Bulk order Requirement "/>
    <s v="Cancelled"/>
    <m/>
    <m/>
    <n v="158"/>
    <s v=""/>
    <s v="Warm"/>
    <n v="10000"/>
    <m/>
    <m/>
    <m/>
    <x v="5"/>
    <m/>
    <m/>
    <m/>
    <x v="1"/>
    <m/>
    <s v=""/>
    <m/>
  </r>
  <r>
    <d v="2026-05-14T00:00:00"/>
    <s v="Sameer"/>
    <s v="Hyderabad"/>
    <x v="20"/>
    <s v="Call"/>
    <s v="Aggregator"/>
    <s v="SmartQ"/>
    <s v="Pop Up Counter"/>
    <s v="Repeat"/>
    <s v="It"/>
    <s v="Sekhar"/>
    <m/>
    <s v="Bulk Order Business Closed"/>
    <s v="Closed(C4)"/>
    <m/>
    <m/>
    <s v=""/>
    <s v=""/>
    <s v="Hot"/>
    <n v="30000"/>
    <n v="42970"/>
    <m/>
    <s v="00GCBTA000289271"/>
    <x v="2"/>
    <s v="Received at HO"/>
    <m/>
    <d v="2026-05-14T00:00:00"/>
    <x v="1"/>
    <m/>
    <s v=""/>
    <m/>
  </r>
  <r>
    <d v="2026-05-14T00:00:00"/>
    <s v="Sameer"/>
    <s v="Hyderabad"/>
    <x v="46"/>
    <s v="Call"/>
    <s v="Aggregator"/>
    <s v="Hunger Box"/>
    <s v="Pop Up Counter"/>
    <s v="Repeat"/>
    <s v="It"/>
    <s v="Pavan"/>
    <m/>
    <s v="Bulk Order Business Closed"/>
    <s v="Closed(C4)"/>
    <m/>
    <m/>
    <s v=""/>
    <s v=""/>
    <s v="Hot"/>
    <n v="25000"/>
    <n v="31440"/>
    <d v="2026-05-14T00:00:00"/>
    <m/>
    <x v="1"/>
    <s v="Received at HO"/>
    <m/>
    <m/>
    <x v="1"/>
    <m/>
    <s v=""/>
    <m/>
  </r>
  <r>
    <d v="2026-05-14T00:00:00"/>
    <s v="Sameer"/>
    <s v="Hyderabad"/>
    <x v="143"/>
    <s v="Call"/>
    <s v="Bulk Order"/>
    <m/>
    <s v="Pop Up Counter"/>
    <s v="Repeat"/>
    <s v="Healthcare"/>
    <s v="Srikanth"/>
    <m/>
    <s v="Pop up  event on 14th &amp; 15th May"/>
    <s v="Closed(C4)"/>
    <m/>
    <m/>
    <s v=""/>
    <s v=""/>
    <s v="Hot"/>
    <n v="50000"/>
    <n v="0"/>
    <m/>
    <m/>
    <x v="5"/>
    <m/>
    <m/>
    <m/>
    <x v="1"/>
    <m/>
    <s v=""/>
    <m/>
  </r>
  <r>
    <d v="2026-05-14T00:00:00"/>
    <s v="Sameer"/>
    <s v="Hyderabad"/>
    <x v="144"/>
    <s v="Call"/>
    <s v="Bulk Order"/>
    <m/>
    <s v="Bulk Order"/>
    <s v="Repeat"/>
    <s v="Transport"/>
    <s v="Sai Kiran"/>
    <m/>
    <s v="Had a meeting on price negotitaion"/>
    <s v="Cancelled"/>
    <m/>
    <m/>
    <n v="158"/>
    <s v=""/>
    <s v="Hot"/>
    <n v="0"/>
    <n v="0"/>
    <m/>
    <m/>
    <x v="5"/>
    <m/>
    <m/>
    <m/>
    <x v="1"/>
    <m/>
    <s v=""/>
    <m/>
  </r>
  <r>
    <d v="2026-05-14T00:00:00"/>
    <s v="Bashab"/>
    <s v="Bangalore"/>
    <x v="73"/>
    <s v="F2F"/>
    <s v="Aggregator"/>
    <s v="Meals &amp; More"/>
    <s v="ODC"/>
    <s v="New"/>
    <s v="Events"/>
    <s v="Rawath"/>
    <m/>
    <s v="Bulk Order Business Closed"/>
    <s v="Closed(C4)"/>
    <m/>
    <m/>
    <s v=""/>
    <s v=""/>
    <s v="Hot"/>
    <n v="55000"/>
    <n v="55750"/>
    <d v="2026-05-14T00:00:00"/>
    <m/>
    <x v="8"/>
    <s v="Received at HO"/>
    <m/>
    <m/>
    <x v="1"/>
    <m/>
    <s v=""/>
    <m/>
  </r>
  <r>
    <d v="2026-05-14T00:00:00"/>
    <s v="Bashab"/>
    <s v="Bangalore"/>
    <x v="122"/>
    <s v="Call"/>
    <s v="Aggregator"/>
    <s v="SmartQ"/>
    <s v="Pop Up Counter"/>
    <s v="New"/>
    <s v="It"/>
    <s v="Naveen"/>
    <m/>
    <s v="Pop-up counter done"/>
    <s v="Closed(C4)"/>
    <m/>
    <m/>
    <s v=""/>
    <s v=""/>
    <s v="Hot"/>
    <n v="8500"/>
    <n v="8230"/>
    <d v="2026-05-14T00:00:00"/>
    <s v="00MRA08000005192"/>
    <x v="11"/>
    <s v="Received at HO"/>
    <m/>
    <m/>
    <x v="1"/>
    <m/>
    <s v=""/>
    <m/>
  </r>
  <r>
    <d v="2026-05-14T00:00:00"/>
    <s v="Bashab"/>
    <s v="Bangalore"/>
    <x v="145"/>
    <s v="F2F"/>
    <s v="Aggregator"/>
    <s v="SmartQ"/>
    <s v="Bulk Order"/>
    <s v="New"/>
    <s v="It"/>
    <s v="Harish"/>
    <m/>
    <s v="Confirmed bulk order"/>
    <s v="Confirmed( C3 )"/>
    <m/>
    <m/>
    <m/>
    <s v=""/>
    <s v="Hot"/>
    <m/>
    <m/>
    <m/>
    <m/>
    <x v="5"/>
    <m/>
    <m/>
    <m/>
    <x v="1"/>
    <m/>
    <s v=""/>
    <m/>
  </r>
  <r>
    <d v="2026-05-14T00:00:00"/>
    <s v="Bashab"/>
    <s v="Bangalore"/>
    <x v="146"/>
    <s v="F2F"/>
    <s v="Corporate"/>
    <m/>
    <s v="Bulk Order"/>
    <s v="New"/>
    <s v="It"/>
    <s v="Naveen"/>
    <m/>
    <s v="Proposed for bulk orders"/>
    <s v="Introduction( C0 )"/>
    <m/>
    <m/>
    <n v="158"/>
    <s v=""/>
    <s v="Warm"/>
    <m/>
    <m/>
    <m/>
    <m/>
    <x v="5"/>
    <m/>
    <m/>
    <m/>
    <x v="1"/>
    <m/>
    <s v=""/>
    <m/>
  </r>
  <r>
    <d v="2026-05-14T00:00:00"/>
    <s v="Pradeep"/>
    <s v="Hyderabad"/>
    <x v="147"/>
    <s v="F2F"/>
    <s v="Corporate"/>
    <m/>
    <s v="Bulk Order"/>
    <s v="New"/>
    <s v="Healthcare"/>
    <s v="Rama"/>
    <m/>
    <s v="Proposed for Bulk order and Biryani Kits for Gifting"/>
    <s v="Cancelled"/>
    <d v="2026-08-25T00:00:00"/>
    <s v="Call"/>
    <n v="158"/>
    <s v=""/>
    <s v="Warm"/>
    <n v="20000"/>
    <m/>
    <m/>
    <m/>
    <x v="5"/>
    <m/>
    <m/>
    <m/>
    <x v="1"/>
    <m/>
    <s v=""/>
    <m/>
  </r>
  <r>
    <d v="2026-05-14T00:00:00"/>
    <s v="Pradeep"/>
    <s v="Hyderabad"/>
    <x v="130"/>
    <s v="Call"/>
    <s v="Bulk Order"/>
    <m/>
    <s v="Bulk Order"/>
    <s v="New"/>
    <s v="Family Group"/>
    <s v="kumar"/>
    <m/>
    <s v="Bulk order closed"/>
    <s v="Closed(C4)"/>
    <m/>
    <m/>
    <s v=""/>
    <s v=""/>
    <s v="Hot"/>
    <n v="10000"/>
    <n v="5348"/>
    <d v="2026-05-14T00:00:00"/>
    <s v="OORJC01000055090"/>
    <x v="23"/>
    <s v="Received at Store"/>
    <m/>
    <d v="2026-05-14T00:00:00"/>
    <x v="1"/>
    <m/>
    <s v=""/>
    <s v="Dine-in"/>
  </r>
  <r>
    <d v="2026-05-15T00:00:00"/>
    <s v="Bashab"/>
    <s v="Bangalore"/>
    <x v="73"/>
    <s v="F2F"/>
    <s v="Aggregator"/>
    <s v="Meals &amp; More"/>
    <s v="ODC"/>
    <s v="New"/>
    <s v="Events"/>
    <s v="Rawath"/>
    <m/>
    <s v="Bulk Order Business Closed"/>
    <s v="Closed(C4)"/>
    <m/>
    <m/>
    <s v=""/>
    <s v=""/>
    <s v="Hot"/>
    <n v="90000"/>
    <n v="91600"/>
    <d v="2026-05-15T00:00:00"/>
    <m/>
    <x v="8"/>
    <s v="Received at HO"/>
    <m/>
    <m/>
    <x v="1"/>
    <m/>
    <s v=""/>
    <m/>
  </r>
  <r>
    <d v="2026-05-15T00:00:00"/>
    <s v="Pradeep"/>
    <s v="Hyderabad"/>
    <x v="148"/>
    <s v="F2F"/>
    <s v="Bulk Order"/>
    <m/>
    <s v="Bulk Order"/>
    <s v="New"/>
    <s v="Government"/>
    <s v="Shahider Reddy"/>
    <m/>
    <s v="Bulk order Business Closed"/>
    <s v="Closed(C4)"/>
    <m/>
    <m/>
    <s v=""/>
    <s v=""/>
    <s v="Hot"/>
    <n v="50000"/>
    <n v="14100"/>
    <d v="2026-05-15T00:00:00"/>
    <s v="OOSTA01000053126"/>
    <x v="14"/>
    <s v="Received at Store"/>
    <m/>
    <d v="2026-05-15T00:00:00"/>
    <x v="1"/>
    <m/>
    <s v=""/>
    <s v="Takeaway-Bulk-Insti"/>
  </r>
  <r>
    <d v="2026-05-15T00:00:00"/>
    <s v="Pradeep"/>
    <s v="Hyderabad"/>
    <x v="149"/>
    <s v="F2F"/>
    <s v="Corporate"/>
    <m/>
    <s v="Bulk Order"/>
    <s v="New"/>
    <s v="Manufacturing"/>
    <s v="Abishek"/>
    <m/>
    <s v="Proposed for Bulk order and Biryani Kits for Gifting"/>
    <s v="Cancelled"/>
    <m/>
    <s v="Call"/>
    <n v="157"/>
    <s v=""/>
    <s v="Cold"/>
    <n v="20000"/>
    <m/>
    <m/>
    <m/>
    <x v="5"/>
    <m/>
    <m/>
    <m/>
    <x v="1"/>
    <m/>
    <s v=""/>
    <m/>
  </r>
  <r>
    <d v="2026-05-15T00:00:00"/>
    <s v="Pradeep"/>
    <s v="Hyderabad"/>
    <x v="150"/>
    <s v="F2F"/>
    <s v="Corporate"/>
    <m/>
    <s v="Bulk Order"/>
    <s v="New"/>
    <s v="It"/>
    <s v="Abhilash"/>
    <m/>
    <s v="Proposed for Bulk order and Biryani Kits for Gifting"/>
    <s v="Cancelled"/>
    <m/>
    <s v="Call"/>
    <n v="157"/>
    <s v=""/>
    <s v="Cold"/>
    <n v="30000"/>
    <m/>
    <m/>
    <m/>
    <x v="5"/>
    <m/>
    <m/>
    <m/>
    <x v="1"/>
    <m/>
    <s v=""/>
    <m/>
  </r>
  <r>
    <d v="2026-05-15T00:00:00"/>
    <s v="Pradeep"/>
    <s v="Hyderabad"/>
    <x v="151"/>
    <s v="F2F"/>
    <s v="Corporate"/>
    <m/>
    <s v="Bulk Order"/>
    <s v="New"/>
    <s v="Education"/>
    <s v="Amarnath"/>
    <m/>
    <s v="Proposed for Bulk order and Biryani Kits for Gifting"/>
    <s v="Cancelled"/>
    <m/>
    <m/>
    <n v="157"/>
    <s v=""/>
    <s v="Cold"/>
    <n v="20000"/>
    <m/>
    <m/>
    <m/>
    <x v="5"/>
    <m/>
    <m/>
    <m/>
    <x v="1"/>
    <m/>
    <s v=""/>
    <m/>
  </r>
  <r>
    <d v="2026-05-15T00:00:00"/>
    <s v="Sameer"/>
    <s v="Hyderabad"/>
    <x v="20"/>
    <s v="Call"/>
    <s v="Aggregator"/>
    <s v="SmartQ"/>
    <s v="Pop Up Counter"/>
    <s v="Repeat"/>
    <s v="It"/>
    <s v="Sekhar"/>
    <m/>
    <s v="Bulk Order Business Closed"/>
    <s v="Closed(C4)"/>
    <m/>
    <m/>
    <s v=""/>
    <s v=""/>
    <s v="Hot"/>
    <n v="30000"/>
    <n v="72790"/>
    <d v="2026-05-15T00:00:00"/>
    <m/>
    <x v="2"/>
    <s v="Received at HO"/>
    <m/>
    <m/>
    <x v="1"/>
    <m/>
    <s v=""/>
    <m/>
  </r>
  <r>
    <d v="2026-05-15T00:00:00"/>
    <s v="Sameer"/>
    <s v="Hyderabad"/>
    <x v="46"/>
    <s v="Call"/>
    <s v="Aggregator"/>
    <s v="Hunger Box"/>
    <s v="Pop Up Counter"/>
    <s v="Repeat"/>
    <s v="It"/>
    <s v="Pavan"/>
    <m/>
    <s v="Bulk Order Business Closed"/>
    <s v="Closed(C4)"/>
    <m/>
    <m/>
    <s v=""/>
    <s v=""/>
    <s v="Hot"/>
    <n v="25000"/>
    <n v="95214"/>
    <d v="2026-05-15T00:00:00"/>
    <m/>
    <x v="1"/>
    <s v="Received at HO"/>
    <m/>
    <m/>
    <x v="1"/>
    <m/>
    <s v=""/>
    <m/>
  </r>
  <r>
    <d v="2026-05-15T00:00:00"/>
    <s v="Sameer"/>
    <s v="Hyderabad"/>
    <x v="143"/>
    <s v="Call"/>
    <s v="Bulk Order"/>
    <s v="Compass"/>
    <s v="Pop Up Counter"/>
    <s v="New"/>
    <s v="Healthcare"/>
    <s v="Srikanth"/>
    <m/>
    <s v="Pop up  event on 14th &amp; 15th May"/>
    <s v="Closed(C4)"/>
    <m/>
    <m/>
    <s v=""/>
    <s v=""/>
    <s v="Hot"/>
    <n v="50000"/>
    <n v="62879"/>
    <d v="2026-05-15T00:00:00"/>
    <s v="00IMA020000_x000a__x000a_"/>
    <x v="24"/>
    <s v="Received at Store"/>
    <m/>
    <d v="2026-05-15T00:00:00"/>
    <x v="1"/>
    <m/>
    <s v=""/>
    <m/>
  </r>
  <r>
    <d v="2026-05-16T00:00:00"/>
    <s v="Bashab"/>
    <s v="Bangalore"/>
    <x v="73"/>
    <s v="F2F"/>
    <s v="Aggregator"/>
    <s v="Meals &amp; More"/>
    <s v="ODC"/>
    <s v="New"/>
    <s v="Events"/>
    <s v="Rawath"/>
    <m/>
    <s v="Bulk Order Business Closed"/>
    <s v="Closed(C4)"/>
    <m/>
    <m/>
    <s v=""/>
    <s v=""/>
    <s v="Hot"/>
    <n v="85000"/>
    <n v="83900"/>
    <d v="2026-05-16T00:00:00"/>
    <m/>
    <x v="8"/>
    <s v="Received at HO"/>
    <m/>
    <m/>
    <x v="1"/>
    <m/>
    <s v=""/>
    <m/>
  </r>
  <r>
    <d v="2026-05-16T00:00:00"/>
    <s v="Pradeep"/>
    <s v="Hyderabad"/>
    <x v="148"/>
    <s v="Call"/>
    <s v="Bulk Order"/>
    <m/>
    <s v="Bulk Order"/>
    <s v="New"/>
    <s v="Government"/>
    <s v="Shashidar"/>
    <m/>
    <s v="Client took 60 biryani &amp; water bottles separately this is for waterbottles ."/>
    <s v="Closed(C4)"/>
    <m/>
    <m/>
    <m/>
    <m/>
    <s v="Hot"/>
    <m/>
    <n v="960"/>
    <d v="2026-05-16T00:00:00"/>
    <s v="OOMHA11000342763"/>
    <x v="14"/>
    <s v="Received at Store"/>
    <m/>
    <d v="2026-05-16T00:00:00"/>
    <x v="1"/>
    <m/>
    <m/>
    <s v="Takeaway-Bulk-Insti"/>
  </r>
  <r>
    <d v="2026-05-16T00:00:00"/>
    <s v="Bashab"/>
    <s v="Bangalore"/>
    <x v="145"/>
    <s v="F2F"/>
    <s v="Aggregator"/>
    <s v="SmartQ"/>
    <s v="Bulk Order"/>
    <s v="New"/>
    <s v="It"/>
    <s v="Harish"/>
    <m/>
    <s v="Confirmed bulk order"/>
    <s v="Closed(C4)"/>
    <m/>
    <m/>
    <s v=""/>
    <s v=""/>
    <s v="Hot"/>
    <n v="30000"/>
    <n v="30200"/>
    <d v="2026-05-16T00:00:00"/>
    <s v="OOPMTA01000C03266"/>
    <x v="21"/>
    <s v="Received at HO"/>
    <m/>
    <m/>
    <x v="1"/>
    <m/>
    <s v=""/>
    <m/>
  </r>
  <r>
    <d v="2026-05-16T00:00:00"/>
    <s v="Pradeep"/>
    <s v="Hyderabad"/>
    <x v="76"/>
    <s v="Call"/>
    <s v="Corporate"/>
    <m/>
    <s v="Bulk Order"/>
    <s v="New"/>
    <s v="Family Group"/>
    <s v="Fatima"/>
    <m/>
    <s v="Completed Bulk order"/>
    <s v="Closed(C4)"/>
    <m/>
    <m/>
    <m/>
    <m/>
    <s v="Hot"/>
    <n v="10000"/>
    <n v="2880"/>
    <d v="2026-05-16T00:00:00"/>
    <m/>
    <x v="25"/>
    <s v="Received at Store"/>
    <m/>
    <d v="2026-05-16T00:00:00"/>
    <x v="1"/>
    <m/>
    <m/>
    <s v="Takeaway-Bulk-Insti"/>
  </r>
  <r>
    <d v="2026-05-17T00:00:00"/>
    <s v="Bashab"/>
    <s v="Bangalore"/>
    <x v="73"/>
    <s v="F2F"/>
    <s v="Aggregator"/>
    <s v="Meals &amp; More"/>
    <s v="ODC"/>
    <s v="New"/>
    <s v="Events"/>
    <s v="Rawath"/>
    <m/>
    <s v="Bulk Order Business Closed"/>
    <s v="Closed(C4)"/>
    <m/>
    <m/>
    <s v=""/>
    <s v=""/>
    <s v="Hot"/>
    <n v="50000"/>
    <n v="51250"/>
    <d v="2026-05-17T00:00:00"/>
    <m/>
    <x v="8"/>
    <s v="Received at HO"/>
    <m/>
    <m/>
    <x v="1"/>
    <m/>
    <s v=""/>
    <m/>
  </r>
  <r>
    <d v="2026-05-18T00:00:00"/>
    <s v="Pradeep"/>
    <s v="Hyderabad"/>
    <x v="152"/>
    <s v="F2F"/>
    <s v="Corporate"/>
    <m/>
    <s v="Bulk Order"/>
    <s v="New"/>
    <s v="Manufacturing"/>
    <s v="Suryanaryana"/>
    <m/>
    <s v="Proposed for Bulk order and Biryani Kits for Gifting"/>
    <s v="Cancelled"/>
    <m/>
    <m/>
    <m/>
    <s v=""/>
    <s v="Cold"/>
    <n v="25000"/>
    <m/>
    <m/>
    <m/>
    <x v="5"/>
    <m/>
    <m/>
    <m/>
    <x v="1"/>
    <m/>
    <s v=""/>
    <m/>
  </r>
  <r>
    <d v="2026-05-18T00:00:00"/>
    <s v="Pradeep"/>
    <s v="Hyderabad"/>
    <x v="153"/>
    <s v="F2F"/>
    <s v="Corporate"/>
    <m/>
    <s v="Bulk Order"/>
    <s v="New"/>
    <s v="Healthcare"/>
    <s v="Shailesh"/>
    <m/>
    <s v="Proposed for Bulk order and Biryani Kits for Gifting"/>
    <s v="Cancelled"/>
    <m/>
    <s v="F2F"/>
    <n v="154"/>
    <s v=""/>
    <s v="Warm"/>
    <n v="40000"/>
    <m/>
    <m/>
    <m/>
    <x v="5"/>
    <m/>
    <m/>
    <m/>
    <x v="1"/>
    <m/>
    <s v=""/>
    <m/>
  </r>
  <r>
    <d v="2026-05-18T00:00:00"/>
    <s v="Pradeep"/>
    <s v="Hyderabad"/>
    <x v="154"/>
    <s v="F2F"/>
    <s v="Corporate"/>
    <m/>
    <s v="Bulk Order"/>
    <s v="New"/>
    <s v="Healthcare"/>
    <s v="Ravi"/>
    <m/>
    <s v="Proposed for Bulk order and Biryani Kits for Gifting"/>
    <s v="Cancelled"/>
    <m/>
    <m/>
    <n v="154"/>
    <s v=""/>
    <s v="Cold"/>
    <n v="20000"/>
    <m/>
    <m/>
    <m/>
    <x v="5"/>
    <m/>
    <m/>
    <m/>
    <x v="1"/>
    <m/>
    <s v=""/>
    <m/>
  </r>
  <r>
    <d v="2026-05-18T00:00:00"/>
    <s v="Pradeep"/>
    <s v="Hyderabad"/>
    <x v="155"/>
    <s v="F2F"/>
    <s v="Corporate"/>
    <m/>
    <s v="Bulk Order"/>
    <s v="New"/>
    <s v="Healthcare"/>
    <s v="Manasa"/>
    <m/>
    <s v="Proposed for Bulk order and Biryani Kits for Gifting"/>
    <s v="Cancelled"/>
    <m/>
    <m/>
    <n v="154"/>
    <s v=""/>
    <s v="Cold"/>
    <n v="30000"/>
    <m/>
    <m/>
    <m/>
    <x v="5"/>
    <m/>
    <m/>
    <m/>
    <x v="1"/>
    <m/>
    <s v=""/>
    <m/>
  </r>
  <r>
    <d v="2026-05-18T00:00:00"/>
    <s v="Bashab"/>
    <s v="Hyderabad"/>
    <x v="156"/>
    <s v="F2F"/>
    <s v="Aggregator"/>
    <s v="Compass"/>
    <s v="Bulk Order"/>
    <s v="New"/>
    <s v="F&amp;B Aggregator"/>
    <s v="Srinivas"/>
    <m/>
    <s v="Business Closed"/>
    <s v="Confirmed( C3 )"/>
    <m/>
    <m/>
    <m/>
    <s v=""/>
    <s v="Hot"/>
    <m/>
    <m/>
    <m/>
    <m/>
    <x v="5"/>
    <m/>
    <m/>
    <m/>
    <x v="1"/>
    <m/>
    <s v=""/>
    <m/>
  </r>
  <r>
    <d v="2026-05-18T00:00:00"/>
    <s v="Bashab"/>
    <s v="Bangalore"/>
    <x v="98"/>
    <s v="F2F"/>
    <s v="Corporate"/>
    <m/>
    <s v="Bulk Order"/>
    <s v="New"/>
    <s v="Banking Finance &amp; Insurance"/>
    <s v="Rohit"/>
    <m/>
    <s v="Business Closed"/>
    <s v="Follow-up( C1 )"/>
    <d v="2026-09-25T00:00:00"/>
    <s v="F2F"/>
    <m/>
    <m/>
    <s v="Hot"/>
    <m/>
    <m/>
    <m/>
    <m/>
    <x v="5"/>
    <m/>
    <m/>
    <m/>
    <x v="1"/>
    <m/>
    <m/>
    <m/>
  </r>
  <r>
    <d v="2026-05-19T00:00:00"/>
    <s v="Sameer"/>
    <s v="Hyderabad"/>
    <x v="20"/>
    <s v="Call"/>
    <s v="Aggregator"/>
    <s v="SmartQ"/>
    <s v="Pop Up Counter"/>
    <s v="Repeat"/>
    <s v="It"/>
    <s v="Sekhar"/>
    <m/>
    <s v="Popup Counter on 18-5-2026 from Gachibowli"/>
    <s v="Closed(C4)"/>
    <m/>
    <m/>
    <s v=""/>
    <s v=""/>
    <s v="Hot"/>
    <n v="50000"/>
    <n v="40410"/>
    <d v="2026-05-19T00:00:00"/>
    <s v="00GCBTA000289580"/>
    <x v="2"/>
    <s v="Received at HO"/>
    <m/>
    <m/>
    <x v="1"/>
    <m/>
    <s v=""/>
    <m/>
  </r>
  <r>
    <d v="2026-05-19T00:00:00"/>
    <s v="Sameer"/>
    <s v="Hyderabad"/>
    <x v="156"/>
    <s v="F2F"/>
    <s v="Aggregator"/>
    <s v="Compass"/>
    <s v="Bulk Order"/>
    <s v="New"/>
    <s v="F&amp;B Aggregator"/>
    <s v="Sunjay"/>
    <m/>
    <s v="Bulk Order Business Closed"/>
    <s v="Closed(C4)"/>
    <m/>
    <m/>
    <s v=""/>
    <s v=""/>
    <s v="Hot"/>
    <n v="0"/>
    <n v="0"/>
    <m/>
    <m/>
    <x v="5"/>
    <m/>
    <m/>
    <m/>
    <x v="1"/>
    <m/>
    <s v=""/>
    <m/>
  </r>
  <r>
    <d v="2026-05-19T00:00:00"/>
    <s v="Pradeep"/>
    <s v="Hyderabad"/>
    <x v="156"/>
    <s v="F2F"/>
    <s v="Aggregator"/>
    <s v="Compass"/>
    <s v="Bulk Order"/>
    <s v="New"/>
    <s v="F&amp;B Aggregator"/>
    <s v="Sunjay"/>
    <m/>
    <s v="Bulk Order Business Closed"/>
    <s v="Closed(C4)"/>
    <m/>
    <m/>
    <s v=""/>
    <s v=""/>
    <s v="Hot"/>
    <n v="0"/>
    <n v="0"/>
    <m/>
    <m/>
    <x v="5"/>
    <m/>
    <m/>
    <m/>
    <x v="1"/>
    <m/>
    <s v=""/>
    <m/>
  </r>
  <r>
    <d v="2026-05-19T00:00:00"/>
    <s v="Sameer"/>
    <s v="Hyderabad"/>
    <x v="157"/>
    <s v="F2F"/>
    <s v="Aggregator"/>
    <s v="Compass"/>
    <s v="Bulk Order"/>
    <s v="New"/>
    <s v="F&amp;B Aggregator"/>
    <m/>
    <m/>
    <s v="Visited for site Allignment "/>
    <s v="Closed(C4)"/>
    <m/>
    <m/>
    <s v=""/>
    <s v=""/>
    <s v="Hot"/>
    <n v="50000"/>
    <n v="0"/>
    <m/>
    <m/>
    <x v="5"/>
    <m/>
    <m/>
    <m/>
    <x v="1"/>
    <m/>
    <s v=""/>
    <m/>
  </r>
  <r>
    <d v="2026-05-19T00:00:00"/>
    <s v="Pradeep"/>
    <s v="Hyderabad"/>
    <x v="157"/>
    <s v="F2F"/>
    <s v="Aggregator"/>
    <s v="Compass"/>
    <s v="Bulk Order"/>
    <s v="New"/>
    <s v="F&amp;B Aggregator"/>
    <m/>
    <m/>
    <s v="Bulk Order Business Closed"/>
    <s v="Closed(C4)"/>
    <m/>
    <m/>
    <s v=""/>
    <s v=""/>
    <s v="Hot"/>
    <n v="50000"/>
    <n v="0"/>
    <m/>
    <m/>
    <x v="5"/>
    <m/>
    <m/>
    <m/>
    <x v="1"/>
    <m/>
    <s v=""/>
    <m/>
  </r>
  <r>
    <d v="2026-05-19T00:00:00"/>
    <s v="Sameer"/>
    <s v="Hyderabad"/>
    <x v="158"/>
    <s v="F2F"/>
    <s v="Corporate"/>
    <m/>
    <s v="Bulk Order"/>
    <s v="New"/>
    <s v="It"/>
    <s v="Suresh"/>
    <m/>
    <s v="Bulk order Requirement"/>
    <s v="Cancelled"/>
    <m/>
    <m/>
    <n v="153"/>
    <s v=""/>
    <s v="Hot"/>
    <n v="50000"/>
    <m/>
    <m/>
    <m/>
    <x v="5"/>
    <m/>
    <m/>
    <m/>
    <x v="1"/>
    <m/>
    <s v=""/>
    <m/>
  </r>
  <r>
    <d v="2026-05-19T00:00:00"/>
    <s v="Pradeep"/>
    <s v="Hyderabad"/>
    <x v="159"/>
    <s v="F2F"/>
    <s v="Corporate"/>
    <m/>
    <s v="Bulk Order"/>
    <s v="New"/>
    <s v="Healthcare"/>
    <s v="Bharath"/>
    <m/>
    <s v="Proposed for Bulk order and Biryani Kits for Gifting"/>
    <s v="Cancelled"/>
    <m/>
    <m/>
    <n v="153"/>
    <s v=""/>
    <s v="Cold"/>
    <n v="15000"/>
    <m/>
    <m/>
    <m/>
    <x v="5"/>
    <m/>
    <m/>
    <m/>
    <x v="1"/>
    <m/>
    <s v=""/>
    <m/>
  </r>
  <r>
    <d v="2026-05-19T00:00:00"/>
    <s v="Sameer"/>
    <s v="Hyderabad"/>
    <x v="20"/>
    <s v="F2F"/>
    <s v="Corporate"/>
    <s v="SmartQ"/>
    <s v="Bulk Order"/>
    <m/>
    <s v="F&amp;B Aggregator"/>
    <s v="Sekhar"/>
    <m/>
    <s v="Bulk Order Business Closed"/>
    <s v="Closed(C4)"/>
    <m/>
    <m/>
    <s v=""/>
    <s v=""/>
    <s v="Hot"/>
    <n v="40000"/>
    <n v="38470"/>
    <d v="2026-05-25T00:00:00"/>
    <s v="00GCBTA000289577"/>
    <x v="5"/>
    <s v="Received at HO"/>
    <m/>
    <m/>
    <x v="1"/>
    <m/>
    <s v=""/>
    <m/>
  </r>
  <r>
    <d v="2026-05-19T00:00:00"/>
    <s v="Bashab"/>
    <s v="Bangalore"/>
    <x v="31"/>
    <s v="F2F"/>
    <s v="Corporate"/>
    <m/>
    <s v="Popup Counter"/>
    <s v="Repeat"/>
    <s v="Retail"/>
    <s v="Mueenudheen"/>
    <m/>
    <s v="Business Closed"/>
    <s v="Closed(C4)"/>
    <m/>
    <m/>
    <s v=""/>
    <s v=""/>
    <s v="Hot"/>
    <n v="15000"/>
    <n v="15456"/>
    <d v="2026-05-19T00:00:00"/>
    <s v="OOWFC01000027275"/>
    <x v="7"/>
    <s v="Received at Store"/>
    <m/>
    <d v="2026-05-19T00:00:00"/>
    <x v="1"/>
    <m/>
    <s v=""/>
    <m/>
  </r>
  <r>
    <d v="2026-05-19T00:00:00"/>
    <s v="Bashab"/>
    <s v="Bangalore"/>
    <x v="160"/>
    <s v="F2F"/>
    <s v="Corporate"/>
    <m/>
    <s v="Popup Counter"/>
    <s v="New"/>
    <s v="Retail"/>
    <s v="Anand"/>
    <m/>
    <s v="Business Closed"/>
    <s v="Closed(C4)"/>
    <m/>
    <m/>
    <s v=""/>
    <s v=""/>
    <s v="Hot"/>
    <n v="15000"/>
    <n v="19653"/>
    <d v="2026-05-19T00:00:00"/>
    <s v="OOPMTA01000C03276"/>
    <x v="21"/>
    <s v="Received at Store"/>
    <m/>
    <d v="2026-05-19T00:00:00"/>
    <x v="1"/>
    <m/>
    <s v=""/>
    <m/>
  </r>
  <r>
    <d v="2026-05-19T00:00:00"/>
    <s v="Bashab"/>
    <s v="Bangalore"/>
    <x v="68"/>
    <s v="F2F"/>
    <s v="Corporate"/>
    <s v="Gokhana"/>
    <s v="Popup Counter"/>
    <s v="Repeat"/>
    <s v="It"/>
    <s v="Raghu"/>
    <m/>
    <s v="Business Closed"/>
    <s v="Closed(C4)"/>
    <m/>
    <m/>
    <s v=""/>
    <s v=""/>
    <s v="Hot"/>
    <n v="15000"/>
    <n v="15210"/>
    <d v="2026-05-19T00:00:00"/>
    <s v="00MRA08000005723"/>
    <x v="11"/>
    <s v="Received at HO"/>
    <m/>
    <m/>
    <x v="1"/>
    <m/>
    <s v=""/>
    <m/>
  </r>
  <r>
    <d v="2026-05-20T00:00:00"/>
    <s v="Pradeep"/>
    <s v="Hyderabad"/>
    <x v="161"/>
    <s v="F2F"/>
    <s v="Aggregator"/>
    <s v="SmartQ"/>
    <s v="Bulk Order"/>
    <s v="New"/>
    <s v="F&amp;B Aggregator"/>
    <s v="Priyansh"/>
    <m/>
    <s v="Customised Thalli Bulk order Deliverd on 19 &amp; 20 may from Lingampally"/>
    <s v="Closed(C4)"/>
    <m/>
    <m/>
    <m/>
    <m/>
    <s v="Hot"/>
    <n v="50000"/>
    <n v="37140"/>
    <d v="2026-05-20T00:00:00"/>
    <m/>
    <x v="16"/>
    <s v="Received at HO"/>
    <m/>
    <m/>
    <x v="1"/>
    <m/>
    <m/>
    <s v="Takeaway-Bulk-Insti"/>
  </r>
  <r>
    <d v="2026-05-20T00:00:00"/>
    <s v="Bashab"/>
    <s v="Hyderabad"/>
    <x v="156"/>
    <s v="F2F"/>
    <s v="Aggregator"/>
    <s v="Compass"/>
    <s v="Bulk Order"/>
    <s v="New"/>
    <s v="F&amp;B Aggregator"/>
    <s v="Srinivas"/>
    <m/>
    <s v="Business Closed"/>
    <s v="Closed(C4)"/>
    <m/>
    <m/>
    <s v=""/>
    <s v=""/>
    <s v="Hot"/>
    <n v="420000"/>
    <n v="420000"/>
    <d v="2026-05-20T00:00:00"/>
    <s v="CIFSPL20052026"/>
    <x v="26"/>
    <s v="Received at HO"/>
    <m/>
    <m/>
    <x v="1"/>
    <m/>
    <s v=""/>
    <m/>
  </r>
  <r>
    <d v="2026-05-20T00:00:00"/>
    <s v="Bashab"/>
    <s v="Bangalore"/>
    <x v="18"/>
    <s v="F2F"/>
    <s v="Corporate"/>
    <m/>
    <s v="Popup Counter"/>
    <s v="Repeat"/>
    <s v="Retail"/>
    <s v="Vinod"/>
    <m/>
    <s v="Business Closed"/>
    <s v="Closed(C4)"/>
    <m/>
    <m/>
    <s v=""/>
    <s v=""/>
    <s v="Hot"/>
    <n v="10000"/>
    <n v="10414"/>
    <d v="2026-05-20T00:00:00"/>
    <s v="OOWFC01000027301"/>
    <x v="7"/>
    <s v="Received at Store"/>
    <m/>
    <d v="2026-05-20T00:00:00"/>
    <x v="1"/>
    <m/>
    <s v=""/>
    <m/>
  </r>
  <r>
    <d v="2026-05-20T00:00:00"/>
    <s v="Bashab"/>
    <s v="Bangalore"/>
    <x v="162"/>
    <s v="F2F"/>
    <s v="Corporate"/>
    <s v="Gokhana"/>
    <s v="Popup Counter"/>
    <s v="Repeat"/>
    <s v="It"/>
    <s v="Naveen"/>
    <m/>
    <s v="Business Closed"/>
    <s v="Closed(C4)"/>
    <m/>
    <m/>
    <s v=""/>
    <s v=""/>
    <s v="Hot"/>
    <n v="15000"/>
    <n v="12380"/>
    <d v="2026-05-20T00:00:00"/>
    <s v="00MRA07000008576"/>
    <x v="11"/>
    <s v="Received at HO"/>
    <m/>
    <m/>
    <x v="1"/>
    <m/>
    <s v=""/>
    <m/>
  </r>
  <r>
    <d v="2026-05-20T00:00:00"/>
    <s v="Bashab"/>
    <s v="Bangalore"/>
    <x v="163"/>
    <s v="F2F"/>
    <s v="ODC"/>
    <s v="Pinnacle"/>
    <s v="ODC"/>
    <s v="New"/>
    <s v="Pharma"/>
    <s v="Devendra"/>
    <m/>
    <s v="Business confirmed"/>
    <s v="Confirmed( C3 )"/>
    <m/>
    <m/>
    <m/>
    <s v=""/>
    <s v="Hot"/>
    <m/>
    <m/>
    <m/>
    <m/>
    <x v="8"/>
    <m/>
    <m/>
    <m/>
    <x v="1"/>
    <m/>
    <s v=""/>
    <m/>
  </r>
  <r>
    <d v="2026-05-20T00:00:00"/>
    <s v="Sameer"/>
    <s v="Hyderabad"/>
    <x v="20"/>
    <s v="Call"/>
    <s v="Aggregator"/>
    <s v="SmartQ"/>
    <s v="Bulk Order"/>
    <s v="New"/>
    <s v="F&amp;B Aggregator"/>
    <s v="Sekhar"/>
    <m/>
    <s v="Business Closed"/>
    <s v="Closed(C4)"/>
    <m/>
    <m/>
    <s v=""/>
    <s v=""/>
    <s v="Hot"/>
    <n v="40000"/>
    <n v="37440"/>
    <d v="2026-05-20T00:00:00"/>
    <s v="00GCBTA000289687"/>
    <x v="2"/>
    <s v="Received at HO"/>
    <m/>
    <m/>
    <x v="1"/>
    <m/>
    <s v=""/>
    <m/>
  </r>
  <r>
    <d v="2026-05-20T00:00:00"/>
    <s v="Pradeep"/>
    <s v="Hyderabad"/>
    <x v="135"/>
    <s v="F2F"/>
    <s v="Corporate"/>
    <m/>
    <s v="Bulk Order"/>
    <s v="New"/>
    <s v="Healthcare"/>
    <s v="Kishan"/>
    <m/>
    <s v="Proposed for Bulk order and Biryani Kits for Gifting"/>
    <s v="Cancelled"/>
    <d v="2026-08-24T00:00:00"/>
    <s v="F2F"/>
    <m/>
    <m/>
    <s v="Cold"/>
    <n v="50000"/>
    <m/>
    <m/>
    <m/>
    <x v="5"/>
    <m/>
    <m/>
    <m/>
    <x v="1"/>
    <m/>
    <m/>
    <m/>
  </r>
  <r>
    <d v="2026-05-20T00:00:00"/>
    <s v="Pradeep"/>
    <s v="Hyderabad"/>
    <x v="164"/>
    <s v="F2F"/>
    <s v="Corporate"/>
    <m/>
    <s v="Bulk Order"/>
    <s v="New"/>
    <s v="Banking Finance &amp; Insurance"/>
    <s v="Anil"/>
    <m/>
    <s v="Proposed for Bulk order and Biryani Kits for Gifting"/>
    <s v="Cancelled"/>
    <m/>
    <m/>
    <m/>
    <m/>
    <s v="Cold"/>
    <n v="35000"/>
    <m/>
    <m/>
    <m/>
    <x v="5"/>
    <m/>
    <m/>
    <m/>
    <x v="1"/>
    <m/>
    <m/>
    <m/>
  </r>
  <r>
    <d v="2026-05-20T00:00:00"/>
    <s v="Pradeep"/>
    <s v="Hyderabad"/>
    <x v="165"/>
    <s v="F2F"/>
    <s v="Aggregator"/>
    <s v="Compass"/>
    <s v="Bulk Order"/>
    <s v="New"/>
    <s v="It"/>
    <s v="Dinesh"/>
    <m/>
    <s v="Biryani on 20-05-2026 from BHEL"/>
    <s v="Closed(C4)"/>
    <m/>
    <m/>
    <s v=""/>
    <s v=""/>
    <s v="Hot"/>
    <n v="150000"/>
    <n v="88510"/>
    <d v="2026-05-20T00:00:00"/>
    <s v="00BHLTC000244342"/>
    <x v="1"/>
    <s v="Received at HO"/>
    <m/>
    <m/>
    <x v="1"/>
    <m/>
    <s v=""/>
    <s v="Takeaway-Bulk-Insti"/>
  </r>
  <r>
    <d v="2026-05-20T00:00:00"/>
    <s v="Pradeep"/>
    <s v="Hyderabad"/>
    <x v="165"/>
    <s v="F2F"/>
    <s v="Aggregator"/>
    <s v="Compass"/>
    <s v="Bulk Order"/>
    <s v="New"/>
    <s v="It"/>
    <s v="Dinesh"/>
    <m/>
    <s v="Biryani on 20-05-2026 from BHEL"/>
    <s v="Closed(C4)"/>
    <m/>
    <m/>
    <s v=""/>
    <s v=""/>
    <s v="Hot"/>
    <n v="100000"/>
    <n v="26083"/>
    <d v="2026-05-20T00:00:00"/>
    <s v="00BHLTC000244350"/>
    <x v="1"/>
    <s v="Received at HO"/>
    <m/>
    <m/>
    <x v="1"/>
    <m/>
    <s v=""/>
    <s v="Takeaway-Bulk-Insti"/>
  </r>
  <r>
    <d v="2026-05-20T00:00:00"/>
    <s v="Sameer"/>
    <s v="Bangalore"/>
    <x v="3"/>
    <s v="Call"/>
    <s v="Aggregator"/>
    <s v="Compass"/>
    <s v="Bulk Order"/>
    <s v="Repeat"/>
    <s v="F&amp;B Agrigator"/>
    <s v="Saad"/>
    <m/>
    <s v="Delivery in May Month from HSR"/>
    <s v="Closed(C4)"/>
    <m/>
    <m/>
    <s v=""/>
    <s v=""/>
    <s v="Hot"/>
    <n v="22687"/>
    <n v="22687"/>
    <d v="2026-05-20T00:00:00"/>
    <s v="00HSA06000003047"/>
    <x v="3"/>
    <s v="Received at HO"/>
    <m/>
    <d v="2026-05-30T00:00:00"/>
    <x v="1"/>
    <m/>
    <m/>
    <m/>
  </r>
  <r>
    <d v="2026-05-20T00:00:00"/>
    <s v="Bashab"/>
    <s v="Bangalore"/>
    <x v="16"/>
    <s v="Call"/>
    <s v="Corporate"/>
    <m/>
    <s v="Bulk Order"/>
    <s v="Repeat"/>
    <s v="Retail"/>
    <s v="Mohammed"/>
    <m/>
    <s v="Business Closed"/>
    <s v="Closed(C4)"/>
    <m/>
    <m/>
    <s v=""/>
    <s v=""/>
    <s v="Hot"/>
    <n v="20166"/>
    <n v="22687"/>
    <d v="2026-05-20T00:00:00"/>
    <s v="00HSA06000003047"/>
    <x v="3"/>
    <s v="Received at HO"/>
    <m/>
    <d v="2026-05-30T00:00:00"/>
    <x v="1"/>
    <m/>
    <m/>
    <m/>
  </r>
  <r>
    <d v="2026-05-20T00:00:00"/>
    <s v="Sameer"/>
    <s v="Hyderabad"/>
    <x v="156"/>
    <s v="F2F"/>
    <s v="Aggregator"/>
    <s v="Compass"/>
    <s v="Bulk Order"/>
    <s v="New"/>
    <s v="F&amp;B Aggregator"/>
    <s v="Srinivas"/>
    <m/>
    <s v="Bulk order on 20-05-2026"/>
    <s v="Closed(C4)"/>
    <m/>
    <m/>
    <m/>
    <m/>
    <s v="Hot"/>
    <n v="500000"/>
    <n v="420000"/>
    <d v="2026-05-20T00:00:00"/>
    <s v="CIFSPL20052026"/>
    <x v="26"/>
    <s v="Received at HO"/>
    <m/>
    <m/>
    <x v="1"/>
    <m/>
    <s v=""/>
    <s v="Takeaway-Bulk-Insti"/>
  </r>
  <r>
    <d v="2026-05-20T00:00:00"/>
    <s v="Pradeep"/>
    <s v="Hyderabad"/>
    <x v="166"/>
    <s v="F2F"/>
    <s v="Corporate"/>
    <m/>
    <s v="Bulk Order"/>
    <s v="New"/>
    <s v="Realestate"/>
    <s v="Kiran"/>
    <m/>
    <s v="Delivery from Shamshabad 5-9 April 2026"/>
    <s v="Closed(C4)"/>
    <m/>
    <m/>
    <s v=""/>
    <s v=""/>
    <s v="Hot"/>
    <n v="300000"/>
    <n v="139998"/>
    <d v="2026-05-09T00:00:00"/>
    <s v="00SSBTA000150012"/>
    <x v="26"/>
    <s v="Received at HO"/>
    <m/>
    <m/>
    <x v="1"/>
    <m/>
    <s v=""/>
    <s v="Takeaway-Bulk-Insti"/>
  </r>
  <r>
    <d v="2026-05-21T00:00:00"/>
    <s v="Pradeep"/>
    <s v="Hyderabad"/>
    <x v="148"/>
    <s v="F2F"/>
    <s v="Corporate"/>
    <m/>
    <s v="Bulk Order"/>
    <s v="New"/>
    <s v="Government"/>
    <s v="Shashidar Reddy"/>
    <m/>
    <s v="Business Closed"/>
    <s v="Closed(C4)"/>
    <m/>
    <m/>
    <s v=""/>
    <s v=""/>
    <s v="Hot"/>
    <n v="50000"/>
    <n v="12780"/>
    <d v="2026-05-21T00:00:00"/>
    <s v="COKKPTB000485574"/>
    <x v="17"/>
    <s v="Received at Store"/>
    <m/>
    <d v="2026-05-21T00:00:00"/>
    <x v="1"/>
    <m/>
    <s v=""/>
    <s v="Takeaway-Bulk-Insti"/>
  </r>
  <r>
    <d v="2026-05-21T00:00:00"/>
    <s v="Pradeep"/>
    <s v="Hyderabad"/>
    <x v="167"/>
    <s v="F2F"/>
    <s v="Corporate"/>
    <m/>
    <s v="Bulk Order"/>
    <s v="New"/>
    <s v="Healthcare"/>
    <s v="Azam Khan"/>
    <m/>
    <s v="Proposed for Bulk order and Biryani Kits for Gifting"/>
    <s v="Cancelled"/>
    <m/>
    <m/>
    <n v="151"/>
    <s v=""/>
    <s v="Cold"/>
    <n v="50000"/>
    <m/>
    <m/>
    <m/>
    <x v="5"/>
    <m/>
    <m/>
    <m/>
    <x v="1"/>
    <m/>
    <s v=""/>
    <m/>
  </r>
  <r>
    <d v="2026-05-21T00:00:00"/>
    <s v="Pradeep"/>
    <s v="Hyderabad"/>
    <x v="168"/>
    <s v="F2F"/>
    <s v="Corporate"/>
    <m/>
    <s v="Bulk Order"/>
    <s v="New"/>
    <s v="Healthcare"/>
    <s v="Ravi"/>
    <m/>
    <s v="Proposed for Bulk order and Biryani Kits for Gifting"/>
    <s v="Cancelled"/>
    <m/>
    <m/>
    <n v="151"/>
    <s v=""/>
    <s v="Cold"/>
    <n v="30000"/>
    <m/>
    <m/>
    <m/>
    <x v="5"/>
    <m/>
    <m/>
    <m/>
    <x v="1"/>
    <m/>
    <s v=""/>
    <m/>
  </r>
  <r>
    <d v="2026-05-21T00:00:00"/>
    <s v="Bashab"/>
    <s v="Bangalore"/>
    <x v="66"/>
    <s v="Call"/>
    <s v="Aggregator"/>
    <s v="Gokhana"/>
    <s v="Pop Up Counter"/>
    <s v="Repeat"/>
    <s v="It"/>
    <s v="Navya"/>
    <m/>
    <s v="Business Closed"/>
    <s v="Closed(C4)"/>
    <m/>
    <m/>
    <s v=""/>
    <s v=""/>
    <s v="Hot"/>
    <n v="30000"/>
    <n v="28815"/>
    <d v="2026-05-21T00:00:00"/>
    <s v="00MRA08000005743"/>
    <x v="11"/>
    <s v="Received at HO"/>
    <m/>
    <m/>
    <x v="1"/>
    <m/>
    <s v=""/>
    <m/>
  </r>
  <r>
    <d v="2026-05-21T00:00:00"/>
    <s v="Bashab"/>
    <s v="Bangalore"/>
    <x v="40"/>
    <s v="F2F"/>
    <s v="Corporate"/>
    <m/>
    <s v="Popup Counter"/>
    <s v="Repeat"/>
    <s v="Retail"/>
    <s v="Srinivas"/>
    <m/>
    <s v="Business Closed"/>
    <s v="Closed(C4)"/>
    <m/>
    <m/>
    <m/>
    <s v=""/>
    <s v="Hot"/>
    <n v="20000"/>
    <n v="22114"/>
    <d v="2026-05-21T00:00:00"/>
    <s v="00WFC01000027318"/>
    <x v="7"/>
    <s v="Received at Store"/>
    <m/>
    <d v="2026-05-21T00:00:00"/>
    <x v="1"/>
    <m/>
    <s v=""/>
    <m/>
  </r>
  <r>
    <d v="2026-05-21T00:00:00"/>
    <s v="Sameer"/>
    <s v="Hyderabad"/>
    <x v="20"/>
    <s v="Call"/>
    <s v="Aggregator"/>
    <s v="SmartQ"/>
    <s v="Bulk Order"/>
    <s v="New"/>
    <s v="F&amp;B Aggregator"/>
    <s v="Sekhar"/>
    <m/>
    <s v="Business Closed"/>
    <s v="Closed(C4)"/>
    <m/>
    <m/>
    <s v=""/>
    <s v=""/>
    <s v="Hot"/>
    <n v="50000"/>
    <n v="66388"/>
    <d v="2026-05-21T00:00:00"/>
    <s v="00GCBTA0002897"/>
    <x v="2"/>
    <s v="Received at HO"/>
    <m/>
    <m/>
    <x v="1"/>
    <m/>
    <s v=""/>
    <s v="Takeaway-Bulk-Insti"/>
  </r>
  <r>
    <d v="2026-05-21T00:00:00"/>
    <s v="Bashab"/>
    <s v="Bangalore"/>
    <x v="118"/>
    <s v="F2F"/>
    <s v="Corporate"/>
    <m/>
    <s v="Bulk Order"/>
    <s v="New"/>
    <s v="Retail"/>
    <s v="Gagan sagar"/>
    <m/>
    <s v="Looking for 400+ Biryani next week."/>
    <s v="Follow-up( C1 )"/>
    <d v="2026-09-25T00:00:00"/>
    <s v="F2F"/>
    <n v="151"/>
    <s v="Yes"/>
    <s v="Hot"/>
    <m/>
    <m/>
    <m/>
    <m/>
    <x v="5"/>
    <m/>
    <m/>
    <m/>
    <x v="1"/>
    <m/>
    <s v=""/>
    <m/>
  </r>
  <r>
    <d v="2026-05-22T00:00:00"/>
    <s v="Sameer"/>
    <s v="Hyderabad"/>
    <x v="20"/>
    <s v="Call"/>
    <s v="Aggregator"/>
    <s v="SmartQ"/>
    <s v="Pop Up Counter"/>
    <s v="Repeat"/>
    <s v="F&amp;B Aggregator"/>
    <s v="Sekhar"/>
    <m/>
    <s v="Business Closed"/>
    <s v="Closed(C4)"/>
    <m/>
    <m/>
    <s v=""/>
    <s v=""/>
    <s v="Hot"/>
    <n v="60000"/>
    <n v="71998"/>
    <d v="2026-05-22T00:00:00"/>
    <s v="00GCBTA000289798"/>
    <x v="2"/>
    <s v="Received at HO"/>
    <m/>
    <m/>
    <x v="1"/>
    <m/>
    <s v=""/>
    <s v="Takeaway-Bulk-Insti"/>
  </r>
  <r>
    <d v="2026-05-22T00:00:00"/>
    <s v="Pradeep"/>
    <s v="Hyderabad"/>
    <x v="169"/>
    <s v="F2F"/>
    <s v="Corporate"/>
    <m/>
    <s v="Bulk Order"/>
    <s v="New"/>
    <s v="Manufacturing"/>
    <s v="Chari"/>
    <m/>
    <s v="Proposed for Bulk order and Biryani Kits for Gifting"/>
    <s v="Cancelled"/>
    <d v="2026-08-17T00:00:00"/>
    <s v="Call"/>
    <n v="150"/>
    <s v=""/>
    <s v="Cold"/>
    <n v="40000"/>
    <m/>
    <m/>
    <m/>
    <x v="5"/>
    <m/>
    <m/>
    <m/>
    <x v="1"/>
    <m/>
    <s v=""/>
    <m/>
  </r>
  <r>
    <d v="2026-05-22T00:00:00"/>
    <s v="Sameer"/>
    <s v="Hyderabad"/>
    <x v="61"/>
    <s v="F2F"/>
    <s v="Bulk Order"/>
    <m/>
    <s v="Bulk Order"/>
    <s v="New"/>
    <s v="Family Group"/>
    <s v="Srinivas"/>
    <m/>
    <s v="Bulk order for 50 pax"/>
    <s v="Cancelled"/>
    <m/>
    <m/>
    <m/>
    <s v=""/>
    <s v="Cold"/>
    <n v="15000"/>
    <m/>
    <m/>
    <m/>
    <x v="5"/>
    <m/>
    <m/>
    <m/>
    <x v="1"/>
    <m/>
    <s v=""/>
    <m/>
  </r>
  <r>
    <d v="2026-05-22T00:00:00"/>
    <s v="Pradeep"/>
    <s v="Hyderabad"/>
    <x v="170"/>
    <s v="F2F"/>
    <s v="Corporate"/>
    <m/>
    <s v="Bulk Order"/>
    <s v="New"/>
    <s v="Healthcare"/>
    <s v="Reddy"/>
    <m/>
    <s v="Proposed for Bulk order and Biryani Kits for Gifting"/>
    <s v="Cancelled"/>
    <m/>
    <m/>
    <m/>
    <s v=""/>
    <s v="Cold"/>
    <n v="50000"/>
    <m/>
    <m/>
    <m/>
    <x v="5"/>
    <m/>
    <m/>
    <m/>
    <x v="1"/>
    <m/>
    <s v=""/>
    <m/>
  </r>
  <r>
    <d v="2026-05-22T00:00:00"/>
    <s v="Bashab"/>
    <s v="Bangalore"/>
    <x v="37"/>
    <s v="Call"/>
    <s v="Aggregator"/>
    <s v="SmartQ"/>
    <s v="Pop Up Counter"/>
    <s v="Repeat"/>
    <s v="It"/>
    <s v="Harish"/>
    <m/>
    <s v="Pop-up counter business closed"/>
    <s v="Closed(C4)"/>
    <m/>
    <m/>
    <s v=""/>
    <s v=""/>
    <s v="Hot"/>
    <n v="15000"/>
    <n v="13870"/>
    <d v="2026-05-22T00:00:00"/>
    <m/>
    <x v="12"/>
    <s v="Received at HO"/>
    <m/>
    <m/>
    <x v="1"/>
    <m/>
    <s v=""/>
    <m/>
  </r>
  <r>
    <d v="2026-05-22T00:00:00"/>
    <s v="Bashab"/>
    <s v="Bangalore"/>
    <x v="41"/>
    <s v="Call"/>
    <s v="Aggregator"/>
    <s v="SmartQ"/>
    <s v="Pop Up Counter"/>
    <s v="Repeat"/>
    <s v="It"/>
    <s v="Harish"/>
    <m/>
    <s v="Pop-up counter business closed"/>
    <s v="Closed(C4)"/>
    <m/>
    <m/>
    <s v=""/>
    <s v=""/>
    <s v="Hot"/>
    <n v="30000"/>
    <n v="27680"/>
    <d v="2026-05-22T00:00:00"/>
    <m/>
    <x v="12"/>
    <s v="Received at HO"/>
    <m/>
    <m/>
    <x v="1"/>
    <m/>
    <s v=""/>
    <m/>
  </r>
  <r>
    <d v="2026-05-22T00:00:00"/>
    <s v="Bashab"/>
    <s v="Bangalore"/>
    <x v="28"/>
    <s v="F2F"/>
    <s v="Aggregator"/>
    <s v="Gokhana"/>
    <s v="Bulk Order"/>
    <s v="Repeat"/>
    <s v="F&amp;B Aggregator"/>
    <s v="Navya"/>
    <m/>
    <s v="Business Confirmed"/>
    <s v="Confirmed( C3 )"/>
    <m/>
    <m/>
    <m/>
    <s v=""/>
    <s v="Hot"/>
    <m/>
    <m/>
    <m/>
    <m/>
    <x v="5"/>
    <m/>
    <m/>
    <m/>
    <x v="1"/>
    <m/>
    <s v=""/>
    <m/>
  </r>
  <r>
    <d v="2026-05-23T00:00:00"/>
    <s v="Bashab"/>
    <s v="Bangalore"/>
    <x v="98"/>
    <s v="F2F"/>
    <s v="Corporate"/>
    <m/>
    <s v="Bulk Order"/>
    <s v="New"/>
    <s v="Banking Finance &amp; Insurance"/>
    <s v="Rohit"/>
    <m/>
    <s v="Business Closed"/>
    <s v="Closed(C4)"/>
    <m/>
    <m/>
    <m/>
    <m/>
    <s v="Hot"/>
    <n v="45000"/>
    <n v="41040"/>
    <d v="2026-05-22T00:00:00"/>
    <m/>
    <x v="3"/>
    <s v="Received at HO"/>
    <m/>
    <m/>
    <x v="1"/>
    <m/>
    <m/>
    <m/>
  </r>
  <r>
    <d v="2026-05-24T00:00:00"/>
    <s v="Bashab"/>
    <s v="Bangalore"/>
    <x v="98"/>
    <s v="F2F"/>
    <s v="Corporate"/>
    <m/>
    <s v="Bulk Order"/>
    <s v="New"/>
    <s v="Banking Finance &amp; Insurance"/>
    <s v="Rohit"/>
    <m/>
    <s v="Business Closed"/>
    <s v="Closed(C4)"/>
    <m/>
    <m/>
    <m/>
    <m/>
    <s v="Hot"/>
    <n v="35910"/>
    <n v="35910"/>
    <d v="2026-05-23T00:00:00"/>
    <m/>
    <x v="3"/>
    <s v="Received at HO"/>
    <m/>
    <m/>
    <x v="1"/>
    <m/>
    <m/>
    <m/>
  </r>
  <r>
    <d v="2026-05-24T00:00:00"/>
    <s v="Pradeep"/>
    <s v="Hyderabad"/>
    <x v="61"/>
    <s v="Call"/>
    <s v="Bulk Order"/>
    <m/>
    <s v="Bulk Order"/>
    <s v="New"/>
    <s v="Family Group"/>
    <s v="Sam"/>
    <m/>
    <s v="Bulk order Business Closed"/>
    <s v="Closed(C4)"/>
    <m/>
    <m/>
    <m/>
    <m/>
    <s v="Hot"/>
    <n v="5000"/>
    <n v="1952"/>
    <d v="2026-04-24T00:00:00"/>
    <s v="00STA02000020177"/>
    <x v="14"/>
    <s v="Received at Store"/>
    <m/>
    <m/>
    <x v="0"/>
    <m/>
    <m/>
    <m/>
  </r>
  <r>
    <d v="2026-05-25T00:00:00"/>
    <s v="Bashab"/>
    <s v="Bangalore"/>
    <x v="28"/>
    <s v="F2F"/>
    <s v="Aggregator"/>
    <s v="Gokhana"/>
    <s v="Bulk Order"/>
    <s v="Repeat"/>
    <s v="F&amp;B Aggregator"/>
    <s v="Navya"/>
    <m/>
    <s v="Business Confirmed"/>
    <s v="Closed(C4)"/>
    <m/>
    <m/>
    <s v=""/>
    <s v=""/>
    <s v="Hot"/>
    <n v="38000"/>
    <n v="40535"/>
    <d v="2026-05-25T00:00:00"/>
    <m/>
    <x v="8"/>
    <s v="Received at HO"/>
    <m/>
    <m/>
    <x v="1"/>
    <m/>
    <s v=""/>
    <m/>
  </r>
  <r>
    <d v="2026-05-25T00:00:00"/>
    <s v="Bashab"/>
    <s v="Bangalore"/>
    <x v="131"/>
    <s v="F2F"/>
    <s v="Bulk Order"/>
    <m/>
    <s v="Bulk Order"/>
    <s v="New"/>
    <s v="Healthcare"/>
    <s v="Pallavi"/>
    <m/>
    <s v="Follow-up for requirements."/>
    <s v="Follow-up( C1 )"/>
    <d v="2026-09-25T00:00:00"/>
    <s v="F2F"/>
    <n v="147"/>
    <s v="Yes"/>
    <s v="Cold"/>
    <m/>
    <m/>
    <m/>
    <m/>
    <x v="5"/>
    <m/>
    <m/>
    <m/>
    <x v="1"/>
    <m/>
    <s v=""/>
    <m/>
  </r>
  <r>
    <d v="2026-05-25T00:00:00"/>
    <s v="Bashab"/>
    <s v="Bangalore"/>
    <x v="140"/>
    <s v="F2F"/>
    <s v="Corporate"/>
    <m/>
    <s v="Bulk Order"/>
    <s v="New"/>
    <s v="It"/>
    <s v="Kavitha"/>
    <m/>
    <s v="Follow-up for requirements."/>
    <s v="Follow-up( C1 )"/>
    <d v="2026-09-25T00:00:00"/>
    <s v="F2F"/>
    <n v="147"/>
    <s v="Yes"/>
    <s v="Cold"/>
    <m/>
    <m/>
    <m/>
    <m/>
    <x v="5"/>
    <m/>
    <m/>
    <m/>
    <x v="1"/>
    <m/>
    <s v=""/>
    <m/>
  </r>
  <r>
    <d v="2026-05-25T00:00:00"/>
    <s v="Sameer"/>
    <s v="Hyderabad"/>
    <x v="20"/>
    <s v="Call"/>
    <s v="Aggregator"/>
    <s v="SmartQ"/>
    <s v="Bulk Order"/>
    <s v="Repeat"/>
    <s v="F&amp;B Aggregator"/>
    <s v="Sekhar"/>
    <m/>
    <s v="Business Closed"/>
    <s v="Closed(C4)"/>
    <m/>
    <m/>
    <s v=""/>
    <s v=""/>
    <s v="Hot"/>
    <n v="40000"/>
    <n v="49150"/>
    <d v="2026-05-25T00:00:00"/>
    <m/>
    <x v="2"/>
    <s v="Received at HO"/>
    <m/>
    <m/>
    <x v="1"/>
    <m/>
    <s v=""/>
    <s v="Takeaway-Bulk-Insti"/>
  </r>
  <r>
    <d v="2026-05-25T00:00:00"/>
    <s v="Pradeep"/>
    <s v="Hyderabad"/>
    <x v="156"/>
    <s v="F2F"/>
    <s v="Aggregator"/>
    <s v="Compass"/>
    <s v="Bulk Order"/>
    <s v="New"/>
    <s v="F&amp;B Aggregator"/>
    <s v="Rahul"/>
    <m/>
    <s v="Meeting with Head Chef  &amp; team for  Sensory and  then discussed for new Business 2000 Kgs of Chicken Biryani."/>
    <s v="Closed(C4)"/>
    <m/>
    <m/>
    <s v=""/>
    <s v=""/>
    <s v="Hot"/>
    <n v="0"/>
    <n v="0"/>
    <m/>
    <m/>
    <x v="5"/>
    <m/>
    <m/>
    <m/>
    <x v="1"/>
    <m/>
    <s v=""/>
    <m/>
  </r>
  <r>
    <d v="2026-05-25T00:00:00"/>
    <s v="Pradeep"/>
    <s v="Hyderabad"/>
    <x v="171"/>
    <s v="F2F"/>
    <s v="Corporate"/>
    <m/>
    <s v="Bulk Order"/>
    <s v="New"/>
    <s v="Banking Finance &amp; Insurance"/>
    <s v="Harsha"/>
    <m/>
    <s v="Proposed for Bulk order and Biryani Kits for Gifting"/>
    <s v="Cancelled"/>
    <m/>
    <m/>
    <m/>
    <m/>
    <s v="Cold"/>
    <n v="50000"/>
    <m/>
    <m/>
    <m/>
    <x v="5"/>
    <m/>
    <m/>
    <m/>
    <x v="1"/>
    <m/>
    <m/>
    <m/>
  </r>
  <r>
    <d v="2026-05-26T00:00:00"/>
    <s v="Bashab"/>
    <s v="Bangalore"/>
    <x v="172"/>
    <s v="F2F"/>
    <s v="Corporate"/>
    <m/>
    <s v="Bulk Order"/>
    <s v="New"/>
    <s v="It"/>
    <s v="Mohamad ashif"/>
    <m/>
    <s v="Follow-up for requirements."/>
    <s v="Follow-up( C1 )"/>
    <d v="2026-09-18T00:00:00"/>
    <s v="F2F"/>
    <n v="146"/>
    <s v="Yes"/>
    <s v="Cold"/>
    <m/>
    <m/>
    <m/>
    <m/>
    <x v="5"/>
    <m/>
    <m/>
    <m/>
    <x v="1"/>
    <m/>
    <s v=""/>
    <m/>
  </r>
  <r>
    <d v="2026-05-26T00:00:00"/>
    <s v="Bashab"/>
    <s v="Bangalore"/>
    <x v="119"/>
    <s v="F2F"/>
    <s v="Corporate"/>
    <m/>
    <s v="Bulk Order"/>
    <s v="New"/>
    <s v="It"/>
    <s v="Shaik ali"/>
    <m/>
    <s v="Follow-up for requirements."/>
    <s v="Follow-up( C1 )"/>
    <d v="2026-09-18T00:00:00"/>
    <s v="F2F"/>
    <n v="146"/>
    <s v="Yes"/>
    <s v="Warm"/>
    <m/>
    <m/>
    <m/>
    <m/>
    <x v="5"/>
    <m/>
    <m/>
    <m/>
    <x v="1"/>
    <m/>
    <s v=""/>
    <m/>
  </r>
  <r>
    <d v="2026-05-26T00:00:00"/>
    <s v="Pradeep"/>
    <s v="Hyderabad"/>
    <x v="173"/>
    <s v="F2F"/>
    <s v="Corporate"/>
    <m/>
    <s v="Bulk Order"/>
    <s v="New"/>
    <s v="It"/>
    <s v="Sri"/>
    <m/>
    <s v="Proposed for Bulk order and Biryani Kits for Gifting"/>
    <s v="Cancelled"/>
    <m/>
    <m/>
    <m/>
    <m/>
    <s v="Cold"/>
    <n v="50000"/>
    <m/>
    <m/>
    <m/>
    <x v="5"/>
    <m/>
    <m/>
    <m/>
    <x v="1"/>
    <m/>
    <m/>
    <m/>
  </r>
  <r>
    <d v="2026-05-26T00:00:00"/>
    <s v="Bashab"/>
    <s v="Bangalore"/>
    <x v="174"/>
    <s v="Call"/>
    <s v="Aggregator"/>
    <s v="Gokhana"/>
    <s v="Pop Up Counter"/>
    <s v="New"/>
    <s v="It"/>
    <s v="Navya"/>
    <m/>
    <s v="Business Closed"/>
    <s v="Closed(C4)"/>
    <m/>
    <m/>
    <s v=""/>
    <s v=""/>
    <s v="Hot"/>
    <n v="15000"/>
    <n v="15141"/>
    <d v="2026-05-26T00:00:00"/>
    <m/>
    <x v="11"/>
    <s v="Received at HO"/>
    <m/>
    <m/>
    <x v="1"/>
    <m/>
    <s v=""/>
    <m/>
  </r>
  <r>
    <d v="2026-05-26T00:00:00"/>
    <s v="Pradeep"/>
    <s v="Hyderabad"/>
    <x v="175"/>
    <s v="F2F"/>
    <s v="Aggregator"/>
    <s v="SmartQ"/>
    <s v="Bulk Order"/>
    <s v="New"/>
    <s v="F&amp;B Aggregator"/>
    <s v="Priyansh"/>
    <m/>
    <s v="Bulk Delivery at HDC-3 from Lingampally"/>
    <s v="Closed(C4)"/>
    <m/>
    <m/>
    <s v=""/>
    <s v=""/>
    <s v="Hot"/>
    <n v="25000"/>
    <n v="10670"/>
    <d v="2026-05-26T00:00:00"/>
    <s v="00LPDE1000047157"/>
    <x v="16"/>
    <s v="Received at HO"/>
    <m/>
    <m/>
    <x v="1"/>
    <m/>
    <s v=""/>
    <s v="Takeaway-Bulk-Insti"/>
  </r>
  <r>
    <d v="2026-05-26T00:00:00"/>
    <s v="Pradeep"/>
    <s v="Hyderabad"/>
    <x v="156"/>
    <s v="F2F"/>
    <s v="Aggregator"/>
    <s v="Compass"/>
    <s v="Bulk Order"/>
    <s v="New"/>
    <s v="F&amp;B Aggregator"/>
    <s v="Rahul"/>
    <m/>
    <s v="New Requirement apart from 2000 kgs of Chicken Biryani additional 500 Kg required for wednesday order. Senosry done along with our team members cleared their doubts ."/>
    <s v="Closed(C4)"/>
    <m/>
    <m/>
    <s v=""/>
    <s v=""/>
    <s v="Hot"/>
    <n v="0"/>
    <n v="0"/>
    <m/>
    <m/>
    <x v="5"/>
    <m/>
    <m/>
    <m/>
    <x v="1"/>
    <m/>
    <s v=""/>
    <m/>
  </r>
  <r>
    <d v="2026-05-26T00:00:00"/>
    <s v="Sameer"/>
    <s v="Hyderabad"/>
    <x v="20"/>
    <s v="Call"/>
    <s v="Aggregator"/>
    <s v="SmartQ"/>
    <s v="Bulk Order"/>
    <s v="New"/>
    <s v="F&amp;B Aggregator"/>
    <s v="Sekhar"/>
    <m/>
    <s v="Business Closed"/>
    <s v="Closed(C4)"/>
    <m/>
    <m/>
    <s v=""/>
    <s v=""/>
    <s v="Hot"/>
    <n v="50000"/>
    <n v="54730"/>
    <d v="2026-05-26T00:00:00"/>
    <m/>
    <x v="2"/>
    <s v="Received at HO"/>
    <m/>
    <m/>
    <x v="1"/>
    <m/>
    <s v=""/>
    <s v="Takeaway-Bulk-Insti"/>
  </r>
  <r>
    <d v="2026-05-26T00:00:00"/>
    <s v="Pradeep"/>
    <s v="Hyderabad"/>
    <x v="176"/>
    <s v="Call"/>
    <s v="Corporate"/>
    <m/>
    <s v="Bulk Order"/>
    <s v="New"/>
    <s v="It"/>
    <s v="Srinivas"/>
    <m/>
    <s v="Proposed for Bulk order and Biryani Kits for Gifting"/>
    <s v="Cancelled"/>
    <d v="2026-08-15T00:00:00"/>
    <s v="Call"/>
    <n v="146"/>
    <s v=""/>
    <s v="Cold"/>
    <n v="50000"/>
    <m/>
    <m/>
    <m/>
    <x v="5"/>
    <m/>
    <m/>
    <m/>
    <x v="1"/>
    <m/>
    <s v=""/>
    <m/>
  </r>
  <r>
    <d v="2026-05-27T00:00:00"/>
    <s v="Bashab"/>
    <s v="Hyderabad"/>
    <x v="156"/>
    <s v="F2F"/>
    <s v="Aggregator"/>
    <s v="Compass"/>
    <s v="Bulk Order"/>
    <s v="New"/>
    <s v="F&amp;B Aggregator"/>
    <s v="Srinivas"/>
    <m/>
    <s v="Business Closed"/>
    <s v="Closed(C4)"/>
    <m/>
    <m/>
    <s v=""/>
    <s v=""/>
    <s v="Hot"/>
    <n v="420000"/>
    <n v="525000"/>
    <d v="2026-05-27T00:00:00"/>
    <s v="CIFSPL27052026"/>
    <x v="26"/>
    <s v="Received at HO"/>
    <m/>
    <m/>
    <x v="1"/>
    <m/>
    <s v=""/>
    <m/>
  </r>
  <r>
    <d v="2026-05-27T00:00:00"/>
    <s v="Sameer"/>
    <s v="Hyderabad"/>
    <x v="156"/>
    <s v="F2F"/>
    <s v="Aggregator"/>
    <s v="Compass"/>
    <s v="Bulk Order"/>
    <s v="New"/>
    <s v="F&amp;B Aggregator"/>
    <s v="Rahul"/>
    <m/>
    <s v="Business Closed"/>
    <s v="Closed(C4)"/>
    <m/>
    <m/>
    <s v=""/>
    <s v=""/>
    <s v="Hot"/>
    <n v="300000"/>
    <n v="525000"/>
    <d v="2026-05-27T00:00:00"/>
    <s v="CIFSPL27052026"/>
    <x v="26"/>
    <s v="Received at HO"/>
    <m/>
    <m/>
    <x v="1"/>
    <m/>
    <s v=""/>
    <s v="Takeaway-Bulk-Insti"/>
  </r>
  <r>
    <d v="2026-05-27T00:00:00"/>
    <s v="Bashab"/>
    <s v="Bangalore"/>
    <x v="37"/>
    <s v="Call"/>
    <s v="Aggregator"/>
    <s v="SmartQ"/>
    <s v="Pop Up Counter"/>
    <s v="Repeat"/>
    <s v="It"/>
    <s v="Harish"/>
    <m/>
    <s v="Pop-up counter business closed"/>
    <s v="Closed(C4)"/>
    <m/>
    <m/>
    <s v=""/>
    <s v=""/>
    <s v="Hot"/>
    <n v="15000"/>
    <n v="15735"/>
    <d v="2026-05-27T00:00:00"/>
    <m/>
    <x v="12"/>
    <s v="Received at HO"/>
    <m/>
    <m/>
    <x v="1"/>
    <m/>
    <s v=""/>
    <m/>
  </r>
  <r>
    <d v="2026-05-27T00:00:00"/>
    <s v="Bashab"/>
    <s v="Bangalore"/>
    <x v="41"/>
    <s v="Call"/>
    <s v="Aggregator"/>
    <s v="SmartQ"/>
    <s v="Pop Up Counter"/>
    <s v="Repeat"/>
    <s v="It"/>
    <s v="Harish"/>
    <m/>
    <s v="Pop-up counter business closed"/>
    <s v="Closed(C4)"/>
    <m/>
    <m/>
    <s v=""/>
    <s v=""/>
    <s v="Hot"/>
    <n v="15000"/>
    <n v="12885"/>
    <d v="2026-05-27T00:00:00"/>
    <m/>
    <x v="12"/>
    <s v="Received at HO"/>
    <m/>
    <m/>
    <x v="1"/>
    <m/>
    <s v=""/>
    <m/>
  </r>
  <r>
    <d v="2026-05-27T00:00:00"/>
    <s v="Bashab"/>
    <s v="Bangalore"/>
    <x v="31"/>
    <s v="Call"/>
    <s v="Corporate"/>
    <m/>
    <s v="Popup Counter"/>
    <s v="Repeat"/>
    <s v="Retail"/>
    <s v="Mueenudheen"/>
    <m/>
    <s v="Business Closed"/>
    <s v="Closed(C4)"/>
    <m/>
    <m/>
    <s v=""/>
    <s v=""/>
    <s v="Hot"/>
    <n v="15000"/>
    <n v="2065"/>
    <d v="2026-05-27T00:00:00"/>
    <m/>
    <x v="7"/>
    <s v="Received at Store"/>
    <m/>
    <m/>
    <x v="1"/>
    <m/>
    <s v=""/>
    <m/>
  </r>
  <r>
    <d v="2026-05-27T00:00:00"/>
    <s v="Bashab"/>
    <s v="Bangalore"/>
    <x v="163"/>
    <s v="F2F"/>
    <s v="ODC"/>
    <s v="Pinnacle"/>
    <s v="ODC"/>
    <s v="New"/>
    <s v="Pharma"/>
    <s v="Devendra"/>
    <m/>
    <s v="Business confirmed"/>
    <s v="Closed(C4)"/>
    <m/>
    <m/>
    <s v=""/>
    <s v=""/>
    <s v="Hot"/>
    <n v="40000"/>
    <n v="37550"/>
    <d v="2026-05-27T00:00:00"/>
    <m/>
    <x v="8"/>
    <s v="Received at HO"/>
    <m/>
    <m/>
    <x v="1"/>
    <m/>
    <s v=""/>
    <m/>
  </r>
  <r>
    <d v="2026-05-27T00:00:00"/>
    <s v="Bashab"/>
    <s v="Bangalore"/>
    <x v="16"/>
    <s v="Call"/>
    <s v="Corporate"/>
    <m/>
    <s v="Bulk Order"/>
    <s v="Repeat"/>
    <s v="Retail"/>
    <s v="Mohammed"/>
    <m/>
    <s v="Business Closed"/>
    <s v="Closed(C4)"/>
    <m/>
    <m/>
    <s v=""/>
    <s v=""/>
    <s v="Hot"/>
    <n v="20000"/>
    <n v="22916"/>
    <d v="2026-05-27T00:00:00"/>
    <s v="00HSA06000003072"/>
    <x v="3"/>
    <s v="Received at HO"/>
    <m/>
    <m/>
    <x v="1"/>
    <m/>
    <s v=""/>
    <m/>
  </r>
  <r>
    <d v="2026-05-27T00:00:00"/>
    <s v="Bashab"/>
    <s v="Bangalore"/>
    <x v="118"/>
    <s v="F2F"/>
    <s v="Corporate"/>
    <m/>
    <s v="Bulk Order"/>
    <s v="New"/>
    <s v="Retail"/>
    <s v="Gagan sagar"/>
    <m/>
    <s v="Business Closed"/>
    <s v="Closed(C4)"/>
    <m/>
    <m/>
    <s v=""/>
    <s v=""/>
    <s v="Hot"/>
    <n v="50000"/>
    <n v="56569"/>
    <d v="2026-05-27T00:00:00"/>
    <m/>
    <x v="11"/>
    <s v="Received at HO"/>
    <m/>
    <m/>
    <x v="1"/>
    <m/>
    <s v=""/>
    <m/>
  </r>
  <r>
    <d v="2026-05-27T00:00:00"/>
    <s v="Sameer"/>
    <s v="Hyderabad"/>
    <x v="20"/>
    <s v="Call"/>
    <s v="Aggregator"/>
    <s v="SmartQ"/>
    <s v="Pop Up Counter"/>
    <s v="New"/>
    <s v="F&amp;B Aggregator"/>
    <s v="Sekhar"/>
    <m/>
    <s v="Business Closed"/>
    <s v="Closed(C4)"/>
    <m/>
    <m/>
    <s v=""/>
    <s v=""/>
    <s v="Hot"/>
    <n v="60000"/>
    <n v="55000"/>
    <d v="2026-05-27T00:00:00"/>
    <m/>
    <x v="2"/>
    <s v="Received at HO"/>
    <m/>
    <m/>
    <x v="1"/>
    <m/>
    <s v=""/>
    <s v="Takeaway-Bulk-Insti"/>
  </r>
  <r>
    <d v="2026-05-27T00:00:00"/>
    <s v="Sameer"/>
    <s v="Bangalore"/>
    <x v="3"/>
    <s v="Call"/>
    <s v="Aggregator"/>
    <s v="Compass"/>
    <s v="Bulk Order"/>
    <s v="Repeat"/>
    <s v="F&amp;B Agrigator"/>
    <s v="Saad"/>
    <m/>
    <s v="Delivery on 1-4-2026 from HSR"/>
    <s v="Closed(C4)"/>
    <m/>
    <m/>
    <s v=""/>
    <s v=""/>
    <s v="Hot"/>
    <n v="22456"/>
    <n v="22916"/>
    <d v="2026-05-27T00:00:00"/>
    <s v="00HSA06000003072"/>
    <x v="3"/>
    <s v="Received at HO"/>
    <m/>
    <m/>
    <x v="1"/>
    <m/>
    <s v=""/>
    <s v="Takeaway-Bulk-Insti"/>
  </r>
  <r>
    <d v="2026-05-27T00:00:00"/>
    <s v="Pradeep"/>
    <s v="Hyderabad"/>
    <x v="156"/>
    <s v="F2F"/>
    <s v="Aggregator"/>
    <s v="Compass"/>
    <s v="Bulk Order"/>
    <s v="New"/>
    <s v="F&amp;B Aggregator"/>
    <s v="Sanjay Chuwan"/>
    <m/>
    <s v="Delivered 2500 Kgs Chicken biryani order by morning 9 A.m"/>
    <s v="Closed(C4)"/>
    <m/>
    <m/>
    <s v=""/>
    <s v=""/>
    <s v="Hot"/>
    <n v="0"/>
    <n v="0"/>
    <m/>
    <m/>
    <x v="5"/>
    <m/>
    <m/>
    <m/>
    <x v="1"/>
    <m/>
    <s v=""/>
    <m/>
  </r>
  <r>
    <d v="2026-05-27T00:00:00"/>
    <s v="Pradeep"/>
    <s v="Hyderabad"/>
    <x v="177"/>
    <s v="F2F"/>
    <s v="Corporate"/>
    <m/>
    <s v="Bulk Order"/>
    <s v="New"/>
    <s v="Events"/>
    <s v="Sai Kiran"/>
    <m/>
    <s v="Proposed for Bulk order and Biryani Kits for Gifting"/>
    <s v="Cancelled"/>
    <m/>
    <m/>
    <n v="145"/>
    <s v=""/>
    <s v="Cold"/>
    <n v="100000"/>
    <m/>
    <m/>
    <m/>
    <x v="5"/>
    <m/>
    <m/>
    <m/>
    <x v="1"/>
    <m/>
    <s v=""/>
    <m/>
  </r>
  <r>
    <d v="2026-05-28T00:00:00"/>
    <s v="Pradeep"/>
    <s v="Hyderabad"/>
    <x v="178"/>
    <s v="F2F"/>
    <s v="Corporate"/>
    <m/>
    <s v="Bulk Order"/>
    <s v="New"/>
    <s v="It"/>
    <s v="Venkat"/>
    <m/>
    <s v="Proposed for Bulk order and Biryani Kits for Gifting"/>
    <s v="Cancelled"/>
    <m/>
    <m/>
    <n v="144"/>
    <s v=""/>
    <s v="Cold"/>
    <n v="40000"/>
    <m/>
    <m/>
    <m/>
    <x v="5"/>
    <m/>
    <m/>
    <m/>
    <x v="1"/>
    <m/>
    <s v=""/>
    <m/>
  </r>
  <r>
    <d v="2026-05-28T00:00:00"/>
    <s v="Bashab"/>
    <s v="Bangalore"/>
    <x v="163"/>
    <s v="F2F"/>
    <s v="ODC"/>
    <s v="Pinnacle"/>
    <s v="ODC"/>
    <s v="New"/>
    <s v="Pharma"/>
    <s v="Devendra"/>
    <m/>
    <s v="Business confirmed"/>
    <s v="Closed(C4)"/>
    <m/>
    <m/>
    <s v=""/>
    <s v=""/>
    <s v="Hot"/>
    <n v="50000"/>
    <n v="56450"/>
    <d v="2026-05-28T00:00:00"/>
    <m/>
    <x v="8"/>
    <s v="Received at HO"/>
    <m/>
    <m/>
    <x v="1"/>
    <m/>
    <s v=""/>
    <m/>
  </r>
  <r>
    <d v="2026-05-28T00:00:00"/>
    <s v="Bashab"/>
    <s v="Bangalore"/>
    <x v="118"/>
    <s v="F2F"/>
    <s v="Corporate"/>
    <m/>
    <s v="Bulk Order"/>
    <s v="New"/>
    <s v="Retail"/>
    <s v="Gagan sagar"/>
    <m/>
    <s v="Business Closed"/>
    <s v="Closed(C4)"/>
    <m/>
    <m/>
    <s v=""/>
    <s v=""/>
    <s v="Hot"/>
    <n v="50000"/>
    <n v="54863"/>
    <d v="2026-05-28T00:00:00"/>
    <m/>
    <x v="11"/>
    <s v="Received at HO"/>
    <m/>
    <m/>
    <x v="1"/>
    <m/>
    <s v=""/>
    <m/>
  </r>
  <r>
    <d v="2026-05-28T00:00:00"/>
    <s v="Bashab"/>
    <s v="Bangalore"/>
    <x v="15"/>
    <s v="F2F"/>
    <s v="Corporate"/>
    <m/>
    <s v="Popup Counter"/>
    <s v="Repeat"/>
    <s v="Retail"/>
    <s v="James"/>
    <m/>
    <s v="Business Closed"/>
    <s v="Closed(C4)"/>
    <m/>
    <m/>
    <s v=""/>
    <s v=""/>
    <s v="Hot"/>
    <n v="15000"/>
    <n v="13310"/>
    <d v="2026-05-28T00:00:00"/>
    <m/>
    <x v="7"/>
    <s v="Received at HO"/>
    <m/>
    <d v="2026-05-28T00:00:00"/>
    <x v="1"/>
    <m/>
    <s v=""/>
    <m/>
  </r>
  <r>
    <d v="2026-05-28T00:00:00"/>
    <s v="Pradeep"/>
    <s v="Hyderabad"/>
    <x v="179"/>
    <s v="F2F"/>
    <s v="Corporate"/>
    <m/>
    <s v="Bulk Order"/>
    <s v="New"/>
    <s v="It"/>
    <s v="Venkat "/>
    <m/>
    <s v="Proposed for Bulk order and Biryani Kits for Gifting"/>
    <s v="Cancelled"/>
    <m/>
    <m/>
    <n v="144"/>
    <s v=""/>
    <s v="Warm"/>
    <n v="50000"/>
    <m/>
    <m/>
    <m/>
    <x v="5"/>
    <m/>
    <m/>
    <m/>
    <x v="1"/>
    <m/>
    <s v=""/>
    <m/>
  </r>
  <r>
    <d v="2026-05-28T00:00:00"/>
    <s v="Sameer"/>
    <s v="Hyderabad"/>
    <x v="20"/>
    <s v="Call"/>
    <s v="Aggregator"/>
    <s v="SmartQ"/>
    <s v="Pop Up Counter"/>
    <s v="New"/>
    <s v="F&amp;B Aggregator"/>
    <s v="Sekhar"/>
    <m/>
    <s v="Business Closed"/>
    <s v="Closed(C4)"/>
    <m/>
    <m/>
    <s v=""/>
    <s v=""/>
    <s v="Hot"/>
    <n v="60000"/>
    <n v="30720"/>
    <d v="2026-05-28T00:00:00"/>
    <s v="00GCBTA000290033"/>
    <x v="2"/>
    <s v="Received at HO"/>
    <m/>
    <m/>
    <x v="1"/>
    <m/>
    <s v=""/>
    <m/>
  </r>
  <r>
    <d v="2026-05-29T00:00:00"/>
    <s v="Sameer"/>
    <s v="Hyderabad"/>
    <x v="20"/>
    <s v="Call"/>
    <s v="Aggregator"/>
    <s v="SmartQ"/>
    <s v="Pop Up Counter"/>
    <s v="Repeat"/>
    <s v="F&amp;B Aggregator"/>
    <s v="Sekhar"/>
    <m/>
    <s v="Business Closed"/>
    <s v="Closed(C4)"/>
    <m/>
    <m/>
    <m/>
    <m/>
    <s v="Hot"/>
    <n v="60000"/>
    <n v="71350"/>
    <d v="2026-05-29T00:00:00"/>
    <s v="00GCBTA000290133"/>
    <x v="2"/>
    <s v="Received at HO"/>
    <m/>
    <m/>
    <x v="1"/>
    <m/>
    <m/>
    <s v="Takeaway-Bulk-Insti"/>
  </r>
  <r>
    <d v="2026-05-29T00:00:00"/>
    <s v="Pradeep"/>
    <s v="Hyderabad"/>
    <x v="180"/>
    <s v="F2F"/>
    <s v="Bulk Order"/>
    <m/>
    <s v="Bulk Order"/>
    <s v="New"/>
    <s v="Community"/>
    <s v="Srikanth"/>
    <m/>
    <s v="BUlk order Business Closed"/>
    <s v="Closed(C4)"/>
    <m/>
    <m/>
    <s v=""/>
    <s v=""/>
    <s v="Hot"/>
    <n v="10000"/>
    <n v="2790"/>
    <d v="2026-05-29T00:00:00"/>
    <s v="00HCA05000020150"/>
    <x v="4"/>
    <s v="Received at Store"/>
    <m/>
    <d v="2026-05-29T00:00:00"/>
    <x v="1"/>
    <m/>
    <s v=""/>
    <s v="Takeaway-Bulk-Insti"/>
  </r>
  <r>
    <d v="2026-05-29T00:00:00"/>
    <s v="Bashab"/>
    <s v="Bangalore"/>
    <x v="163"/>
    <s v="F2F"/>
    <s v="ODC"/>
    <s v="Pinnacle"/>
    <s v="ODC"/>
    <s v="New"/>
    <s v="Pharma"/>
    <s v="Devendra"/>
    <m/>
    <s v="Business confirmed"/>
    <s v="Closed(C4)"/>
    <m/>
    <m/>
    <s v=""/>
    <s v=""/>
    <s v="Hot"/>
    <n v="40000"/>
    <n v="35150"/>
    <d v="2026-05-29T00:00:00"/>
    <m/>
    <x v="8"/>
    <s v="Received at HO"/>
    <m/>
    <m/>
    <x v="1"/>
    <m/>
    <s v=""/>
    <m/>
  </r>
  <r>
    <d v="2026-06-01T00:00:00"/>
    <s v="Bashab"/>
    <s v="Bangalore"/>
    <x v="37"/>
    <s v="Call"/>
    <s v="Aggregator"/>
    <s v="SmartQ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2"/>
    <m/>
    <s v=""/>
    <m/>
  </r>
  <r>
    <d v="2026-06-01T00:00:00"/>
    <s v="Bashab"/>
    <s v="Bangalore"/>
    <x v="41"/>
    <s v="Call"/>
    <s v="Aggregator"/>
    <s v="SmartQ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2"/>
    <m/>
    <s v=""/>
    <m/>
  </r>
  <r>
    <d v="2026-06-01T00:00:00"/>
    <s v="Bashab"/>
    <s v="Bangalore"/>
    <x v="122"/>
    <s v="Call"/>
    <s v="Aggregator"/>
    <s v="SmartQ"/>
    <s v="Pop Up Counter"/>
    <s v="Repeat"/>
    <s v="It"/>
    <s v="Naveen"/>
    <m/>
    <s v="Pop-up counter done"/>
    <s v="Confirmed( C3 )"/>
    <m/>
    <m/>
    <m/>
    <s v=""/>
    <s v="Hot"/>
    <m/>
    <m/>
    <m/>
    <m/>
    <x v="11"/>
    <m/>
    <m/>
    <m/>
    <x v="2"/>
    <m/>
    <s v=""/>
    <m/>
  </r>
  <r>
    <d v="2026-06-01T00:00:00"/>
    <s v="Bashab"/>
    <s v="Bangalore"/>
    <x v="40"/>
    <s v="F2F"/>
    <s v="Corporate"/>
    <m/>
    <s v="Popup Counter"/>
    <s v="Repeat"/>
    <s v="Retail"/>
    <s v="Srinivas"/>
    <m/>
    <s v="Popup Confirmed"/>
    <s v="Confirmed( C3 )"/>
    <m/>
    <m/>
    <m/>
    <s v=""/>
    <s v="Hot"/>
    <m/>
    <m/>
    <m/>
    <m/>
    <x v="7"/>
    <m/>
    <m/>
    <m/>
    <x v="2"/>
    <m/>
    <s v=""/>
    <m/>
  </r>
  <r>
    <d v="2026-06-01T00:00:00"/>
    <s v="Bashab"/>
    <s v="Bangalore"/>
    <x v="18"/>
    <s v="F2F"/>
    <s v="Corporate"/>
    <m/>
    <s v="Popup Counter"/>
    <s v="Repeat"/>
    <s v="Retail"/>
    <s v="Vinod"/>
    <m/>
    <s v="Popup Confirmed"/>
    <s v="Confirmed( C3 )"/>
    <m/>
    <m/>
    <m/>
    <s v=""/>
    <s v="Hot"/>
    <m/>
    <m/>
    <m/>
    <m/>
    <x v="7"/>
    <m/>
    <m/>
    <m/>
    <x v="2"/>
    <m/>
    <s v=""/>
    <m/>
  </r>
  <r>
    <d v="2026-06-01T00:00:00"/>
    <s v="Bashab"/>
    <s v="Bangalore"/>
    <x v="15"/>
    <s v="F2F"/>
    <s v="Corporate"/>
    <m/>
    <s v="Popup Counter"/>
    <s v="Repeat"/>
    <s v="Retail"/>
    <s v="James"/>
    <m/>
    <s v="Popup Confirmed"/>
    <s v="Confirmed( C3 )"/>
    <m/>
    <m/>
    <m/>
    <s v=""/>
    <s v="Hot"/>
    <m/>
    <m/>
    <m/>
    <m/>
    <x v="7"/>
    <m/>
    <m/>
    <m/>
    <x v="2"/>
    <m/>
    <s v=""/>
    <m/>
  </r>
  <r>
    <d v="2026-06-01T00:00:00"/>
    <s v="Bashab"/>
    <s v="Bangalore"/>
    <x v="31"/>
    <s v="F2F"/>
    <s v="Corporate"/>
    <m/>
    <s v="Popup Counter"/>
    <s v="Repeat"/>
    <s v="Retail"/>
    <s v="Mueenudheen"/>
    <m/>
    <s v="Popup Confirmed"/>
    <s v="Confirmed( C3 )"/>
    <m/>
    <m/>
    <m/>
    <s v=""/>
    <s v="Hot"/>
    <m/>
    <m/>
    <m/>
    <m/>
    <x v="7"/>
    <m/>
    <m/>
    <m/>
    <x v="2"/>
    <m/>
    <s v=""/>
    <m/>
  </r>
  <r>
    <d v="2026-06-01T00:00:00"/>
    <s v="Bashab"/>
    <s v="Bangalore"/>
    <x v="123"/>
    <s v="Call"/>
    <s v="Corporate"/>
    <m/>
    <s v="Pop Up Counter"/>
    <s v="Repeat"/>
    <s v="It"/>
    <s v="Anand"/>
    <m/>
    <s v="Pop-up counter confirmed"/>
    <s v="Confirmed( C3 )"/>
    <m/>
    <m/>
    <m/>
    <s v=""/>
    <s v="Hot"/>
    <m/>
    <m/>
    <m/>
    <m/>
    <x v="21"/>
    <m/>
    <m/>
    <m/>
    <x v="2"/>
    <m/>
    <s v=""/>
    <m/>
  </r>
  <r>
    <d v="2026-06-01T00:00:00"/>
    <s v="Bashab"/>
    <s v="Hyderabad"/>
    <x v="156"/>
    <s v="F2F"/>
    <s v="Aggregator"/>
    <s v="Compass"/>
    <s v="Bulk Order"/>
    <s v="New"/>
    <s v="F&amp;B Aggregator"/>
    <s v="Srinivas"/>
    <m/>
    <s v="Business Closed"/>
    <s v="Confirmed( C3 )"/>
    <m/>
    <m/>
    <m/>
    <s v=""/>
    <s v="Hot"/>
    <m/>
    <m/>
    <m/>
    <m/>
    <x v="5"/>
    <m/>
    <m/>
    <m/>
    <x v="2"/>
    <m/>
    <s v=""/>
    <m/>
  </r>
  <r>
    <d v="2026-06-01T00:00:00"/>
    <s v="Bashab"/>
    <s v="Bangalore"/>
    <x v="28"/>
    <s v="F2F"/>
    <s v="Aggregator"/>
    <s v="Gokhana"/>
    <s v="Bulk Order"/>
    <s v="Repeat"/>
    <s v="F&amp;B Aggregator"/>
    <s v="Navya"/>
    <m/>
    <s v="Business Confirmed"/>
    <s v="Confirmed( C3 )"/>
    <m/>
    <m/>
    <m/>
    <s v=""/>
    <s v="Hot"/>
    <m/>
    <m/>
    <m/>
    <m/>
    <x v="8"/>
    <m/>
    <m/>
    <m/>
    <x v="2"/>
    <m/>
    <s v=""/>
    <m/>
  </r>
  <r>
    <d v="2026-06-01T00:00:00"/>
    <s v="Bashab"/>
    <s v="Bangalore"/>
    <x v="66"/>
    <s v="Call"/>
    <s v="Aggregator"/>
    <s v="Gokhana"/>
    <s v="Pop Up Counter"/>
    <s v="Repeat"/>
    <s v="It"/>
    <s v="Navya"/>
    <m/>
    <s v="Popup Confirmed"/>
    <s v="Confirmed( C3 )"/>
    <m/>
    <m/>
    <m/>
    <s v=""/>
    <s v="Hot"/>
    <m/>
    <m/>
    <m/>
    <m/>
    <x v="11"/>
    <m/>
    <m/>
    <m/>
    <x v="2"/>
    <m/>
    <s v=""/>
    <m/>
  </r>
  <r>
    <d v="2026-06-01T00:00:00"/>
    <s v="Bashab"/>
    <s v="Bangalore"/>
    <x v="181"/>
    <s v="F2F"/>
    <s v="Corporate"/>
    <m/>
    <s v="Bulk Order"/>
    <s v="New"/>
    <s v="It"/>
    <s v="Pramodh"/>
    <m/>
    <s v="Confirmed bulk order"/>
    <s v="Confirmed( C3 )"/>
    <m/>
    <m/>
    <m/>
    <s v=""/>
    <s v="Hot"/>
    <m/>
    <m/>
    <m/>
    <m/>
    <x v="13"/>
    <m/>
    <m/>
    <m/>
    <x v="2"/>
    <m/>
    <s v=""/>
    <m/>
  </r>
  <r>
    <d v="2026-06-01T00:00:00"/>
    <s v="Pradeep"/>
    <s v="Hyderabad"/>
    <x v="182"/>
    <s v="F2F"/>
    <s v="Corporate"/>
    <m/>
    <s v="Bulk Order"/>
    <s v="New"/>
    <s v="F&amp;B Aggregator"/>
    <s v="Suman"/>
    <m/>
    <s v="Has a Bulk order requirement , and requested for a sensory on wednesday i,e on 03/06/2026 1 veg &amp; 1 Chicken Biryani further order confirm."/>
    <s v="Confirmed( C3 )"/>
    <m/>
    <m/>
    <n v="140"/>
    <s v=""/>
    <s v="Warm"/>
    <n v="0"/>
    <n v="0"/>
    <m/>
    <m/>
    <x v="5"/>
    <m/>
    <m/>
    <m/>
    <x v="2"/>
    <m/>
    <s v=""/>
    <m/>
  </r>
  <r>
    <d v="2026-06-01T00:00:00"/>
    <s v="Pradeep"/>
    <s v="Hyderabad"/>
    <x v="183"/>
    <s v="F2F"/>
    <s v="Corporate"/>
    <m/>
    <s v="Bulk Order"/>
    <s v="New"/>
    <s v="Entertainment"/>
    <s v="Ravi Kumar"/>
    <m/>
    <s v="Has a bulk order requiremnt for 100 pax"/>
    <s v="Cancelled"/>
    <m/>
    <m/>
    <n v="140"/>
    <s v=""/>
    <s v="Warm"/>
    <n v="60000"/>
    <m/>
    <m/>
    <m/>
    <x v="5"/>
    <m/>
    <m/>
    <m/>
    <x v="2"/>
    <m/>
    <s v=""/>
    <m/>
  </r>
  <r>
    <d v="2026-06-01T00:00:00"/>
    <s v="Pradeep"/>
    <s v="Hyderabad"/>
    <x v="164"/>
    <s v="F2F"/>
    <s v="Corporate"/>
    <m/>
    <s v="Bulk Order"/>
    <s v="New"/>
    <s v="F&amp;B Aggregator"/>
    <s v="Ajay"/>
    <m/>
    <s v="Proposed for Bulk order and Biryani Kits for Gifting"/>
    <s v="Cancelled"/>
    <m/>
    <m/>
    <n v="140"/>
    <s v=""/>
    <s v="Cold"/>
    <n v="50000"/>
    <m/>
    <m/>
    <m/>
    <x v="5"/>
    <m/>
    <m/>
    <m/>
    <x v="2"/>
    <m/>
    <s v=""/>
    <m/>
  </r>
  <r>
    <d v="2026-06-01T00:00:00"/>
    <s v="Pradeep"/>
    <s v="Hyderabad"/>
    <x v="184"/>
    <s v="F2F"/>
    <s v="Corporate"/>
    <m/>
    <s v="Bulk Order"/>
    <s v="New"/>
    <s v="F&amp;B Aggregator"/>
    <s v="Ram"/>
    <m/>
    <s v="Proposed for Bulk order and Biryani Kits for Gifting"/>
    <s v="Cancelled"/>
    <m/>
    <m/>
    <n v="140"/>
    <s v=""/>
    <s v="Warm"/>
    <n v="70000"/>
    <m/>
    <m/>
    <m/>
    <x v="5"/>
    <m/>
    <m/>
    <m/>
    <x v="2"/>
    <m/>
    <s v=""/>
    <m/>
  </r>
  <r>
    <d v="2026-06-01T00:00:00"/>
    <s v="Bashab"/>
    <s v="Bangalore"/>
    <x v="185"/>
    <s v="F2F"/>
    <s v="Corporate"/>
    <m/>
    <s v="Bulk Order"/>
    <s v="New"/>
    <s v="It"/>
    <s v="Subhi"/>
    <m/>
    <s v="Confirmed bulk order"/>
    <s v="Introduction( C0 )"/>
    <m/>
    <m/>
    <n v="140"/>
    <s v=""/>
    <s v="Hot"/>
    <m/>
    <m/>
    <m/>
    <m/>
    <x v="5"/>
    <m/>
    <m/>
    <m/>
    <x v="2"/>
    <m/>
    <s v=""/>
    <m/>
  </r>
  <r>
    <d v="2026-06-01T00:00:00"/>
    <s v="Sameer"/>
    <s v="Hyderabad"/>
    <x v="156"/>
    <s v="F2F"/>
    <s v="Aggregator"/>
    <s v="Compass"/>
    <s v="Bulk Order"/>
    <s v="New"/>
    <s v="F&amp;B Aggregator"/>
    <s v="Subhadeep/Srinivas"/>
    <m/>
    <s v="Confirmed  for 3000 kgs chicken biryani on wenesday."/>
    <s v="Closed(C4)"/>
    <m/>
    <m/>
    <s v=""/>
    <s v=""/>
    <s v="Hot"/>
    <n v="0"/>
    <n v="0"/>
    <m/>
    <m/>
    <x v="5"/>
    <m/>
    <m/>
    <m/>
    <x v="2"/>
    <m/>
    <s v=""/>
    <m/>
  </r>
  <r>
    <d v="2026-06-01T00:00:00"/>
    <s v="Sameer"/>
    <s v="Hyderabad"/>
    <x v="20"/>
    <s v="Call"/>
    <s v="Aggregator"/>
    <s v="SmartQ"/>
    <s v="Pop Up Counter"/>
    <s v="Repeat"/>
    <s v="F&amp;B Aggregator"/>
    <s v="Sekhar"/>
    <m/>
    <s v="Business Closed"/>
    <s v="Closed(C4)"/>
    <m/>
    <m/>
    <m/>
    <m/>
    <s v="Hot"/>
    <n v="35000"/>
    <n v="18350"/>
    <d v="2026-06-01T00:00:00"/>
    <m/>
    <x v="17"/>
    <s v="Received at HO"/>
    <m/>
    <m/>
    <x v="2"/>
    <m/>
    <s v=""/>
    <m/>
  </r>
  <r>
    <d v="2026-06-02T00:00:00"/>
    <s v="Bashab"/>
    <s v="Bangalore"/>
    <x v="185"/>
    <s v="F2F"/>
    <s v="Corporate"/>
    <m/>
    <s v="Bulk Order"/>
    <s v="New"/>
    <s v="It"/>
    <s v="Subhi"/>
    <m/>
    <s v="Business Closed"/>
    <s v="Closed(C4)"/>
    <m/>
    <m/>
    <s v=""/>
    <s v=""/>
    <s v="Hot"/>
    <n v="18220"/>
    <n v="18220"/>
    <d v="2026-06-02T00:00:00"/>
    <s v="00BHA01000002749"/>
    <x v="27"/>
    <s v="Received at Store"/>
    <m/>
    <d v="2026-06-02T00:00:00"/>
    <x v="2"/>
    <m/>
    <s v=""/>
    <m/>
  </r>
  <r>
    <d v="2026-06-02T00:00:00"/>
    <s v="Bashab"/>
    <s v="Bangalore"/>
    <x v="31"/>
    <s v="F2F"/>
    <s v="Corporate"/>
    <m/>
    <s v="Popup Counter"/>
    <s v="Repeat"/>
    <s v="Retail"/>
    <s v="Mueenudheen"/>
    <m/>
    <s v="Popup Confirmed"/>
    <s v="Closed(C4)"/>
    <m/>
    <m/>
    <m/>
    <s v=""/>
    <s v="Hot"/>
    <n v="15000"/>
    <n v="10695"/>
    <d v="2026-06-02T00:00:00"/>
    <s v="00WFC01000027642"/>
    <x v="7"/>
    <s v="Received at Store"/>
    <m/>
    <d v="2026-06-02T00:00:00"/>
    <x v="2"/>
    <m/>
    <s v=""/>
    <m/>
  </r>
  <r>
    <d v="2026-06-02T00:00:00"/>
    <s v="Pradeep"/>
    <s v="Hyderabad"/>
    <x v="186"/>
    <s v="F2F"/>
    <s v="Corporate"/>
    <m/>
    <s v="Bulk Order"/>
    <s v="New"/>
    <s v="Healthcare"/>
    <s v="Renu"/>
    <m/>
    <s v="Proposed for Bulk order and Biryani Kits for Gifting"/>
    <s v="Cancelled"/>
    <m/>
    <m/>
    <m/>
    <m/>
    <s v="Warm"/>
    <n v="40000"/>
    <m/>
    <m/>
    <m/>
    <x v="5"/>
    <m/>
    <m/>
    <m/>
    <x v="2"/>
    <m/>
    <m/>
    <m/>
  </r>
  <r>
    <d v="2026-06-02T00:00:00"/>
    <s v="Pradeep"/>
    <s v="Hyderabad"/>
    <x v="187"/>
    <s v="F2F"/>
    <s v="Corporate"/>
    <m/>
    <s v="Bulk Order"/>
    <s v="New"/>
    <s v="Manufacturing"/>
    <s v="Shivam"/>
    <m/>
    <s v="Proposed for Bulk order and Biryani Kits for Gifting"/>
    <s v="Cancelled"/>
    <d v="2026-09-04T00:00:00"/>
    <s v="Call"/>
    <m/>
    <m/>
    <s v="Warm"/>
    <n v="100000"/>
    <m/>
    <m/>
    <m/>
    <x v="5"/>
    <m/>
    <m/>
    <m/>
    <x v="2"/>
    <m/>
    <m/>
    <m/>
  </r>
  <r>
    <d v="2026-06-02T00:00:00"/>
    <s v="Pradeep"/>
    <s v="Hyderabad"/>
    <x v="188"/>
    <s v="F2F"/>
    <s v="Corporate"/>
    <m/>
    <s v="Bulk Order"/>
    <s v="New"/>
    <s v="Healthcare"/>
    <s v="suresh"/>
    <m/>
    <s v="Proposed for Bulk order and Biryani Kits for Gifting"/>
    <s v="Cancelled"/>
    <m/>
    <m/>
    <m/>
    <m/>
    <s v="Hot"/>
    <n v="25000"/>
    <m/>
    <m/>
    <m/>
    <x v="5"/>
    <m/>
    <m/>
    <m/>
    <x v="2"/>
    <m/>
    <m/>
    <m/>
  </r>
  <r>
    <d v="2026-06-02T00:00:00"/>
    <s v="Bashab"/>
    <s v="Bangalore"/>
    <x v="76"/>
    <s v="Call"/>
    <s v="Aggregator"/>
    <s v="Hunger Box"/>
    <s v="Bulk Order"/>
    <s v="New"/>
    <m/>
    <s v="Yashi"/>
    <m/>
    <s v="Business Closed"/>
    <s v="Closed(C4)"/>
    <m/>
    <m/>
    <s v=""/>
    <s v=""/>
    <s v="Hot"/>
    <n v="5000"/>
    <n v="8250"/>
    <d v="2026-06-02T00:00:00"/>
    <m/>
    <x v="8"/>
    <s v="Received at HO"/>
    <m/>
    <d v="2026-06-02T00:00:00"/>
    <x v="2"/>
    <m/>
    <s v=""/>
    <m/>
  </r>
  <r>
    <d v="2026-06-03T00:00:00"/>
    <s v="Bashab"/>
    <s v="Bangalore"/>
    <x v="181"/>
    <s v="F2F"/>
    <s v="Corporate"/>
    <m/>
    <s v="Bulk Order"/>
    <s v="New"/>
    <s v="It"/>
    <s v="Pramodh"/>
    <m/>
    <s v="Confirmed bulk order"/>
    <s v="Closed(C4)"/>
    <m/>
    <m/>
    <m/>
    <s v=""/>
    <s v="Hot"/>
    <n v="150000"/>
    <n v="192100"/>
    <d v="2026-06-03T00:00:00"/>
    <s v="00DDTA1000022461"/>
    <x v="13"/>
    <s v="Received at Store"/>
    <m/>
    <d v="2026-06-03T00:00:00"/>
    <x v="2"/>
    <m/>
    <s v=""/>
    <m/>
  </r>
  <r>
    <d v="2026-06-03T00:00:00"/>
    <s v="Pradeep"/>
    <s v="Hyderabad"/>
    <x v="156"/>
    <s v="F2F"/>
    <s v="Aggregator"/>
    <s v="Compass"/>
    <s v="Bulk Order"/>
    <s v="New"/>
    <s v="F&amp;B Aggregator"/>
    <s v="Sanjay"/>
    <m/>
    <s v="Confirmed bulk order"/>
    <s v="Closed(C4)"/>
    <m/>
    <m/>
    <s v=""/>
    <s v=""/>
    <s v="Hot"/>
    <n v="0"/>
    <n v="0"/>
    <m/>
    <m/>
    <x v="5"/>
    <m/>
    <m/>
    <m/>
    <x v="2"/>
    <m/>
    <s v=""/>
    <m/>
  </r>
  <r>
    <d v="2026-06-03T00:00:00"/>
    <s v="Pradeep"/>
    <s v="Hyderabad"/>
    <x v="189"/>
    <s v="F2F"/>
    <s v="Corporate"/>
    <m/>
    <s v="Bulk Order"/>
    <s v="New"/>
    <s v="It"/>
    <s v="Reddy"/>
    <m/>
    <s v="Has a Requirement for Bulk order , Sensory done waiting for further update"/>
    <s v="Cancelled"/>
    <m/>
    <m/>
    <n v="138"/>
    <s v=""/>
    <s v="Hot"/>
    <n v="200000"/>
    <n v="0"/>
    <d v="2026-06-11T00:00:00"/>
    <m/>
    <x v="5"/>
    <m/>
    <m/>
    <m/>
    <x v="2"/>
    <m/>
    <s v=""/>
    <m/>
  </r>
  <r>
    <d v="2026-06-03T00:00:00"/>
    <s v="Bashab"/>
    <s v="Bangalore"/>
    <x v="185"/>
    <s v="F2F"/>
    <s v="Corporate"/>
    <m/>
    <s v="Bulk Order"/>
    <s v="New"/>
    <s v="It"/>
    <s v="Subhi"/>
    <m/>
    <s v="Business Closed"/>
    <s v="Closed(C4)"/>
    <m/>
    <m/>
    <s v=""/>
    <s v=""/>
    <s v="Hot"/>
    <n v="10000"/>
    <n v="9015"/>
    <d v="2026-06-03T00:00:00"/>
    <s v="00BHA01000002750"/>
    <x v="27"/>
    <s v="Received at Store"/>
    <m/>
    <d v="2026-06-03T00:00:00"/>
    <x v="2"/>
    <m/>
    <s v=""/>
    <m/>
  </r>
  <r>
    <d v="2026-06-03T00:00:00"/>
    <s v="Bashab"/>
    <s v="Bangalore"/>
    <x v="18"/>
    <s v="F2F"/>
    <s v="Corporate"/>
    <m/>
    <s v="Popup Counter"/>
    <s v="Repeat"/>
    <s v="Retail"/>
    <s v="Vinod"/>
    <m/>
    <s v="Business Closed"/>
    <s v="Closed(C4)"/>
    <m/>
    <m/>
    <m/>
    <s v=""/>
    <s v="Hot"/>
    <n v="15000"/>
    <n v="14719"/>
    <d v="2026-06-03T00:00:00"/>
    <s v="00WFC01000027667"/>
    <x v="7"/>
    <s v="Received at Store"/>
    <m/>
    <d v="2026-06-03T00:00:00"/>
    <x v="2"/>
    <m/>
    <s v=""/>
    <m/>
  </r>
  <r>
    <d v="2026-06-03T00:00:00"/>
    <s v="Bashab"/>
    <s v="Bangalore"/>
    <x v="37"/>
    <s v="Call"/>
    <s v="Aggregator"/>
    <s v="SmartQ"/>
    <s v="Pop Up Counter"/>
    <s v="Repeat"/>
    <s v="It"/>
    <s v="Harish"/>
    <m/>
    <s v="Popup Confirmed"/>
    <s v="Closed(C4)"/>
    <m/>
    <m/>
    <m/>
    <s v=""/>
    <s v="Hot"/>
    <n v="10000"/>
    <n v="5905"/>
    <d v="2026-06-03T00:00:00"/>
    <m/>
    <x v="12"/>
    <s v="Received at HO"/>
    <m/>
    <m/>
    <x v="2"/>
    <m/>
    <s v=""/>
    <m/>
  </r>
  <r>
    <d v="2026-06-03T00:00:00"/>
    <s v="Bashab"/>
    <s v="Bangalore"/>
    <x v="41"/>
    <s v="Call"/>
    <s v="Aggregator"/>
    <s v="SmartQ"/>
    <s v="Pop Up Counter"/>
    <s v="Repeat"/>
    <s v="It"/>
    <s v="Harish"/>
    <m/>
    <s v="Popup Confirmed"/>
    <s v="Closed(C4)"/>
    <m/>
    <m/>
    <m/>
    <s v=""/>
    <s v="Hot"/>
    <n v="15000"/>
    <n v="13995"/>
    <d v="2026-06-03T00:00:00"/>
    <m/>
    <x v="12"/>
    <s v="Received at HO"/>
    <m/>
    <m/>
    <x v="2"/>
    <m/>
    <s v=""/>
    <m/>
  </r>
  <r>
    <d v="2026-06-03T00:00:00"/>
    <s v="Bashab"/>
    <s v="Bangalore"/>
    <x v="122"/>
    <s v="Call"/>
    <s v="Aggregator"/>
    <s v="SmartQ"/>
    <s v="Pop Up Counter"/>
    <s v="Repeat"/>
    <s v="It"/>
    <s v="Naveen"/>
    <m/>
    <s v="Pop-up counter done"/>
    <s v="Closed(C4)"/>
    <m/>
    <m/>
    <m/>
    <s v=""/>
    <s v="Hot"/>
    <n v="10000"/>
    <n v="13725"/>
    <d v="2026-06-03T00:00:00"/>
    <m/>
    <x v="12"/>
    <s v="Received at HO"/>
    <m/>
    <m/>
    <x v="2"/>
    <m/>
    <s v=""/>
    <m/>
  </r>
  <r>
    <d v="2026-06-03T00:00:00"/>
    <s v="Bashab"/>
    <s v="Hyderabad"/>
    <x v="156"/>
    <s v="F2F"/>
    <s v="Aggregator"/>
    <s v="Compass"/>
    <s v="Bulk Order"/>
    <s v="New"/>
    <s v="F&amp;B Aggregator"/>
    <s v="Srinivas"/>
    <m/>
    <s v="Business Closed"/>
    <s v="Closed(C4)"/>
    <m/>
    <m/>
    <m/>
    <s v=""/>
    <s v="Hot"/>
    <n v="700000"/>
    <n v="637560"/>
    <d v="2026-06-03T00:00:00"/>
    <s v="CIFSPL27050616"/>
    <x v="17"/>
    <s v="Received at HO"/>
    <m/>
    <m/>
    <x v="2"/>
    <m/>
    <s v=""/>
    <m/>
  </r>
  <r>
    <d v="2026-06-03T00:00:00"/>
    <s v="Sameer"/>
    <s v="Hyderabad"/>
    <x v="156"/>
    <s v="F2F"/>
    <s v="Aggregator"/>
    <s v="Compass"/>
    <s v="Bulk Order"/>
    <s v="New"/>
    <s v="F&amp;B Aggregator"/>
    <s v="Srinivas"/>
    <m/>
    <s v="Business Closed"/>
    <s v="Closed(C4)"/>
    <m/>
    <m/>
    <m/>
    <s v=""/>
    <s v="Hot"/>
    <n v="700000"/>
    <n v="637560"/>
    <d v="2026-06-03T00:00:00"/>
    <s v="CIFSPL27050616"/>
    <x v="17"/>
    <s v="Received at HO"/>
    <m/>
    <m/>
    <x v="2"/>
    <m/>
    <s v=""/>
    <m/>
  </r>
  <r>
    <d v="2026-06-03T00:00:00"/>
    <s v="Sameer"/>
    <s v="Hyderabad"/>
    <x v="20"/>
    <s v="Call"/>
    <s v="Aggregator"/>
    <s v="SmartQ"/>
    <s v="Pop Up Counter"/>
    <s v="Repeat"/>
    <s v="F&amp;B Aggregator"/>
    <s v="Sekhar"/>
    <m/>
    <s v="Business Closed"/>
    <s v="Closed(C4)"/>
    <m/>
    <m/>
    <m/>
    <m/>
    <s v="Hot"/>
    <n v="60000"/>
    <n v="38620"/>
    <d v="2026-06-03T00:00:00"/>
    <m/>
    <x v="2"/>
    <s v="Received at HO"/>
    <m/>
    <m/>
    <x v="2"/>
    <m/>
    <s v=""/>
    <m/>
  </r>
  <r>
    <d v="2026-06-03T00:00:00"/>
    <s v="Sameer"/>
    <s v="Hyderabad"/>
    <x v="190"/>
    <s v="F2F"/>
    <s v="Corporate"/>
    <m/>
    <s v="Bulk Order"/>
    <s v="New"/>
    <s v="Manufacturing"/>
    <s v="Srinivas"/>
    <m/>
    <s v="Followup"/>
    <s v="Cancelled"/>
    <m/>
    <m/>
    <n v="138"/>
    <s v=""/>
    <s v="Hot"/>
    <n v="50000"/>
    <m/>
    <m/>
    <m/>
    <x v="5"/>
    <m/>
    <m/>
    <m/>
    <x v="2"/>
    <m/>
    <s v=""/>
    <m/>
  </r>
  <r>
    <d v="2026-06-03T00:00:00"/>
    <s v="Pradeep"/>
    <s v="Hyderabad"/>
    <x v="130"/>
    <s v="F2F"/>
    <s v="Corporate"/>
    <m/>
    <s v="Bulk Order"/>
    <s v="New"/>
    <s v="Manufacturing"/>
    <s v="Kumar"/>
    <m/>
    <s v="Business Closed"/>
    <s v="Closed(C4)"/>
    <m/>
    <m/>
    <m/>
    <m/>
    <s v="Hot"/>
    <n v="5000"/>
    <n v="973"/>
    <d v="2026-06-03T00:00:00"/>
    <s v="00SGA13000016763"/>
    <x v="14"/>
    <s v="Received at Store"/>
    <m/>
    <d v="2026-06-03T00:00:00"/>
    <x v="2"/>
    <m/>
    <m/>
    <s v="Takeaway-Bulk-Insti"/>
  </r>
  <r>
    <d v="2026-06-03T00:00:00"/>
    <s v="Bashab"/>
    <s v="Chennai"/>
    <x v="9"/>
    <s v="Call"/>
    <s v="Aggregator"/>
    <s v="Hunger Box"/>
    <s v="Pop Up Counter"/>
    <s v="New"/>
    <s v="F&amp;B Aggregator"/>
    <s v="Raj"/>
    <m/>
    <s v="Followup"/>
    <s v="Follow-up( C1 )"/>
    <d v="2026-09-18T00:00:00"/>
    <s v="F2F"/>
    <n v="138"/>
    <s v="Yes"/>
    <s v="Warm"/>
    <m/>
    <m/>
    <m/>
    <m/>
    <x v="5"/>
    <m/>
    <m/>
    <m/>
    <x v="2"/>
    <m/>
    <s v=""/>
    <m/>
  </r>
  <r>
    <d v="2026-06-03T00:00:00"/>
    <s v="Bashab"/>
    <s v="Bangalore"/>
    <x v="191"/>
    <s v="F2F"/>
    <s v="Aggregator"/>
    <s v="Meals &amp; More"/>
    <s v="ODC"/>
    <s v="New"/>
    <s v="F&amp;B Aggregator"/>
    <s v="Rawath"/>
    <m/>
    <s v="Followup"/>
    <s v="Follow-up( C1 )"/>
    <d v="2026-09-18T00:00:00"/>
    <s v="Call"/>
    <n v="138"/>
    <s v="Yes"/>
    <s v="Warm"/>
    <m/>
    <m/>
    <m/>
    <m/>
    <x v="5"/>
    <m/>
    <m/>
    <m/>
    <x v="2"/>
    <m/>
    <s v=""/>
    <m/>
  </r>
  <r>
    <d v="2026-06-03T00:00:00"/>
    <s v="Bashab"/>
    <s v="Bangalore"/>
    <x v="16"/>
    <s v="Call"/>
    <s v="Corporate"/>
    <m/>
    <s v="Bulk Order"/>
    <s v="Repeat"/>
    <s v="Retail"/>
    <s v="Mohammed"/>
    <m/>
    <s v="Business Closed"/>
    <s v="Closed(C4)"/>
    <m/>
    <m/>
    <s v=""/>
    <s v=""/>
    <s v="Hot"/>
    <n v="20000"/>
    <n v="22916"/>
    <d v="2026-06-03T00:00:00"/>
    <s v="00HSA06000003320"/>
    <x v="3"/>
    <s v="Received at HO"/>
    <m/>
    <m/>
    <x v="2"/>
    <m/>
    <s v=""/>
    <m/>
  </r>
  <r>
    <d v="2026-06-03T00:00:00"/>
    <s v="Sameer"/>
    <s v="Bangalore"/>
    <x v="3"/>
    <s v="Call"/>
    <s v="Aggregator"/>
    <s v="Compass"/>
    <s v="Bulk Order"/>
    <s v="Repeat"/>
    <s v="F&amp;B Agrigator"/>
    <s v="Saad"/>
    <m/>
    <s v="Delivery in June Month from HSR"/>
    <s v="Closed(C4)"/>
    <m/>
    <m/>
    <s v=""/>
    <s v=""/>
    <s v="Hot"/>
    <n v="22687"/>
    <n v="22916"/>
    <d v="2026-06-03T00:00:00"/>
    <s v="00HSA06000003320"/>
    <x v="3"/>
    <s v="Received at HO"/>
    <m/>
    <m/>
    <x v="2"/>
    <m/>
    <m/>
    <m/>
  </r>
  <r>
    <d v="2026-06-04T00:00:00"/>
    <s v="Pradeep"/>
    <s v="Hyderabad"/>
    <x v="11"/>
    <s v="F2F"/>
    <s v="Corporate"/>
    <m/>
    <s v="Bulk Order"/>
    <s v="New"/>
    <s v="It"/>
    <s v="Naveen"/>
    <m/>
    <s v="Business Closed"/>
    <s v="Closed(C4)"/>
    <m/>
    <m/>
    <s v=""/>
    <s v=""/>
    <s v="Hot"/>
    <n v="10000"/>
    <n v="8005"/>
    <d v="2026-06-04T00:00:00"/>
    <s v="00BGA09000031180"/>
    <x v="15"/>
    <s v="Received at Store"/>
    <m/>
    <d v="2026-06-04T00:00:00"/>
    <x v="2"/>
    <m/>
    <s v=""/>
    <s v="Takeaway-Bulk-Insti"/>
  </r>
  <r>
    <d v="2026-06-04T00:00:00"/>
    <s v="Pradeep"/>
    <s v="Hyderabad"/>
    <x v="83"/>
    <s v="F2F"/>
    <s v="Corporate"/>
    <m/>
    <s v="Bulk Order"/>
    <s v="New"/>
    <s v="It"/>
    <s v="Vijay Kumar"/>
    <m/>
    <s v="Business Closed"/>
    <s v="Closed(C4)"/>
    <m/>
    <m/>
    <s v=""/>
    <s v=""/>
    <s v="Hot"/>
    <n v="15000"/>
    <n v="5553"/>
    <d v="2026-06-04T00:00:00"/>
    <s v="00MALT1000087439"/>
    <x v="20"/>
    <s v="Received at Store"/>
    <m/>
    <d v="2026-06-04T00:00:00"/>
    <x v="2"/>
    <m/>
    <s v=""/>
    <s v="Takeaway-Bulk-Insti"/>
  </r>
  <r>
    <d v="2026-06-04T00:00:00"/>
    <s v="Sameer"/>
    <s v="Hyderabad"/>
    <x v="20"/>
    <s v="Call"/>
    <s v="Aggregator"/>
    <s v="SmartQ"/>
    <s v="Pop Up Counter"/>
    <s v="Repeat"/>
    <s v="F&amp;B Aggregator"/>
    <s v="Sekhar"/>
    <m/>
    <s v="Business Closed"/>
    <s v="Closed(C4)"/>
    <m/>
    <m/>
    <m/>
    <m/>
    <s v="Hot"/>
    <n v="60000"/>
    <n v="58650"/>
    <d v="2026-06-04T00:00:00"/>
    <s v="00GCBTA000290486"/>
    <x v="2"/>
    <s v="Received at HO"/>
    <m/>
    <m/>
    <x v="2"/>
    <m/>
    <s v=""/>
    <s v="Takeaway-Bulk-Insti"/>
  </r>
  <r>
    <d v="2026-06-04T00:00:00"/>
    <s v="Sameer"/>
    <s v="Hyderabad"/>
    <x v="192"/>
    <s v="F2F"/>
    <s v="Corporate"/>
    <m/>
    <s v="Bulk Order"/>
    <s v="New"/>
    <s v="Manufacturing"/>
    <s v="Madhu mohan"/>
    <m/>
    <s v="Proposed for Bulk order and Biryani Kits for Gifting"/>
    <s v="Cancelled"/>
    <m/>
    <m/>
    <n v="137"/>
    <s v=""/>
    <s v="Cold"/>
    <n v="50000"/>
    <m/>
    <m/>
    <m/>
    <x v="5"/>
    <m/>
    <m/>
    <m/>
    <x v="2"/>
    <m/>
    <s v=""/>
    <m/>
  </r>
  <r>
    <d v="2026-06-04T00:00:00"/>
    <s v="Pradeep"/>
    <s v="Hyderabad"/>
    <x v="114"/>
    <s v="F2F"/>
    <s v="Corporate"/>
    <m/>
    <s v="Bulk Order"/>
    <s v="New"/>
    <s v="Manufacturing"/>
    <s v="Vanaja"/>
    <m/>
    <s v="Bulk order requirement for 1200 pax Chicken Biryani"/>
    <s v="Cancelled"/>
    <m/>
    <m/>
    <n v="137"/>
    <s v=""/>
    <s v="Hot"/>
    <n v="280000"/>
    <m/>
    <m/>
    <m/>
    <x v="5"/>
    <m/>
    <m/>
    <m/>
    <x v="2"/>
    <m/>
    <s v=""/>
    <m/>
  </r>
  <r>
    <d v="2026-06-04T00:00:00"/>
    <s v="Pradeep"/>
    <s v="Hyderabad"/>
    <x v="193"/>
    <s v="F2F"/>
    <s v="Corporate"/>
    <m/>
    <s v="Bulk Order"/>
    <s v="New"/>
    <s v="Realestate"/>
    <s v="Sai"/>
    <m/>
    <s v="Proposed for Bulk order and Biryani Kits for Gifting"/>
    <s v="Cancelled"/>
    <d v="2026-08-22T00:00:00"/>
    <s v="Call"/>
    <n v="137"/>
    <s v=""/>
    <s v="Warm"/>
    <n v="55000"/>
    <m/>
    <m/>
    <m/>
    <x v="5"/>
    <m/>
    <m/>
    <m/>
    <x v="2"/>
    <m/>
    <s v=""/>
    <m/>
  </r>
  <r>
    <d v="2026-06-04T00:00:00"/>
    <s v="Pradeep"/>
    <s v="Hyderabad"/>
    <x v="194"/>
    <s v="F2F"/>
    <s v="Corporate"/>
    <m/>
    <s v="Bulk Order"/>
    <s v="New"/>
    <s v="Healthcare"/>
    <s v="Srishilyam"/>
    <m/>
    <s v="Proposed for Bulk order and Biryani Kits for Gifting"/>
    <s v="Cancelled"/>
    <m/>
    <m/>
    <n v="137"/>
    <s v=""/>
    <s v="Warm"/>
    <n v="60000"/>
    <m/>
    <m/>
    <m/>
    <x v="5"/>
    <m/>
    <m/>
    <m/>
    <x v="2"/>
    <m/>
    <s v=""/>
    <m/>
  </r>
  <r>
    <d v="2026-06-05T00:00:00"/>
    <s v="Sameer"/>
    <s v="Hyderabad"/>
    <x v="20"/>
    <s v="Call"/>
    <s v="Aggregator"/>
    <s v="SmartQ"/>
    <s v="Pop Up Counter"/>
    <s v="Repeat"/>
    <s v="F&amp;B Aggregator"/>
    <s v="Sekhar"/>
    <m/>
    <s v="Business Closed"/>
    <s v="Cancelled"/>
    <m/>
    <m/>
    <m/>
    <m/>
    <s v="Hot"/>
    <n v="60000"/>
    <n v="65940"/>
    <d v="2026-06-05T00:00:00"/>
    <m/>
    <x v="2"/>
    <s v="Received at HO"/>
    <m/>
    <m/>
    <x v="2"/>
    <m/>
    <s v=""/>
    <m/>
  </r>
  <r>
    <d v="2026-06-05T00:00:00"/>
    <s v="Bashab"/>
    <s v="Hyderabad"/>
    <x v="156"/>
    <s v="F2F"/>
    <s v="Aggregator"/>
    <s v="Compass"/>
    <s v="Bulk Order"/>
    <s v="New"/>
    <s v="F&amp;B Aggregator"/>
    <s v="Srinivas"/>
    <m/>
    <s v="Followup"/>
    <s v="Confirmed( C3 )"/>
    <m/>
    <m/>
    <m/>
    <s v=""/>
    <s v="Hot"/>
    <m/>
    <m/>
    <m/>
    <m/>
    <x v="5"/>
    <m/>
    <m/>
    <m/>
    <x v="2"/>
    <m/>
    <s v=""/>
    <m/>
  </r>
  <r>
    <d v="2026-06-05T00:00:00"/>
    <s v="Pradeep"/>
    <s v="Hyderabad"/>
    <x v="195"/>
    <s v="F2F"/>
    <s v="Corporate"/>
    <m/>
    <s v="Bulk Order"/>
    <s v="New"/>
    <s v="Manufacturing"/>
    <s v="Padmini"/>
    <m/>
    <s v="Proposed for Bulk order and Biryani Kits for Gifting"/>
    <s v="Cancelled"/>
    <d v="2026-08-22T00:00:00"/>
    <s v="Call"/>
    <n v="136"/>
    <s v=""/>
    <s v="Warm"/>
    <n v="100000"/>
    <m/>
    <m/>
    <m/>
    <x v="5"/>
    <m/>
    <m/>
    <m/>
    <x v="2"/>
    <m/>
    <s v=""/>
    <m/>
  </r>
  <r>
    <d v="2026-06-05T00:00:00"/>
    <s v="Pradeep"/>
    <s v="Hyderabad"/>
    <x v="196"/>
    <s v="F2F"/>
    <s v="Corporate"/>
    <m/>
    <s v="Bulk Order"/>
    <s v="New"/>
    <s v="Manufacturing"/>
    <s v="Vanaja"/>
    <m/>
    <s v="Bulk order for 1200 pax on 10 june"/>
    <s v="Cancelled"/>
    <m/>
    <m/>
    <n v="136"/>
    <s v=""/>
    <s v="Hot"/>
    <n v="250000"/>
    <m/>
    <m/>
    <m/>
    <x v="5"/>
    <m/>
    <m/>
    <m/>
    <x v="2"/>
    <m/>
    <s v=""/>
    <m/>
  </r>
  <r>
    <d v="2026-06-05T00:00:00"/>
    <s v="Pradeep"/>
    <s v="Hyderabad"/>
    <x v="197"/>
    <s v="F2F"/>
    <s v="Corporate"/>
    <m/>
    <s v="Bulk Order"/>
    <s v="New"/>
    <s v="It"/>
    <s v="Sandeep"/>
    <m/>
    <s v="Proposed for Bulk order and Biryani Kits for Gifting"/>
    <s v="Cancelled"/>
    <m/>
    <m/>
    <n v="136"/>
    <s v=""/>
    <s v="Warm"/>
    <n v="60000"/>
    <m/>
    <m/>
    <m/>
    <x v="5"/>
    <m/>
    <m/>
    <m/>
    <x v="2"/>
    <m/>
    <s v=""/>
    <m/>
  </r>
  <r>
    <d v="2026-06-05T00:00:00"/>
    <s v="Pradeep"/>
    <s v="Hyderabad"/>
    <x v="198"/>
    <s v="F2F"/>
    <s v="Corporate"/>
    <m/>
    <s v="Bulk Order"/>
    <s v="New"/>
    <s v="Manufacturing"/>
    <s v="Sandeep"/>
    <m/>
    <s v="Proposed for Bulk order and Biryani Kits for Gifting"/>
    <s v="Cancelled"/>
    <m/>
    <m/>
    <n v="136"/>
    <s v=""/>
    <s v="Cold"/>
    <n v="50000"/>
    <m/>
    <m/>
    <m/>
    <x v="5"/>
    <m/>
    <m/>
    <m/>
    <x v="2"/>
    <m/>
    <s v=""/>
    <m/>
  </r>
  <r>
    <d v="2026-06-05T00:00:00"/>
    <s v="Pradeep"/>
    <s v="Hyderabad"/>
    <x v="199"/>
    <s v="F2F"/>
    <s v="Corporate"/>
    <m/>
    <s v="Bulk Order"/>
    <s v="New"/>
    <s v="It"/>
    <s v="Faridha"/>
    <m/>
    <s v="Proposed for Bulk order and Biryani Kits for Gifting"/>
    <s v="Cancelled"/>
    <m/>
    <m/>
    <n v="136"/>
    <s v=""/>
    <s v="Cold"/>
    <n v="50000"/>
    <m/>
    <m/>
    <m/>
    <x v="5"/>
    <m/>
    <m/>
    <m/>
    <x v="2"/>
    <m/>
    <s v=""/>
    <m/>
  </r>
  <r>
    <d v="2026-06-08T00:00:00"/>
    <s v="Sameer"/>
    <s v="Hyderabad"/>
    <x v="20"/>
    <s v="Call"/>
    <s v="Aggregator"/>
    <s v="SmartQ"/>
    <s v="Pop Up Counter"/>
    <s v="Repeat"/>
    <s v="F&amp;B Aggregator"/>
    <s v="Sekhar"/>
    <m/>
    <s v="Business Closed"/>
    <s v="Closed(C4)"/>
    <m/>
    <m/>
    <m/>
    <m/>
    <s v="Hot"/>
    <n v="30000"/>
    <n v="36640"/>
    <d v="2026-06-08T00:00:00"/>
    <s v="00GCBTA000290835"/>
    <x v="2"/>
    <s v="Received at HO"/>
    <m/>
    <m/>
    <x v="2"/>
    <m/>
    <s v=""/>
    <s v="Takeaway-Bulk-Insti"/>
  </r>
  <r>
    <d v="2026-06-08T00:00:00"/>
    <s v="Sameer"/>
    <s v="Hyderabad"/>
    <x v="200"/>
    <s v="F2F"/>
    <s v="Corporate"/>
    <m/>
    <s v="Bulk Order"/>
    <s v="New"/>
    <s v="It"/>
    <s v="Anil Reddy"/>
    <m/>
    <s v="Proposed for Bulk order and Biryani Kits for Gifting"/>
    <s v="Cancelled"/>
    <m/>
    <m/>
    <m/>
    <m/>
    <m/>
    <m/>
    <m/>
    <m/>
    <m/>
    <x v="5"/>
    <m/>
    <m/>
    <m/>
    <x v="2"/>
    <m/>
    <m/>
    <m/>
  </r>
  <r>
    <d v="2026-06-08T00:00:00"/>
    <s v="Sameer"/>
    <s v="Hyderabad"/>
    <x v="201"/>
    <s v="F2F"/>
    <s v="Corporate"/>
    <m/>
    <s v="Bulk Order"/>
    <s v="New"/>
    <s v="It"/>
    <s v="Prasad"/>
    <m/>
    <s v="Proposed for Bulk order and Biryani Kits for Gifting"/>
    <s v="Cancelled"/>
    <m/>
    <m/>
    <m/>
    <m/>
    <m/>
    <m/>
    <m/>
    <m/>
    <m/>
    <x v="5"/>
    <m/>
    <m/>
    <m/>
    <x v="2"/>
    <m/>
    <m/>
    <m/>
  </r>
  <r>
    <d v="2026-06-08T00:00:00"/>
    <s v="Sameer"/>
    <s v="Hyderabad"/>
    <x v="202"/>
    <s v="F2F"/>
    <s v="Corporate"/>
    <m/>
    <s v="Bulk Order"/>
    <s v="New"/>
    <s v="Education"/>
    <s v="Ardash Reddy"/>
    <m/>
    <s v="Proposed for Bulk order and Biryani Kits for Gifting"/>
    <s v="Follow-up( C1 )"/>
    <m/>
    <m/>
    <m/>
    <m/>
    <m/>
    <m/>
    <m/>
    <m/>
    <m/>
    <x v="5"/>
    <m/>
    <m/>
    <m/>
    <x v="2"/>
    <m/>
    <m/>
    <m/>
  </r>
  <r>
    <d v="2026-06-08T00:00:00"/>
    <s v="Pradeep"/>
    <s v="Hyderabad"/>
    <x v="114"/>
    <s v="F2F"/>
    <s v="Corporate"/>
    <m/>
    <s v="Bulk Order"/>
    <s v="New"/>
    <s v="Manufacturing"/>
    <s v="Vanaja"/>
    <m/>
    <s v="Bulk order for 1200 pax on 10 june"/>
    <s v="Cancelled"/>
    <m/>
    <m/>
    <n v="133"/>
    <s v=""/>
    <s v="Cold"/>
    <n v="250000"/>
    <m/>
    <m/>
    <m/>
    <x v="5"/>
    <m/>
    <m/>
    <m/>
    <x v="2"/>
    <m/>
    <s v=""/>
    <m/>
  </r>
  <r>
    <d v="2026-06-08T00:00:00"/>
    <s v="Pradeep"/>
    <s v="Hyderabad"/>
    <x v="102"/>
    <s v="F2F"/>
    <s v="Corporate"/>
    <m/>
    <s v="Bulk Order"/>
    <s v="New"/>
    <s v="Healthcare"/>
    <s v="Shiva"/>
    <m/>
    <s v="Proposed for Bulk order and Biryani Kits for Gifting"/>
    <s v="Cancelled"/>
    <d v="2026-09-02T00:00:00"/>
    <s v="Call"/>
    <n v="133"/>
    <s v=""/>
    <s v="Cold"/>
    <n v="40000"/>
    <m/>
    <m/>
    <m/>
    <x v="5"/>
    <m/>
    <m/>
    <m/>
    <x v="2"/>
    <m/>
    <s v=""/>
    <m/>
  </r>
  <r>
    <d v="2026-06-08T00:00:00"/>
    <s v="Pradeep"/>
    <s v="Hyderabad"/>
    <x v="203"/>
    <s v="F2F"/>
    <s v="Corporate"/>
    <m/>
    <s v="Bulk Order"/>
    <s v="New"/>
    <s v="Events"/>
    <s v="Nishita"/>
    <m/>
    <s v="Bulk order requirement on13th june"/>
    <s v="Closed(C4)"/>
    <m/>
    <m/>
    <s v=""/>
    <s v=""/>
    <s v="Hot"/>
    <n v="40000"/>
    <m/>
    <m/>
    <m/>
    <x v="5"/>
    <m/>
    <m/>
    <m/>
    <x v="2"/>
    <m/>
    <s v=""/>
    <m/>
  </r>
  <r>
    <d v="2026-06-08T00:00:00"/>
    <s v="Pradeep"/>
    <s v="Hyderabad"/>
    <x v="148"/>
    <s v="F2F"/>
    <s v="Corporate"/>
    <m/>
    <s v="Bulk Order"/>
    <s v="New"/>
    <s v="Government"/>
    <s v="Reddy"/>
    <m/>
    <s v="Bulkorder closed"/>
    <s v="Closed(C4)"/>
    <m/>
    <m/>
    <s v=""/>
    <s v=""/>
    <s v="Hot"/>
    <n v="25000"/>
    <n v="18360"/>
    <d v="2026-06-08T00:00:00"/>
    <s v="C0KKPTB000487540"/>
    <x v="17"/>
    <s v="Received at Store"/>
    <m/>
    <d v="2026-06-08T00:00:00"/>
    <x v="2"/>
    <m/>
    <s v=""/>
    <s v="Takeaway-Bulk-Insti"/>
  </r>
  <r>
    <d v="2026-06-08T00:00:00"/>
    <s v="Pradeep"/>
    <s v="Hyderabad"/>
    <x v="148"/>
    <s v="F2F"/>
    <s v="Corporate"/>
    <m/>
    <s v="Bulk Order"/>
    <s v="New"/>
    <s v="Government"/>
    <s v="Reddy"/>
    <m/>
    <s v="Bulkorder closed"/>
    <s v="Closed(C4)"/>
    <m/>
    <m/>
    <s v=""/>
    <s v=""/>
    <s v="Hot"/>
    <n v="20000"/>
    <n v="4260"/>
    <d v="2026-06-08T00:00:00"/>
    <s v="C0KKPTB000487542"/>
    <x v="17"/>
    <s v="Received at Store"/>
    <m/>
    <d v="2026-06-08T00:00:00"/>
    <x v="2"/>
    <m/>
    <s v=""/>
    <s v="Takeaway-Bulk-Insti"/>
  </r>
  <r>
    <d v="2026-06-09T00:00:00"/>
    <s v="Sameer"/>
    <s v="Hyderabad"/>
    <x v="204"/>
    <s v="F2F"/>
    <s v="Corporate"/>
    <m/>
    <s v="Bulk Order"/>
    <s v="New"/>
    <s v="Events"/>
    <s v="Venu"/>
    <m/>
    <s v="Bulk order on 18th june"/>
    <s v="Negotitaion( C2 )"/>
    <m/>
    <m/>
    <n v="132"/>
    <s v=""/>
    <m/>
    <m/>
    <m/>
    <m/>
    <m/>
    <x v="5"/>
    <m/>
    <m/>
    <m/>
    <x v="2"/>
    <m/>
    <s v=""/>
    <m/>
  </r>
  <r>
    <d v="2026-06-09T00:00:00"/>
    <s v="Pradeep"/>
    <s v="Hyderabad"/>
    <x v="148"/>
    <s v="F2F"/>
    <s v="Corporate"/>
    <m/>
    <s v="Bulk Order"/>
    <s v="New"/>
    <s v="Government"/>
    <s v="Shahidhar"/>
    <m/>
    <s v="Business Closed"/>
    <s v="Closed(C4)"/>
    <m/>
    <m/>
    <m/>
    <m/>
    <s v="Hot"/>
    <n v="5000"/>
    <n v="3905"/>
    <d v="2026-06-09T00:00:00"/>
    <s v="C0KKFTB000487616"/>
    <x v="17"/>
    <s v="Received at Store"/>
    <m/>
    <d v="2026-06-09T00:00:00"/>
    <x v="2"/>
    <m/>
    <m/>
    <s v="Takeaway-Bulk-Insti"/>
  </r>
  <r>
    <d v="2026-06-09T00:00:00"/>
    <s v="Sameer"/>
    <s v="Hyderabad"/>
    <x v="20"/>
    <s v="Call"/>
    <s v="Aggregator"/>
    <s v="SmartQ"/>
    <s v="Pop Up Counter"/>
    <s v="Repeat"/>
    <s v="F&amp;B Aggregator"/>
    <s v="Sekhar"/>
    <m/>
    <s v="Business Closed"/>
    <s v="Closed(C4)"/>
    <m/>
    <m/>
    <m/>
    <m/>
    <s v="Hot"/>
    <n v="50000"/>
    <n v="48030"/>
    <d v="2026-06-08T00:00:00"/>
    <s v="00GCBTA000290836"/>
    <x v="2"/>
    <s v="Received at HO"/>
    <m/>
    <m/>
    <x v="2"/>
    <m/>
    <s v=""/>
    <s v="Takeaway-Bulk-Insti"/>
  </r>
  <r>
    <d v="2026-06-09T00:00:00"/>
    <s v="Sameer"/>
    <s v="Hyderabad"/>
    <x v="205"/>
    <s v="F2F"/>
    <s v="Corporate"/>
    <m/>
    <s v="Pop Up Counter"/>
    <s v="New"/>
    <s v="Events"/>
    <s v="Giridhar"/>
    <m/>
    <s v="Bulk order pop-up on 17th "/>
    <s v="Negotitaion( C2 )"/>
    <m/>
    <m/>
    <n v="132"/>
    <s v=""/>
    <s v="Hot"/>
    <n v="100000"/>
    <m/>
    <m/>
    <m/>
    <x v="5"/>
    <m/>
    <m/>
    <m/>
    <x v="2"/>
    <m/>
    <s v=""/>
    <m/>
  </r>
  <r>
    <d v="2026-06-09T00:00:00"/>
    <s v="Pradeep"/>
    <s v="Hyderabad"/>
    <x v="148"/>
    <s v="F2F"/>
    <s v="Corporate"/>
    <m/>
    <s v="Bulk Order"/>
    <s v="New"/>
    <s v="Government"/>
    <s v="Shahidhar"/>
    <m/>
    <s v="Business Closed"/>
    <s v="Closed(C4)"/>
    <m/>
    <m/>
    <m/>
    <m/>
    <s v="Hot"/>
    <n v="15000"/>
    <n v="3905"/>
    <d v="2026-06-09T00:00:00"/>
    <s v="COKKFTB000487615"/>
    <x v="17"/>
    <s v="Received at Store"/>
    <m/>
    <d v="2026-06-09T00:00:00"/>
    <x v="2"/>
    <m/>
    <m/>
    <s v="Takeaway-Bulk-Insti"/>
  </r>
  <r>
    <d v="2026-06-09T00:00:00"/>
    <s v="Bashab"/>
    <s v="Bangalore"/>
    <x v="206"/>
    <s v="F2F"/>
    <s v="Corporate"/>
    <m/>
    <s v="Bulk Order"/>
    <s v="New"/>
    <s v="Banking Finance &amp; Insurance"/>
    <s v="Keshav"/>
    <m/>
    <s v="Business Confirmed"/>
    <s v="Confirmed( C3 )"/>
    <m/>
    <m/>
    <n v="132"/>
    <s v=""/>
    <s v="Hot"/>
    <m/>
    <m/>
    <m/>
    <m/>
    <x v="5"/>
    <m/>
    <m/>
    <m/>
    <x v="2"/>
    <m/>
    <s v=""/>
    <m/>
  </r>
  <r>
    <d v="2026-06-09T00:00:00"/>
    <s v="Bashab"/>
    <s v="Bangalore"/>
    <x v="15"/>
    <s v="F2F"/>
    <s v="Corporate"/>
    <m/>
    <s v="Popup Counter"/>
    <s v="Repeat"/>
    <s v="Retail"/>
    <s v="James"/>
    <m/>
    <s v="Popup Confirmed"/>
    <s v="Closed(C4)"/>
    <m/>
    <m/>
    <m/>
    <s v=""/>
    <s v="Hot"/>
    <n v="10000"/>
    <n v="10142"/>
    <d v="2026-06-09T00:00:00"/>
    <s v="00WFC01000027840"/>
    <x v="7"/>
    <s v="Received at Store"/>
    <m/>
    <d v="2026-06-09T00:00:00"/>
    <x v="2"/>
    <m/>
    <s v=""/>
    <m/>
  </r>
  <r>
    <d v="2026-06-10T00:00:00"/>
    <s v="Bashab"/>
    <s v="Hyderabad"/>
    <x v="156"/>
    <s v="F2F"/>
    <s v="Aggregator"/>
    <s v="Compass"/>
    <s v="Bulk Order"/>
    <s v="New"/>
    <s v="F&amp;B Aggregator"/>
    <s v="Srinivas"/>
    <m/>
    <s v="Business Closed"/>
    <s v="Closed(C4)"/>
    <m/>
    <m/>
    <m/>
    <s v=""/>
    <s v="Hot"/>
    <n v="600000"/>
    <n v="617400"/>
    <d v="2026-06-10T00:00:00"/>
    <s v="CIFSPL270616"/>
    <x v="17"/>
    <s v="Received at HO"/>
    <m/>
    <m/>
    <x v="2"/>
    <m/>
    <s v=""/>
    <m/>
  </r>
  <r>
    <d v="2026-06-10T00:00:00"/>
    <s v="Bashab"/>
    <s v="Bangalore"/>
    <x v="206"/>
    <s v="F2F"/>
    <s v="Corporate"/>
    <m/>
    <s v="Bulk Order"/>
    <s v="New"/>
    <s v="Banking Finance &amp; Insurance"/>
    <s v="Keshav"/>
    <m/>
    <s v="Business Confirmed"/>
    <s v="Closed(C4)"/>
    <m/>
    <m/>
    <s v=""/>
    <s v=""/>
    <s v="Hot"/>
    <n v="30000"/>
    <n v="31570"/>
    <d v="2026-06-10T00:00:00"/>
    <m/>
    <x v="7"/>
    <s v="Received at Store"/>
    <m/>
    <d v="2026-06-10T00:00:00"/>
    <x v="2"/>
    <m/>
    <s v=""/>
    <m/>
  </r>
  <r>
    <d v="2026-06-10T00:00:00"/>
    <s v="Bashab"/>
    <s v="Bangalore"/>
    <x v="40"/>
    <s v="F2F"/>
    <s v="Corporate"/>
    <m/>
    <s v="Popup Counter"/>
    <s v="Repeat"/>
    <s v="Retail"/>
    <s v="Srinivas"/>
    <m/>
    <s v="Popup Confirmed"/>
    <s v="Closed(C4)"/>
    <m/>
    <m/>
    <m/>
    <s v=""/>
    <s v="Hot"/>
    <n v="15000"/>
    <n v="20120"/>
    <d v="2026-06-10T00:00:00"/>
    <s v="00WFC01000037740"/>
    <x v="7"/>
    <s v="Received at Store"/>
    <m/>
    <d v="2026-06-10T00:00:00"/>
    <x v="2"/>
    <m/>
    <s v=""/>
    <m/>
  </r>
  <r>
    <d v="2026-06-10T00:00:00"/>
    <s v="Pradeep"/>
    <s v="Hyderabad"/>
    <x v="207"/>
    <s v="F2F"/>
    <s v="Corporate"/>
    <m/>
    <s v="Bulk Order"/>
    <s v="New"/>
    <s v="It"/>
    <s v="Shahsi"/>
    <m/>
    <s v="Business Closed"/>
    <s v="Closed(C4)"/>
    <m/>
    <m/>
    <s v=""/>
    <s v=""/>
    <s v="Hot"/>
    <n v="5000"/>
    <n v="3905"/>
    <d v="2026-06-10T00:00:00"/>
    <s v="C0KKPTB000487768"/>
    <x v="17"/>
    <s v="Received at Store"/>
    <m/>
    <d v="2026-06-10T00:00:00"/>
    <x v="2"/>
    <m/>
    <s v=""/>
    <m/>
  </r>
  <r>
    <d v="2026-06-10T00:00:00"/>
    <s v="Pradeep"/>
    <s v="Hyderabad"/>
    <x v="208"/>
    <s v="F2F"/>
    <s v="Corporate"/>
    <m/>
    <s v="Bulk Order"/>
    <s v="New"/>
    <s v="Manufacturing"/>
    <s v="Narayana"/>
    <m/>
    <s v="Proposed for Bulk order and Biryani Kits for Gifting"/>
    <s v="Cancelled"/>
    <d v="2026-08-28T00:00:00"/>
    <s v="Call"/>
    <n v="131"/>
    <s v=""/>
    <s v="Cold"/>
    <n v="40000"/>
    <m/>
    <m/>
    <m/>
    <x v="5"/>
    <m/>
    <m/>
    <m/>
    <x v="2"/>
    <m/>
    <s v=""/>
    <m/>
  </r>
  <r>
    <d v="2026-06-10T00:00:00"/>
    <s v="Pradeep"/>
    <s v="Hyderabad"/>
    <x v="209"/>
    <s v="F2F"/>
    <s v="Corporate"/>
    <m/>
    <s v="Bulk Order"/>
    <s v="New"/>
    <s v="Manufacturing"/>
    <s v="Hari"/>
    <m/>
    <s v="Proposed for Bulk order and Biryani Kits for Gifting"/>
    <s v="Cancelled"/>
    <d v="2026-08-22T00:00:00"/>
    <s v="Call"/>
    <n v="131"/>
    <s v=""/>
    <s v="Warm"/>
    <n v="70000"/>
    <m/>
    <m/>
    <m/>
    <x v="5"/>
    <m/>
    <m/>
    <m/>
    <x v="2"/>
    <m/>
    <s v=""/>
    <m/>
  </r>
  <r>
    <d v="2026-06-10T00:00:00"/>
    <s v="Pradeep"/>
    <s v="Hyderabad"/>
    <x v="210"/>
    <s v="F2F"/>
    <s v="Corporate"/>
    <m/>
    <s v="Bulk Order"/>
    <s v="New"/>
    <s v="Events"/>
    <s v="subbha Rao"/>
    <m/>
    <s v="Bulk order requirement"/>
    <s v="Cancelled"/>
    <m/>
    <m/>
    <n v="131"/>
    <s v=""/>
    <s v="Warm"/>
    <n v="25000"/>
    <m/>
    <m/>
    <m/>
    <x v="5"/>
    <m/>
    <m/>
    <m/>
    <x v="2"/>
    <m/>
    <s v=""/>
    <m/>
  </r>
  <r>
    <d v="2026-06-10T00:00:00"/>
    <s v="Sameer"/>
    <s v="Hyderabad"/>
    <x v="211"/>
    <s v="F2F"/>
    <s v="Corporate"/>
    <m/>
    <s v="Bulk Order"/>
    <s v="New"/>
    <s v="Family Group"/>
    <s v="Kiran"/>
    <m/>
    <s v="Bulk order requirement"/>
    <s v="Negotitaion( C2 )"/>
    <m/>
    <m/>
    <n v="131"/>
    <s v=""/>
    <s v="Warm"/>
    <n v="20000"/>
    <m/>
    <m/>
    <m/>
    <x v="5"/>
    <m/>
    <m/>
    <m/>
    <x v="2"/>
    <m/>
    <s v=""/>
    <m/>
  </r>
  <r>
    <d v="2026-06-10T00:00:00"/>
    <s v="Sameer"/>
    <s v="Hyderabad"/>
    <x v="20"/>
    <s v="Call"/>
    <s v="Aggregator"/>
    <s v="SmartQ"/>
    <s v="Pop Up Counter"/>
    <s v="Repeat"/>
    <s v="F&amp;B Aggregator"/>
    <s v="Sekhar"/>
    <m/>
    <s v="Business Closed"/>
    <s v="Closed(C4)"/>
    <m/>
    <m/>
    <m/>
    <m/>
    <s v="Hot"/>
    <n v="50000"/>
    <n v="47930"/>
    <d v="2026-06-10T00:00:00"/>
    <s v="00GCBTA000290837"/>
    <x v="2"/>
    <s v="Received at HO"/>
    <m/>
    <m/>
    <x v="2"/>
    <m/>
    <s v=""/>
    <s v="Takeaway-Bulk-Insti"/>
  </r>
  <r>
    <d v="2026-06-10T00:00:00"/>
    <s v="Sameer"/>
    <s v="Hyderabad"/>
    <x v="156"/>
    <s v="F2F"/>
    <s v="Aggregator"/>
    <s v="Compass"/>
    <s v="Bulk Order"/>
    <s v="New"/>
    <s v="F&amp;B Aggregator"/>
    <s v="Srinivas"/>
    <m/>
    <s v="Business Closed"/>
    <s v="Closed(C4)"/>
    <m/>
    <m/>
    <m/>
    <s v=""/>
    <s v="Hot"/>
    <n v="600000"/>
    <n v="617400"/>
    <d v="2026-06-10T00:00:00"/>
    <s v="CIFSPL270616"/>
    <x v="17"/>
    <s v="Received at HO"/>
    <m/>
    <m/>
    <x v="2"/>
    <m/>
    <s v=""/>
    <m/>
  </r>
  <r>
    <d v="2026-06-10T00:00:00"/>
    <s v="Bashab"/>
    <s v="Bangalore"/>
    <x v="16"/>
    <s v="Call"/>
    <s v="Corporate"/>
    <m/>
    <s v="Bulk Order"/>
    <s v="Repeat"/>
    <s v="Retail"/>
    <s v="Mohammed"/>
    <m/>
    <s v="Business Closed"/>
    <s v="Closed(C4)"/>
    <m/>
    <m/>
    <s v=""/>
    <s v=""/>
    <s v="Hot"/>
    <n v="20000"/>
    <n v="25666"/>
    <d v="2026-06-10T00:00:00"/>
    <s v="00HSA06000003251"/>
    <x v="3"/>
    <s v="Received at HO"/>
    <m/>
    <m/>
    <x v="2"/>
    <m/>
    <s v=""/>
    <m/>
  </r>
  <r>
    <d v="2026-06-10T00:00:00"/>
    <s v="Sameer"/>
    <s v="Bangalore"/>
    <x v="3"/>
    <s v="Call"/>
    <s v="Aggregator"/>
    <s v="Compass"/>
    <s v="Bulk Order"/>
    <s v="Repeat"/>
    <s v="F&amp;B Agrigator"/>
    <s v="Saad"/>
    <m/>
    <s v="Delivery in June Month from HSR"/>
    <s v="Closed(C4)"/>
    <m/>
    <m/>
    <s v=""/>
    <s v=""/>
    <s v="Hot"/>
    <n v="22687"/>
    <n v="25666"/>
    <d v="2026-06-10T00:00:00"/>
    <s v="00HSA06000003251"/>
    <x v="3"/>
    <s v="Received at HO"/>
    <m/>
    <m/>
    <x v="2"/>
    <m/>
    <m/>
    <m/>
  </r>
  <r>
    <d v="2026-06-11T00:00:00"/>
    <s v="Pradeep"/>
    <s v="Hyderabad"/>
    <x v="148"/>
    <s v="F2F"/>
    <s v="Corporate"/>
    <m/>
    <s v="Bulk Order"/>
    <s v="New"/>
    <s v="Government"/>
    <s v="Shasshi"/>
    <m/>
    <s v="Business Closed"/>
    <s v="Closed(C4)"/>
    <m/>
    <m/>
    <s v=""/>
    <s v=""/>
    <s v="Hot"/>
    <n v="25000"/>
    <n v="3660"/>
    <d v="2026-06-11T00:00:00"/>
    <s v="C0KKPTB000487854"/>
    <x v="17"/>
    <s v="Received at HO"/>
    <m/>
    <d v="2026-06-11T00:00:00"/>
    <x v="2"/>
    <m/>
    <s v=""/>
    <s v="Takeaway-Bulk-Insti"/>
  </r>
  <r>
    <d v="2026-06-11T00:00:00"/>
    <s v="Pradeep"/>
    <s v="Hyderabad"/>
    <x v="212"/>
    <s v="F2F"/>
    <s v="Corporate"/>
    <m/>
    <s v="Bulk Order"/>
    <s v="New"/>
    <s v="It"/>
    <s v="Suman"/>
    <m/>
    <s v="Cancelled bcoz of stock not available in Hitechcity for 50 portions of Nizami special Biryani &amp; 40 portions of veg Biryani."/>
    <s v="Cancelled"/>
    <m/>
    <m/>
    <n v="130"/>
    <s v=""/>
    <s v="Hot"/>
    <n v="60000"/>
    <m/>
    <m/>
    <m/>
    <x v="5"/>
    <m/>
    <m/>
    <m/>
    <x v="2"/>
    <m/>
    <s v=""/>
    <m/>
  </r>
  <r>
    <d v="2026-06-11T00:00:00"/>
    <s v="Pradeep"/>
    <s v="Hyderabad"/>
    <x v="213"/>
    <s v="F2F"/>
    <s v="Corporate"/>
    <m/>
    <s v="Bulk Order"/>
    <s v="New"/>
    <s v="Government"/>
    <s v="Vani"/>
    <m/>
    <s v="Business Closed"/>
    <s v="Closed(C4)"/>
    <m/>
    <m/>
    <s v=""/>
    <s v=""/>
    <s v="Hot"/>
    <n v="30000"/>
    <n v="8873"/>
    <d v="2026-06-11T00:00:00"/>
    <s v="00SGA05000011456"/>
    <x v="14"/>
    <s v="Received at Store"/>
    <m/>
    <d v="2026-06-11T00:00:00"/>
    <x v="2"/>
    <m/>
    <s v=""/>
    <s v="Dine-in"/>
  </r>
  <r>
    <d v="2026-06-11T00:00:00"/>
    <s v="Pradeep"/>
    <s v="Hyderabad"/>
    <x v="214"/>
    <s v="F2F"/>
    <s v="Corporate"/>
    <m/>
    <s v="Bulk Order"/>
    <s v="New"/>
    <s v="It"/>
    <s v="Suresh"/>
    <m/>
    <s v="Bulk order on 12th june"/>
    <s v="Closed(C4)"/>
    <m/>
    <m/>
    <s v=""/>
    <s v=""/>
    <s v="Hot"/>
    <n v="25000"/>
    <n v="7952"/>
    <d v="2026-06-12T00:00:00"/>
    <m/>
    <x v="5"/>
    <s v="Received at Store"/>
    <m/>
    <d v="2026-06-12T00:00:00"/>
    <x v="2"/>
    <m/>
    <s v=""/>
    <s v="Takeaway-Bulk-Insti"/>
  </r>
  <r>
    <d v="2026-06-11T00:00:00"/>
    <s v="Sameer"/>
    <s v="Hyderabad"/>
    <x v="20"/>
    <s v="Call"/>
    <s v="Aggregator"/>
    <s v="SmartQ"/>
    <s v="Pop Up Counter"/>
    <s v="Repeat"/>
    <s v="F&amp;B Aggregator"/>
    <s v="Sekhar"/>
    <m/>
    <s v="Business Closed"/>
    <s v="Closed(C4)"/>
    <m/>
    <m/>
    <m/>
    <m/>
    <s v="Hot"/>
    <n v="50000"/>
    <n v="60220"/>
    <d v="2026-06-11T00:00:00"/>
    <s v="00GCBTA000290849"/>
    <x v="2"/>
    <s v="Received at HO"/>
    <m/>
    <m/>
    <x v="2"/>
    <m/>
    <s v=""/>
    <s v="Takeaway-Bulk-Insti"/>
  </r>
  <r>
    <d v="2026-06-11T00:00:00"/>
    <s v="Bashab"/>
    <s v="Bangalore"/>
    <x v="31"/>
    <s v="F2F"/>
    <s v="Corporate"/>
    <m/>
    <s v="Popup Counter"/>
    <s v="Repeat"/>
    <s v="Retail"/>
    <s v="Mueenudheen"/>
    <m/>
    <s v="Popup Confirmed"/>
    <s v="Closed(C4)"/>
    <m/>
    <m/>
    <m/>
    <s v=""/>
    <s v="Hot"/>
    <n v="15000"/>
    <n v="12348"/>
    <d v="2026-06-11T00:00:00"/>
    <s v="00WFTA1000037837"/>
    <x v="7"/>
    <s v="Received at Store"/>
    <m/>
    <d v="2026-06-11T00:00:00"/>
    <x v="2"/>
    <m/>
    <s v=""/>
    <m/>
  </r>
  <r>
    <d v="2026-06-11T00:00:00"/>
    <s v="Bashab"/>
    <s v="Chennai"/>
    <x v="215"/>
    <s v="Call"/>
    <s v="Corporate"/>
    <m/>
    <s v="Popup Counter"/>
    <s v="New"/>
    <m/>
    <s v="Raj"/>
    <m/>
    <s v="Business Closed"/>
    <s v="Closed(C4)"/>
    <m/>
    <m/>
    <s v=""/>
    <s v=""/>
    <s v="Hot"/>
    <n v="100000"/>
    <n v="105592"/>
    <d v="2026-06-11T00:00:00"/>
    <s v="00LBA02000005967"/>
    <x v="28"/>
    <s v="Received at HO"/>
    <m/>
    <d v="2026-06-11T00:00:00"/>
    <x v="2"/>
    <m/>
    <s v=""/>
    <m/>
  </r>
  <r>
    <d v="2026-06-12T00:00:00"/>
    <s v="Pradeep"/>
    <s v="Hyderabad"/>
    <x v="216"/>
    <s v="F2F"/>
    <s v="Corporate"/>
    <m/>
    <s v="Bulk Order"/>
    <s v="New"/>
    <s v="Education"/>
    <s v="Ravi"/>
    <m/>
    <s v="Has a Bulk order requirement"/>
    <s v="Cancelled"/>
    <m/>
    <m/>
    <m/>
    <m/>
    <s v="Warm"/>
    <n v="60000"/>
    <n v="0"/>
    <m/>
    <m/>
    <x v="5"/>
    <m/>
    <m/>
    <m/>
    <x v="2"/>
    <m/>
    <m/>
    <m/>
  </r>
  <r>
    <d v="2026-06-12T00:00:00"/>
    <s v="Pradeep"/>
    <s v="Hyderabad"/>
    <x v="93"/>
    <s v="F2F"/>
    <s v="Corporate"/>
    <m/>
    <s v="Bulk Order"/>
    <s v="New"/>
    <s v="It"/>
    <s v="Vikas"/>
    <m/>
    <s v="Has a bulk order requirement"/>
    <s v="Cancelled"/>
    <m/>
    <m/>
    <m/>
    <m/>
    <s v="Warm"/>
    <n v="40000"/>
    <n v="0"/>
    <m/>
    <m/>
    <x v="5"/>
    <m/>
    <m/>
    <m/>
    <x v="2"/>
    <m/>
    <m/>
    <m/>
  </r>
  <r>
    <d v="2026-06-12T00:00:00"/>
    <s v="Pradeep"/>
    <s v="Hyderabad"/>
    <x v="217"/>
    <s v="Call"/>
    <s v="Corporate"/>
    <m/>
    <s v="Bulk Order"/>
    <s v="New"/>
    <s v="It"/>
    <s v="Vivek jeswal"/>
    <m/>
    <s v="Bulk order Requirement"/>
    <s v="Closed(C4)"/>
    <m/>
    <m/>
    <s v=""/>
    <s v=""/>
    <s v="Hot"/>
    <n v="0"/>
    <n v="0"/>
    <m/>
    <m/>
    <x v="5"/>
    <m/>
    <m/>
    <m/>
    <x v="2"/>
    <m/>
    <s v=""/>
    <m/>
  </r>
  <r>
    <d v="2026-06-12T00:00:00"/>
    <s v="Pradeep"/>
    <s v="Hyderabad"/>
    <x v="173"/>
    <s v="Call"/>
    <s v="Corporate"/>
    <m/>
    <s v="Bulk Order"/>
    <s v="New"/>
    <s v="It"/>
    <s v="Vijay"/>
    <m/>
    <s v="Proposed for Bulk order and Biryani Kits for Gifting"/>
    <s v="Cancelled"/>
    <m/>
    <m/>
    <m/>
    <m/>
    <s v="Warm"/>
    <n v="100000"/>
    <m/>
    <m/>
    <m/>
    <x v="5"/>
    <m/>
    <m/>
    <m/>
    <x v="2"/>
    <m/>
    <m/>
    <m/>
  </r>
  <r>
    <d v="2026-06-12T00:00:00"/>
    <s v="Sameer"/>
    <s v="Hyderabad"/>
    <x v="20"/>
    <s v="Call"/>
    <s v="Aggregator"/>
    <s v="SmartQ"/>
    <s v="Pop Up Counter"/>
    <s v="Repeat"/>
    <s v="F&amp;B Aggregator"/>
    <s v="Sekhar"/>
    <m/>
    <s v="Business Closed"/>
    <s v="Closed(C4)"/>
    <m/>
    <m/>
    <m/>
    <m/>
    <s v="Hot"/>
    <n v="70000"/>
    <n v="61250"/>
    <d v="2026-06-12T00:00:00"/>
    <s v="00GCBTA000290901"/>
    <x v="2"/>
    <s v="Received at HO"/>
    <m/>
    <m/>
    <x v="2"/>
    <m/>
    <s v=""/>
    <s v="Takeaway-Bulk-Insti"/>
  </r>
  <r>
    <d v="2026-06-13T00:00:00"/>
    <s v="Pradeep"/>
    <s v="Hyderabad"/>
    <x v="217"/>
    <s v="Call"/>
    <s v="Corporate"/>
    <m/>
    <s v="Bulk Order"/>
    <s v="New"/>
    <s v="It"/>
    <s v="Vivek jeswal"/>
    <m/>
    <s v="Business Closed"/>
    <s v="Closed(C4)"/>
    <m/>
    <m/>
    <s v=""/>
    <s v=""/>
    <s v="Hot"/>
    <n v="20000"/>
    <n v="24004"/>
    <d v="2026-06-13T00:00:00"/>
    <s v="00BGA09000032343"/>
    <x v="15"/>
    <s v="Received at HO"/>
    <m/>
    <d v="2026-06-13T00:00:00"/>
    <x v="2"/>
    <m/>
    <s v=""/>
    <s v="Takeaway-Bulk-Insti"/>
  </r>
  <r>
    <d v="2026-06-13T00:00:00"/>
    <s v="Bashab"/>
    <s v="Bangalore"/>
    <x v="218"/>
    <s v="Call"/>
    <s v="Corporate"/>
    <m/>
    <s v="Bulk Order"/>
    <s v="New"/>
    <s v="It"/>
    <s v="Anujpratap"/>
    <m/>
    <s v="Business Closed"/>
    <s v="Closed(C4)"/>
    <m/>
    <m/>
    <m/>
    <m/>
    <s v="Hot"/>
    <n v="5000"/>
    <n v="6030"/>
    <d v="2026-06-13T00:00:00"/>
    <s v="00JNC01000018238"/>
    <x v="8"/>
    <s v="Received at Store"/>
    <m/>
    <d v="2026-06-13T00:00:00"/>
    <x v="2"/>
    <m/>
    <m/>
    <m/>
  </r>
  <r>
    <d v="2026-06-15T00:00:00"/>
    <s v="Sameer"/>
    <s v="Hyderabad"/>
    <x v="219"/>
    <s v="F2F"/>
    <s v="Corporate"/>
    <m/>
    <s v="Bulk Order"/>
    <s v="New"/>
    <s v="Exhibition"/>
    <s v="Gopal"/>
    <m/>
    <s v="Bulk order on 18,19,20 June"/>
    <s v="Negotitaion( C2 )"/>
    <m/>
    <m/>
    <n v="126"/>
    <s v=""/>
    <s v="Hot"/>
    <n v="200000"/>
    <m/>
    <d v="2026-06-18T00:00:00"/>
    <m/>
    <x v="5"/>
    <m/>
    <m/>
    <m/>
    <x v="2"/>
    <m/>
    <s v=""/>
    <m/>
  </r>
  <r>
    <d v="2026-06-15T00:00:00"/>
    <s v="Pradeep"/>
    <s v="Hyderabad"/>
    <x v="220"/>
    <s v="F2F"/>
    <s v="Corporate"/>
    <m/>
    <s v="Bulk Order"/>
    <s v="New"/>
    <s v="It"/>
    <s v="Swaroop"/>
    <m/>
    <s v="Has a bulk order requirement on 19th june"/>
    <s v="Closed(C4)"/>
    <m/>
    <m/>
    <s v=""/>
    <s v=""/>
    <s v="Warm"/>
    <n v="15000"/>
    <m/>
    <m/>
    <m/>
    <x v="5"/>
    <m/>
    <m/>
    <m/>
    <x v="2"/>
    <m/>
    <s v=""/>
    <m/>
  </r>
  <r>
    <d v="2026-06-15T00:00:00"/>
    <s v="Pradeep"/>
    <s v="Hyderabad"/>
    <x v="61"/>
    <s v="F2F"/>
    <s v="Corporate"/>
    <m/>
    <s v="Bulk Order"/>
    <s v="New"/>
    <s v="Family Group"/>
    <s v="Ramesh"/>
    <m/>
    <s v="Has a bulk order requirement on 21st june"/>
    <s v="Cancelled"/>
    <m/>
    <m/>
    <n v="126"/>
    <s v=""/>
    <s v="Warm"/>
    <n v="25000"/>
    <m/>
    <m/>
    <m/>
    <x v="5"/>
    <m/>
    <m/>
    <m/>
    <x v="2"/>
    <m/>
    <s v=""/>
    <m/>
  </r>
  <r>
    <d v="2026-06-15T00:00:00"/>
    <s v="Pradeep"/>
    <s v="Hyderabad"/>
    <x v="221"/>
    <s v="F2F"/>
    <s v="Corporate"/>
    <m/>
    <s v="Bulk Order"/>
    <s v="New"/>
    <s v="It"/>
    <s v="Kiran "/>
    <m/>
    <s v="Proposed for Bulk order and Biryani Kits for Gifting"/>
    <s v="Cancelled"/>
    <d v="2026-08-29T00:00:00"/>
    <s v="Call"/>
    <n v="126"/>
    <s v=""/>
    <s v="Cold"/>
    <n v="45000"/>
    <m/>
    <m/>
    <m/>
    <x v="5"/>
    <m/>
    <m/>
    <m/>
    <x v="2"/>
    <m/>
    <s v=""/>
    <m/>
  </r>
  <r>
    <d v="2026-06-16T00:00:00"/>
    <s v="Pradeep"/>
    <s v="Hyderabad"/>
    <x v="222"/>
    <s v="F2F"/>
    <s v="Corporate"/>
    <m/>
    <s v="Bulk Order"/>
    <s v="New"/>
    <s v="It"/>
    <s v="Sruthi Rao"/>
    <m/>
    <s v="Proposed for Bulk order and Biryani Kits for Gifting"/>
    <s v="Cancelled"/>
    <m/>
    <m/>
    <n v="125"/>
    <s v=""/>
    <s v="Warm"/>
    <n v="55000"/>
    <m/>
    <m/>
    <m/>
    <x v="5"/>
    <m/>
    <m/>
    <m/>
    <x v="2"/>
    <m/>
    <s v=""/>
    <m/>
  </r>
  <r>
    <d v="2026-06-16T00:00:00"/>
    <s v="Pradeep"/>
    <s v="Hyderabad"/>
    <x v="223"/>
    <s v="F2F"/>
    <s v="Corporate"/>
    <m/>
    <s v="Bulk Order"/>
    <s v="New"/>
    <s v="It"/>
    <s v="Arif"/>
    <m/>
    <s v="Proposed for Bulk order and Biryani Kits for Gifting"/>
    <s v="Cancelled"/>
    <m/>
    <m/>
    <n v="125"/>
    <s v=""/>
    <s v="Warm"/>
    <n v="35000"/>
    <m/>
    <m/>
    <m/>
    <x v="5"/>
    <m/>
    <m/>
    <m/>
    <x v="2"/>
    <m/>
    <s v=""/>
    <m/>
  </r>
  <r>
    <d v="2026-06-16T00:00:00"/>
    <s v="Pradeep"/>
    <s v="Hyderabad"/>
    <x v="224"/>
    <s v="F2F"/>
    <s v="Corporate"/>
    <m/>
    <s v="Bulk Order"/>
    <s v="New"/>
    <s v="Manufacturing"/>
    <s v="Giridhar"/>
    <m/>
    <s v="Proposed for Bulk order and Biryani Kits for Gifting"/>
    <s v="Cancelled"/>
    <m/>
    <m/>
    <n v="125"/>
    <s v=""/>
    <s v="Cold"/>
    <n v="60000"/>
    <m/>
    <m/>
    <m/>
    <x v="5"/>
    <m/>
    <m/>
    <m/>
    <x v="2"/>
    <m/>
    <s v=""/>
    <m/>
  </r>
  <r>
    <d v="2026-06-16T00:00:00"/>
    <s v="Bashab"/>
    <s v="Bangalore"/>
    <x v="225"/>
    <s v="Call"/>
    <s v="Aggregator"/>
    <s v="SmartQ"/>
    <s v="Pop Up Counter"/>
    <s v="Repeat"/>
    <s v="It"/>
    <s v="Naveen"/>
    <m/>
    <s v="Pop-up counter done"/>
    <s v="Closed(C4)"/>
    <m/>
    <m/>
    <m/>
    <s v=""/>
    <s v="Hot"/>
    <n v="15000"/>
    <n v="22603"/>
    <d v="2026-06-16T00:00:00"/>
    <m/>
    <x v="12"/>
    <s v="Received at HO"/>
    <m/>
    <d v="2026-06-16T00:00:00"/>
    <x v="2"/>
    <m/>
    <s v=""/>
    <m/>
  </r>
  <r>
    <d v="2026-06-17T00:00:00"/>
    <s v="Pradeep"/>
    <s v="Hyderabad"/>
    <x v="226"/>
    <s v="F2F"/>
    <s v="Corporate"/>
    <m/>
    <s v="Bulk Order"/>
    <s v="New"/>
    <s v="Healthcare"/>
    <s v="Sunil"/>
    <m/>
    <s v="Bulk order Business Closed"/>
    <s v="Closed(C4)"/>
    <m/>
    <m/>
    <s v=""/>
    <s v=""/>
    <s v="Hot"/>
    <n v="15000"/>
    <n v="7494"/>
    <d v="2026-06-17T00:00:00"/>
    <s v="00SGA02000025219"/>
    <x v="5"/>
    <s v="Received at Store"/>
    <m/>
    <d v="2026-06-17T00:00:00"/>
    <x v="2"/>
    <m/>
    <s v=""/>
    <s v="Takeaway-Bulk-Insti"/>
  </r>
  <r>
    <d v="2026-06-17T00:00:00"/>
    <s v="Pradeep"/>
    <s v="Hyderabad"/>
    <x v="227"/>
    <s v="F2F"/>
    <s v="Corporate"/>
    <m/>
    <s v="Bulk Order"/>
    <s v="New"/>
    <s v="Healthcare"/>
    <s v="Asad"/>
    <m/>
    <s v="Bulk order Business Closed"/>
    <s v="Closed(C4)"/>
    <m/>
    <m/>
    <s v=""/>
    <s v=""/>
    <s v="Hot"/>
    <n v="30000"/>
    <n v="28000"/>
    <d v="2026-06-17T00:00:00"/>
    <s v="00PRTA1000054880"/>
    <x v="29"/>
    <s v="Received at Store"/>
    <m/>
    <d v="2026-06-17T00:00:00"/>
    <x v="2"/>
    <m/>
    <s v=""/>
    <s v="Takeaway-Bulk-Insti"/>
  </r>
  <r>
    <d v="2026-06-17T00:00:00"/>
    <s v="Bashab"/>
    <s v="Hyderabad"/>
    <x v="156"/>
    <s v="F2F"/>
    <s v="Aggregator"/>
    <s v="Compass"/>
    <s v="Bulk Order"/>
    <s v="New"/>
    <s v="F&amp;B Aggregator"/>
    <s v="Srinivas"/>
    <m/>
    <s v="Business Closed"/>
    <s v="Closed(C4)"/>
    <m/>
    <m/>
    <m/>
    <s v=""/>
    <s v="Hot"/>
    <n v="600000"/>
    <n v="602875"/>
    <d v="2026-06-17T00:00:00"/>
    <s v="CIFSPL270617"/>
    <x v="17"/>
    <s v="Received at HO"/>
    <m/>
    <m/>
    <x v="2"/>
    <m/>
    <s v=""/>
    <m/>
  </r>
  <r>
    <d v="2026-06-17T00:00:00"/>
    <s v="Pradeep"/>
    <s v="Hyderabad"/>
    <x v="156"/>
    <s v="F2F"/>
    <s v="Aggregator"/>
    <s v="Compass"/>
    <s v="Bulk Order"/>
    <s v="New"/>
    <s v="F&amp;B Aggregator"/>
    <s v="Srinivas"/>
    <m/>
    <s v="Business Closed"/>
    <s v="Closed(C4)"/>
    <m/>
    <m/>
    <m/>
    <s v=""/>
    <s v="Hot"/>
    <n v="600000"/>
    <n v="602875"/>
    <d v="2026-06-17T00:00:00"/>
    <s v="CIFSPL270617"/>
    <x v="17"/>
    <s v="Received at HO"/>
    <m/>
    <m/>
    <x v="2"/>
    <m/>
    <s v=""/>
    <m/>
  </r>
  <r>
    <d v="2026-06-17T00:00:00"/>
    <s v="Bashab"/>
    <s v="Bangalore"/>
    <x v="18"/>
    <s v="F2F"/>
    <s v="Corporate"/>
    <m/>
    <s v="Popup Counter"/>
    <s v="Repeat"/>
    <s v="Retail"/>
    <s v="Vinod"/>
    <m/>
    <s v="Business Closed"/>
    <s v="Closed(C4)"/>
    <m/>
    <m/>
    <m/>
    <s v=""/>
    <s v="Hot"/>
    <n v="15000"/>
    <n v="13898"/>
    <d v="2026-06-17T00:00:00"/>
    <s v="00WFC01000028006"/>
    <x v="7"/>
    <s v="Received at Store"/>
    <m/>
    <d v="2026-06-17T00:00:00"/>
    <x v="2"/>
    <m/>
    <s v=""/>
    <m/>
  </r>
  <r>
    <d v="2026-06-17T00:00:00"/>
    <s v="Bashab"/>
    <s v="Bangalore"/>
    <x v="16"/>
    <s v="Call"/>
    <s v="Corporate"/>
    <m/>
    <s v="Bulk Order"/>
    <s v="Repeat"/>
    <s v="Retail"/>
    <s v="Mohammed"/>
    <m/>
    <s v="Business Closed"/>
    <s v="Closed(C4)"/>
    <m/>
    <m/>
    <s v=""/>
    <s v=""/>
    <s v="Hot"/>
    <n v="20000"/>
    <n v="34832"/>
    <d v="2026-06-17T00:00:00"/>
    <s v="00HSA06000003468"/>
    <x v="3"/>
    <s v="Received at HO"/>
    <m/>
    <m/>
    <x v="2"/>
    <m/>
    <s v=""/>
    <m/>
  </r>
  <r>
    <d v="2026-06-17T00:00:00"/>
    <s v="Sameer"/>
    <s v="Bangalore"/>
    <x v="16"/>
    <s v="Call"/>
    <s v="Aggregator"/>
    <s v="Compass"/>
    <s v="Bulk Order"/>
    <s v="Repeat"/>
    <s v="F&amp;B Agrigator"/>
    <s v="Saad"/>
    <m/>
    <s v="Delivery in June Month from HSR"/>
    <s v="Closed(C4)"/>
    <m/>
    <m/>
    <s v=""/>
    <s v=""/>
    <s v="Hot"/>
    <n v="22687"/>
    <n v="34832"/>
    <d v="2026-06-17T00:00:00"/>
    <s v="00HSA06000003467"/>
    <x v="3"/>
    <s v="Received at HO"/>
    <m/>
    <m/>
    <x v="2"/>
    <m/>
    <m/>
    <m/>
  </r>
  <r>
    <d v="2026-06-18T00:00:00"/>
    <s v="Pradeep"/>
    <s v="Hyderabad"/>
    <x v="228"/>
    <s v="F2F"/>
    <s v="Bulk Order"/>
    <m/>
    <s v="Bulk Order"/>
    <s v="New"/>
    <s v="Church"/>
    <s v="Ishea"/>
    <m/>
    <s v="Business Closed"/>
    <s v="Closed(C4)"/>
    <m/>
    <m/>
    <s v=""/>
    <s v=""/>
    <s v="Hot"/>
    <n v="25000"/>
    <n v="13492"/>
    <d v="2026-06-18T00:00:00"/>
    <s v="C0KKPTB000488684"/>
    <x v="17"/>
    <s v="Received at Store"/>
    <m/>
    <d v="2026-06-18T00:00:00"/>
    <x v="2"/>
    <m/>
    <s v=""/>
    <s v="Takeaway-Bulk-Insti"/>
  </r>
  <r>
    <d v="2026-06-18T00:00:00"/>
    <s v="Pradeep"/>
    <s v="Hyderabad"/>
    <x v="229"/>
    <s v="F2F"/>
    <s v="Corporate"/>
    <m/>
    <s v="Bulk Order"/>
    <s v="New"/>
    <s v="Gifting"/>
    <s v="Jasebeer"/>
    <m/>
    <s v="Bulk order Business"/>
    <s v="Cancelled"/>
    <m/>
    <m/>
    <n v="123"/>
    <s v=""/>
    <s v="Warm"/>
    <n v="30000"/>
    <m/>
    <m/>
    <m/>
    <x v="5"/>
    <m/>
    <m/>
    <m/>
    <x v="2"/>
    <m/>
    <s v=""/>
    <m/>
  </r>
  <r>
    <d v="2026-06-18T00:00:00"/>
    <s v="Pradeep"/>
    <s v="Hyderabad"/>
    <x v="230"/>
    <s v="F2F"/>
    <s v="Corporate"/>
    <m/>
    <s v="Bulk Order"/>
    <s v="New"/>
    <s v="It"/>
    <s v="Preethi"/>
    <m/>
    <s v="Bulk order Business Closed"/>
    <s v="Cancelled"/>
    <m/>
    <m/>
    <n v="123"/>
    <s v=""/>
    <s v="Warm"/>
    <m/>
    <m/>
    <m/>
    <m/>
    <x v="5"/>
    <m/>
    <m/>
    <m/>
    <x v="2"/>
    <m/>
    <s v=""/>
    <m/>
  </r>
  <r>
    <d v="2026-06-18T00:00:00"/>
    <s v="Bashab"/>
    <s v="Bangalore"/>
    <x v="40"/>
    <s v="F2F"/>
    <s v="Corporate"/>
    <m/>
    <s v="Popup Counter"/>
    <s v="Repeat"/>
    <s v="Retail"/>
    <s v="Srinivas"/>
    <m/>
    <s v="Popup Confirmed"/>
    <s v="Closed(C4)"/>
    <m/>
    <m/>
    <m/>
    <s v=""/>
    <s v="Hot"/>
    <n v="15000"/>
    <n v="21245"/>
    <d v="2026-06-18T00:00:00"/>
    <s v="00WFC01000028021"/>
    <x v="7"/>
    <s v="Received at Store"/>
    <m/>
    <d v="2026-06-18T00:00:00"/>
    <x v="2"/>
    <m/>
    <s v=""/>
    <m/>
  </r>
  <r>
    <d v="2026-06-19T00:00:00"/>
    <s v="Pradeep"/>
    <s v="Hyderabad"/>
    <x v="204"/>
    <s v="F2F"/>
    <s v="Corporate"/>
    <m/>
    <s v="Bulk Order"/>
    <s v="New"/>
    <s v="Events"/>
    <s v="Venu"/>
    <m/>
    <s v="Bulk order Business Closed"/>
    <s v="Closed(C4)"/>
    <m/>
    <m/>
    <s v=""/>
    <s v=""/>
    <s v="Hot"/>
    <n v="50000"/>
    <n v="37580"/>
    <d v="2026-06-19T00:00:00"/>
    <s v="00STA02000024289"/>
    <x v="14"/>
    <s v="Received at Store"/>
    <m/>
    <d v="2026-06-19T00:00:00"/>
    <x v="2"/>
    <m/>
    <s v=""/>
    <s v="Takeaway-Bulk-Insti"/>
  </r>
  <r>
    <d v="2026-06-19T00:00:00"/>
    <s v="Pradeep"/>
    <s v="Hyderabad"/>
    <x v="231"/>
    <s v="F2F"/>
    <s v="Corporate"/>
    <m/>
    <s v="Bulk Order"/>
    <s v="New"/>
    <s v="Education"/>
    <s v="Jagan"/>
    <m/>
    <s v="Bulk order Business requirement on Saturday"/>
    <s v="Cancelled"/>
    <m/>
    <m/>
    <n v="122"/>
    <s v=""/>
    <s v="Hot"/>
    <n v="100000"/>
    <m/>
    <m/>
    <m/>
    <x v="5"/>
    <m/>
    <m/>
    <m/>
    <x v="2"/>
    <m/>
    <s v=""/>
    <m/>
  </r>
  <r>
    <d v="2026-06-19T00:00:00"/>
    <s v="Pradeep"/>
    <s v="Hyderabad"/>
    <x v="232"/>
    <s v="F2F"/>
    <s v="Corporate"/>
    <m/>
    <s v="Bulk Order"/>
    <s v="New"/>
    <s v="Church"/>
    <s v="Imanieal"/>
    <m/>
    <s v="Proposed for Bulk order and Biryani Kits for Gifting"/>
    <s v="Cancelled"/>
    <d v="2026-09-15T00:00:00"/>
    <s v="Call"/>
    <n v="122"/>
    <s v=""/>
    <s v="Warm"/>
    <n v="60000"/>
    <m/>
    <m/>
    <m/>
    <x v="5"/>
    <m/>
    <m/>
    <m/>
    <x v="2"/>
    <m/>
    <s v=""/>
    <m/>
  </r>
  <r>
    <d v="2026-06-19T00:00:00"/>
    <s v="Pradeep"/>
    <s v="Hyderabad"/>
    <x v="233"/>
    <s v="F2F"/>
    <s v="Corporate"/>
    <m/>
    <s v="Bulk Order"/>
    <s v="New"/>
    <s v="It"/>
    <s v="Ravinder"/>
    <m/>
    <s v="Proposed for Bulk Order and Biryani Kits for Gifting"/>
    <s v="Cancelled"/>
    <m/>
    <m/>
    <n v="122"/>
    <s v=""/>
    <s v="Cold"/>
    <n v="50000"/>
    <m/>
    <m/>
    <m/>
    <x v="5"/>
    <m/>
    <m/>
    <m/>
    <x v="2"/>
    <m/>
    <s v=""/>
    <m/>
  </r>
  <r>
    <d v="2026-06-19T00:00:00"/>
    <s v="Bashab"/>
    <s v="Bangalore"/>
    <x v="37"/>
    <s v="Call"/>
    <s v="Aggregator"/>
    <s v="SmartQ"/>
    <s v="Pop Up Counter"/>
    <s v="Repeat"/>
    <s v="It"/>
    <s v="Harish"/>
    <m/>
    <s v="Pop-up counter done"/>
    <s v="Closed(C4)"/>
    <m/>
    <m/>
    <m/>
    <s v=""/>
    <s v="Hot"/>
    <n v="15000"/>
    <n v="19190"/>
    <d v="2026-06-19T00:00:00"/>
    <m/>
    <x v="12"/>
    <s v="Received at HO"/>
    <m/>
    <m/>
    <x v="2"/>
    <m/>
    <s v=""/>
    <m/>
  </r>
  <r>
    <d v="2026-06-19T00:00:00"/>
    <s v="Bashab"/>
    <s v="Bangalore"/>
    <x v="41"/>
    <s v="Call"/>
    <s v="Aggregator"/>
    <s v="SmartQ"/>
    <s v="Pop Up Counter"/>
    <s v="Repeat"/>
    <s v="It"/>
    <s v="Harish"/>
    <m/>
    <s v="Pop-up counter done"/>
    <s v="Closed(C4)"/>
    <m/>
    <m/>
    <m/>
    <s v=""/>
    <s v="Hot"/>
    <n v="15000"/>
    <n v="22290"/>
    <d v="2026-06-19T00:00:00"/>
    <m/>
    <x v="12"/>
    <s v="Received at HO"/>
    <m/>
    <m/>
    <x v="2"/>
    <m/>
    <s v=""/>
    <m/>
  </r>
  <r>
    <d v="2026-06-19T00:00:00"/>
    <s v="Bashab"/>
    <s v="Bangalore"/>
    <x v="225"/>
    <s v="Call"/>
    <s v="Aggregator"/>
    <s v="SmartQ"/>
    <s v="Pop Up Counter"/>
    <s v="Repeat"/>
    <s v="It"/>
    <s v="Naveen"/>
    <m/>
    <s v="Pop-up counter done"/>
    <s v="Closed(C4)"/>
    <m/>
    <m/>
    <m/>
    <s v=""/>
    <s v="Hot"/>
    <n v="15000"/>
    <n v="25460"/>
    <d v="2026-06-19T00:00:00"/>
    <m/>
    <x v="12"/>
    <s v="Received at HO"/>
    <m/>
    <m/>
    <x v="2"/>
    <m/>
    <s v=""/>
    <m/>
  </r>
  <r>
    <d v="2026-06-22T00:00:00"/>
    <s v="Pradeep"/>
    <s v="Hyderabad"/>
    <x v="234"/>
    <s v="F2F"/>
    <s v="Corporate"/>
    <m/>
    <s v="Bulk Order"/>
    <s v="New"/>
    <s v="Manufacturing"/>
    <s v="Ravinder"/>
    <m/>
    <s v="Proposed for Bulk Order and Biryani Kits for Gifting"/>
    <s v="Cancelled"/>
    <m/>
    <m/>
    <n v="119"/>
    <s v=""/>
    <s v="Hot"/>
    <n v="60000"/>
    <m/>
    <m/>
    <m/>
    <x v="5"/>
    <m/>
    <m/>
    <m/>
    <x v="2"/>
    <m/>
    <s v=""/>
    <m/>
  </r>
  <r>
    <d v="2026-06-22T00:00:00"/>
    <s v="Pradeep"/>
    <s v="Hyderabad"/>
    <x v="80"/>
    <s v="F2F"/>
    <s v="Corporate"/>
    <m/>
    <s v="Bulk Order"/>
    <s v="Repeat"/>
    <s v="Healthcare"/>
    <s v="Sandeep"/>
    <m/>
    <s v="Bulk order of Biryani Kits"/>
    <s v="Closed(C4)"/>
    <m/>
    <m/>
    <s v=""/>
    <s v=""/>
    <s v="Hot"/>
    <m/>
    <n v="0"/>
    <m/>
    <m/>
    <x v="5"/>
    <m/>
    <m/>
    <m/>
    <x v="2"/>
    <m/>
    <s v=""/>
    <m/>
  </r>
  <r>
    <d v="2026-06-22T00:00:00"/>
    <s v="Pradeep"/>
    <s v="Hyderabad"/>
    <x v="235"/>
    <s v="F2F"/>
    <s v="Corporate"/>
    <m/>
    <s v="Bulk Order"/>
    <s v="New"/>
    <s v="Others"/>
    <s v="Kavya"/>
    <m/>
    <s v="Proposed for Bulk Order and Biryani Kits for Gifting"/>
    <s v="Cancelled"/>
    <m/>
    <m/>
    <n v="119"/>
    <s v=""/>
    <s v="Warm"/>
    <n v="60000"/>
    <m/>
    <m/>
    <m/>
    <x v="5"/>
    <m/>
    <m/>
    <m/>
    <x v="2"/>
    <m/>
    <s v=""/>
    <m/>
  </r>
  <r>
    <d v="2026-06-22T00:00:00"/>
    <s v="Pradeep"/>
    <s v="Hyderabad"/>
    <x v="236"/>
    <s v="F2F"/>
    <s v="Corporate"/>
    <m/>
    <s v="Bulk Order"/>
    <s v="New"/>
    <s v="It"/>
    <s v="Nandhini"/>
    <m/>
    <s v="Proposed for Bulk Order and Biryani Kits for Gifting"/>
    <s v="Cancelled"/>
    <m/>
    <m/>
    <n v="119"/>
    <s v=""/>
    <s v="Warm"/>
    <n v="35000"/>
    <m/>
    <m/>
    <m/>
    <x v="5"/>
    <m/>
    <m/>
    <m/>
    <x v="2"/>
    <m/>
    <s v=""/>
    <m/>
  </r>
  <r>
    <d v="2026-06-22T00:00:00"/>
    <s v="Pradeep"/>
    <s v="Hyderabad"/>
    <x v="237"/>
    <s v="F2F"/>
    <s v="Corporate"/>
    <m/>
    <s v="Bulk Order"/>
    <s v="New"/>
    <s v="Dealers &amp; Distributers"/>
    <s v="Shiva Krishna"/>
    <m/>
    <s v="Has a bulk order Requirement"/>
    <s v="Cancelled"/>
    <m/>
    <m/>
    <n v="119"/>
    <s v=""/>
    <s v="Warm"/>
    <n v="55000"/>
    <m/>
    <m/>
    <m/>
    <x v="5"/>
    <m/>
    <m/>
    <m/>
    <x v="2"/>
    <m/>
    <s v=""/>
    <m/>
  </r>
  <r>
    <d v="2026-06-22T00:00:00"/>
    <s v="Sameer"/>
    <s v="Hyderabad"/>
    <x v="80"/>
    <s v="F2F"/>
    <s v="Corporate"/>
    <m/>
    <s v="Bulk Order"/>
    <s v="Repeat"/>
    <s v="Healthcare"/>
    <s v="Sandeep"/>
    <m/>
    <s v="Business Closed Biryani Kits"/>
    <s v="Closed(C4)"/>
    <m/>
    <m/>
    <s v=""/>
    <s v=""/>
    <s v="Hot"/>
    <m/>
    <n v="0"/>
    <m/>
    <n v="22"/>
    <x v="5"/>
    <m/>
    <m/>
    <m/>
    <x v="2"/>
    <m/>
    <s v=""/>
    <m/>
  </r>
  <r>
    <d v="2026-06-23T00:00:00"/>
    <s v="Pradeep"/>
    <s v="Hyderabad"/>
    <x v="238"/>
    <s v="F2F"/>
    <s v="Corporate"/>
    <m/>
    <s v="Bulk Order"/>
    <s v="New"/>
    <s v="Healthcare"/>
    <s v="Jaya"/>
    <m/>
    <s v="Proposed for Bulk Order and Biryani Kits for Gifting"/>
    <s v="Cancelled"/>
    <m/>
    <m/>
    <m/>
    <m/>
    <s v="Warm"/>
    <n v="55000"/>
    <m/>
    <m/>
    <m/>
    <x v="5"/>
    <m/>
    <m/>
    <m/>
    <x v="2"/>
    <m/>
    <m/>
    <m/>
  </r>
  <r>
    <d v="2026-06-23T00:00:00"/>
    <s v="Pradeep"/>
    <s v="Hyderabad"/>
    <x v="239"/>
    <s v="F2F"/>
    <s v="Corporate"/>
    <m/>
    <s v="Bulk Order"/>
    <s v="New"/>
    <s v="Manufacturing"/>
    <s v="Karthik"/>
    <m/>
    <s v="Proposed for Bulk Order and Biryani Kits for Gifting"/>
    <s v="Cancelled"/>
    <m/>
    <m/>
    <m/>
    <m/>
    <s v="Cold"/>
    <n v="25000"/>
    <m/>
    <m/>
    <m/>
    <x v="5"/>
    <m/>
    <m/>
    <m/>
    <x v="2"/>
    <m/>
    <m/>
    <m/>
  </r>
  <r>
    <d v="2026-06-23T00:00:00"/>
    <s v="Pradeep"/>
    <s v="Hyderabad"/>
    <x v="240"/>
    <s v="F2F"/>
    <s v="Corporate"/>
    <m/>
    <s v="Bulk Order"/>
    <s v="New"/>
    <s v="It"/>
    <s v="Sandesh"/>
    <m/>
    <s v="Has a bulk order Requirement"/>
    <s v="Cancelled"/>
    <m/>
    <m/>
    <m/>
    <m/>
    <s v="Warm"/>
    <n v="42000"/>
    <m/>
    <m/>
    <m/>
    <x v="5"/>
    <m/>
    <m/>
    <m/>
    <x v="2"/>
    <m/>
    <m/>
    <m/>
  </r>
  <r>
    <d v="2026-06-23T00:00:00"/>
    <s v="Pradeep"/>
    <s v="Hyderabad"/>
    <x v="241"/>
    <s v="F2F"/>
    <s v="Corporate"/>
    <m/>
    <s v="Bulk Order"/>
    <s v="New"/>
    <s v="Manufacturing"/>
    <s v="Prasad"/>
    <m/>
    <s v="Proposed for Bulk Order and Biryani Kits for Gifting"/>
    <s v="Cancelled"/>
    <m/>
    <m/>
    <m/>
    <m/>
    <s v="Warm"/>
    <n v="30000"/>
    <m/>
    <m/>
    <m/>
    <x v="5"/>
    <m/>
    <m/>
    <m/>
    <x v="2"/>
    <m/>
    <m/>
    <m/>
  </r>
  <r>
    <d v="2026-06-24T00:00:00"/>
    <s v="Bashab"/>
    <s v="Bangalore"/>
    <x v="16"/>
    <s v="Call"/>
    <s v="Corporate"/>
    <m/>
    <s v="Bulk Order"/>
    <s v="Repeat"/>
    <s v="Retail"/>
    <s v="Mohammed"/>
    <m/>
    <s v="Business Closed"/>
    <s v="Closed(C4)"/>
    <m/>
    <m/>
    <s v=""/>
    <s v=""/>
    <s v="Hot"/>
    <n v="20000"/>
    <n v="26812"/>
    <d v="2026-06-24T00:00:00"/>
    <s v="00HSA06000003509"/>
    <x v="3"/>
    <s v="Received at HO"/>
    <m/>
    <m/>
    <x v="2"/>
    <m/>
    <m/>
    <m/>
  </r>
  <r>
    <d v="2026-06-24T00:00:00"/>
    <s v="Sameer"/>
    <s v="Bangalore"/>
    <x v="16"/>
    <s v="Call"/>
    <s v="Aggregator"/>
    <s v="Compass"/>
    <s v="Bulk Order"/>
    <s v="Repeat"/>
    <s v="F&amp;B Agrigator"/>
    <s v="Saad"/>
    <m/>
    <s v="Delivery in June Month from HSR"/>
    <s v="Closed(C4)"/>
    <m/>
    <m/>
    <s v=""/>
    <s v=""/>
    <s v="Hot"/>
    <n v="22687"/>
    <n v="26812"/>
    <d v="2026-06-24T00:00:00"/>
    <s v="00HSA06000003509"/>
    <x v="3"/>
    <s v="Received at HO"/>
    <m/>
    <m/>
    <x v="2"/>
    <m/>
    <m/>
    <m/>
  </r>
  <r>
    <d v="2026-06-24T00:00:00"/>
    <s v="Bashab"/>
    <s v="Hyderabad"/>
    <x v="156"/>
    <s v="F2F"/>
    <s v="Aggregator"/>
    <s v="Compass"/>
    <s v="Bulk Order"/>
    <s v="New"/>
    <s v="F&amp;B Aggregator"/>
    <s v="Srinivas"/>
    <m/>
    <s v="Business Closed"/>
    <s v="Closed(C4)"/>
    <m/>
    <m/>
    <m/>
    <s v=""/>
    <s v="Hot"/>
    <n v="700000"/>
    <n v="792400"/>
    <d v="2026-06-24T00:00:00"/>
    <s v="CIFSPL270624"/>
    <x v="17"/>
    <s v="Received at HO"/>
    <m/>
    <m/>
    <x v="2"/>
    <m/>
    <s v=""/>
    <m/>
  </r>
  <r>
    <d v="2026-06-24T00:00:00"/>
    <s v="Sameer"/>
    <s v="Hyderabad"/>
    <x v="156"/>
    <s v="F2F"/>
    <s v="Aggregator"/>
    <s v="Compass"/>
    <s v="Bulk Order"/>
    <s v="New"/>
    <s v="F&amp;B Aggregator"/>
    <s v="Srinivas"/>
    <m/>
    <s v="Business Closed"/>
    <s v="Closed(C4)"/>
    <m/>
    <m/>
    <m/>
    <s v=""/>
    <s v="Hot"/>
    <n v="700000"/>
    <n v="792400"/>
    <d v="2026-06-24T00:00:00"/>
    <s v="CIFSPL270624"/>
    <x v="17"/>
    <s v="Received at HO"/>
    <m/>
    <m/>
    <x v="2"/>
    <m/>
    <s v=""/>
    <m/>
  </r>
  <r>
    <d v="2026-06-24T00:00:00"/>
    <s v="Bashab"/>
    <s v="Bangalore"/>
    <x v="31"/>
    <s v="F2F"/>
    <s v="Corporate"/>
    <m/>
    <s v="Popup Counter"/>
    <s v="Repeat"/>
    <s v="Retail"/>
    <s v="Mueenudheen"/>
    <m/>
    <s v="Popup Confirmed"/>
    <s v="Closed(C4)"/>
    <m/>
    <m/>
    <m/>
    <s v=""/>
    <s v="Hot"/>
    <n v="15000"/>
    <n v="12853"/>
    <d v="2026-06-24T00:00:00"/>
    <s v="00WFTA1000038447"/>
    <x v="7"/>
    <s v="Received at Store"/>
    <m/>
    <d v="2026-06-24T00:00:00"/>
    <x v="2"/>
    <m/>
    <s v=""/>
    <m/>
  </r>
  <r>
    <d v="2026-06-24T00:00:00"/>
    <s v="Pradeep"/>
    <s v="Hyderabad"/>
    <x v="242"/>
    <s v="F2F"/>
    <s v="Corporate"/>
    <m/>
    <s v="Bulk Order"/>
    <s v="New"/>
    <s v="It"/>
    <s v="Prakesh"/>
    <m/>
    <s v="Proposed for Bulk Order and Biryani Kits for Gifting"/>
    <s v="Cancelled"/>
    <d v="2026-08-20T00:00:00"/>
    <s v="Call"/>
    <m/>
    <m/>
    <s v="Warm"/>
    <n v="100000"/>
    <m/>
    <m/>
    <m/>
    <x v="5"/>
    <m/>
    <m/>
    <m/>
    <x v="2"/>
    <m/>
    <m/>
    <m/>
  </r>
  <r>
    <d v="2026-06-24T00:00:00"/>
    <s v="Pradeep"/>
    <s v="Hyderabad"/>
    <x v="243"/>
    <s v="F2F"/>
    <s v="Corporate"/>
    <m/>
    <s v="Bulk Order"/>
    <s v="New"/>
    <s v="It"/>
    <s v="Shaliniu"/>
    <m/>
    <s v="Has a bulk order Requirement"/>
    <s v="Cancelled"/>
    <m/>
    <m/>
    <m/>
    <m/>
    <s v="Warm"/>
    <n v="40000"/>
    <m/>
    <m/>
    <m/>
    <x v="5"/>
    <m/>
    <m/>
    <m/>
    <x v="2"/>
    <m/>
    <m/>
    <m/>
  </r>
  <r>
    <d v="2026-06-24T00:00:00"/>
    <s v="Pradeep"/>
    <s v="Hyderabad"/>
    <x v="244"/>
    <s v="F2F"/>
    <s v="Corporate"/>
    <m/>
    <s v="Bulk Order"/>
    <s v="New"/>
    <s v="Manufacturing"/>
    <s v="Ravi"/>
    <m/>
    <s v="Proposed for Bulk Order and Biryani Kits for Gifting"/>
    <s v="Cancelled"/>
    <m/>
    <m/>
    <m/>
    <m/>
    <s v="Warm"/>
    <n v="70000"/>
    <m/>
    <m/>
    <m/>
    <x v="5"/>
    <m/>
    <m/>
    <m/>
    <x v="2"/>
    <m/>
    <m/>
    <m/>
  </r>
  <r>
    <d v="2026-06-24T00:00:00"/>
    <s v="Pradeep"/>
    <s v="Hyderabad"/>
    <x v="245"/>
    <s v="F2F"/>
    <s v="Corporate"/>
    <m/>
    <s v="Bulk Order"/>
    <s v="New"/>
    <s v="Manufacturing"/>
    <s v="Girisha"/>
    <m/>
    <s v="Proposed for Bulk Order and Biryani Kits for Gifting"/>
    <s v="Cancelled"/>
    <m/>
    <m/>
    <m/>
    <m/>
    <s v="Hot"/>
    <n v="35000"/>
    <m/>
    <m/>
    <m/>
    <x v="5"/>
    <m/>
    <m/>
    <m/>
    <x v="2"/>
    <m/>
    <m/>
    <m/>
  </r>
  <r>
    <d v="2026-06-25T00:00:00"/>
    <s v="Pradeep"/>
    <s v="Hyderabad"/>
    <x v="246"/>
    <s v="F2F"/>
    <s v="Corporate"/>
    <m/>
    <s v="Bulk Order"/>
    <s v="New"/>
    <s v="Manufacturing"/>
    <s v="Durga Prasad"/>
    <m/>
    <s v="Introduction and shared details of next order"/>
    <s v="Closed(C4)"/>
    <m/>
    <m/>
    <m/>
    <m/>
    <s v="Hot"/>
    <n v="0"/>
    <n v="0"/>
    <m/>
    <m/>
    <x v="5"/>
    <m/>
    <m/>
    <m/>
    <x v="2"/>
    <m/>
    <m/>
    <m/>
  </r>
  <r>
    <d v="2026-06-25T00:00:00"/>
    <s v="Vishwanath"/>
    <s v="Bangalore"/>
    <x v="247"/>
    <s v="F2F"/>
    <s v="Corporate"/>
    <m/>
    <s v="Bulk Order"/>
    <s v="New"/>
    <s v="Healthcare"/>
    <s v="Joe"/>
    <m/>
    <s v="Has a Bulk order Requirement"/>
    <s v="Closed(C4)"/>
    <m/>
    <m/>
    <s v=""/>
    <s v=""/>
    <s v="Hot"/>
    <n v="15000"/>
    <n v="24300"/>
    <d v="2026-06-25T00:00:00"/>
    <m/>
    <x v="5"/>
    <s v="Received at Store"/>
    <m/>
    <d v="2026-06-25T00:00:00"/>
    <x v="2"/>
    <m/>
    <s v=""/>
    <m/>
  </r>
  <r>
    <d v="2026-06-25T00:00:00"/>
    <s v="Bashab"/>
    <s v="Bangalore"/>
    <x v="40"/>
    <s v="F2F"/>
    <s v="Corporate"/>
    <m/>
    <s v="Popup Counter"/>
    <s v="Repeat"/>
    <s v="Retail"/>
    <s v="Srinivas"/>
    <m/>
    <s v="Popup Confirmed"/>
    <s v="Closed(C4)"/>
    <m/>
    <m/>
    <m/>
    <s v=""/>
    <s v="Hot"/>
    <n v="15000"/>
    <n v="20287"/>
    <d v="2026-06-25T00:00:00"/>
    <s v="00WFDE1000019173"/>
    <x v="7"/>
    <s v="Received at Store"/>
    <m/>
    <d v="2026-06-25T00:00:00"/>
    <x v="2"/>
    <m/>
    <s v=""/>
    <m/>
  </r>
  <r>
    <d v="2026-06-25T00:00:00"/>
    <s v="Pradeep"/>
    <s v="Hyderabad"/>
    <x v="248"/>
    <s v="F2F"/>
    <s v="Corporate"/>
    <m/>
    <s v="Bulk Order"/>
    <s v="New"/>
    <s v="Realestate"/>
    <s v="Rupa rani"/>
    <m/>
    <s v="Proposed for Bulk Order and Biryani Kits for Gifting"/>
    <s v="Cancelled"/>
    <m/>
    <m/>
    <m/>
    <m/>
    <s v="Cold"/>
    <n v="40000"/>
    <m/>
    <m/>
    <m/>
    <x v="5"/>
    <m/>
    <m/>
    <m/>
    <x v="2"/>
    <m/>
    <m/>
    <m/>
  </r>
  <r>
    <d v="2026-06-25T00:00:00"/>
    <s v="Pradeep"/>
    <s v="Hyderabad"/>
    <x v="249"/>
    <s v="F2F"/>
    <s v="Corporate"/>
    <m/>
    <s v="Bulk Order"/>
    <s v="New"/>
    <s v="It"/>
    <s v="Sandeep"/>
    <m/>
    <s v="Has a Bulk order Requirement"/>
    <s v="Cancelled"/>
    <m/>
    <m/>
    <m/>
    <m/>
    <s v="Warm"/>
    <n v="65000"/>
    <m/>
    <m/>
    <m/>
    <x v="5"/>
    <m/>
    <m/>
    <m/>
    <x v="2"/>
    <m/>
    <m/>
    <m/>
  </r>
  <r>
    <d v="2026-06-25T00:00:00"/>
    <s v="Pradeep"/>
    <s v="Hyderabad"/>
    <x v="250"/>
    <s v="F2F"/>
    <s v="Corporate"/>
    <m/>
    <s v="Bulk Order"/>
    <s v="New"/>
    <s v="It"/>
    <s v="Sravya"/>
    <m/>
    <s v="Proposed for Bulk Order and Biryani Kits for Gifting"/>
    <s v="Cancelled"/>
    <m/>
    <m/>
    <m/>
    <m/>
    <s v="Cold"/>
    <n v="40000"/>
    <m/>
    <m/>
    <m/>
    <x v="5"/>
    <m/>
    <m/>
    <m/>
    <x v="2"/>
    <m/>
    <m/>
    <m/>
  </r>
  <r>
    <d v="2026-06-26T00:00:00"/>
    <s v="Pradeep"/>
    <s v="Hyderabad"/>
    <x v="246"/>
    <s v="F2F"/>
    <s v="Corporate"/>
    <m/>
    <s v="Bulk Order"/>
    <s v="New"/>
    <s v="Manufacturing"/>
    <s v="Durga Prasad"/>
    <m/>
    <s v="Business Closed"/>
    <s v="Closed(C4)"/>
    <m/>
    <m/>
    <m/>
    <m/>
    <s v="Hot"/>
    <n v="20000"/>
    <n v="11487"/>
    <d v="2026-06-25T00:00:00"/>
    <s v="00BGA9000033931"/>
    <x v="15"/>
    <s v="Received at Store"/>
    <m/>
    <d v="2026-06-25T00:00:00"/>
    <x v="2"/>
    <m/>
    <m/>
    <s v="Takeaway-Bulk-Insti"/>
  </r>
  <r>
    <d v="2026-06-26T00:00:00"/>
    <s v="Pradeep"/>
    <s v="Hyderabad"/>
    <x v="251"/>
    <s v="F2F"/>
    <s v="Corporate"/>
    <m/>
    <s v="Bulk Order"/>
    <s v="New"/>
    <s v="Retail"/>
    <s v="Gladson"/>
    <m/>
    <s v="Business Closed"/>
    <s v="Closed(C4)"/>
    <m/>
    <m/>
    <s v=""/>
    <s v=""/>
    <s v="Hot"/>
    <n v="15000"/>
    <n v="11917"/>
    <d v="2026-06-26T00:00:00"/>
    <s v="00GCBTA000292416"/>
    <x v="2"/>
    <s v="Received at Store"/>
    <m/>
    <d v="2026-06-26T00:00:00"/>
    <x v="2"/>
    <m/>
    <s v=""/>
    <s v="Takeaway-Bulk-Insti"/>
  </r>
  <r>
    <d v="2026-06-26T00:00:00"/>
    <s v="Pradeep"/>
    <s v="Hyderabad"/>
    <x v="61"/>
    <s v="F2F"/>
    <s v="Corporate"/>
    <m/>
    <s v="Bulk Order"/>
    <s v="New"/>
    <s v="FMCG"/>
    <s v="Sana Ullaha Khan"/>
    <m/>
    <s v="Business Closed"/>
    <s v="Closed(C4)"/>
    <m/>
    <m/>
    <s v=""/>
    <s v=""/>
    <s v="Hot"/>
    <n v="20000"/>
    <n v="18507"/>
    <d v="2026-06-26T00:00:00"/>
    <s v="00BGA09000034014"/>
    <x v="15"/>
    <s v="Received at Store"/>
    <m/>
    <d v="2026-06-26T00:00:00"/>
    <x v="2"/>
    <m/>
    <s v=""/>
    <s v="Takeaway-Bulk-Insti"/>
  </r>
  <r>
    <d v="2026-06-26T00:00:00"/>
    <s v="Pradeep"/>
    <s v="Hyderabad"/>
    <x v="252"/>
    <s v="F2F"/>
    <s v="Corporate"/>
    <m/>
    <s v="Bulk Order"/>
    <s v="New"/>
    <s v="It"/>
    <s v="Swathi"/>
    <m/>
    <s v="Proposed for Bulk Order and Biryani Kits for Gifting"/>
    <s v="Cancelled"/>
    <m/>
    <m/>
    <n v="115"/>
    <s v=""/>
    <s v="Cold"/>
    <n v="100000"/>
    <m/>
    <m/>
    <m/>
    <x v="5"/>
    <m/>
    <m/>
    <m/>
    <x v="2"/>
    <m/>
    <s v=""/>
    <m/>
  </r>
  <r>
    <d v="2026-06-26T00:00:00"/>
    <s v="Pradeep"/>
    <s v="Hyderabad"/>
    <x v="253"/>
    <s v="F2F"/>
    <s v="Corporate"/>
    <m/>
    <s v="Bulk Order"/>
    <s v="New"/>
    <s v="Healthcare"/>
    <s v="Nadeem"/>
    <m/>
    <s v="Has a Bulk order Requirement, Negotitaion with client ."/>
    <s v="Cancelled"/>
    <m/>
    <m/>
    <n v="115"/>
    <s v=""/>
    <s v="Warm"/>
    <n v="50000"/>
    <m/>
    <m/>
    <m/>
    <x v="5"/>
    <m/>
    <m/>
    <m/>
    <x v="2"/>
    <m/>
    <s v=""/>
    <m/>
  </r>
  <r>
    <d v="2026-06-26T00:00:00"/>
    <s v="Pradeep"/>
    <s v="Hyderabad"/>
    <x v="189"/>
    <s v="F2F"/>
    <s v="Corporate"/>
    <m/>
    <s v="Bulk Order"/>
    <s v="New"/>
    <s v="It"/>
    <s v="Suman"/>
    <m/>
    <s v="Bulk Order for Mandi has cancelled coz we dont serve"/>
    <s v="Cancelled"/>
    <m/>
    <m/>
    <m/>
    <m/>
    <s v="Hot"/>
    <n v="200000"/>
    <m/>
    <m/>
    <m/>
    <x v="5"/>
    <m/>
    <m/>
    <m/>
    <x v="2"/>
    <m/>
    <m/>
    <m/>
  </r>
  <r>
    <d v="2026-06-28T00:00:00"/>
    <s v="Vishwanath"/>
    <s v="Bangalore"/>
    <x v="254"/>
    <s v="F2F"/>
    <s v="Corporate"/>
    <m/>
    <s v="Bulk Order"/>
    <s v="New"/>
    <s v="Events"/>
    <s v="Sujin"/>
    <m/>
    <s v="Business Closed"/>
    <s v="Closed(C4)"/>
    <m/>
    <m/>
    <s v=""/>
    <s v=""/>
    <s v="Hot"/>
    <n v="7000"/>
    <n v="5388"/>
    <d v="2026-06-28T00:00:00"/>
    <s v="00ENLC1000000355"/>
    <x v="6"/>
    <s v="Received at HO"/>
    <m/>
    <d v="2026-06-28T00:00:00"/>
    <x v="2"/>
    <m/>
    <s v=""/>
    <s v="Takeaway-Bulk-Insti"/>
  </r>
  <r>
    <d v="2026-06-28T00:00:00"/>
    <s v="Vishwanath"/>
    <s v="Bangalore"/>
    <x v="254"/>
    <s v="F2F"/>
    <s v="Corporate"/>
    <m/>
    <s v="Bulk Order"/>
    <s v="New"/>
    <s v="Events"/>
    <s v="Sujin"/>
    <m/>
    <s v="Business Closed"/>
    <s v="Closed(C4)"/>
    <m/>
    <m/>
    <s v=""/>
    <s v=""/>
    <s v="Hot"/>
    <n v="7000"/>
    <n v="8783"/>
    <d v="2026-06-28T00:00:00"/>
    <s v="00ENLC1000000360"/>
    <x v="6"/>
    <s v="Received at HO"/>
    <m/>
    <d v="2026-06-28T00:00:00"/>
    <x v="2"/>
    <m/>
    <s v=""/>
    <s v="Takeaway-Bulk-Insti"/>
  </r>
  <r>
    <d v="2026-06-29T00:00:00"/>
    <s v="Pradeep"/>
    <s v="Hyderabad"/>
    <x v="255"/>
    <s v="F2F"/>
    <s v="Corporate"/>
    <m/>
    <s v="Bulk Order"/>
    <s v="New"/>
    <s v="It"/>
    <s v="Priya"/>
    <m/>
    <s v="Proposed for Bulk Order and Biryani Kits for Gifting, in fallowup with client"/>
    <s v="Cancelled"/>
    <d v="2026-08-21T00:00:00"/>
    <s v="Call"/>
    <n v="112"/>
    <s v=""/>
    <s v="Cold"/>
    <n v="30000"/>
    <m/>
    <m/>
    <m/>
    <x v="5"/>
    <m/>
    <m/>
    <m/>
    <x v="2"/>
    <m/>
    <s v=""/>
    <m/>
  </r>
  <r>
    <d v="2026-06-29T00:00:00"/>
    <s v="Pradeep"/>
    <s v="Hyderabad"/>
    <x v="256"/>
    <s v="F2F"/>
    <s v="Corporate"/>
    <m/>
    <s v="Bulk Order"/>
    <s v="New"/>
    <s v="It"/>
    <s v="Sanjeev Sharma"/>
    <m/>
    <s v="Proposed for Bulk Order and Biryani Kits for Gifting"/>
    <s v="Cancelled"/>
    <m/>
    <s v="Call"/>
    <n v="112"/>
    <s v=""/>
    <s v="Warm"/>
    <n v="60000"/>
    <m/>
    <m/>
    <m/>
    <x v="5"/>
    <m/>
    <m/>
    <m/>
    <x v="2"/>
    <m/>
    <s v=""/>
    <m/>
  </r>
  <r>
    <d v="2026-06-29T00:00:00"/>
    <s v="Pradeep"/>
    <s v="Hyderabad"/>
    <x v="257"/>
    <s v="F2F"/>
    <s v="Corporate"/>
    <m/>
    <s v="Bulk Order"/>
    <s v="New"/>
    <s v="It"/>
    <s v="Rajesh"/>
    <m/>
    <s v="Proposed for Bulk Order and Biryani Kits for Gifting"/>
    <s v="Cancelled"/>
    <m/>
    <m/>
    <n v="112"/>
    <s v=""/>
    <s v="Cold"/>
    <n v="50000"/>
    <m/>
    <m/>
    <m/>
    <x v="5"/>
    <m/>
    <m/>
    <m/>
    <x v="2"/>
    <m/>
    <s v=""/>
    <m/>
  </r>
  <r>
    <d v="2026-06-29T00:00:00"/>
    <s v="Pradeep"/>
    <s v="Hyderabad"/>
    <x v="258"/>
    <s v="F2F"/>
    <s v="Aggregator"/>
    <s v="Pinnacle"/>
    <s v="Bulk Order"/>
    <s v="New"/>
    <s v="Events"/>
    <s v="Naushad"/>
    <m/>
    <s v="Has a Bulk order Requirement in July 2nd week"/>
    <s v="Closed(C4)"/>
    <m/>
    <m/>
    <s v=""/>
    <s v=""/>
    <s v="Hot"/>
    <n v="40000"/>
    <m/>
    <m/>
    <m/>
    <x v="5"/>
    <m/>
    <m/>
    <m/>
    <x v="2"/>
    <m/>
    <s v=""/>
    <m/>
  </r>
  <r>
    <d v="2026-06-29T00:00:00"/>
    <s v="Pradeep"/>
    <s v="Hyderabad"/>
    <x v="259"/>
    <s v="F2F"/>
    <s v="Corporate"/>
    <m/>
    <s v="Bulk Order"/>
    <s v="New"/>
    <s v="It"/>
    <s v="Bhargav"/>
    <m/>
    <s v="Proposed for Bulk Order and Biryani Kits for Gifting"/>
    <s v="Cancelled"/>
    <m/>
    <m/>
    <n v="112"/>
    <s v=""/>
    <s v="Warm"/>
    <n v="40000"/>
    <m/>
    <m/>
    <m/>
    <x v="5"/>
    <m/>
    <m/>
    <m/>
    <x v="2"/>
    <m/>
    <s v=""/>
    <m/>
  </r>
  <r>
    <d v="2026-06-30T00:00:00"/>
    <s v="Sameer"/>
    <s v="Hyderabad"/>
    <x v="260"/>
    <s v="F2F"/>
    <s v="Aggregator"/>
    <s v="Gokhana"/>
    <s v="Pop Up Counter"/>
    <s v="New"/>
    <s v="It"/>
    <s v="Ajesh"/>
    <m/>
    <s v="Popup Counter"/>
    <s v="Closed(C4)"/>
    <m/>
    <m/>
    <s v=""/>
    <s v=""/>
    <s v="Hot"/>
    <n v="10000"/>
    <n v="13003"/>
    <d v="2026-06-30T00:00:00"/>
    <s v="00GCBTA000292799"/>
    <x v="2"/>
    <s v="Pending"/>
    <m/>
    <m/>
    <x v="2"/>
    <m/>
    <s v=""/>
    <m/>
  </r>
  <r>
    <d v="2026-06-30T00:00:00"/>
    <s v="Sameer"/>
    <s v="Hyderabad"/>
    <x v="261"/>
    <s v="F2F"/>
    <s v="Aggregator"/>
    <s v="Gokhana"/>
    <s v="Pop Up Counter"/>
    <s v="New"/>
    <s v="It"/>
    <s v="Sandhya"/>
    <m/>
    <s v="Popup Counter"/>
    <s v="Closed(C4)"/>
    <m/>
    <m/>
    <s v=""/>
    <s v=""/>
    <s v="Hot"/>
    <n v="12000"/>
    <n v="13441"/>
    <d v="2026-06-30T00:00:00"/>
    <s v="00GCBTA000292800"/>
    <x v="2"/>
    <s v="Pending"/>
    <m/>
    <m/>
    <x v="2"/>
    <m/>
    <s v=""/>
    <m/>
  </r>
  <r>
    <d v="2026-06-30T00:00:00"/>
    <s v="Bashab"/>
    <s v="Bangalore"/>
    <x v="31"/>
    <s v="F2F"/>
    <s v="Corporate"/>
    <m/>
    <s v="Popup Counter"/>
    <s v="Repeat"/>
    <s v="Retail"/>
    <s v="Mueenudheen"/>
    <m/>
    <s v="Popup Confirmed"/>
    <s v="Closed(C4)"/>
    <m/>
    <m/>
    <m/>
    <s v=""/>
    <s v="Hot"/>
    <n v="15000"/>
    <n v="8440"/>
    <d v="2026-06-30T00:00:00"/>
    <s v="00WFTA1000038589"/>
    <x v="7"/>
    <s v="Received at Store"/>
    <m/>
    <d v="2026-06-30T00:00:00"/>
    <x v="2"/>
    <m/>
    <s v=""/>
    <m/>
  </r>
  <r>
    <d v="2026-06-30T00:00:00"/>
    <s v="Pradeep"/>
    <s v="Hyderabad"/>
    <x v="262"/>
    <s v="F2F"/>
    <s v="Corporate"/>
    <m/>
    <s v="Bulk Order"/>
    <s v="New"/>
    <s v="It"/>
    <s v="Mena"/>
    <m/>
    <s v="Bulk order requirement for 1500 pax Biryani &amp; Mulbary Malai"/>
    <s v="Cancelled"/>
    <m/>
    <m/>
    <m/>
    <m/>
    <s v="Hot"/>
    <n v="200000"/>
    <m/>
    <m/>
    <m/>
    <x v="5"/>
    <m/>
    <m/>
    <m/>
    <x v="2"/>
    <m/>
    <m/>
    <m/>
  </r>
  <r>
    <d v="2026-06-30T00:00:00"/>
    <s v="Pradeep"/>
    <s v="Hyderabad"/>
    <x v="263"/>
    <s v="F2F"/>
    <s v="Corporate"/>
    <m/>
    <s v="Bulk Order"/>
    <s v="New"/>
    <s v="Events"/>
    <s v="Nawsad"/>
    <m/>
    <s v="Bulk order requirement  9th to 11th July"/>
    <s v="Closed(C4)"/>
    <m/>
    <m/>
    <m/>
    <m/>
    <s v="Hot"/>
    <n v="450000"/>
    <m/>
    <m/>
    <m/>
    <x v="5"/>
    <m/>
    <m/>
    <m/>
    <x v="2"/>
    <m/>
    <m/>
    <m/>
  </r>
  <r>
    <d v="2026-06-30T00:00:00"/>
    <s v="Pradeep"/>
    <s v="Hyderabad"/>
    <x v="264"/>
    <s v="F2F"/>
    <s v="Corporate"/>
    <m/>
    <s v="Bulk Order"/>
    <s v="New"/>
    <s v="It"/>
    <s v="Ruhi"/>
    <m/>
    <s v="Proposed for Bulk Order and Biryani Kits for Gifting"/>
    <s v="Cancelled"/>
    <d v="2026-08-24T00:00:00"/>
    <s v="Call"/>
    <m/>
    <m/>
    <s v="Warm"/>
    <n v="50000"/>
    <m/>
    <m/>
    <m/>
    <x v="5"/>
    <m/>
    <m/>
    <m/>
    <x v="2"/>
    <m/>
    <m/>
    <m/>
  </r>
  <r>
    <d v="2026-06-30T00:00:00"/>
    <s v="Pradeep"/>
    <s v="Hyderabad"/>
    <x v="265"/>
    <s v="F2F"/>
    <s v="Corporate"/>
    <m/>
    <s v="Bulk Order"/>
    <s v="New"/>
    <s v="It"/>
    <s v="Shailesh"/>
    <m/>
    <s v="Proposed for Bulk Order and Biryani Kits for Gifting"/>
    <s v="Cancelled"/>
    <m/>
    <m/>
    <m/>
    <m/>
    <s v="Warm"/>
    <n v="30000"/>
    <m/>
    <m/>
    <m/>
    <x v="5"/>
    <m/>
    <m/>
    <m/>
    <x v="2"/>
    <m/>
    <m/>
    <m/>
  </r>
  <r>
    <d v="2026-07-01T00:00:00"/>
    <s v="Bashab"/>
    <s v="Bangalore"/>
    <x v="15"/>
    <s v="F2F"/>
    <s v="Corporate"/>
    <m/>
    <s v="Popup Counter"/>
    <s v="Repeat"/>
    <s v="Retail"/>
    <s v="James"/>
    <m/>
    <s v="Popup Confirmed"/>
    <s v="Closed(C4)"/>
    <m/>
    <m/>
    <m/>
    <s v=""/>
    <s v="Hot"/>
    <n v="10000"/>
    <n v="12122"/>
    <d v="2026-07-01T00:00:00"/>
    <s v="00WFTA1000038600"/>
    <x v="7"/>
    <s v="Received at Store"/>
    <m/>
    <d v="2026-07-01T00:00:00"/>
    <x v="3"/>
    <m/>
    <s v=""/>
    <m/>
  </r>
  <r>
    <d v="2026-07-01T00:00:00"/>
    <s v="Bashab"/>
    <s v="Chennai"/>
    <x v="215"/>
    <s v="Call"/>
    <s v="Aggregator"/>
    <s v="Hunger Box"/>
    <s v="Popup Counter"/>
    <s v="New"/>
    <s v="It"/>
    <s v="Raj"/>
    <m/>
    <s v="Business Closed"/>
    <s v="Closed(C4)"/>
    <m/>
    <m/>
    <s v=""/>
    <s v=""/>
    <s v="Hot"/>
    <n v="20000"/>
    <n v="23025"/>
    <d v="2026-07-01T00:00:00"/>
    <m/>
    <x v="5"/>
    <s v="Received at HO"/>
    <m/>
    <m/>
    <x v="3"/>
    <m/>
    <s v=""/>
    <m/>
  </r>
  <r>
    <d v="2026-07-01T00:00:00"/>
    <s v="Bashab"/>
    <s v="Chennai"/>
    <x v="266"/>
    <s v="Call"/>
    <s v="Aggregator"/>
    <s v="SmartQ"/>
    <s v="Popup Counter"/>
    <s v="New"/>
    <s v="It"/>
    <s v="Nagarajan"/>
    <m/>
    <s v="Business Closed"/>
    <s v="Closed(C4)"/>
    <m/>
    <m/>
    <s v=""/>
    <s v=""/>
    <s v="Hot"/>
    <n v="20000"/>
    <n v="34901"/>
    <d v="2026-07-01T00:00:00"/>
    <m/>
    <x v="30"/>
    <s v="Received at HO"/>
    <m/>
    <m/>
    <x v="3"/>
    <m/>
    <s v=""/>
    <m/>
  </r>
  <r>
    <d v="2026-07-01T00:00:00"/>
    <s v="Bashab"/>
    <s v="Bangalore"/>
    <x v="37"/>
    <s v="Call"/>
    <s v="Aggregator"/>
    <s v="SmartQ"/>
    <s v="Pop Up Counter"/>
    <s v="Repeat"/>
    <s v="It"/>
    <s v="Harish"/>
    <m/>
    <s v="Pop-up counter done"/>
    <s v="Closed(C4)"/>
    <m/>
    <m/>
    <m/>
    <s v=""/>
    <s v="Hot"/>
    <n v="15000"/>
    <n v="13000"/>
    <d v="2026-07-01T00:00:00"/>
    <m/>
    <x v="12"/>
    <s v="Received at HO"/>
    <m/>
    <m/>
    <x v="3"/>
    <m/>
    <s v=""/>
    <m/>
  </r>
  <r>
    <d v="2026-07-01T00:00:00"/>
    <s v="Bashab"/>
    <s v="Bangalore"/>
    <x v="41"/>
    <s v="Call"/>
    <s v="Aggregator"/>
    <s v="SmartQ"/>
    <s v="Pop Up Counter"/>
    <s v="Repeat"/>
    <s v="It"/>
    <s v="Harish"/>
    <m/>
    <s v="Pop-up counter done"/>
    <s v="Closed(C4)"/>
    <m/>
    <m/>
    <m/>
    <s v=""/>
    <s v="Hot"/>
    <n v="15000"/>
    <n v="13782"/>
    <d v="2026-07-01T00:00:00"/>
    <m/>
    <x v="12"/>
    <s v="Received at HO"/>
    <m/>
    <m/>
    <x v="3"/>
    <m/>
    <s v=""/>
    <m/>
  </r>
  <r>
    <d v="2026-07-01T00:00:00"/>
    <s v="Vishwanath"/>
    <s v="Bangalore"/>
    <x v="267"/>
    <s v="Call"/>
    <s v="Aggregator"/>
    <s v="SmartQ"/>
    <s v="Pop Up Counter"/>
    <s v="New"/>
    <s v="It"/>
    <s v="Naveen"/>
    <m/>
    <s v="Pop-up counter done"/>
    <s v="Closed(C4)"/>
    <m/>
    <m/>
    <s v=""/>
    <s v=""/>
    <s v="Hot"/>
    <n v="15000"/>
    <n v="25835"/>
    <d v="2026-07-01T00:00:00"/>
    <m/>
    <x v="8"/>
    <s v="Received at HO"/>
    <m/>
    <m/>
    <x v="3"/>
    <m/>
    <s v=""/>
    <m/>
  </r>
  <r>
    <d v="2026-07-01T00:00:00"/>
    <s v="Bashab"/>
    <s v="Hyderabad"/>
    <x v="156"/>
    <s v="F2F"/>
    <s v="Aggregator"/>
    <s v="Compass"/>
    <s v="Bulk Order"/>
    <s v="New"/>
    <s v="F&amp;B Aggregator"/>
    <s v="Srinivas"/>
    <m/>
    <s v="Business Closed"/>
    <s v="Closed(C4)"/>
    <m/>
    <m/>
    <m/>
    <s v=""/>
    <s v="Hot"/>
    <n v="600000"/>
    <n v="604800"/>
    <d v="2026-07-01T00:00:00"/>
    <s v="CIFSPL070626"/>
    <x v="17"/>
    <s v="Received at HO"/>
    <m/>
    <m/>
    <x v="3"/>
    <m/>
    <s v=""/>
    <m/>
  </r>
  <r>
    <d v="2026-07-01T00:00:00"/>
    <s v="Pradeep"/>
    <s v="Hyderabad"/>
    <x v="156"/>
    <s v="F2F"/>
    <s v="Aggregator"/>
    <s v="Compass"/>
    <s v="Bulk Order"/>
    <s v="New"/>
    <s v="F&amp;B Aggregator"/>
    <s v="Srinivas"/>
    <m/>
    <s v="Business Closed"/>
    <s v="Closed(C4)"/>
    <m/>
    <m/>
    <m/>
    <s v=""/>
    <s v="Hot"/>
    <n v="600000"/>
    <n v="604800"/>
    <d v="2026-07-01T00:00:00"/>
    <s v="CIFSPL070626"/>
    <x v="17"/>
    <s v="Received at HO"/>
    <m/>
    <m/>
    <x v="3"/>
    <m/>
    <s v=""/>
    <m/>
  </r>
  <r>
    <d v="2026-07-01T00:00:00"/>
    <s v="Bashab"/>
    <s v="Bangalore"/>
    <x v="16"/>
    <s v="Call"/>
    <s v="Corporate"/>
    <s v="Compass"/>
    <s v="Bulk Order"/>
    <s v="Repeat"/>
    <s v="Retail"/>
    <s v="Mohammed"/>
    <m/>
    <s v="Business Closed"/>
    <s v="Closed(C4)"/>
    <m/>
    <m/>
    <s v=""/>
    <s v=""/>
    <s v="Hot"/>
    <n v="20000"/>
    <n v="25208"/>
    <d v="2026-07-01T00:00:00"/>
    <s v="00HSA06000006678"/>
    <x v="3"/>
    <s v="Received at HO"/>
    <m/>
    <m/>
    <x v="3"/>
    <m/>
    <m/>
    <m/>
  </r>
  <r>
    <d v="2026-07-01T00:00:00"/>
    <s v="Sameer"/>
    <s v="Bangalore"/>
    <x v="3"/>
    <s v="Call"/>
    <s v="Aggregator"/>
    <s v="Compass"/>
    <s v="Bulk Order"/>
    <s v="Repeat"/>
    <s v="F&amp;B Agrigator"/>
    <s v="Saad"/>
    <m/>
    <s v="Delivery in July Month from HSR"/>
    <s v="Closed(C4)"/>
    <m/>
    <m/>
    <s v=""/>
    <s v=""/>
    <s v="Hot"/>
    <n v="20000"/>
    <n v="25208"/>
    <d v="2026-07-01T00:00:00"/>
    <s v="00HSA06000006678"/>
    <x v="3"/>
    <s v="Received at HO"/>
    <m/>
    <m/>
    <x v="3"/>
    <m/>
    <m/>
    <m/>
  </r>
  <r>
    <d v="2026-07-01T00:00:00"/>
    <s v="Pradeep"/>
    <s v="Hyderabad"/>
    <x v="268"/>
    <s v="F2F"/>
    <s v="Corporate"/>
    <m/>
    <s v="Bulk Order"/>
    <s v="New"/>
    <s v="It"/>
    <s v="Krithi"/>
    <m/>
    <s v="Proposed for Bulk Order and Biryani Kits for Gifting"/>
    <s v="Cancelled"/>
    <m/>
    <m/>
    <n v="110"/>
    <s v=""/>
    <s v="Warm"/>
    <n v="60000"/>
    <m/>
    <m/>
    <m/>
    <x v="5"/>
    <m/>
    <m/>
    <m/>
    <x v="3"/>
    <m/>
    <s v=""/>
    <m/>
  </r>
  <r>
    <d v="2026-07-01T00:00:00"/>
    <s v="Pradeep"/>
    <s v="Hyderabad"/>
    <x v="269"/>
    <s v="F2F"/>
    <s v="Corporate"/>
    <m/>
    <s v="Bulk Order"/>
    <s v="New"/>
    <s v="It"/>
    <s v="Rahul"/>
    <m/>
    <s v="Proposed for Bulk Order and Biryani Kits for Gifting"/>
    <s v="Cancelled"/>
    <m/>
    <s v="Call"/>
    <n v="110"/>
    <s v=""/>
    <s v="Warm"/>
    <n v="70000"/>
    <m/>
    <m/>
    <m/>
    <x v="5"/>
    <m/>
    <m/>
    <m/>
    <x v="3"/>
    <m/>
    <s v=""/>
    <m/>
  </r>
  <r>
    <d v="2026-07-01T00:00:00"/>
    <s v="Pradeep"/>
    <s v="Hyderabad"/>
    <x v="270"/>
    <s v="F2F"/>
    <s v="Corporate"/>
    <m/>
    <s v="Bulk Order"/>
    <s v="New"/>
    <s v="It"/>
    <s v="Sanjana"/>
    <m/>
    <s v="Proposed for Bulk Order and Biryani Kits for Gifting"/>
    <s v="Cancelled"/>
    <m/>
    <m/>
    <n v="110"/>
    <s v=""/>
    <s v="Warm"/>
    <n v="40000"/>
    <m/>
    <m/>
    <m/>
    <x v="5"/>
    <m/>
    <m/>
    <m/>
    <x v="3"/>
    <m/>
    <s v=""/>
    <m/>
  </r>
  <r>
    <d v="2026-07-01T00:00:00"/>
    <s v="Bashab"/>
    <s v="Bangalore"/>
    <x v="37"/>
    <s v="Call"/>
    <s v="Aggregator"/>
    <s v="SmartQ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3"/>
    <m/>
    <s v=""/>
    <m/>
  </r>
  <r>
    <d v="2026-07-01T00:00:00"/>
    <s v="Bashab"/>
    <s v="Bangalore"/>
    <x v="41"/>
    <s v="Call"/>
    <s v="Aggregator"/>
    <s v="SmartQ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3"/>
    <m/>
    <s v=""/>
    <m/>
  </r>
  <r>
    <d v="2026-07-01T00:00:00"/>
    <s v="Bashab"/>
    <s v="Bangalore"/>
    <x v="122"/>
    <s v="Call"/>
    <s v="Aggregator"/>
    <s v="SmartQ"/>
    <s v="Pop Up Counter"/>
    <s v="Repeat"/>
    <s v="It"/>
    <s v="Naveen"/>
    <m/>
    <s v="Pop-up counter done"/>
    <s v="Confirmed( C3 )"/>
    <m/>
    <m/>
    <m/>
    <s v=""/>
    <s v="Hot"/>
    <m/>
    <m/>
    <m/>
    <m/>
    <x v="11"/>
    <m/>
    <m/>
    <m/>
    <x v="3"/>
    <m/>
    <s v=""/>
    <m/>
  </r>
  <r>
    <d v="2026-07-01T00:00:00"/>
    <s v="Bashab"/>
    <s v="Bangalore"/>
    <x v="40"/>
    <s v="F2F"/>
    <s v="Corporate"/>
    <m/>
    <s v="Popup Counter"/>
    <s v="Repeat"/>
    <s v="Retail"/>
    <s v="Srinivas"/>
    <m/>
    <s v="Popup Confirmed"/>
    <s v="Confirmed( C3 )"/>
    <m/>
    <m/>
    <m/>
    <s v=""/>
    <s v="Hot"/>
    <m/>
    <m/>
    <m/>
    <m/>
    <x v="7"/>
    <m/>
    <m/>
    <m/>
    <x v="3"/>
    <m/>
    <s v=""/>
    <m/>
  </r>
  <r>
    <d v="2026-07-01T00:00:00"/>
    <s v="Bashab"/>
    <s v="Bangalore"/>
    <x v="18"/>
    <s v="F2F"/>
    <s v="Corporate"/>
    <m/>
    <s v="Popup Counter"/>
    <s v="Repeat"/>
    <s v="Retail"/>
    <s v="Vinod"/>
    <m/>
    <s v="Popup Confirmed"/>
    <s v="Confirmed( C3 )"/>
    <m/>
    <m/>
    <m/>
    <s v=""/>
    <s v="Hot"/>
    <m/>
    <m/>
    <m/>
    <m/>
    <x v="7"/>
    <m/>
    <m/>
    <m/>
    <x v="3"/>
    <m/>
    <s v=""/>
    <m/>
  </r>
  <r>
    <d v="2026-07-01T00:00:00"/>
    <s v="Bashab"/>
    <s v="Bangalore"/>
    <x v="15"/>
    <s v="F2F"/>
    <s v="Corporate"/>
    <m/>
    <s v="Popup Counter"/>
    <s v="Repeat"/>
    <s v="Retail"/>
    <s v="James"/>
    <m/>
    <s v="Popup Confirmed"/>
    <s v="Confirmed( C3 )"/>
    <m/>
    <m/>
    <m/>
    <s v=""/>
    <s v="Hot"/>
    <m/>
    <m/>
    <m/>
    <m/>
    <x v="7"/>
    <m/>
    <m/>
    <m/>
    <x v="3"/>
    <m/>
    <s v=""/>
    <m/>
  </r>
  <r>
    <d v="2026-07-01T00:00:00"/>
    <s v="Bashab"/>
    <s v="Bangalore"/>
    <x v="31"/>
    <s v="F2F"/>
    <s v="Corporate"/>
    <m/>
    <s v="Popup Counter"/>
    <s v="Repeat"/>
    <s v="Retail"/>
    <s v="Mueenudheen"/>
    <m/>
    <s v="Popup Confirmed"/>
    <s v="Confirmed( C3 )"/>
    <m/>
    <m/>
    <m/>
    <s v=""/>
    <s v="Hot"/>
    <m/>
    <m/>
    <m/>
    <m/>
    <x v="7"/>
    <m/>
    <m/>
    <m/>
    <x v="3"/>
    <m/>
    <s v=""/>
    <m/>
  </r>
  <r>
    <d v="2026-07-01T00:00:00"/>
    <s v="Bashab"/>
    <s v="Bangalore"/>
    <x v="123"/>
    <s v="Call"/>
    <s v="Corporate"/>
    <m/>
    <s v="Pop Up Counter"/>
    <s v="Repeat"/>
    <s v="It"/>
    <s v="Anand"/>
    <m/>
    <s v="Pop-up counter confirmed"/>
    <s v="Confirmed( C3 )"/>
    <m/>
    <m/>
    <m/>
    <s v=""/>
    <s v="Hot"/>
    <m/>
    <m/>
    <m/>
    <m/>
    <x v="21"/>
    <m/>
    <m/>
    <m/>
    <x v="3"/>
    <m/>
    <s v=""/>
    <m/>
  </r>
  <r>
    <d v="2026-07-01T00:00:00"/>
    <s v="Bashab"/>
    <s v="Hyderabad"/>
    <x v="156"/>
    <s v="F2F"/>
    <s v="Aggregator"/>
    <s v="Compass"/>
    <s v="Bulk Order"/>
    <s v="New"/>
    <s v="F&amp;B Aggregator"/>
    <s v="Srinivas"/>
    <m/>
    <s v="Business Closed"/>
    <s v="Confirmed( C3 )"/>
    <m/>
    <m/>
    <m/>
    <s v=""/>
    <s v="Hot"/>
    <m/>
    <m/>
    <m/>
    <m/>
    <x v="5"/>
    <m/>
    <m/>
    <m/>
    <x v="3"/>
    <m/>
    <s v=""/>
    <m/>
  </r>
  <r>
    <d v="2026-07-01T00:00:00"/>
    <s v="Bashab"/>
    <s v="Bangalore"/>
    <x v="66"/>
    <s v="Call"/>
    <s v="Aggregator"/>
    <s v="Gokhana"/>
    <s v="Pop Up Counter"/>
    <s v="Repeat"/>
    <s v="It"/>
    <s v="Navya"/>
    <m/>
    <s v="Popup Confirmed"/>
    <s v="Confirmed( C3 )"/>
    <m/>
    <m/>
    <m/>
    <s v=""/>
    <s v="Hot"/>
    <m/>
    <m/>
    <m/>
    <m/>
    <x v="11"/>
    <m/>
    <m/>
    <m/>
    <x v="3"/>
    <m/>
    <s v=""/>
    <m/>
  </r>
  <r>
    <d v="2026-07-01T00:00:00"/>
    <s v="Vishwanath"/>
    <s v="Bangalore"/>
    <x v="28"/>
    <s v="F2F"/>
    <s v="Aggregator"/>
    <s v="Gokhana"/>
    <s v="Bulk Order"/>
    <s v="Repeat"/>
    <s v="F&amp;B Aggregator"/>
    <s v="Navya"/>
    <m/>
    <s v="Business Confirmed"/>
    <s v="Confirmed( C3 )"/>
    <m/>
    <m/>
    <m/>
    <s v=""/>
    <s v="Hot"/>
    <m/>
    <m/>
    <m/>
    <m/>
    <x v="8"/>
    <m/>
    <m/>
    <m/>
    <x v="3"/>
    <m/>
    <s v=""/>
    <m/>
  </r>
  <r>
    <d v="2026-07-01T00:00:00"/>
    <s v="Sameer"/>
    <s v="Hyderabad"/>
    <x v="260"/>
    <s v="F2F"/>
    <s v="Aggregator"/>
    <s v="Gokhana"/>
    <s v="Pop Up Counter"/>
    <s v="New"/>
    <s v="It"/>
    <s v="Sandhya"/>
    <m/>
    <s v="Popup Counter"/>
    <s v="Closed(C4)"/>
    <m/>
    <m/>
    <s v=""/>
    <s v=""/>
    <s v="Hot"/>
    <n v="12000"/>
    <n v="8806"/>
    <d v="2026-07-01T00:00:00"/>
    <s v="00GCBTA000292881"/>
    <x v="2"/>
    <s v="Received at HO"/>
    <m/>
    <m/>
    <x v="3"/>
    <m/>
    <m/>
    <m/>
  </r>
  <r>
    <d v="2026-07-01T00:00:00"/>
    <s v="Sameer"/>
    <s v="Hyderabad"/>
    <x v="261"/>
    <s v="F2F"/>
    <s v="Aggregator"/>
    <s v="Gokhana"/>
    <s v="Pop Up Counter"/>
    <s v="New"/>
    <s v="It"/>
    <s v="Sandhya"/>
    <m/>
    <s v="Popup Counter"/>
    <s v="Closed(C4)"/>
    <m/>
    <m/>
    <s v=""/>
    <s v=""/>
    <s v="Hot"/>
    <n v="12000"/>
    <n v="22772"/>
    <d v="2026-07-01T00:00:00"/>
    <s v="00GCBTA000292882"/>
    <x v="2"/>
    <s v="Received at HO"/>
    <m/>
    <m/>
    <x v="3"/>
    <m/>
    <m/>
    <m/>
  </r>
  <r>
    <d v="2026-07-01T00:00:00"/>
    <s v="Bashab"/>
    <s v="Bangalore"/>
    <x v="40"/>
    <s v="F2F"/>
    <s v="Corporate"/>
    <m/>
    <s v="Popup Counter"/>
    <s v="Repeat"/>
    <s v="Retail"/>
    <s v="Srinivas"/>
    <m/>
    <s v="Popup Confirmed"/>
    <s v="Closed(C4)"/>
    <m/>
    <m/>
    <m/>
    <s v=""/>
    <s v="Hot"/>
    <n v="15000"/>
    <n v="17896"/>
    <d v="2026-07-07T00:00:00"/>
    <s v="00WFTA1000038664"/>
    <x v="7"/>
    <s v="Received at Store"/>
    <m/>
    <d v="2026-07-07T00:00:00"/>
    <x v="3"/>
    <m/>
    <s v=""/>
    <m/>
  </r>
  <r>
    <d v="2026-07-02T00:00:00"/>
    <s v="Sameer"/>
    <s v="Hyderabad"/>
    <x v="261"/>
    <s v="F2F"/>
    <s v="Aggregator"/>
    <s v="Gokhana"/>
    <s v="Pop Up Counter"/>
    <s v="New"/>
    <s v="It"/>
    <s v="Sandhya"/>
    <m/>
    <s v="Popup Counter"/>
    <s v="Closed(C4)"/>
    <m/>
    <m/>
    <s v=""/>
    <s v=""/>
    <s v="Hot"/>
    <n v="12000"/>
    <n v="23356"/>
    <d v="2026-07-02T00:00:00"/>
    <s v="00GCBTA000292883"/>
    <x v="2"/>
    <s v="Received at HO"/>
    <m/>
    <m/>
    <x v="3"/>
    <m/>
    <m/>
    <m/>
  </r>
  <r>
    <d v="2026-07-02T00:00:00"/>
    <s v="Bashab"/>
    <s v="Bangalore"/>
    <x v="37"/>
    <s v="Call"/>
    <s v="Aggregator"/>
    <s v="SmartQ"/>
    <s v="Pop Up Counter"/>
    <s v="Repeat"/>
    <s v="It"/>
    <s v="Harish"/>
    <m/>
    <s v="Pop-up counter done"/>
    <s v="Closed(C4)"/>
    <m/>
    <m/>
    <m/>
    <s v=""/>
    <s v="Hot"/>
    <n v="15000"/>
    <n v="13940"/>
    <d v="2026-07-02T00:00:00"/>
    <m/>
    <x v="12"/>
    <s v="Received at HO"/>
    <m/>
    <m/>
    <x v="3"/>
    <m/>
    <s v=""/>
    <m/>
  </r>
  <r>
    <d v="2026-07-02T00:00:00"/>
    <s v="Bashab"/>
    <s v="Bangalore"/>
    <x v="41"/>
    <s v="Call"/>
    <s v="Aggregator"/>
    <s v="SmartQ"/>
    <s v="Pop Up Counter"/>
    <s v="Repeat"/>
    <s v="It"/>
    <s v="Harish"/>
    <m/>
    <s v="Pop-up counter done"/>
    <s v="Closed(C4)"/>
    <m/>
    <m/>
    <m/>
    <s v=""/>
    <s v="Hot"/>
    <n v="15000"/>
    <n v="13105"/>
    <d v="2026-07-02T00:00:00"/>
    <m/>
    <x v="12"/>
    <s v="Received at HO"/>
    <m/>
    <m/>
    <x v="3"/>
    <m/>
    <s v=""/>
    <m/>
  </r>
  <r>
    <d v="2026-07-02T00:00:00"/>
    <s v="Vishwanath"/>
    <s v="Bangalore"/>
    <x v="271"/>
    <s v="Call"/>
    <s v="Aggregator"/>
    <s v="SmartQ"/>
    <s v="Pop Up Counter"/>
    <s v="New"/>
    <s v="It"/>
    <s v="Naveen"/>
    <m/>
    <s v="Pop-up counter done"/>
    <s v="Closed(C4)"/>
    <m/>
    <m/>
    <s v=""/>
    <s v=""/>
    <s v="Hot"/>
    <n v="15000"/>
    <n v="6205"/>
    <d v="2026-07-02T00:00:00"/>
    <m/>
    <x v="11"/>
    <s v="Received at HO"/>
    <m/>
    <m/>
    <x v="3"/>
    <m/>
    <s v=""/>
    <m/>
  </r>
  <r>
    <d v="2026-07-02T00:00:00"/>
    <s v="Pradeep"/>
    <s v="Hyderabad"/>
    <x v="272"/>
    <s v="F2F"/>
    <m/>
    <m/>
    <s v="Bulk Order"/>
    <s v="New"/>
    <s v="It"/>
    <s v="Sindhu"/>
    <m/>
    <s v="Proposed for Bulk Order and Biryani Kits for Gifting"/>
    <s v="Cancelled"/>
    <m/>
    <m/>
    <m/>
    <m/>
    <s v="Cold"/>
    <n v="20000"/>
    <m/>
    <m/>
    <m/>
    <x v="5"/>
    <m/>
    <m/>
    <m/>
    <x v="3"/>
    <m/>
    <m/>
    <m/>
  </r>
  <r>
    <d v="2026-07-02T00:00:00"/>
    <s v="Pradeep"/>
    <s v="Hyderabad"/>
    <x v="273"/>
    <s v="F2F"/>
    <m/>
    <m/>
    <s v="Bulk Order"/>
    <s v="New"/>
    <s v="Manufacturing"/>
    <s v="Ravindera"/>
    <m/>
    <s v="Bulk order Business Requirement for 80-100 pax"/>
    <s v="Cancelled"/>
    <m/>
    <m/>
    <m/>
    <m/>
    <s v="Hot"/>
    <n v="60000"/>
    <m/>
    <m/>
    <m/>
    <x v="5"/>
    <m/>
    <m/>
    <m/>
    <x v="3"/>
    <m/>
    <m/>
    <m/>
  </r>
  <r>
    <d v="2026-07-02T00:00:00"/>
    <s v="Pradeep"/>
    <s v="Hyderabad"/>
    <x v="274"/>
    <s v="F2F"/>
    <m/>
    <m/>
    <s v="Bulk Order"/>
    <s v="New"/>
    <s v="It"/>
    <s v="Manasa"/>
    <m/>
    <s v="Proposed for Bulk Order and Biryani Kits for Gifting"/>
    <s v="Cancelled"/>
    <d v="2026-08-13T00:00:00"/>
    <s v="Call"/>
    <m/>
    <m/>
    <s v="Warm"/>
    <n v="30000"/>
    <m/>
    <m/>
    <m/>
    <x v="5"/>
    <m/>
    <m/>
    <m/>
    <x v="3"/>
    <m/>
    <m/>
    <m/>
  </r>
  <r>
    <d v="2026-07-02T00:00:00"/>
    <s v="Pradeep"/>
    <s v="Hyderabad"/>
    <x v="275"/>
    <s v="F2F"/>
    <m/>
    <m/>
    <s v="Bulk Order"/>
    <s v="New"/>
    <s v="It"/>
    <s v="Sanjana"/>
    <m/>
    <s v="Proposed for Bulk Order and Biryani Kits for Gifting"/>
    <s v="Cancelled"/>
    <d v="2026-08-19T00:00:00"/>
    <s v="Call"/>
    <m/>
    <m/>
    <s v="Cold"/>
    <n v="25000"/>
    <m/>
    <m/>
    <m/>
    <x v="5"/>
    <m/>
    <m/>
    <m/>
    <x v="3"/>
    <m/>
    <m/>
    <m/>
  </r>
  <r>
    <d v="2026-07-02T00:00:00"/>
    <s v="Bashab"/>
    <s v="Chennai"/>
    <x v="266"/>
    <s v="Call"/>
    <s v="Aggregator"/>
    <s v="SmartQ"/>
    <s v="Popup Counter"/>
    <s v="New"/>
    <s v="It"/>
    <s v="Nagarajan"/>
    <m/>
    <s v="Business Closed"/>
    <s v="Closed(C4)"/>
    <m/>
    <m/>
    <s v=""/>
    <s v=""/>
    <s v="Hot"/>
    <n v="20000"/>
    <n v="49275"/>
    <d v="2026-07-02T00:00:00"/>
    <m/>
    <x v="30"/>
    <s v="Received at HO"/>
    <m/>
    <m/>
    <x v="3"/>
    <m/>
    <s v=""/>
    <m/>
  </r>
  <r>
    <d v="2026-07-03T00:00:00"/>
    <s v="Bashab"/>
    <s v="Bangalore"/>
    <x v="37"/>
    <s v="Call"/>
    <s v="Aggregator"/>
    <s v="SmartQ"/>
    <s v="Pop Up Counter"/>
    <s v="Repeat"/>
    <s v="It"/>
    <s v="Harish"/>
    <m/>
    <s v="Pop-up counter done"/>
    <s v="Closed(C4)"/>
    <m/>
    <m/>
    <m/>
    <s v=""/>
    <s v="Hot"/>
    <n v="15000"/>
    <n v="19250"/>
    <d v="2026-07-03T00:00:00"/>
    <m/>
    <x v="12"/>
    <s v="Received at HO"/>
    <m/>
    <m/>
    <x v="3"/>
    <m/>
    <s v=""/>
    <m/>
  </r>
  <r>
    <d v="2026-07-03T00:00:00"/>
    <s v="Bashab"/>
    <s v="Bangalore"/>
    <x v="41"/>
    <s v="Call"/>
    <s v="Aggregator"/>
    <s v="SmartQ"/>
    <s v="Pop Up Counter"/>
    <s v="Repeat"/>
    <s v="It"/>
    <s v="Harish"/>
    <m/>
    <s v="Pop-up counter done"/>
    <s v="Closed(C4)"/>
    <m/>
    <m/>
    <m/>
    <s v=""/>
    <s v="Hot"/>
    <n v="15000"/>
    <n v="22325"/>
    <d v="2026-07-03T00:00:00"/>
    <m/>
    <x v="12"/>
    <s v="Received at HO"/>
    <m/>
    <m/>
    <x v="3"/>
    <m/>
    <s v=""/>
    <m/>
  </r>
  <r>
    <d v="2026-07-03T00:00:00"/>
    <s v="Vishwanath"/>
    <s v="Bangalore"/>
    <x v="276"/>
    <s v="Call"/>
    <s v="Aggregator"/>
    <s v="SmartQ"/>
    <s v="Pop Up Counter"/>
    <s v="New"/>
    <s v="It"/>
    <s v="Naveen"/>
    <m/>
    <s v="Pop-up counter done"/>
    <s v="Closed(C4)"/>
    <m/>
    <m/>
    <s v=""/>
    <s v=""/>
    <s v="Hot"/>
    <n v="15000"/>
    <n v="12948"/>
    <d v="2026-07-03T00:00:00"/>
    <m/>
    <x v="11"/>
    <s v="Received at HO"/>
    <m/>
    <m/>
    <x v="3"/>
    <m/>
    <s v=""/>
    <m/>
  </r>
  <r>
    <d v="2026-07-03T00:00:00"/>
    <s v="Pradeep"/>
    <s v="Hyderabad"/>
    <x v="277"/>
    <s v="F2F"/>
    <s v="Corporate"/>
    <m/>
    <s v="Bulk Order"/>
    <s v="New"/>
    <s v="Church"/>
    <s v="Rajeshker"/>
    <m/>
    <s v="Business Closed"/>
    <s v="Closed(C4)"/>
    <m/>
    <m/>
    <m/>
    <m/>
    <s v="Hot"/>
    <n v="35000"/>
    <n v="28796"/>
    <d v="2026-07-03T00:00:00"/>
    <s v="C0KKPTB000490686"/>
    <x v="17"/>
    <s v="Received at Store"/>
    <m/>
    <d v="2026-07-03T00:00:00"/>
    <x v="3"/>
    <m/>
    <m/>
    <s v="Takeaway-Bulk-Insti"/>
  </r>
  <r>
    <d v="2026-07-03T00:00:00"/>
    <s v="Sameer"/>
    <s v="Hyderabad"/>
    <x v="278"/>
    <s v="F2F"/>
    <s v="Corporate"/>
    <m/>
    <s v="Pop Up Counter"/>
    <s v="New"/>
    <s v="It"/>
    <s v="Vinay"/>
    <m/>
    <s v="Popup Counter confirmed from 13 to 24 July"/>
    <s v="Confirmed( C3 )"/>
    <m/>
    <m/>
    <m/>
    <m/>
    <s v="Hot"/>
    <n v="0"/>
    <m/>
    <m/>
    <m/>
    <x v="5"/>
    <m/>
    <m/>
    <m/>
    <x v="3"/>
    <m/>
    <m/>
    <m/>
  </r>
  <r>
    <d v="2026-07-03T00:00:00"/>
    <s v="Pradeep"/>
    <s v="Hyderabad"/>
    <x v="279"/>
    <s v="F2F"/>
    <m/>
    <m/>
    <s v="Bulk Order"/>
    <s v="New"/>
    <s v="It"/>
    <s v="Shyam"/>
    <m/>
    <s v="Has a Bulk order Requirement"/>
    <s v="Cancelled"/>
    <m/>
    <m/>
    <m/>
    <m/>
    <s v="Warm"/>
    <n v="25000"/>
    <m/>
    <m/>
    <m/>
    <x v="5"/>
    <m/>
    <m/>
    <m/>
    <x v="3"/>
    <m/>
    <m/>
    <m/>
  </r>
  <r>
    <d v="2026-07-03T00:00:00"/>
    <s v="Pradeep"/>
    <s v="Hyderabad"/>
    <x v="280"/>
    <s v="F2F"/>
    <m/>
    <m/>
    <s v="Bulk Order"/>
    <s v="New"/>
    <s v="It"/>
    <s v="Shashidar"/>
    <m/>
    <s v="Proposed for Bulk Order and Biryani Kits for Gifting"/>
    <s v="Cancelled"/>
    <d v="2026-09-03T00:00:00"/>
    <s v="Call"/>
    <m/>
    <m/>
    <s v="Cold"/>
    <n v="35000"/>
    <m/>
    <m/>
    <m/>
    <x v="5"/>
    <m/>
    <m/>
    <m/>
    <x v="3"/>
    <m/>
    <m/>
    <m/>
  </r>
  <r>
    <d v="2026-07-03T00:00:00"/>
    <s v="Pradeep"/>
    <s v="Hyderabad"/>
    <x v="281"/>
    <s v="F2F"/>
    <m/>
    <m/>
    <s v="Bulk Order"/>
    <s v="New"/>
    <s v="Healthcare"/>
    <s v="manasa"/>
    <m/>
    <s v="Proposed for Bulk Order and Biryani Kits for Gifting"/>
    <s v="Cancelled"/>
    <m/>
    <m/>
    <m/>
    <m/>
    <s v="Cold"/>
    <n v="40000"/>
    <m/>
    <m/>
    <m/>
    <x v="5"/>
    <m/>
    <m/>
    <m/>
    <x v="3"/>
    <m/>
    <m/>
    <m/>
  </r>
  <r>
    <d v="2026-07-05T00:00:00"/>
    <s v="Sameer"/>
    <s v="Hyderabad"/>
    <x v="282"/>
    <s v="F2F"/>
    <s v="Corporate"/>
    <m/>
    <s v="Bulk Order"/>
    <s v="New"/>
    <s v="It"/>
    <s v="Pawan Chropa"/>
    <m/>
    <s v="Discussed buffet menu for 3 Day lunch and 1 Dinner with Director"/>
    <s v="Negotitaion( C2 )"/>
    <m/>
    <m/>
    <m/>
    <m/>
    <s v="Hot"/>
    <n v="700000"/>
    <m/>
    <m/>
    <m/>
    <x v="5"/>
    <m/>
    <m/>
    <m/>
    <x v="3"/>
    <m/>
    <m/>
    <m/>
  </r>
  <r>
    <d v="2026-07-05T00:00:00"/>
    <s v="Pradeep"/>
    <s v="Hyderabad"/>
    <x v="283"/>
    <s v="F2F"/>
    <s v="Corporate"/>
    <m/>
    <s v="Bulk Order"/>
    <s v="New"/>
    <s v="Pharma"/>
    <s v="Tanmoy Mondal"/>
    <m/>
    <s v="Team Lunch at begumpet store on 5-07-2026"/>
    <s v="Closed(C4)"/>
    <m/>
    <m/>
    <m/>
    <m/>
    <s v="Hot"/>
    <n v="15000"/>
    <n v="23849"/>
    <d v="2026-07-05T00:00:00"/>
    <s v="00BGA1000017726"/>
    <x v="15"/>
    <s v="Received at Store"/>
    <m/>
    <d v="2026-07-05T00:00:00"/>
    <x v="3"/>
    <m/>
    <m/>
    <s v="Takeaway-Bulk-Insti"/>
  </r>
  <r>
    <d v="2026-07-05T00:00:00"/>
    <s v="Pradeep"/>
    <s v="Hyderabad"/>
    <x v="76"/>
    <s v="Call"/>
    <m/>
    <m/>
    <s v="Bulk Order"/>
    <s v="New"/>
    <s v="Family Group"/>
    <m/>
    <m/>
    <s v="Business Closed"/>
    <s v="Closed(C4)"/>
    <m/>
    <m/>
    <m/>
    <m/>
    <s v="Hot"/>
    <n v="15000"/>
    <n v="10148"/>
    <d v="2026-07-05T00:00:00"/>
    <s v="00JBC01200067251"/>
    <x v="31"/>
    <s v="Received at Store"/>
    <m/>
    <d v="2026-07-05T00:00:00"/>
    <x v="3"/>
    <m/>
    <m/>
    <s v="Takeaway-Bulk-Insti"/>
  </r>
  <r>
    <d v="2026-07-06T00:00:00"/>
    <s v="Vishwanath"/>
    <s v="Bangalore"/>
    <x v="28"/>
    <s v="F2F"/>
    <s v="Aggregator"/>
    <s v="Gokhana"/>
    <s v="Bulk Order"/>
    <s v="New"/>
    <s v="It"/>
    <s v="Sanjay"/>
    <m/>
    <s v="Bulk Order delivery"/>
    <s v="Closed(C4)"/>
    <m/>
    <m/>
    <m/>
    <s v=""/>
    <s v="Hot"/>
    <n v="40000"/>
    <n v="42620"/>
    <d v="2026-07-06T00:00:00"/>
    <m/>
    <x v="8"/>
    <s v="Received at HO"/>
    <m/>
    <m/>
    <x v="3"/>
    <m/>
    <s v=""/>
    <m/>
  </r>
  <r>
    <d v="2026-07-06T00:00:00"/>
    <s v="Sameer"/>
    <s v="Hyderabad"/>
    <x v="284"/>
    <s v="F2F"/>
    <s v="Aggregator"/>
    <s v="Hunger Box"/>
    <s v="Bulk Order"/>
    <s v="New"/>
    <s v="F&amp;B Aggregator"/>
    <s v="Abhishek"/>
    <m/>
    <s v="Delivery of Biryani and Mulberry Malai"/>
    <s v="Follow-up( C1 )"/>
    <m/>
    <m/>
    <n v="105"/>
    <s v=""/>
    <s v="Hot"/>
    <n v="250000"/>
    <m/>
    <m/>
    <m/>
    <x v="5"/>
    <m/>
    <m/>
    <m/>
    <x v="3"/>
    <m/>
    <s v=""/>
    <m/>
  </r>
  <r>
    <d v="2026-07-06T00:00:00"/>
    <s v="Sameer"/>
    <s v="Hyderabad"/>
    <x v="285"/>
    <s v="F2F"/>
    <s v="Corporate"/>
    <m/>
    <s v="Bulk Order"/>
    <s v="New"/>
    <s v="Exhibition"/>
    <s v="Mahesh"/>
    <m/>
    <s v="Delivery of CB &amp; VB on 18,19 &amp; 20 July"/>
    <s v="Cancelled"/>
    <m/>
    <m/>
    <n v="105"/>
    <s v=""/>
    <s v="Hot"/>
    <n v="450000"/>
    <m/>
    <m/>
    <m/>
    <x v="5"/>
    <m/>
    <m/>
    <m/>
    <x v="3"/>
    <m/>
    <s v=""/>
    <m/>
  </r>
  <r>
    <d v="2026-07-06T00:00:00"/>
    <s v="Pradeep"/>
    <s v="Hyderabad"/>
    <x v="199"/>
    <s v="F2F"/>
    <s v="Corporate"/>
    <m/>
    <s v="Bulk Order"/>
    <s v="New"/>
    <s v="It"/>
    <s v="Faridha"/>
    <m/>
    <s v="Has a Bulk order Requirement"/>
    <s v="Cancelled"/>
    <m/>
    <m/>
    <m/>
    <m/>
    <s v="Warm"/>
    <n v="30000"/>
    <m/>
    <m/>
    <m/>
    <x v="5"/>
    <m/>
    <m/>
    <m/>
    <x v="3"/>
    <m/>
    <m/>
    <m/>
  </r>
  <r>
    <d v="2026-07-06T00:00:00"/>
    <s v="Pradeep"/>
    <s v="Hyderabad"/>
    <x v="286"/>
    <s v="F2F"/>
    <s v="Corporate"/>
    <m/>
    <s v="Bulk Order"/>
    <s v="New"/>
    <s v="It"/>
    <s v="Charan"/>
    <m/>
    <s v="Proposed for Bulk Order and Biryani Kits for Gifting"/>
    <s v="Cancelled"/>
    <m/>
    <m/>
    <n v="105"/>
    <s v=""/>
    <s v="Cold"/>
    <n v="50000"/>
    <m/>
    <m/>
    <m/>
    <x v="5"/>
    <m/>
    <m/>
    <m/>
    <x v="3"/>
    <m/>
    <s v=""/>
    <m/>
  </r>
  <r>
    <d v="2026-07-06T00:00:00"/>
    <s v="Pradeep"/>
    <s v="Hyderabad"/>
    <x v="287"/>
    <s v="F2F"/>
    <s v="Corporate"/>
    <m/>
    <s v="Bulk Order"/>
    <s v="New"/>
    <s v="It"/>
    <s v="Gaayatri"/>
    <m/>
    <s v="Has a Bulk order Requirement"/>
    <s v="Cancelled"/>
    <m/>
    <m/>
    <n v="105"/>
    <s v=""/>
    <s v="Warm"/>
    <n v="40000"/>
    <m/>
    <m/>
    <m/>
    <x v="5"/>
    <m/>
    <m/>
    <m/>
    <x v="3"/>
    <m/>
    <s v=""/>
    <m/>
  </r>
  <r>
    <d v="2026-07-06T00:00:00"/>
    <s v="Pradeep"/>
    <s v="Hyderabad"/>
    <x v="200"/>
    <s v="F2F"/>
    <s v="Corporate"/>
    <m/>
    <s v="Bulk Order"/>
    <s v="New"/>
    <s v="It"/>
    <s v="Ganesh"/>
    <m/>
    <s v="Proposed for Bulk Order and Biryani Kits for Gifting"/>
    <s v="Cancelled"/>
    <d v="2026-08-24T00:00:00"/>
    <s v="Call"/>
    <n v="105"/>
    <s v=""/>
    <s v="Warm"/>
    <n v="100000"/>
    <m/>
    <m/>
    <m/>
    <x v="5"/>
    <m/>
    <m/>
    <m/>
    <x v="3"/>
    <m/>
    <s v=""/>
    <m/>
  </r>
  <r>
    <d v="2026-07-06T00:00:00"/>
    <s v="Pradeep"/>
    <s v="Hyderabad"/>
    <x v="288"/>
    <s v="F2F"/>
    <s v="Corporate"/>
    <m/>
    <s v="Bulk Order"/>
    <s v="New"/>
    <s v="Manufacturing"/>
    <s v="Soujanya"/>
    <m/>
    <s v="Proposed for Bulk Order and Biryani Kits for Gifting"/>
    <s v="Cancelled"/>
    <m/>
    <m/>
    <n v="105"/>
    <s v=""/>
    <s v="Warm"/>
    <n v="50000"/>
    <m/>
    <m/>
    <m/>
    <x v="5"/>
    <m/>
    <m/>
    <m/>
    <x v="3"/>
    <m/>
    <s v=""/>
    <m/>
  </r>
  <r>
    <d v="2026-07-06T00:00:00"/>
    <s v="Sameer"/>
    <s v="Hyderabad"/>
    <x v="20"/>
    <s v="Call"/>
    <s v="Aggregator"/>
    <s v="SmartQ"/>
    <s v="Bulk Order"/>
    <s v="New"/>
    <s v="F&amp;B Aggregator"/>
    <s v="Sekhar"/>
    <m/>
    <s v="Biryani day popup from Gachibowli"/>
    <s v="Closed(C4)"/>
    <m/>
    <m/>
    <s v=""/>
    <s v=""/>
    <s v="Hot"/>
    <n v="10000"/>
    <n v="37272"/>
    <d v="2026-07-06T00:00:00"/>
    <s v="00GCBTA000293284"/>
    <x v="2"/>
    <s v="Received at HO"/>
    <m/>
    <m/>
    <x v="3"/>
    <m/>
    <s v=""/>
    <m/>
  </r>
  <r>
    <d v="2026-07-06T00:00:00"/>
    <s v="Sameer"/>
    <s v="Hyderabad"/>
    <x v="21"/>
    <s v="Call"/>
    <s v="Aggregator"/>
    <s v="SmartQ"/>
    <s v="Pop Up Counter"/>
    <s v="New"/>
    <s v="F&amp;B Agrigator"/>
    <s v="Priyansh"/>
    <m/>
    <s v="Biryani day popup from Gachibowli"/>
    <s v="Closed(C4)"/>
    <m/>
    <m/>
    <s v=""/>
    <s v=""/>
    <s v="Hot"/>
    <n v="10000"/>
    <n v="10736"/>
    <d v="2026-07-06T00:00:00"/>
    <s v="00GCBTA000293285"/>
    <x v="2"/>
    <s v="Received at HO"/>
    <m/>
    <m/>
    <x v="3"/>
    <m/>
    <s v=""/>
    <m/>
  </r>
  <r>
    <d v="2026-07-06T00:00:00"/>
    <s v="Vishwanath"/>
    <s v="Bangalore"/>
    <x v="289"/>
    <s v="F2F"/>
    <s v="Corporate"/>
    <m/>
    <s v="Bulk Order"/>
    <s v="New"/>
    <s v="It"/>
    <s v="Jyothirmaya"/>
    <m/>
    <s v="Followup for the new Orders"/>
    <s v="Follow-up( C1 )"/>
    <d v="2026-09-25T00:00:00"/>
    <m/>
    <m/>
    <s v="Yes"/>
    <s v="Warm"/>
    <n v="15000"/>
    <m/>
    <m/>
    <m/>
    <x v="5"/>
    <m/>
    <m/>
    <m/>
    <x v="3"/>
    <m/>
    <s v=""/>
    <m/>
  </r>
  <r>
    <d v="2026-07-06T00:00:00"/>
    <s v="Vishwanath"/>
    <s v="Bangalore"/>
    <x v="290"/>
    <s v="F2F"/>
    <s v="Corporate"/>
    <m/>
    <s v="Bulk Order"/>
    <s v="New"/>
    <s v="Healthcare"/>
    <s v="Narendra Prasad"/>
    <m/>
    <s v="Cold call for the Order"/>
    <s v="Introduction( C0 )"/>
    <d v="2026-07-20T00:00:00"/>
    <s v="Call"/>
    <n v="105"/>
    <s v="Yes"/>
    <s v="Warm"/>
    <n v="12000"/>
    <m/>
    <m/>
    <m/>
    <x v="5"/>
    <m/>
    <m/>
    <m/>
    <x v="3"/>
    <m/>
    <s v=""/>
    <m/>
  </r>
  <r>
    <d v="2026-07-07T00:00:00"/>
    <s v="Pradeep"/>
    <s v="Hyderabad"/>
    <x v="291"/>
    <s v="F2F"/>
    <s v="Aggregator"/>
    <s v="Pinnacle"/>
    <s v="Bulk Order"/>
    <s v="New"/>
    <s v="Events"/>
    <s v="Naushad"/>
    <m/>
    <s v="Has a Bulk order Requirement"/>
    <s v="Closed(C4)"/>
    <m/>
    <m/>
    <s v=""/>
    <s v=""/>
    <s v="Hot"/>
    <n v="50000"/>
    <m/>
    <m/>
    <m/>
    <x v="5"/>
    <m/>
    <m/>
    <m/>
    <x v="3"/>
    <m/>
    <s v=""/>
    <m/>
  </r>
  <r>
    <d v="2026-07-07T00:00:00"/>
    <s v="Pradeep"/>
    <s v="Hyderabad"/>
    <x v="76"/>
    <s v="F2F"/>
    <m/>
    <m/>
    <s v="Bulk Order"/>
    <s v="New"/>
    <s v="Family Group"/>
    <s v="Jerry"/>
    <m/>
    <s v="Has a bulk order requirement"/>
    <s v="Cancelled"/>
    <m/>
    <m/>
    <n v="104"/>
    <s v=""/>
    <s v="Hot"/>
    <n v="15000"/>
    <m/>
    <m/>
    <m/>
    <x v="5"/>
    <m/>
    <m/>
    <m/>
    <x v="3"/>
    <m/>
    <s v=""/>
    <m/>
  </r>
  <r>
    <d v="2026-07-07T00:00:00"/>
    <s v="Sameer"/>
    <s v="Hyderabad"/>
    <x v="20"/>
    <s v="Call"/>
    <s v="Aggregator"/>
    <s v="SmartQ"/>
    <s v="Bulk Order"/>
    <s v="New"/>
    <s v="F&amp;B Aggregator"/>
    <s v="Sekhar"/>
    <m/>
    <s v="Biryani day popup from Gachibowli"/>
    <s v="Closed(C4)"/>
    <m/>
    <m/>
    <s v=""/>
    <s v=""/>
    <s v="Hot"/>
    <n v="10000"/>
    <n v="41395"/>
    <d v="2026-07-06T00:00:00"/>
    <s v="00GCBTA000293489"/>
    <x v="2"/>
    <s v="Received at HO"/>
    <m/>
    <m/>
    <x v="3"/>
    <m/>
    <s v=""/>
    <m/>
  </r>
  <r>
    <d v="2026-07-07T00:00:00"/>
    <s v="Sameer"/>
    <s v="Hyderabad"/>
    <x v="21"/>
    <s v="Call"/>
    <s v="Aggregator"/>
    <s v="SmartQ"/>
    <s v="Pop Up Counter"/>
    <s v="New"/>
    <s v="F&amp;B Agrigator"/>
    <s v="Priyansh"/>
    <m/>
    <s v="Biryani day popup from Gachibowli"/>
    <s v="Closed(C4)"/>
    <m/>
    <m/>
    <s v=""/>
    <s v=""/>
    <s v="Hot"/>
    <n v="10000"/>
    <n v="8310"/>
    <d v="2026-07-06T00:00:00"/>
    <s v="00GCBTA000293481"/>
    <x v="2"/>
    <s v="Received at HO"/>
    <m/>
    <m/>
    <x v="3"/>
    <m/>
    <s v=""/>
    <m/>
  </r>
  <r>
    <d v="2026-07-07T00:00:00"/>
    <s v="Bashab"/>
    <s v="Bangalore"/>
    <x v="31"/>
    <s v="F2F"/>
    <s v="Corporate"/>
    <m/>
    <s v="Popup Counter"/>
    <s v="Repeat"/>
    <s v="Retail"/>
    <s v="Mueenudheen"/>
    <m/>
    <s v="Popup Confirmed"/>
    <s v="Closed(C4)"/>
    <m/>
    <m/>
    <m/>
    <s v=""/>
    <s v="Hot"/>
    <n v="15000"/>
    <n v="11659"/>
    <d v="2026-07-08T00:00:00"/>
    <s v="00WFTA1000038672"/>
    <x v="7"/>
    <s v="Received at Store"/>
    <m/>
    <d v="2026-07-08T00:00:00"/>
    <x v="3"/>
    <m/>
    <s v=""/>
    <m/>
  </r>
  <r>
    <d v="2026-07-07T00:00:00"/>
    <s v="Vishwanath"/>
    <s v="Bangalore"/>
    <x v="292"/>
    <s v="F2F"/>
    <s v="Aggregator"/>
    <s v="SmartQ"/>
    <s v="Popup Counter"/>
    <s v="New"/>
    <s v="It"/>
    <s v="Naveen"/>
    <m/>
    <s v="Popup Confirmed"/>
    <s v="Closed(C4)"/>
    <m/>
    <m/>
    <s v=""/>
    <s v=""/>
    <s v="Hot"/>
    <n v="15000"/>
    <n v="21390"/>
    <d v="2026-07-07T00:00:00"/>
    <m/>
    <x v="8"/>
    <s v="Received at HO"/>
    <m/>
    <m/>
    <x v="3"/>
    <m/>
    <s v=""/>
    <m/>
  </r>
  <r>
    <d v="2026-07-07T00:00:00"/>
    <s v="Vishwanath"/>
    <s v="Bangalore"/>
    <x v="293"/>
    <s v="F2F"/>
    <s v="Aggregator"/>
    <s v="SmartQ"/>
    <s v="Popup Counter"/>
    <s v="New"/>
    <s v="It"/>
    <s v="Naveen"/>
    <m/>
    <s v="Popup Confirmed"/>
    <s v="Closed(C4)"/>
    <m/>
    <m/>
    <s v=""/>
    <s v=""/>
    <s v="Hot"/>
    <n v="15000"/>
    <n v="12905"/>
    <d v="2026-07-07T00:00:00"/>
    <m/>
    <x v="8"/>
    <s v="Received at HO"/>
    <m/>
    <m/>
    <x v="3"/>
    <m/>
    <s v=""/>
    <m/>
  </r>
  <r>
    <d v="2026-07-07T00:00:00"/>
    <s v="Vishwanath"/>
    <s v="Bangalore"/>
    <x v="294"/>
    <s v="F2F"/>
    <s v="Corporate"/>
    <m/>
    <s v="Bulk Order"/>
    <s v="New"/>
    <s v="Healthcare"/>
    <s v="Tharun"/>
    <m/>
    <s v="Cold call for the Order"/>
    <s v="Introduction( C0 )"/>
    <m/>
    <m/>
    <n v="104"/>
    <s v=""/>
    <s v="Cold"/>
    <n v="9000"/>
    <m/>
    <m/>
    <m/>
    <x v="5"/>
    <m/>
    <m/>
    <m/>
    <x v="3"/>
    <m/>
    <s v=""/>
    <m/>
  </r>
  <r>
    <d v="2026-07-07T00:00:00"/>
    <s v="Vishwanath"/>
    <s v="Bangalore"/>
    <x v="295"/>
    <s v="F2F"/>
    <s v="Corporate"/>
    <m/>
    <s v="Bulk Order"/>
    <s v="New"/>
    <s v="Healthcare"/>
    <s v="Murali"/>
    <m/>
    <s v="Cold call for the Order"/>
    <s v="Introduction( C0 )"/>
    <m/>
    <m/>
    <n v="104"/>
    <s v=""/>
    <s v="Cold"/>
    <n v="8500"/>
    <m/>
    <m/>
    <m/>
    <x v="5"/>
    <m/>
    <m/>
    <m/>
    <x v="3"/>
    <m/>
    <s v=""/>
    <m/>
  </r>
  <r>
    <d v="2026-07-08T00:00:00"/>
    <s v="Bashab"/>
    <s v="Bangalore"/>
    <x v="16"/>
    <s v="Call"/>
    <s v="Corporate"/>
    <s v="Compass"/>
    <s v="Bulk Order"/>
    <s v="Repeat"/>
    <s v="Retail"/>
    <s v="Mohammed"/>
    <m/>
    <s v="Business Closed"/>
    <s v="Closed(C4)"/>
    <m/>
    <m/>
    <s v=""/>
    <s v=""/>
    <s v="Hot"/>
    <n v="20000"/>
    <n v="30937"/>
    <d v="2026-07-08T00:00:00"/>
    <s v="00HSA06000006705"/>
    <x v="3"/>
    <s v="Received at HO"/>
    <m/>
    <m/>
    <x v="3"/>
    <m/>
    <m/>
    <m/>
  </r>
  <r>
    <d v="2026-07-08T00:00:00"/>
    <s v="Sameer"/>
    <s v="Bangalore"/>
    <x v="3"/>
    <s v="Call"/>
    <s v="Aggregator"/>
    <s v="Compass"/>
    <s v="Bulk Order"/>
    <s v="Repeat"/>
    <s v="F&amp;B Agrigator"/>
    <s v="Saad"/>
    <m/>
    <s v="Delivery in July month from HSR"/>
    <s v="Closed(C4)"/>
    <m/>
    <m/>
    <s v=""/>
    <s v=""/>
    <s v="Hot"/>
    <n v="20000"/>
    <n v="30937"/>
    <d v="2026-07-08T00:00:00"/>
    <s v="00HSA06000006705"/>
    <x v="3"/>
    <s v="Received at HO"/>
    <m/>
    <m/>
    <x v="3"/>
    <m/>
    <m/>
    <m/>
  </r>
  <r>
    <d v="2026-07-08T00:00:00"/>
    <s v="Sameer"/>
    <s v="Hyderabad"/>
    <x v="156"/>
    <s v="F2F"/>
    <s v="Aggregator"/>
    <s v="Compass"/>
    <s v="Bulk Order"/>
    <s v="New"/>
    <s v="F&amp;B Aggregator"/>
    <s v="Srinivas"/>
    <m/>
    <s v="Business Closed"/>
    <s v="Closed(C4)"/>
    <m/>
    <m/>
    <m/>
    <s v=""/>
    <s v="Hot"/>
    <n v="400000"/>
    <n v="422100"/>
    <d v="2026-07-08T00:00:00"/>
    <s v="CIFSPL0708"/>
    <x v="26"/>
    <s v="Received at HO"/>
    <m/>
    <m/>
    <x v="3"/>
    <m/>
    <s v=""/>
    <m/>
  </r>
  <r>
    <d v="2026-07-08T00:00:00"/>
    <s v="Bashab"/>
    <s v="Hyderabad"/>
    <x v="156"/>
    <s v="Call"/>
    <s v="Aggregator"/>
    <s v="Compass"/>
    <s v="Bulk Order"/>
    <s v="New"/>
    <s v="F&amp;B Aggregator"/>
    <s v="Srinivas"/>
    <m/>
    <s v="Business Closed"/>
    <s v="Closed(C4)"/>
    <m/>
    <m/>
    <m/>
    <s v=""/>
    <s v="Hot"/>
    <n v="400000"/>
    <n v="422100"/>
    <d v="2026-07-08T00:00:00"/>
    <s v="CIFSPL0708"/>
    <x v="26"/>
    <s v="Received at HO"/>
    <m/>
    <m/>
    <x v="3"/>
    <m/>
    <s v=""/>
    <m/>
  </r>
  <r>
    <d v="2026-07-08T00:00:00"/>
    <s v="Pradeep"/>
    <s v="Hyderabad"/>
    <x v="296"/>
    <s v="F2F"/>
    <s v="Corporate"/>
    <m/>
    <s v="Bulk Order"/>
    <s v="New"/>
    <s v="It"/>
    <s v="Visharav Singh"/>
    <m/>
    <s v="Business Closed"/>
    <s v="Closed(C4)"/>
    <m/>
    <m/>
    <m/>
    <m/>
    <s v="Hot"/>
    <n v="25000"/>
    <n v="28780"/>
    <d v="2026-07-08T00:00:00"/>
    <s v="00HCA05000025457"/>
    <x v="4"/>
    <s v="Received at Store"/>
    <m/>
    <d v="2026-07-08T00:00:00"/>
    <x v="3"/>
    <m/>
    <m/>
    <s v="Takeaway-Bulk-Insti"/>
  </r>
  <r>
    <d v="2026-07-08T00:00:00"/>
    <s v="Pradeep"/>
    <s v="Hyderabad"/>
    <x v="297"/>
    <s v="F2F"/>
    <s v="Corporate"/>
    <m/>
    <s v="Bulk Order"/>
    <s v="New"/>
    <s v="Government"/>
    <s v="Suman"/>
    <m/>
    <s v="Business Closed"/>
    <s v="Closed(C4)"/>
    <m/>
    <m/>
    <s v=""/>
    <s v=""/>
    <s v="Hot"/>
    <n v="20000"/>
    <n v="12760"/>
    <d v="2026-07-08T00:00:00"/>
    <s v="00MBTTA000318795"/>
    <x v="25"/>
    <s v="Received at Store"/>
    <m/>
    <d v="2026-07-08T00:00:00"/>
    <x v="3"/>
    <m/>
    <s v=""/>
    <s v="Takeaway-Bulk-Insti"/>
  </r>
  <r>
    <d v="2026-07-08T00:00:00"/>
    <s v="Sameer"/>
    <s v="Hyderabad"/>
    <x v="20"/>
    <s v="Call"/>
    <s v="Aggregator"/>
    <s v="SmartQ"/>
    <s v="Bulk Order"/>
    <s v="New"/>
    <s v="F&amp;B Aggregator"/>
    <s v="Sekhar"/>
    <m/>
    <s v="Biryani day popup from Gachibowli"/>
    <s v="Closed(C4)"/>
    <m/>
    <m/>
    <s v=""/>
    <s v=""/>
    <s v="Hot"/>
    <n v="10000"/>
    <n v="43685"/>
    <d v="2026-07-08T00:00:00"/>
    <s v="00GCBTA000293482"/>
    <x v="2"/>
    <s v="Received at HO"/>
    <m/>
    <m/>
    <x v="3"/>
    <m/>
    <s v=""/>
    <m/>
  </r>
  <r>
    <d v="2026-07-08T00:00:00"/>
    <s v="Sameer"/>
    <s v="Hyderabad"/>
    <x v="21"/>
    <s v="Call"/>
    <s v="Aggregator"/>
    <s v="SmartQ"/>
    <s v="Pop Up Counter"/>
    <s v="New"/>
    <s v="F&amp;B Agrigator"/>
    <s v="Priyansh"/>
    <m/>
    <s v="Biryani day popup from Gachibowli"/>
    <s v="Closed(C4)"/>
    <m/>
    <m/>
    <s v=""/>
    <s v=""/>
    <s v="Hot"/>
    <n v="10000"/>
    <n v="1209"/>
    <d v="2026-07-08T00:00:00"/>
    <s v="00GCBTA000293482"/>
    <x v="2"/>
    <s v="Received at HO"/>
    <m/>
    <m/>
    <x v="3"/>
    <m/>
    <s v=""/>
    <m/>
  </r>
  <r>
    <d v="2026-07-08T00:00:00"/>
    <s v="Vishwanath"/>
    <s v="Bangalore"/>
    <x v="298"/>
    <s v="F2F"/>
    <s v="Corporate"/>
    <m/>
    <s v="Bulk Order"/>
    <s v="New"/>
    <s v="It"/>
    <s v="Vipin"/>
    <m/>
    <s v="Business Closed"/>
    <s v="Closed(C4)"/>
    <m/>
    <m/>
    <s v=""/>
    <s v=""/>
    <s v="Hot"/>
    <n v="20000"/>
    <n v="22959"/>
    <d v="2026-07-08T00:00:00"/>
    <s v="00HSA06000006706"/>
    <x v="3"/>
    <s v="Received at Store"/>
    <m/>
    <d v="2026-07-08T00:00:00"/>
    <x v="3"/>
    <m/>
    <s v=""/>
    <m/>
  </r>
  <r>
    <d v="2026-07-08T00:00:00"/>
    <s v="Vishwanath"/>
    <s v="Bangalore"/>
    <x v="299"/>
    <s v="F2F"/>
    <s v="Corporate"/>
    <m/>
    <s v="Bulk Order"/>
    <s v="New"/>
    <s v="Healthcare"/>
    <s v="Prasanth"/>
    <m/>
    <s v="Cold call for the Order"/>
    <s v="Introduction( C0 )"/>
    <m/>
    <m/>
    <n v="103"/>
    <s v=""/>
    <s v="Cold"/>
    <n v="10500"/>
    <m/>
    <m/>
    <m/>
    <x v="5"/>
    <m/>
    <m/>
    <m/>
    <x v="3"/>
    <m/>
    <s v=""/>
    <m/>
  </r>
  <r>
    <d v="2026-07-08T00:00:00"/>
    <s v="Vishwanath"/>
    <s v="Bangalore"/>
    <x v="300"/>
    <s v="F2F"/>
    <s v="ODC"/>
    <m/>
    <s v="Bulk Order"/>
    <s v="New"/>
    <s v="Healthcare"/>
    <s v="Siddarth"/>
    <m/>
    <s v="Cold call for the Order"/>
    <s v="Introduction( C0 )"/>
    <m/>
    <m/>
    <n v="103"/>
    <s v=""/>
    <s v="Cold"/>
    <m/>
    <m/>
    <m/>
    <m/>
    <x v="5"/>
    <m/>
    <m/>
    <m/>
    <x v="3"/>
    <m/>
    <s v=""/>
    <m/>
  </r>
  <r>
    <d v="2026-07-09T00:00:00"/>
    <s v="Sameer"/>
    <s v="Hyderabad"/>
    <x v="301"/>
    <s v="F2F"/>
    <s v="Corporate"/>
    <m/>
    <s v="Bulk Order"/>
    <s v="New"/>
    <s v="Exhibition"/>
    <s v="Pradeep"/>
    <m/>
    <s v="Deliverd Biryani at Event on 9-07-2026"/>
    <s v="Closed(C4)"/>
    <m/>
    <m/>
    <s v=""/>
    <s v=""/>
    <s v="Hot"/>
    <n v="15000"/>
    <n v="19200"/>
    <d v="2026-07-09T00:00:00"/>
    <s v="00STA01000065981"/>
    <x v="14"/>
    <s v="Received at HO"/>
    <m/>
    <m/>
    <x v="3"/>
    <m/>
    <s v=""/>
    <m/>
  </r>
  <r>
    <d v="2026-07-09T00:00:00"/>
    <s v="Sameer"/>
    <s v="Hyderabad"/>
    <x v="302"/>
    <s v="F2F"/>
    <s v="Corporate"/>
    <m/>
    <s v="Bulk Order"/>
    <s v="New"/>
    <s v="Exhibition"/>
    <s v="Venu"/>
    <m/>
    <s v="Delivery of biryani on 18,19&amp;20 July"/>
    <s v="Cancelled"/>
    <m/>
    <m/>
    <n v="102"/>
    <s v=""/>
    <s v="Hot"/>
    <n v="0"/>
    <m/>
    <m/>
    <m/>
    <x v="14"/>
    <m/>
    <m/>
    <m/>
    <x v="3"/>
    <m/>
    <s v=""/>
    <m/>
  </r>
  <r>
    <d v="2026-07-09T00:00:00"/>
    <s v="Sameer"/>
    <s v="Hyderabad"/>
    <x v="282"/>
    <s v="F2F"/>
    <s v="Corporate"/>
    <m/>
    <s v="Bulk Order"/>
    <s v="New"/>
    <s v="It"/>
    <s v="Pawan Chropa"/>
    <m/>
    <s v="Confirmed Buffet menu for dinner on 15-07-2026"/>
    <s v="Cancelled"/>
    <m/>
    <m/>
    <m/>
    <m/>
    <s v="Hot"/>
    <n v="195000"/>
    <m/>
    <m/>
    <m/>
    <x v="5"/>
    <m/>
    <m/>
    <m/>
    <x v="3"/>
    <m/>
    <s v=""/>
    <m/>
  </r>
  <r>
    <d v="2026-07-09T00:00:00"/>
    <s v="Pradeep"/>
    <s v="Hyderabad"/>
    <x v="303"/>
    <s v="F2F"/>
    <s v="Aggregator"/>
    <s v="Pinnacle"/>
    <s v="Pop Up Counter"/>
    <s v="New"/>
    <s v="Events"/>
    <s v="Naushad"/>
    <m/>
    <s v="Pop-up counter from 9th july to 11 july"/>
    <s v="Closed(C4)"/>
    <m/>
    <m/>
    <m/>
    <m/>
    <s v="Hot"/>
    <n v="250000"/>
    <m/>
    <d v="2026-07-11T00:00:00"/>
    <m/>
    <x v="1"/>
    <s v="Received at HO"/>
    <m/>
    <m/>
    <x v="3"/>
    <m/>
    <m/>
    <m/>
  </r>
  <r>
    <d v="2026-07-09T00:00:00"/>
    <s v="Pradeep"/>
    <s v="Hyderabad"/>
    <x v="304"/>
    <s v="F2F"/>
    <s v="Corporate"/>
    <m/>
    <s v="Bulk Order"/>
    <s v="New"/>
    <s v="It"/>
    <s v="Sameer"/>
    <m/>
    <s v="Has a bulk order requirement"/>
    <s v="Cancelled"/>
    <m/>
    <m/>
    <m/>
    <m/>
    <s v="Warm"/>
    <n v="25000"/>
    <m/>
    <m/>
    <m/>
    <x v="5"/>
    <m/>
    <m/>
    <m/>
    <x v="3"/>
    <m/>
    <m/>
    <m/>
  </r>
  <r>
    <d v="2026-07-09T00:00:00"/>
    <s v="Vishwanath"/>
    <s v="Bangalore"/>
    <x v="305"/>
    <s v="F2F"/>
    <s v="Corporate"/>
    <m/>
    <s v="Bulk Order"/>
    <s v="New"/>
    <s v="It"/>
    <s v="Aruna"/>
    <m/>
    <s v="Cold call for the Order"/>
    <s v="Introduction( C0 )"/>
    <m/>
    <m/>
    <n v="102"/>
    <s v=""/>
    <s v="Cold"/>
    <n v="6000"/>
    <m/>
    <m/>
    <m/>
    <x v="5"/>
    <m/>
    <m/>
    <m/>
    <x v="3"/>
    <m/>
    <s v=""/>
    <m/>
  </r>
  <r>
    <d v="2026-07-09T00:00:00"/>
    <s v="Vishwanath"/>
    <s v="Bangalore"/>
    <x v="306"/>
    <s v="Call"/>
    <s v="Corporate"/>
    <m/>
    <s v="Bulk Order"/>
    <s v="New"/>
    <s v="Orphanage &amp; NGO"/>
    <s v="Gopalakrishnan"/>
    <m/>
    <s v="Cold call for the Order"/>
    <s v="Introduction( C0 )"/>
    <m/>
    <m/>
    <n v="102"/>
    <s v=""/>
    <s v="Cold"/>
    <m/>
    <m/>
    <m/>
    <m/>
    <x v="5"/>
    <m/>
    <m/>
    <m/>
    <x v="3"/>
    <m/>
    <s v=""/>
    <m/>
  </r>
  <r>
    <d v="2026-07-10T00:00:00"/>
    <s v="Sameer"/>
    <s v="Hyderabad"/>
    <x v="301"/>
    <s v="F2F"/>
    <s v="Corporate"/>
    <m/>
    <s v="Bulk Order"/>
    <s v="New"/>
    <s v="Exhibition"/>
    <s v="Pradeep"/>
    <m/>
    <s v="Deliverd Biryani at Event on 10-07-2026"/>
    <s v="Closed(C4)"/>
    <m/>
    <m/>
    <s v=""/>
    <s v=""/>
    <s v="Hot"/>
    <n v="8000"/>
    <n v="10490"/>
    <d v="2026-07-10T00:00:00"/>
    <s v="00STA01000065981"/>
    <x v="14"/>
    <s v="Received at HO"/>
    <m/>
    <m/>
    <x v="3"/>
    <m/>
    <m/>
    <m/>
  </r>
  <r>
    <d v="2026-07-10T00:00:00"/>
    <s v="Bashab"/>
    <s v="Bangalore"/>
    <x v="37"/>
    <s v="Call"/>
    <s v="Aggregator"/>
    <s v="SmartQ"/>
    <s v="Pop Up Counter"/>
    <s v="Repeat"/>
    <s v="It"/>
    <s v="Harish"/>
    <m/>
    <s v="Pop-up counter done"/>
    <s v="Closed(C4)"/>
    <m/>
    <m/>
    <m/>
    <s v=""/>
    <s v="Hot"/>
    <n v="15000"/>
    <n v="22310"/>
    <d v="2026-07-10T00:00:00"/>
    <m/>
    <x v="12"/>
    <s v="Received at HO"/>
    <m/>
    <m/>
    <x v="3"/>
    <m/>
    <s v=""/>
    <m/>
  </r>
  <r>
    <d v="2026-07-10T00:00:00"/>
    <s v="Sameer"/>
    <s v="Hyderabad"/>
    <x v="52"/>
    <s v="F2F"/>
    <s v="Aggregator"/>
    <s v="Compass"/>
    <s v="Bulk Order"/>
    <s v="Repeat"/>
    <s v="It"/>
    <s v="Dinesh"/>
    <m/>
    <s v="Biryani on 22-07-2026 from Kukatpally"/>
    <s v="Closed(C4)"/>
    <m/>
    <m/>
    <s v=""/>
    <s v=""/>
    <s v="Hot"/>
    <n v="0"/>
    <n v="0"/>
    <m/>
    <m/>
    <x v="5"/>
    <m/>
    <m/>
    <m/>
    <x v="3"/>
    <m/>
    <s v=""/>
    <m/>
  </r>
  <r>
    <d v="2026-07-10T00:00:00"/>
    <s v="Bashab"/>
    <s v="Bangalore"/>
    <x v="41"/>
    <s v="Call"/>
    <s v="Aggregator"/>
    <s v="SmartQ"/>
    <s v="Pop Up Counter"/>
    <s v="Repeat"/>
    <s v="It"/>
    <s v="Harish"/>
    <m/>
    <s v="Pop-up counter done"/>
    <s v="Closed(C4)"/>
    <m/>
    <m/>
    <m/>
    <s v=""/>
    <s v="Hot"/>
    <n v="15000"/>
    <n v="20290"/>
    <d v="2026-07-10T00:00:00"/>
    <m/>
    <x v="12"/>
    <s v="Received at HO"/>
    <m/>
    <m/>
    <x v="3"/>
    <m/>
    <s v=""/>
    <m/>
  </r>
  <r>
    <d v="2026-07-10T00:00:00"/>
    <s v="Pradeep"/>
    <s v="Hyderabad"/>
    <x v="307"/>
    <s v="F2F"/>
    <s v="Corporate"/>
    <m/>
    <s v="Bulk Order"/>
    <s v="New"/>
    <s v="It"/>
    <s v="Sandeep"/>
    <m/>
    <s v="Proposed for Bulk Order and Biryani Kits for Gifting"/>
    <s v="Cancelled"/>
    <m/>
    <m/>
    <m/>
    <m/>
    <s v="Hot"/>
    <n v="35000"/>
    <m/>
    <m/>
    <m/>
    <x v="5"/>
    <m/>
    <m/>
    <m/>
    <x v="3"/>
    <m/>
    <m/>
    <m/>
  </r>
  <r>
    <d v="2026-07-10T00:00:00"/>
    <s v="Pradeep"/>
    <s v="Hyderabad"/>
    <x v="308"/>
    <s v="F2F"/>
    <s v="Corporate"/>
    <m/>
    <s v="Bulk Order"/>
    <s v="New"/>
    <s v="It"/>
    <s v="Renuka"/>
    <m/>
    <s v="Proposed for Bulk Order and Biryani Kits for Gifting"/>
    <s v="Cancelled"/>
    <m/>
    <m/>
    <m/>
    <m/>
    <s v="Cold"/>
    <n v="20000"/>
    <m/>
    <m/>
    <m/>
    <x v="5"/>
    <m/>
    <m/>
    <m/>
    <x v="3"/>
    <m/>
    <m/>
    <m/>
  </r>
  <r>
    <d v="2026-07-10T00:00:00"/>
    <s v="Vishwanath"/>
    <s v="Bangalore"/>
    <x v="99"/>
    <s v="F2F"/>
    <s v="Corporate"/>
    <m/>
    <s v="Bulk Order"/>
    <s v="New"/>
    <s v="It"/>
    <s v="Sridhar Murthy"/>
    <m/>
    <s v="Cold call for the Order"/>
    <s v="Introduction( C0 )"/>
    <m/>
    <m/>
    <n v="101"/>
    <s v=""/>
    <s v="Cold"/>
    <n v="5500"/>
    <m/>
    <m/>
    <m/>
    <x v="5"/>
    <m/>
    <m/>
    <m/>
    <x v="3"/>
    <m/>
    <s v=""/>
    <m/>
  </r>
  <r>
    <d v="2026-07-10T00:00:00"/>
    <s v="Vishwanath"/>
    <s v="Bangalore"/>
    <x v="309"/>
    <s v="F2F"/>
    <s v="Corporate"/>
    <m/>
    <s v="Bulk Order"/>
    <s v="New"/>
    <s v="It"/>
    <s v="Sharath"/>
    <m/>
    <s v="Cold call for the Order"/>
    <s v="Introduction( C0 )"/>
    <m/>
    <m/>
    <n v="101"/>
    <s v=""/>
    <s v="Cold"/>
    <n v="6000"/>
    <m/>
    <m/>
    <m/>
    <x v="5"/>
    <m/>
    <m/>
    <m/>
    <x v="3"/>
    <m/>
    <s v=""/>
    <m/>
  </r>
  <r>
    <d v="2026-07-10T00:00:00"/>
    <s v="Sameer"/>
    <s v="Hyderabad"/>
    <x v="310"/>
    <s v="F2F"/>
    <s v="Corporate"/>
    <m/>
    <s v="Bulk Order"/>
    <s v="New"/>
    <s v="Exhibition"/>
    <s v="Ashutosh"/>
    <m/>
    <s v="Deliverd Biryani at Event on 11-07-2026"/>
    <s v="Closed(C4)"/>
    <m/>
    <m/>
    <s v=""/>
    <s v=""/>
    <s v="Hot"/>
    <n v="3000"/>
    <n v="4714"/>
    <d v="2026-07-11T00:00:00"/>
    <s v="00SUTA1000051387"/>
    <x v="32"/>
    <s v="Received at Store"/>
    <m/>
    <m/>
    <x v="3"/>
    <m/>
    <s v=""/>
    <m/>
  </r>
  <r>
    <d v="2026-07-10T00:00:00"/>
    <s v="Bashab"/>
    <s v="Hyderabad"/>
    <x v="310"/>
    <s v="F2F"/>
    <s v="Corporate"/>
    <m/>
    <s v="Bulk Order"/>
    <s v="New"/>
    <s v="Exhibition"/>
    <s v="Ashutosh"/>
    <m/>
    <s v="Deliverd Biryani at Event on 11-07-2026"/>
    <s v="Closed(C4)"/>
    <m/>
    <m/>
    <s v=""/>
    <s v=""/>
    <s v="Hot"/>
    <n v="3000"/>
    <n v="4714"/>
    <d v="2026-07-11T00:00:00"/>
    <s v="00SUTA1000051387"/>
    <x v="32"/>
    <s v="Received at Store"/>
    <m/>
    <m/>
    <x v="3"/>
    <m/>
    <m/>
    <m/>
  </r>
  <r>
    <d v="2026-07-11T00:00:00"/>
    <s v="Sameer"/>
    <s v="Hyderabad"/>
    <x v="301"/>
    <s v="F2F"/>
    <s v="Corporate"/>
    <m/>
    <s v="Bulk Order"/>
    <s v="New"/>
    <s v="Exhibition"/>
    <s v="Pradeep"/>
    <m/>
    <s v="Deliverd Biryani at Event on 11-07-2026"/>
    <s v="Closed(C4)"/>
    <m/>
    <m/>
    <s v=""/>
    <s v=""/>
    <s v="Hot"/>
    <n v="7000"/>
    <n v="10430"/>
    <d v="2026-07-11T00:00:00"/>
    <s v="00STA01000065981"/>
    <x v="14"/>
    <s v="Received at HO"/>
    <m/>
    <m/>
    <x v="3"/>
    <m/>
    <s v=""/>
    <m/>
  </r>
  <r>
    <d v="2026-07-11T00:00:00"/>
    <s v="Bashab"/>
    <s v="Hyderabad"/>
    <x v="311"/>
    <s v="Call"/>
    <s v="ODC"/>
    <s v="Pinnacle"/>
    <s v="Popup Counter"/>
    <s v="New"/>
    <s v="Exhibition"/>
    <s v="Ashutosh"/>
    <m/>
    <s v="Business Closed"/>
    <s v="Closed(C4)"/>
    <m/>
    <m/>
    <m/>
    <m/>
    <s v="Hot"/>
    <n v="40000"/>
    <n v="211200"/>
    <d v="2026-07-11T00:00:00"/>
    <m/>
    <x v="5"/>
    <s v="Received at HO"/>
    <m/>
    <m/>
    <x v="3"/>
    <m/>
    <m/>
    <m/>
  </r>
  <r>
    <d v="2026-07-12T00:00:00"/>
    <s v="Sameer"/>
    <s v="Hyderabad"/>
    <x v="310"/>
    <s v="F2F"/>
    <s v="Corporate"/>
    <m/>
    <s v="Bulk Order"/>
    <s v="New"/>
    <s v="Exhibition"/>
    <s v="Ashutosh"/>
    <m/>
    <s v="Deliverd Biryani at Event on 10-07-2026"/>
    <s v="Closed(C4)"/>
    <m/>
    <m/>
    <s v=""/>
    <s v=""/>
    <s v="Hot"/>
    <n v="3000"/>
    <n v="6200"/>
    <d v="2026-07-12T00:00:00"/>
    <s v="00SUC01000050475"/>
    <x v="32"/>
    <s v="Received at Store"/>
    <m/>
    <m/>
    <x v="3"/>
    <m/>
    <s v=""/>
    <m/>
  </r>
  <r>
    <d v="2026-07-12T00:00:00"/>
    <s v="Bashab"/>
    <s v="Hyderabad"/>
    <x v="310"/>
    <s v="F2F"/>
    <s v="Corporate"/>
    <m/>
    <s v="Bulk Order"/>
    <s v="New"/>
    <s v="Exhibition"/>
    <s v="Ashutosh"/>
    <m/>
    <s v="Deliverd Biryani at Event on 10-07-2026"/>
    <s v="Closed(C4)"/>
    <m/>
    <m/>
    <s v=""/>
    <s v=""/>
    <s v="Hot"/>
    <n v="3000"/>
    <n v="6200"/>
    <d v="2026-07-12T00:00:00"/>
    <s v="00SUC01000050475"/>
    <x v="32"/>
    <s v="Received at Store"/>
    <m/>
    <m/>
    <x v="3"/>
    <m/>
    <s v=""/>
    <m/>
  </r>
  <r>
    <d v="2026-07-13T00:00:00"/>
    <s v="Pradeep"/>
    <s v="Hyderabad"/>
    <x v="76"/>
    <s v="F2F"/>
    <s v="Bulk Order"/>
    <m/>
    <s v="Bulk Order"/>
    <s v="New"/>
    <s v="F&amp;B Aggregator"/>
    <s v="Satish"/>
    <m/>
    <s v="Has a bulk order requirement "/>
    <s v="Cancelled"/>
    <m/>
    <m/>
    <n v="98"/>
    <s v=""/>
    <s v="Hot"/>
    <n v="5000"/>
    <m/>
    <m/>
    <m/>
    <x v="5"/>
    <m/>
    <m/>
    <m/>
    <x v="3"/>
    <m/>
    <s v=""/>
    <m/>
  </r>
  <r>
    <d v="2026-07-13T00:00:00"/>
    <s v="Pradeep"/>
    <s v="Hyderabad"/>
    <x v="312"/>
    <s v="F2F"/>
    <s v="Corporate"/>
    <m/>
    <s v="Bulk Order"/>
    <s v="New"/>
    <s v="Events"/>
    <s v="Shashank"/>
    <m/>
    <s v="Bulk order closed"/>
    <s v="Closed(C4)"/>
    <m/>
    <m/>
    <s v=""/>
    <s v=""/>
    <s v="Hot"/>
    <n v="25000"/>
    <n v="26909"/>
    <d v="2026-07-14T00:00:00"/>
    <s v="00SSBTA000160599"/>
    <x v="26"/>
    <s v="Received at HO"/>
    <m/>
    <d v="2026-07-14T00:00:00"/>
    <x v="3"/>
    <m/>
    <s v=""/>
    <s v="Takeaway-Bulk-Insti"/>
  </r>
  <r>
    <d v="2026-07-13T00:00:00"/>
    <s v="Sameer"/>
    <s v="Hyderabad"/>
    <x v="278"/>
    <s v="F2F"/>
    <s v="Corporate"/>
    <m/>
    <s v="Pop Up Counter"/>
    <s v="New"/>
    <s v="It"/>
    <s v="Gopi"/>
    <m/>
    <s v="Popup Counter 13-7-2026"/>
    <s v="Closed(C4)"/>
    <m/>
    <m/>
    <s v=""/>
    <s v=""/>
    <s v="Hot"/>
    <n v="25000"/>
    <n v="60416"/>
    <d v="2026-07-13T00:00:00"/>
    <s v="00GCBTA000293843"/>
    <x v="2"/>
    <s v="Received at Store"/>
    <m/>
    <m/>
    <x v="3"/>
    <m/>
    <s v=""/>
    <m/>
  </r>
  <r>
    <d v="2026-07-13T00:00:00"/>
    <s v="Vishwanath"/>
    <s v="Bangalore"/>
    <x v="259"/>
    <s v="F2F"/>
    <m/>
    <m/>
    <s v="Bulk Order"/>
    <s v="New"/>
    <s v="It"/>
    <s v="Mahesh"/>
    <m/>
    <s v="bulk order"/>
    <s v="Follow-up( C1 )"/>
    <d v="2026-09-18T00:00:00"/>
    <s v="Call"/>
    <n v="98"/>
    <s v="Yes"/>
    <s v="Warm"/>
    <n v="5500"/>
    <m/>
    <m/>
    <m/>
    <x v="5"/>
    <m/>
    <m/>
    <m/>
    <x v="3"/>
    <m/>
    <s v=""/>
    <m/>
  </r>
  <r>
    <d v="2026-07-13T00:00:00"/>
    <s v="Vishwanath"/>
    <s v="Bangalore"/>
    <x v="313"/>
    <s v="F2F"/>
    <m/>
    <m/>
    <s v="Bulk Order"/>
    <s v="New"/>
    <s v="Entertainment"/>
    <s v="Raj"/>
    <m/>
    <s v="bulk order"/>
    <s v="Follow-up( C1 )"/>
    <d v="2026-09-18T00:00:00"/>
    <s v="Call"/>
    <n v="98"/>
    <s v="Yes"/>
    <s v="Warm"/>
    <n v="6000"/>
    <m/>
    <m/>
    <m/>
    <x v="5"/>
    <m/>
    <m/>
    <m/>
    <x v="3"/>
    <m/>
    <s v=""/>
    <m/>
  </r>
  <r>
    <d v="2026-07-13T00:00:00"/>
    <s v="Vishwanath"/>
    <s v="Bangalore"/>
    <x v="314"/>
    <s v="F2F"/>
    <s v="Corporate"/>
    <m/>
    <s v="Bulk Order"/>
    <s v="New"/>
    <s v="It"/>
    <s v="Jyothi Lakshmi"/>
    <m/>
    <s v="Bulk order"/>
    <s v="Introduction( C0 )"/>
    <m/>
    <m/>
    <n v="98"/>
    <s v=""/>
    <s v="Cold"/>
    <n v="5500"/>
    <m/>
    <m/>
    <m/>
    <x v="5"/>
    <m/>
    <m/>
    <m/>
    <x v="3"/>
    <m/>
    <s v=""/>
    <m/>
  </r>
  <r>
    <d v="2026-07-14T00:00:00"/>
    <s v="Pradeep"/>
    <s v="Hyderabad"/>
    <x v="315"/>
    <s v="F2F"/>
    <s v="Corporate"/>
    <m/>
    <s v="Bulk Order"/>
    <s v="New"/>
    <s v="Healthcare"/>
    <s v="Renuka"/>
    <m/>
    <s v="Proposed for Bulk Order and Biryani Kits for Gifting"/>
    <s v="Cancelled"/>
    <d v="2026-08-31T00:00:00"/>
    <s v="Call"/>
    <m/>
    <m/>
    <s v="Cold"/>
    <n v="60000"/>
    <m/>
    <m/>
    <m/>
    <x v="5"/>
    <m/>
    <m/>
    <m/>
    <x v="3"/>
    <m/>
    <m/>
    <m/>
  </r>
  <r>
    <d v="2026-07-14T00:00:00"/>
    <s v="Pradeep"/>
    <s v="Hyderabad"/>
    <x v="316"/>
    <s v="F2F"/>
    <s v="Corporate"/>
    <m/>
    <s v="Bulk Order"/>
    <s v="New"/>
    <s v="Healthcare"/>
    <s v="Vishwanath"/>
    <m/>
    <s v="Has a bulk order requirement "/>
    <s v="Cancelled"/>
    <m/>
    <m/>
    <m/>
    <m/>
    <s v="Warm"/>
    <n v="40000"/>
    <m/>
    <m/>
    <m/>
    <x v="5"/>
    <m/>
    <m/>
    <m/>
    <x v="3"/>
    <m/>
    <m/>
    <m/>
  </r>
  <r>
    <d v="2026-07-14T00:00:00"/>
    <s v="Sameer"/>
    <s v="Hyderabad"/>
    <x v="278"/>
    <s v="F2F"/>
    <s v="Corporate"/>
    <m/>
    <s v="Pop Up Counter"/>
    <s v="New"/>
    <s v="It"/>
    <s v="Gopi"/>
    <m/>
    <s v="Popup Counter 14-7-2026"/>
    <s v="Closed(C4)"/>
    <m/>
    <m/>
    <s v=""/>
    <s v=""/>
    <s v="Hot"/>
    <n v="25000"/>
    <n v="45532"/>
    <d v="2026-07-14T00:00:00"/>
    <s v="00GCBTA000293842"/>
    <x v="2"/>
    <s v="Received at Store"/>
    <m/>
    <m/>
    <x v="3"/>
    <m/>
    <s v=""/>
    <m/>
  </r>
  <r>
    <d v="2026-07-14T00:00:00"/>
    <s v="Pradeep"/>
    <s v="Hyderabad"/>
    <x v="317"/>
    <s v="F2F"/>
    <s v="Corporate"/>
    <m/>
    <s v="Bulk Order"/>
    <s v="New"/>
    <s v="Manufacturing"/>
    <s v="Surendar"/>
    <m/>
    <s v="Has a bulk order requirement "/>
    <s v="Cancelled"/>
    <m/>
    <m/>
    <m/>
    <m/>
    <s v="Warm"/>
    <n v="20000"/>
    <m/>
    <m/>
    <m/>
    <x v="5"/>
    <m/>
    <m/>
    <m/>
    <x v="3"/>
    <m/>
    <m/>
    <m/>
  </r>
  <r>
    <d v="2026-07-14T00:00:00"/>
    <s v="Pradeep"/>
    <s v="Hyderabad"/>
    <x v="318"/>
    <s v="F2F"/>
    <s v="Corporate"/>
    <m/>
    <s v="Bulk Order"/>
    <s v="New"/>
    <s v="Manufacturing"/>
    <s v="Karuna"/>
    <m/>
    <s v="Proposed for Bulk Order and Biryani Kits for Gifting"/>
    <s v="Cancelled"/>
    <m/>
    <m/>
    <m/>
    <m/>
    <s v="Cold"/>
    <n v="40000"/>
    <m/>
    <m/>
    <m/>
    <x v="5"/>
    <m/>
    <m/>
    <m/>
    <x v="3"/>
    <m/>
    <m/>
    <m/>
  </r>
  <r>
    <d v="2026-07-14T00:00:00"/>
    <s v="Vishwanath"/>
    <s v="Bangalore"/>
    <x v="319"/>
    <s v="F2F"/>
    <s v="Corporate"/>
    <m/>
    <s v="Bulk Order"/>
    <s v="New"/>
    <s v="It"/>
    <s v="Sathish K N"/>
    <m/>
    <s v="Bulk Order"/>
    <s v="Introduction( C0 )"/>
    <m/>
    <m/>
    <n v="97"/>
    <s v=""/>
    <s v="Cold"/>
    <n v="8000"/>
    <m/>
    <m/>
    <m/>
    <x v="5"/>
    <m/>
    <m/>
    <m/>
    <x v="3"/>
    <m/>
    <s v=""/>
    <m/>
  </r>
  <r>
    <d v="2026-07-15T00:00:00"/>
    <s v="Sameer"/>
    <s v="Hyderabad"/>
    <x v="156"/>
    <s v="F2F"/>
    <s v="Aggregator"/>
    <s v="Compass"/>
    <s v="Bulk Order"/>
    <s v="New"/>
    <s v="F&amp;B Aggregator"/>
    <s v="Srinivas"/>
    <m/>
    <s v="Business Closed"/>
    <s v="Closed(C4)"/>
    <m/>
    <m/>
    <m/>
    <s v=""/>
    <s v="Hot"/>
    <n v="400000"/>
    <n v="421050"/>
    <d v="2026-07-15T00:00:00"/>
    <s v="CIFSPL270715"/>
    <x v="26"/>
    <s v="Received at HO"/>
    <m/>
    <m/>
    <x v="3"/>
    <m/>
    <s v=""/>
    <m/>
  </r>
  <r>
    <d v="2026-07-15T00:00:00"/>
    <s v="Bashab"/>
    <s v="Hyderabad"/>
    <x v="156"/>
    <s v="Call"/>
    <s v="Aggregator"/>
    <s v="Compass"/>
    <s v="Bulk Order"/>
    <s v="New"/>
    <s v="F&amp;B Aggregator"/>
    <s v="Srinivas"/>
    <m/>
    <s v="Business Closed"/>
    <s v="Closed(C4)"/>
    <m/>
    <m/>
    <m/>
    <s v=""/>
    <s v="Hot"/>
    <n v="400000"/>
    <n v="421050"/>
    <d v="2026-07-15T00:00:00"/>
    <s v="CIFSPL270715"/>
    <x v="26"/>
    <s v="Received at HO"/>
    <m/>
    <m/>
    <x v="3"/>
    <m/>
    <s v=""/>
    <m/>
  </r>
  <r>
    <d v="2026-07-15T00:00:00"/>
    <s v="Pradeep"/>
    <s v="Hyderabad"/>
    <x v="320"/>
    <s v="F2F"/>
    <s v="Corporate"/>
    <m/>
    <s v="Bulk Order"/>
    <s v="New"/>
    <s v="Healthcare"/>
    <s v="Sanjana"/>
    <m/>
    <s v="Has a bulk order requirement "/>
    <s v="Cancelled"/>
    <m/>
    <m/>
    <m/>
    <m/>
    <s v="Warm"/>
    <n v="30000"/>
    <m/>
    <m/>
    <m/>
    <x v="5"/>
    <m/>
    <m/>
    <m/>
    <x v="3"/>
    <m/>
    <m/>
    <m/>
  </r>
  <r>
    <d v="2026-07-15T00:00:00"/>
    <s v="Pradeep"/>
    <s v="Hyderabad"/>
    <x v="321"/>
    <s v="F2F"/>
    <s v="Corporate"/>
    <m/>
    <s v="Bulk Order"/>
    <s v="New"/>
    <s v="It"/>
    <s v="Suresh verma"/>
    <m/>
    <s v="Proposed for Bulk Order and Biryani Kits for Gifting"/>
    <s v="Cancelled"/>
    <m/>
    <m/>
    <m/>
    <m/>
    <s v="Cold"/>
    <n v="70000"/>
    <m/>
    <m/>
    <m/>
    <x v="5"/>
    <m/>
    <m/>
    <m/>
    <x v="3"/>
    <m/>
    <m/>
    <m/>
  </r>
  <r>
    <d v="2026-07-15T00:00:00"/>
    <s v="Sameer"/>
    <s v="Hyderabad"/>
    <x v="278"/>
    <s v="F2F"/>
    <s v="Corporate"/>
    <m/>
    <s v="Pop Up Counter"/>
    <s v="New"/>
    <s v="It"/>
    <s v="Gopi"/>
    <m/>
    <s v="Popup Counter 15-7-2026"/>
    <s v="Closed(C4)"/>
    <m/>
    <m/>
    <s v=""/>
    <s v=""/>
    <s v="Hot"/>
    <n v="25000"/>
    <n v="66806"/>
    <d v="2026-07-15T00:00:00"/>
    <s v="00GCBTA000293844"/>
    <x v="2"/>
    <s v="Received at Store"/>
    <m/>
    <m/>
    <x v="3"/>
    <m/>
    <s v=""/>
    <m/>
  </r>
  <r>
    <d v="2026-07-15T00:00:00"/>
    <s v="Pradeep"/>
    <s v="Hyderabad"/>
    <x v="322"/>
    <s v="F2F"/>
    <s v="Aggregator"/>
    <s v="Compass"/>
    <s v="Bulk Order"/>
    <s v="New"/>
    <s v="F&amp;B Aggregator"/>
    <s v="Malli"/>
    <m/>
    <s v="Delivery of MB on 15-07-2026"/>
    <s v="Closed(C4)"/>
    <m/>
    <m/>
    <m/>
    <m/>
    <s v="Hot"/>
    <n v="28000"/>
    <n v="30000"/>
    <d v="2026-07-15T00:00:00"/>
    <s v="CIFSPL270715"/>
    <x v="17"/>
    <s v="Received at HO"/>
    <m/>
    <m/>
    <x v="3"/>
    <m/>
    <m/>
    <m/>
  </r>
  <r>
    <d v="2026-07-15T00:00:00"/>
    <s v="Sameer"/>
    <s v="Hyderabad"/>
    <x v="301"/>
    <s v="F2F"/>
    <s v="Corporate"/>
    <m/>
    <s v="Bulk Order"/>
    <s v="New"/>
    <s v="Exhibition"/>
    <s v="Pradeep"/>
    <m/>
    <s v="Delivery of CB &amp; VB on 15,16 July from Secundrabad"/>
    <s v="Closed(C4)"/>
    <m/>
    <m/>
    <m/>
    <m/>
    <s v="Hot"/>
    <n v="35000"/>
    <n v="40855"/>
    <d v="2026-07-16T00:00:00"/>
    <s v="00STA01000068007"/>
    <x v="14"/>
    <s v="Received at HO"/>
    <m/>
    <m/>
    <x v="3"/>
    <m/>
    <m/>
    <m/>
  </r>
  <r>
    <d v="2026-07-15T00:00:00"/>
    <s v="Pradeep"/>
    <s v="Hyderabad"/>
    <x v="323"/>
    <s v="F2F"/>
    <s v="Corporate"/>
    <m/>
    <s v="Bulk Order"/>
    <s v="New"/>
    <s v="Manufacturing"/>
    <s v="Prashanth"/>
    <m/>
    <s v="Has a bulk order requirement "/>
    <s v="Cancelled"/>
    <m/>
    <m/>
    <n v="96"/>
    <s v=""/>
    <s v="Warm"/>
    <n v="35000"/>
    <m/>
    <m/>
    <m/>
    <x v="5"/>
    <m/>
    <m/>
    <m/>
    <x v="3"/>
    <m/>
    <s v=""/>
    <m/>
  </r>
  <r>
    <d v="2026-07-15T00:00:00"/>
    <s v="Pradeep"/>
    <s v="Hyderabad"/>
    <x v="324"/>
    <s v="F2F"/>
    <s v="Corporate"/>
    <m/>
    <s v="Bulk Order"/>
    <s v="New"/>
    <s v="It"/>
    <s v="Suman"/>
    <m/>
    <s v="Proposed for Bulk Order and Biryani Kits for Gifting"/>
    <s v="Cancelled"/>
    <m/>
    <m/>
    <n v="96"/>
    <s v=""/>
    <s v="Cold"/>
    <n v="40000"/>
    <m/>
    <m/>
    <m/>
    <x v="5"/>
    <m/>
    <m/>
    <m/>
    <x v="3"/>
    <m/>
    <s v=""/>
    <m/>
  </r>
  <r>
    <d v="2026-07-15T00:00:00"/>
    <s v="Bashab"/>
    <s v="Bangalore"/>
    <x v="15"/>
    <s v="F2F"/>
    <s v="Corporate"/>
    <m/>
    <s v="Popup Counter"/>
    <s v="Repeat"/>
    <s v="Retail"/>
    <s v="James"/>
    <m/>
    <s v="Popup Confirmed"/>
    <s v="Closed(C4)"/>
    <m/>
    <m/>
    <m/>
    <s v=""/>
    <s v="Hot"/>
    <n v="10000"/>
    <n v="11469"/>
    <d v="2026-07-15T00:00:00"/>
    <s v="00WFTA1000038930"/>
    <x v="7"/>
    <s v="Received at Store"/>
    <m/>
    <d v="2026-07-15T00:00:00"/>
    <x v="3"/>
    <m/>
    <s v=""/>
    <m/>
  </r>
  <r>
    <d v="2026-07-15T00:00:00"/>
    <s v="Bashab"/>
    <s v="Bangalore"/>
    <x v="123"/>
    <s v="Call"/>
    <s v="Corporate"/>
    <m/>
    <s v="Pop Up Counter"/>
    <s v="Repeat"/>
    <s v="It"/>
    <s v="Anand"/>
    <m/>
    <s v="Pop-up counter confirmed"/>
    <s v="Closed(C4)"/>
    <m/>
    <m/>
    <m/>
    <s v=""/>
    <s v="Hot"/>
    <n v="15000"/>
    <n v="25830"/>
    <d v="2026-07-15T00:00:00"/>
    <s v="OOPMTA01000C04486"/>
    <x v="21"/>
    <s v="Received at Store"/>
    <m/>
    <d v="2026-07-15T00:00:00"/>
    <x v="3"/>
    <m/>
    <s v=""/>
    <m/>
  </r>
  <r>
    <d v="2026-07-15T00:00:00"/>
    <s v="Bashab"/>
    <s v="Bangalore"/>
    <x v="16"/>
    <s v="Call"/>
    <s v="Corporate"/>
    <s v="Compass"/>
    <s v="Bulk Order"/>
    <s v="Repeat"/>
    <s v="Retail"/>
    <s v="Mohammed"/>
    <m/>
    <s v="Business Closed"/>
    <s v="Closed(C4)"/>
    <m/>
    <m/>
    <s v=""/>
    <s v=""/>
    <s v="Hot"/>
    <n v="20000"/>
    <n v="28187"/>
    <d v="2026-07-15T00:00:00"/>
    <s v="00HSA06000007007"/>
    <x v="3"/>
    <s v="Received at HO"/>
    <m/>
    <m/>
    <x v="3"/>
    <m/>
    <m/>
    <m/>
  </r>
  <r>
    <d v="2026-07-15T00:00:00"/>
    <s v="Sameer"/>
    <s v="Bangalore"/>
    <x v="3"/>
    <s v="Call"/>
    <s v="Aggregator"/>
    <s v="Compass"/>
    <s v="Bulk Order"/>
    <s v="Repeat"/>
    <s v="F&amp;B Agrigator"/>
    <s v="Saad"/>
    <m/>
    <s v="Delivery in July month from HSR"/>
    <s v="Closed(C4)"/>
    <m/>
    <m/>
    <s v=""/>
    <s v=""/>
    <s v="Hot"/>
    <n v="20000"/>
    <n v="28187"/>
    <d v="2026-07-15T00:00:00"/>
    <s v="00HSA06000007007"/>
    <x v="3"/>
    <s v="Received at HO"/>
    <m/>
    <m/>
    <x v="3"/>
    <m/>
    <m/>
    <m/>
  </r>
  <r>
    <d v="2026-07-15T00:00:00"/>
    <s v="Vishwanath"/>
    <s v="Bangalore"/>
    <x v="325"/>
    <s v="F2F"/>
    <s v="Corporate"/>
    <m/>
    <s v="Bulk Order"/>
    <s v="New"/>
    <s v="It"/>
    <s v="Vidya P Shetty"/>
    <m/>
    <s v="Bulk Order"/>
    <s v="Introduction( C0 )"/>
    <m/>
    <m/>
    <n v="96"/>
    <s v=""/>
    <s v="Cold"/>
    <n v="10200"/>
    <m/>
    <m/>
    <m/>
    <x v="5"/>
    <m/>
    <m/>
    <m/>
    <x v="3"/>
    <m/>
    <s v=""/>
    <m/>
  </r>
  <r>
    <d v="2026-07-16T00:00:00"/>
    <s v="Pradeep"/>
    <s v="Hyderabad"/>
    <x v="148"/>
    <s v="F2F"/>
    <s v="Corporate"/>
    <m/>
    <s v="Bulk Order"/>
    <s v="New"/>
    <s v="Government"/>
    <s v="Shashidar"/>
    <m/>
    <s v="Business Closed"/>
    <s v="Closed(C4)"/>
    <m/>
    <m/>
    <s v=""/>
    <s v=""/>
    <s v="Hot"/>
    <n v="10000"/>
    <n v="3550"/>
    <d v="2026-07-16T00:00:00"/>
    <s v="C0KKPTB000492293"/>
    <x v="17"/>
    <s v="Received at Store"/>
    <m/>
    <m/>
    <x v="3"/>
    <m/>
    <s v=""/>
    <s v="Takeaway-Bulk-Insti"/>
  </r>
  <r>
    <d v="2026-07-16T00:00:00"/>
    <s v="Pradeep"/>
    <s v="Hyderabad"/>
    <x v="312"/>
    <s v="F2F"/>
    <s v="Corporate"/>
    <m/>
    <s v="Bulk Order"/>
    <s v="New"/>
    <s v="Events"/>
    <s v="Shashank"/>
    <m/>
    <s v="Business Closed"/>
    <s v="Closed(C4)"/>
    <m/>
    <m/>
    <s v=""/>
    <s v=""/>
    <s v="Hot"/>
    <n v="25000"/>
    <n v="14109"/>
    <d v="2026-07-16T00:00:00"/>
    <m/>
    <x v="26"/>
    <s v="Received at HO"/>
    <m/>
    <m/>
    <x v="3"/>
    <m/>
    <s v=""/>
    <s v="Takeaway-Bulk-Insti"/>
  </r>
  <r>
    <d v="2026-07-16T00:00:00"/>
    <s v="Bashab"/>
    <s v="Bangalore"/>
    <x v="18"/>
    <s v="F2F"/>
    <s v="Corporate"/>
    <m/>
    <s v="Popup Counter"/>
    <s v="Repeat"/>
    <s v="Retail"/>
    <s v="Vinod"/>
    <m/>
    <s v="Popup Confirmed"/>
    <s v="Closed(C4)"/>
    <m/>
    <m/>
    <m/>
    <s v=""/>
    <s v="Hot"/>
    <n v="10000"/>
    <n v="13385"/>
    <d v="2026-07-16T00:00:00"/>
    <s v="00WFTA1000039060"/>
    <x v="7"/>
    <s v="Received at Store"/>
    <m/>
    <d v="2026-07-16T00:00:00"/>
    <x v="3"/>
    <m/>
    <s v=""/>
    <m/>
  </r>
  <r>
    <d v="2026-07-16T00:00:00"/>
    <s v="Vishwanath"/>
    <s v="Bangalore"/>
    <x v="276"/>
    <s v="Call"/>
    <s v="Aggregator"/>
    <s v="SmartQ"/>
    <s v="Pop Up Counter"/>
    <s v="New"/>
    <s v="It"/>
    <s v="Naveen"/>
    <m/>
    <s v="Pop-up counter done"/>
    <s v="Closed(C4)"/>
    <m/>
    <m/>
    <s v=""/>
    <s v=""/>
    <s v="Hot"/>
    <n v="15000"/>
    <n v="22603"/>
    <d v="2026-07-16T00:00:00"/>
    <m/>
    <x v="11"/>
    <s v="Received at HO"/>
    <m/>
    <m/>
    <x v="3"/>
    <m/>
    <s v=""/>
    <m/>
  </r>
  <r>
    <d v="2026-07-16T00:00:00"/>
    <s v="Vishwanath"/>
    <s v="Bangalore"/>
    <x v="326"/>
    <s v="F2F"/>
    <s v="Corporate"/>
    <m/>
    <s v="Pop Up Counter"/>
    <s v="New"/>
    <s v="It"/>
    <s v="Saran"/>
    <m/>
    <s v="Popup Confirmed"/>
    <s v="Confirmed( C3 )"/>
    <m/>
    <m/>
    <m/>
    <s v=""/>
    <s v="Hot"/>
    <m/>
    <m/>
    <m/>
    <m/>
    <x v="5"/>
    <m/>
    <m/>
    <m/>
    <x v="3"/>
    <m/>
    <s v=""/>
    <m/>
  </r>
  <r>
    <d v="2026-07-17T00:00:00"/>
    <s v="Sameer"/>
    <s v="Hyderabad"/>
    <x v="327"/>
    <s v="F2F"/>
    <s v="Aggregator"/>
    <s v="Compass"/>
    <s v="Pop Up Counter"/>
    <s v="New"/>
    <s v="F&amp;B Aggregator"/>
    <s v="Srikanth"/>
    <m/>
    <s v="Popup counter on 16 &amp; 17-07-2026 from Kukatpally"/>
    <s v="Closed(C4)"/>
    <m/>
    <m/>
    <m/>
    <m/>
    <s v="Hot"/>
    <n v="35000"/>
    <n v="44060"/>
    <d v="2026-07-17T00:00:00"/>
    <m/>
    <x v="17"/>
    <s v="Received at Store"/>
    <m/>
    <d v="2026-07-17T00:00:00"/>
    <x v="3"/>
    <m/>
    <m/>
    <m/>
  </r>
  <r>
    <d v="2026-07-17T00:00:00"/>
    <s v="Sameer"/>
    <s v="Hyderabad"/>
    <x v="278"/>
    <s v="F2F"/>
    <s v="Corporate"/>
    <m/>
    <s v="Pop Up Counter"/>
    <s v="New"/>
    <s v="It"/>
    <s v="Gopi"/>
    <m/>
    <s v="Popup Counter 17-7-2026"/>
    <s v="Closed(C4)"/>
    <m/>
    <m/>
    <s v=""/>
    <s v=""/>
    <s v="Hot"/>
    <n v="51000"/>
    <n v="100964"/>
    <d v="2026-07-17T00:00:00"/>
    <s v="00GCBTA000294023"/>
    <x v="2"/>
    <s v="Received at Store"/>
    <m/>
    <d v="2026-07-17T00:00:00"/>
    <x v="3"/>
    <m/>
    <m/>
    <m/>
  </r>
  <r>
    <d v="2026-07-17T00:00:00"/>
    <s v="Pradeep"/>
    <s v="Hyderabad"/>
    <x v="328"/>
    <s v="F2F"/>
    <s v="Corporate"/>
    <m/>
    <s v="Bulk Order"/>
    <s v="New"/>
    <s v="It"/>
    <s v="Kiran"/>
    <m/>
    <s v="Proposed for Bulk Order and Biryani Kits for Gifting"/>
    <s v="Cancelled"/>
    <m/>
    <m/>
    <m/>
    <m/>
    <s v="Cold"/>
    <n v="30000"/>
    <m/>
    <m/>
    <m/>
    <x v="5"/>
    <m/>
    <m/>
    <m/>
    <x v="3"/>
    <m/>
    <m/>
    <m/>
  </r>
  <r>
    <d v="2026-07-17T00:00:00"/>
    <s v="Vishwanath"/>
    <s v="Chennai"/>
    <x v="29"/>
    <s v="Call"/>
    <s v="Aggregator"/>
    <s v="Hunger Box"/>
    <s v="Pop Up Counter"/>
    <s v="New"/>
    <s v="It"/>
    <s v="Gowthami"/>
    <m/>
    <s v="Popup Confirmed"/>
    <s v="Confirmed( C3 )"/>
    <m/>
    <m/>
    <m/>
    <s v=""/>
    <s v="Hot"/>
    <m/>
    <m/>
    <m/>
    <m/>
    <x v="5"/>
    <m/>
    <m/>
    <m/>
    <x v="3"/>
    <m/>
    <s v=""/>
    <m/>
  </r>
  <r>
    <d v="2026-07-17T00:00:00"/>
    <s v="Pradeep"/>
    <s v="Hyderabad"/>
    <x v="329"/>
    <s v="F2F"/>
    <s v="Corporate"/>
    <m/>
    <s v="Bulk Order"/>
    <s v="New"/>
    <s v="Hotel"/>
    <s v="Venugopal"/>
    <m/>
    <s v="Discussed on bulk order requirement"/>
    <s v="Closed(C4)"/>
    <m/>
    <m/>
    <m/>
    <m/>
    <s v="Warm"/>
    <n v="0"/>
    <m/>
    <m/>
    <m/>
    <x v="5"/>
    <m/>
    <m/>
    <m/>
    <x v="3"/>
    <m/>
    <m/>
    <m/>
  </r>
  <r>
    <d v="2026-07-17T00:00:00"/>
    <s v="Pradeep"/>
    <s v="Hyderabad"/>
    <x v="330"/>
    <s v="F2F"/>
    <s v="Corporate"/>
    <m/>
    <s v="Bulk Order"/>
    <s v="New"/>
    <s v="Healthcare"/>
    <s v="Shirisha"/>
    <m/>
    <s v="Proposed for Bulk Order and Biryani Kits for Gifting"/>
    <s v="Cancelled"/>
    <m/>
    <m/>
    <m/>
    <m/>
    <s v="Warm"/>
    <n v="40000"/>
    <m/>
    <m/>
    <m/>
    <x v="5"/>
    <m/>
    <m/>
    <m/>
    <x v="3"/>
    <m/>
    <m/>
    <m/>
  </r>
  <r>
    <d v="2026-07-20T00:00:00"/>
    <s v="Vishwanath"/>
    <s v="Bangalore"/>
    <x v="28"/>
    <s v="F2F"/>
    <s v="Aggregator"/>
    <s v="Gokhana"/>
    <s v="Bulk Order"/>
    <s v="New"/>
    <s v="It"/>
    <s v="Sanjay"/>
    <m/>
    <s v="Bulk Order delivery"/>
    <s v="Closed(C4)"/>
    <m/>
    <m/>
    <m/>
    <s v=""/>
    <s v="Hot"/>
    <n v="40000"/>
    <n v="42620"/>
    <d v="2026-07-20T00:00:00"/>
    <m/>
    <x v="8"/>
    <s v="Received at HO"/>
    <m/>
    <m/>
    <x v="3"/>
    <m/>
    <s v=""/>
    <m/>
  </r>
  <r>
    <d v="2026-07-20T00:00:00"/>
    <s v="Sameer"/>
    <s v="Hyderabad"/>
    <x v="278"/>
    <s v="F2F"/>
    <s v="Corporate"/>
    <m/>
    <s v="Pop Up Counter"/>
    <s v="New"/>
    <s v="It"/>
    <s v="Gopi"/>
    <m/>
    <s v="Popup Counter 20-7-2026"/>
    <s v="Closed(C4)"/>
    <m/>
    <m/>
    <s v=""/>
    <s v=""/>
    <s v="Hot"/>
    <n v="22000"/>
    <n v="27939"/>
    <d v="2026-07-20T00:00:00"/>
    <s v="00GCBTA000294345"/>
    <x v="2"/>
    <s v="Received at Store"/>
    <m/>
    <d v="2026-07-20T00:00:00"/>
    <x v="3"/>
    <m/>
    <s v=""/>
    <m/>
  </r>
  <r>
    <d v="2026-07-20T00:00:00"/>
    <s v="Pradeep"/>
    <s v="Hyderabad"/>
    <x v="331"/>
    <s v="F2F"/>
    <s v="Corporate"/>
    <m/>
    <s v="Bulk Order"/>
    <s v="New"/>
    <s v="Manufacturing"/>
    <s v="Surendra"/>
    <m/>
    <s v="Proposed for Bulk Order and Biryani Kits for Gifting"/>
    <s v="Cancelled"/>
    <d v="2026-08-24T00:00:00"/>
    <s v="Call"/>
    <m/>
    <s v="Yes"/>
    <s v="Warm"/>
    <n v="55000"/>
    <m/>
    <m/>
    <m/>
    <x v="5"/>
    <m/>
    <m/>
    <m/>
    <x v="3"/>
    <m/>
    <m/>
    <m/>
  </r>
  <r>
    <d v="2026-07-20T00:00:00"/>
    <s v="Sameer"/>
    <s v="Hyderabad"/>
    <x v="332"/>
    <s v="F2F"/>
    <s v="Corporate"/>
    <m/>
    <s v="Bulk Order"/>
    <s v="Repeat"/>
    <s v="Pharma"/>
    <s v="Sandeep"/>
    <m/>
    <s v="Delivery of Biryani Kits in July Month"/>
    <s v="Closed(C4)"/>
    <m/>
    <m/>
    <s v=""/>
    <s v=""/>
    <s v="Hot"/>
    <n v="4000000"/>
    <n v="4690875"/>
    <d v="2026-07-20T00:00:00"/>
    <m/>
    <x v="14"/>
    <s v="Pending"/>
    <m/>
    <m/>
    <x v="3"/>
    <m/>
    <s v=""/>
    <m/>
  </r>
  <r>
    <d v="2026-07-20T00:00:00"/>
    <s v="Sameer"/>
    <s v="Hyderabad"/>
    <x v="332"/>
    <s v="F2F"/>
    <s v="Corporate"/>
    <m/>
    <s v="Bulk Order"/>
    <s v="Repeat"/>
    <s v="Pharma"/>
    <s v="Sandeep"/>
    <m/>
    <s v="Delivery of Biryani Kits in July Month (Received Advance)"/>
    <s v="Closed(C4)"/>
    <m/>
    <m/>
    <s v=""/>
    <s v=""/>
    <s v="Hot"/>
    <n v="4000000"/>
    <n v="4137000"/>
    <d v="2026-07-20T00:00:00"/>
    <m/>
    <x v="14"/>
    <s v="Received at HO"/>
    <n v="4137000"/>
    <d v="2026-06-17T00:00:00"/>
    <x v="3"/>
    <m/>
    <m/>
    <m/>
  </r>
  <r>
    <d v="2026-07-20T00:00:00"/>
    <s v="Pradeep"/>
    <s v="Hyderabad"/>
    <x v="87"/>
    <s v="F2F"/>
    <s v="Corporate"/>
    <m/>
    <s v="Bulk Order"/>
    <s v="New"/>
    <s v="It"/>
    <s v="Kiran"/>
    <m/>
    <s v="Proposed for Bulk Order and Biryani Kits for Gifting"/>
    <s v="Cancelled"/>
    <d v="2026-08-25T00:00:00"/>
    <s v="Call"/>
    <n v="91"/>
    <s v=""/>
    <s v="Warm"/>
    <n v="60000"/>
    <m/>
    <m/>
    <m/>
    <x v="5"/>
    <m/>
    <m/>
    <m/>
    <x v="3"/>
    <m/>
    <s v=""/>
    <m/>
  </r>
  <r>
    <d v="2026-07-20T00:00:00"/>
    <s v="Pradeep"/>
    <s v="Hyderabad"/>
    <x v="296"/>
    <s v="F2F"/>
    <s v="Corporate"/>
    <m/>
    <s v="Bulk Order"/>
    <s v="New"/>
    <s v="It"/>
    <s v="Bhargav"/>
    <m/>
    <s v="Discussed on bulk order requirement"/>
    <s v="Cancelled"/>
    <m/>
    <m/>
    <n v="91"/>
    <s v=""/>
    <s v="Warm"/>
    <n v="80000"/>
    <m/>
    <m/>
    <m/>
    <x v="5"/>
    <m/>
    <m/>
    <m/>
    <x v="3"/>
    <m/>
    <s v=""/>
    <m/>
  </r>
  <r>
    <d v="2026-07-20T00:00:00"/>
    <s v="Pradeep"/>
    <s v="Hyderabad"/>
    <x v="333"/>
    <s v="F2F"/>
    <s v="Corporate"/>
    <m/>
    <s v="Bulk Order"/>
    <s v="New"/>
    <s v="It"/>
    <s v="Suraj"/>
    <m/>
    <s v="Discussed on bulk order requirement"/>
    <s v="Cancelled"/>
    <m/>
    <m/>
    <n v="91"/>
    <s v=""/>
    <s v="Warm"/>
    <n v="45000"/>
    <m/>
    <m/>
    <m/>
    <x v="5"/>
    <m/>
    <m/>
    <m/>
    <x v="3"/>
    <m/>
    <s v=""/>
    <m/>
  </r>
  <r>
    <d v="2026-07-20T00:00:00"/>
    <s v="Vishwanath"/>
    <s v="Bangalore"/>
    <x v="334"/>
    <s v="F2F"/>
    <s v="Corporate"/>
    <m/>
    <s v="Bulk Order"/>
    <s v="New"/>
    <s v="It"/>
    <s v="Murali"/>
    <m/>
    <s v="Bulkorder"/>
    <s v="Introduction( C0 )"/>
    <m/>
    <m/>
    <n v="91"/>
    <s v=""/>
    <s v="Cold"/>
    <n v="6500"/>
    <m/>
    <m/>
    <m/>
    <x v="5"/>
    <m/>
    <m/>
    <m/>
    <x v="3"/>
    <m/>
    <s v=""/>
    <m/>
  </r>
  <r>
    <d v="2026-07-21T00:00:00"/>
    <s v="Sameer"/>
    <s v="Hyderabad"/>
    <x v="278"/>
    <s v="F2F"/>
    <s v="Corporate"/>
    <m/>
    <s v="Pop Up Counter"/>
    <s v="New"/>
    <s v="It"/>
    <s v="Gopi"/>
    <m/>
    <s v="Popup Counter 21-7-2026"/>
    <s v="Closed(C4)"/>
    <m/>
    <m/>
    <s v=""/>
    <s v=""/>
    <s v="Hot"/>
    <n v="22000"/>
    <n v="52848"/>
    <d v="2026-07-21T00:00:00"/>
    <s v="00GCBTA000294367"/>
    <x v="2"/>
    <s v="Received at Store"/>
    <m/>
    <d v="2026-07-21T00:00:00"/>
    <x v="3"/>
    <m/>
    <s v=""/>
    <m/>
  </r>
  <r>
    <d v="2026-07-21T00:00:00"/>
    <s v="Pradeep"/>
    <s v="Hyderabad"/>
    <x v="335"/>
    <s v="F2F"/>
    <s v="Corporate"/>
    <m/>
    <s v="Bulk Order"/>
    <s v="New"/>
    <s v="Banking Finance &amp; Insurance"/>
    <s v="Suresh"/>
    <m/>
    <s v="Discussed on bulk order requirement for 300 pax on 30 or 31st july"/>
    <s v="Closed(C4)"/>
    <m/>
    <m/>
    <m/>
    <m/>
    <s v="Hot"/>
    <n v="145000"/>
    <n v="170175"/>
    <d v="2026-07-31T00:00:00"/>
    <s v="00PRDE1000030235"/>
    <x v="29"/>
    <s v="Received at Store"/>
    <m/>
    <m/>
    <x v="3"/>
    <m/>
    <m/>
    <m/>
  </r>
  <r>
    <d v="2026-07-21T00:00:00"/>
    <s v="Pradeep"/>
    <s v="Hyderabad"/>
    <x v="29"/>
    <s v="F2F"/>
    <s v="Corporate"/>
    <m/>
    <s v="Bulk Order"/>
    <s v="New"/>
    <s v="It"/>
    <s v="Priya"/>
    <m/>
    <s v="Discussed on bulk order requirement"/>
    <s v="Cancelled"/>
    <m/>
    <m/>
    <m/>
    <m/>
    <s v="Warm"/>
    <n v="60000"/>
    <m/>
    <m/>
    <m/>
    <x v="5"/>
    <m/>
    <m/>
    <m/>
    <x v="3"/>
    <m/>
    <m/>
    <m/>
  </r>
  <r>
    <d v="2026-07-21T00:00:00"/>
    <s v="Pradeep"/>
    <s v="Hyderabad"/>
    <x v="336"/>
    <s v="F2F"/>
    <s v="Corporate"/>
    <m/>
    <s v="Bulk Order"/>
    <s v="New"/>
    <s v="It"/>
    <s v="Hemanth"/>
    <m/>
    <s v="Proposed for Bulk Order and Biryani Kits for Gifting"/>
    <s v="Cancelled"/>
    <m/>
    <m/>
    <m/>
    <m/>
    <s v="Cold"/>
    <n v="40000"/>
    <m/>
    <m/>
    <m/>
    <x v="5"/>
    <m/>
    <m/>
    <m/>
    <x v="3"/>
    <m/>
    <m/>
    <m/>
  </r>
  <r>
    <d v="2026-07-21T00:00:00"/>
    <s v="Vishwanath"/>
    <s v="Bangalore"/>
    <x v="337"/>
    <s v="F2F"/>
    <s v="Corporate"/>
    <m/>
    <s v="Pop Up Counter"/>
    <s v="New"/>
    <s v="It"/>
    <s v="Sharan"/>
    <m/>
    <s v="Popup counter"/>
    <s v="Follow-up( C1 )"/>
    <m/>
    <m/>
    <n v="90"/>
    <s v=""/>
    <s v="Hot"/>
    <n v="50000"/>
    <m/>
    <m/>
    <m/>
    <x v="5"/>
    <m/>
    <m/>
    <m/>
    <x v="3"/>
    <m/>
    <s v=""/>
    <m/>
  </r>
  <r>
    <d v="2026-07-21T00:00:00"/>
    <s v="Bashab"/>
    <s v="Bangalore"/>
    <x v="40"/>
    <s v="F2F"/>
    <s v="Corporate"/>
    <m/>
    <s v="Popup Counter"/>
    <s v="Repeat"/>
    <s v="Retail"/>
    <s v="Srinivas"/>
    <m/>
    <s v="Popup Confirmed"/>
    <s v="Closed(C4)"/>
    <m/>
    <m/>
    <m/>
    <s v=""/>
    <s v="Hot"/>
    <n v="15000"/>
    <m/>
    <d v="2026-07-21T00:00:00"/>
    <s v="00WFTA1000038664"/>
    <x v="7"/>
    <s v="Received at Store"/>
    <m/>
    <d v="2026-07-21T00:00:00"/>
    <x v="3"/>
    <m/>
    <s v=""/>
    <m/>
  </r>
  <r>
    <d v="2026-07-22T00:00:00"/>
    <s v="Sameer"/>
    <s v="Hyderabad"/>
    <x v="278"/>
    <s v="F2F"/>
    <s v="Corporate"/>
    <m/>
    <s v="Pop Up Counter"/>
    <s v="New"/>
    <s v="It"/>
    <s v="Gopi"/>
    <m/>
    <s v="Popup Counter 22-7-2026"/>
    <s v="Closed(C4)"/>
    <m/>
    <m/>
    <s v=""/>
    <s v=""/>
    <s v="Hot"/>
    <n v="22000"/>
    <n v="57922"/>
    <d v="2026-07-22T00:00:00"/>
    <s v="00GCBTA000294474"/>
    <x v="2"/>
    <s v="Received at Store"/>
    <m/>
    <d v="2026-07-22T00:00:00"/>
    <x v="3"/>
    <m/>
    <s v=""/>
    <m/>
  </r>
  <r>
    <d v="2026-07-22T00:00:00"/>
    <s v="Pradeep"/>
    <s v="Hyderabad"/>
    <x v="338"/>
    <s v="F2F"/>
    <s v="Corporate"/>
    <m/>
    <s v="Bulk Order"/>
    <s v="New"/>
    <s v="It"/>
    <s v="Sharath"/>
    <m/>
    <s v="Proposed for Bulk Order and Biryani Kits for Gifting"/>
    <s v="Cancelled"/>
    <m/>
    <m/>
    <m/>
    <m/>
    <s v="Cold"/>
    <n v="25000"/>
    <m/>
    <m/>
    <m/>
    <x v="5"/>
    <m/>
    <m/>
    <m/>
    <x v="3"/>
    <m/>
    <m/>
    <m/>
  </r>
  <r>
    <d v="2026-07-22T00:00:00"/>
    <s v="Sameer"/>
    <s v="Hyderabad"/>
    <x v="156"/>
    <s v="F2F"/>
    <s v="Aggregator"/>
    <s v="Compass"/>
    <s v="Bulk Order"/>
    <s v="New"/>
    <s v="F&amp;B Aggregator"/>
    <s v="Srinivas"/>
    <m/>
    <s v="Business Closed"/>
    <s v="Closed(C4)"/>
    <m/>
    <m/>
    <m/>
    <s v=""/>
    <s v="Hot"/>
    <n v="400000"/>
    <n v="329070"/>
    <d v="2026-07-22T00:00:00"/>
    <s v="CIFSPL270722"/>
    <x v="17"/>
    <s v="Pending"/>
    <m/>
    <m/>
    <x v="3"/>
    <m/>
    <s v=""/>
    <m/>
  </r>
  <r>
    <d v="2026-07-22T00:00:00"/>
    <s v="Bashab"/>
    <s v="Hyderabad"/>
    <x v="156"/>
    <s v="Call"/>
    <s v="Aggregator"/>
    <s v="Compass"/>
    <s v="Bulk Order"/>
    <s v="New"/>
    <s v="F&amp;B Aggregator"/>
    <s v="Srinivas"/>
    <m/>
    <s v="Business Closed"/>
    <s v="Closed(C4)"/>
    <m/>
    <m/>
    <m/>
    <s v=""/>
    <s v="Hot"/>
    <n v="400000"/>
    <n v="329070"/>
    <d v="2026-07-22T00:00:00"/>
    <s v="CIFSPL270722"/>
    <x v="17"/>
    <s v="Received at HO"/>
    <m/>
    <m/>
    <x v="3"/>
    <m/>
    <s v=""/>
    <m/>
  </r>
  <r>
    <d v="2026-07-22T00:00:00"/>
    <s v="Pradeep"/>
    <s v="Hyderabad"/>
    <x v="339"/>
    <s v="F2F"/>
    <s v="Corporate"/>
    <m/>
    <s v="Bulk Order"/>
    <s v="New"/>
    <s v="It"/>
    <s v="Fatima"/>
    <m/>
    <s v="Discussed on bulk order requirement"/>
    <s v="Cancelled"/>
    <d v="2026-07-29T00:00:00"/>
    <s v="Call"/>
    <n v="89"/>
    <s v=""/>
    <s v="Warm"/>
    <n v="70000"/>
    <m/>
    <m/>
    <m/>
    <x v="5"/>
    <m/>
    <m/>
    <m/>
    <x v="3"/>
    <m/>
    <s v=""/>
    <m/>
  </r>
  <r>
    <d v="2026-07-22T00:00:00"/>
    <s v="Pradeep"/>
    <s v="Hyderabad"/>
    <x v="340"/>
    <s v="F2F"/>
    <s v="Corporate"/>
    <m/>
    <s v="Bulk Order"/>
    <s v="New"/>
    <s v="It"/>
    <s v="Hema"/>
    <m/>
    <s v="Discussed on bulk order requirement"/>
    <s v="Cancelled"/>
    <d v="2026-07-31T00:00:00"/>
    <s v="Call"/>
    <n v="89"/>
    <s v=""/>
    <s v="Warm"/>
    <n v="45000"/>
    <m/>
    <m/>
    <m/>
    <x v="5"/>
    <m/>
    <m/>
    <m/>
    <x v="3"/>
    <m/>
    <s v=""/>
    <m/>
  </r>
  <r>
    <d v="2026-07-22T00:00:00"/>
    <s v="Vishwanath"/>
    <s v="Bangalore"/>
    <x v="16"/>
    <s v="Call"/>
    <s v="Corporate"/>
    <s v="Compass"/>
    <s v="Bulk Order"/>
    <s v="Repeat"/>
    <s v="Retail"/>
    <s v="Mohammed"/>
    <m/>
    <s v="Business Closed"/>
    <s v="Closed(C4)"/>
    <m/>
    <m/>
    <s v=""/>
    <s v=""/>
    <s v="Hot"/>
    <n v="20000"/>
    <n v="27499"/>
    <d v="2026-07-22T00:00:00"/>
    <s v="00HSA06000007293"/>
    <x v="3"/>
    <s v="Received at HO"/>
    <m/>
    <m/>
    <x v="3"/>
    <m/>
    <m/>
    <m/>
  </r>
  <r>
    <d v="2026-07-22T00:00:00"/>
    <s v="Sameer"/>
    <s v="Bangalore"/>
    <x v="3"/>
    <s v="Call"/>
    <s v="Aggregator"/>
    <s v="Compass"/>
    <s v="Bulk Order"/>
    <s v="Repeat"/>
    <s v="F&amp;B Agrigator"/>
    <s v="Saad"/>
    <m/>
    <s v="Delivery in July month from HSR"/>
    <s v="Closed(C4)"/>
    <m/>
    <m/>
    <s v=""/>
    <s v=""/>
    <s v="Hot"/>
    <n v="20000"/>
    <n v="27499"/>
    <d v="2026-07-22T00:00:00"/>
    <s v="00HSA06000007293"/>
    <x v="3"/>
    <s v="Received at HO"/>
    <m/>
    <m/>
    <x v="3"/>
    <m/>
    <m/>
    <m/>
  </r>
  <r>
    <d v="2026-07-22T00:00:00"/>
    <s v="Vishwanath"/>
    <s v="Bangalore"/>
    <x v="341"/>
    <s v="F2F"/>
    <s v="Corporate"/>
    <m/>
    <s v="Bulk Order"/>
    <s v="New"/>
    <s v="It"/>
    <s v="Piklu Nath"/>
    <m/>
    <s v="Bulk Order"/>
    <s v="Follow-up( C1 )"/>
    <d v="2026-09-25T00:00:00"/>
    <m/>
    <n v="89"/>
    <s v="Yes"/>
    <s v="Hot"/>
    <n v="50000"/>
    <m/>
    <m/>
    <m/>
    <x v="5"/>
    <m/>
    <m/>
    <m/>
    <x v="3"/>
    <m/>
    <s v=""/>
    <m/>
  </r>
  <r>
    <d v="2026-07-22T00:00:00"/>
    <s v="Bashab"/>
    <s v="Bangalore"/>
    <x v="31"/>
    <s v="F2F"/>
    <s v="Corporate"/>
    <m/>
    <s v="Popup Counter"/>
    <s v="Repeat"/>
    <s v="Retail"/>
    <s v="Mueenudheen"/>
    <m/>
    <s v="Popup Confirmed"/>
    <s v="Closed(C4)"/>
    <m/>
    <m/>
    <m/>
    <s v=""/>
    <s v="Hot"/>
    <n v="15000"/>
    <n v="14693"/>
    <d v="2026-07-22T00:00:00"/>
    <s v="00WFTA1000039560"/>
    <x v="7"/>
    <s v="Received at Store"/>
    <m/>
    <d v="2026-07-22T00:00:00"/>
    <x v="3"/>
    <m/>
    <s v=""/>
    <m/>
  </r>
  <r>
    <d v="2026-07-22T00:00:00"/>
    <s v="Bashab"/>
    <s v="Bangalore"/>
    <x v="342"/>
    <s v="Call"/>
    <s v="Aggregator"/>
    <s v="SmartQ"/>
    <s v="Pop Up Counter"/>
    <s v="Repeat"/>
    <s v="It"/>
    <s v="Naveen"/>
    <m/>
    <s v="Pop-up counter done"/>
    <s v="Closed(C4)"/>
    <m/>
    <m/>
    <m/>
    <s v=""/>
    <s v="Hot"/>
    <n v="20000"/>
    <n v="17872"/>
    <d v="2026-07-22T00:00:00"/>
    <m/>
    <x v="8"/>
    <s v="Received at HO"/>
    <m/>
    <d v="2026-07-22T00:00:00"/>
    <x v="3"/>
    <m/>
    <s v=""/>
    <m/>
  </r>
  <r>
    <d v="2026-07-23T00:00:00"/>
    <s v="Pradeep"/>
    <s v="Hyderabad"/>
    <x v="343"/>
    <s v="F2F"/>
    <s v="Bulk Order"/>
    <m/>
    <s v="Bulk Order"/>
    <s v="New"/>
    <s v="Orphanage &amp; NGO"/>
    <s v="Sai"/>
    <m/>
    <s v="Bulk order requirement"/>
    <s v="Closed(C4)"/>
    <m/>
    <m/>
    <s v=""/>
    <s v=""/>
    <s v="Hot"/>
    <n v="25000"/>
    <n v="29700"/>
    <d v="2026-07-24T00:00:00"/>
    <s v="00PRTA1000056615"/>
    <x v="29"/>
    <s v="Received at Store"/>
    <m/>
    <m/>
    <x v="3"/>
    <m/>
    <s v=""/>
    <s v="Takeaway-Bulk-Insti"/>
  </r>
  <r>
    <d v="2026-07-23T00:00:00"/>
    <s v="Sameer"/>
    <s v="Hyderabad"/>
    <x v="278"/>
    <s v="F2F"/>
    <s v="Corporate"/>
    <m/>
    <s v="Pop Up Counter"/>
    <s v="New"/>
    <s v="It"/>
    <s v="Gopi"/>
    <m/>
    <s v="Popup Counter 23-7-2026"/>
    <s v="Closed(C4)"/>
    <m/>
    <m/>
    <s v=""/>
    <s v=""/>
    <s v="Hot"/>
    <n v="22000"/>
    <n v="35565"/>
    <d v="2026-07-23T00:00:00"/>
    <s v="00GCBTA000294584"/>
    <x v="2"/>
    <s v="Received at Store"/>
    <m/>
    <d v="2026-07-23T00:00:00"/>
    <x v="3"/>
    <m/>
    <s v=""/>
    <m/>
  </r>
  <r>
    <d v="2026-07-23T00:00:00"/>
    <s v="Pradeep"/>
    <s v="Hyderabad"/>
    <x v="344"/>
    <s v="F2F"/>
    <s v="Corporate"/>
    <m/>
    <s v="Bulk Order"/>
    <s v="New"/>
    <s v="It"/>
    <s v="Varun"/>
    <m/>
    <s v="Bulk order requirement"/>
    <s v="Cancelled"/>
    <m/>
    <m/>
    <m/>
    <m/>
    <s v="Warm"/>
    <n v="55000"/>
    <m/>
    <m/>
    <m/>
    <x v="5"/>
    <m/>
    <m/>
    <m/>
    <x v="3"/>
    <m/>
    <m/>
    <m/>
  </r>
  <r>
    <d v="2026-07-23T00:00:00"/>
    <s v="Sameer"/>
    <s v="Hyderabad"/>
    <x v="345"/>
    <s v="F2F"/>
    <s v="Corporate"/>
    <m/>
    <s v="Bulk Order"/>
    <s v="New"/>
    <s v="It"/>
    <s v="Sagar"/>
    <m/>
    <s v="Delivery  on 24-07-2026"/>
    <s v="Closed(C4)"/>
    <m/>
    <m/>
    <s v=""/>
    <s v=""/>
    <s v="Hot"/>
    <n v="14000"/>
    <n v="14500"/>
    <d v="2026-07-24T00:00:00"/>
    <m/>
    <x v="2"/>
    <s v="Received at Store"/>
    <m/>
    <m/>
    <x v="3"/>
    <m/>
    <s v=""/>
    <m/>
  </r>
  <r>
    <d v="2026-07-23T00:00:00"/>
    <s v="Pradeep"/>
    <s v="Hyderabad"/>
    <x v="346"/>
    <s v="F2F"/>
    <s v="Corporate"/>
    <m/>
    <s v="Bulk Order"/>
    <s v="New"/>
    <s v="It"/>
    <s v="Vignesh"/>
    <m/>
    <s v="Discussed on bulk order requirement"/>
    <s v="Cancelled"/>
    <m/>
    <m/>
    <m/>
    <m/>
    <s v="Cold"/>
    <n v="45000"/>
    <m/>
    <m/>
    <m/>
    <x v="5"/>
    <m/>
    <m/>
    <m/>
    <x v="3"/>
    <m/>
    <m/>
    <m/>
  </r>
  <r>
    <d v="2026-07-23T00:00:00"/>
    <s v="Pradeep"/>
    <s v="Hyderabad"/>
    <x v="347"/>
    <s v="F2F"/>
    <s v="Corporate"/>
    <m/>
    <s v="Bulk Order"/>
    <s v="New"/>
    <s v="It"/>
    <s v="Kiran"/>
    <m/>
    <s v="Proposed for Bulk Order and Biryani Kits for Gifting"/>
    <s v="Cancelled"/>
    <m/>
    <m/>
    <m/>
    <m/>
    <s v="Cold"/>
    <n v="40000"/>
    <m/>
    <m/>
    <m/>
    <x v="5"/>
    <m/>
    <m/>
    <m/>
    <x v="3"/>
    <m/>
    <m/>
    <m/>
  </r>
  <r>
    <d v="2026-07-23T00:00:00"/>
    <s v="Sameer"/>
    <s v="Hyderabad"/>
    <x v="348"/>
    <s v="F2F"/>
    <s v="Aggregator"/>
    <s v="Hunger Box"/>
    <s v="Pop Up Counter"/>
    <s v="New"/>
    <s v="F&amp;B Aggregator"/>
    <s v="Pawan"/>
    <m/>
    <s v="Popup on 23-07-2026"/>
    <s v="Closed(C4)"/>
    <m/>
    <m/>
    <s v=""/>
    <s v=""/>
    <s v="Hot"/>
    <n v="50000"/>
    <n v="71731"/>
    <d v="2026-07-23T00:00:00"/>
    <s v="00GCBTA000294589"/>
    <x v="2"/>
    <s v="Pending"/>
    <m/>
    <m/>
    <x v="3"/>
    <m/>
    <s v=""/>
    <m/>
  </r>
  <r>
    <d v="2026-07-23T00:00:00"/>
    <s v="Bashab"/>
    <s v="Bangalore"/>
    <x v="18"/>
    <s v="F2F"/>
    <s v="Corporate"/>
    <m/>
    <s v="Popup Counter"/>
    <s v="Repeat"/>
    <s v="Retail"/>
    <s v="Vinod"/>
    <m/>
    <s v="Popup Confirmed"/>
    <s v="Closed(C4)"/>
    <m/>
    <m/>
    <m/>
    <s v=""/>
    <s v="Hot"/>
    <n v="15000"/>
    <n v="10742"/>
    <d v="2026-07-23T00:00:00"/>
    <s v="00WFTA1000039597"/>
    <x v="7"/>
    <s v="Received at Store"/>
    <m/>
    <d v="2026-07-23T00:00:00"/>
    <x v="3"/>
    <m/>
    <s v=""/>
    <m/>
  </r>
  <r>
    <d v="2026-07-23T00:00:00"/>
    <s v="Vishwanath"/>
    <s v="Bangalore"/>
    <x v="349"/>
    <s v="F2F"/>
    <s v="Corporate"/>
    <m/>
    <s v="Bulk Order"/>
    <s v="New"/>
    <s v="It"/>
    <s v="Ms.Uma"/>
    <m/>
    <s v="bulk order"/>
    <s v="Introduction( C0 )"/>
    <m/>
    <m/>
    <m/>
    <m/>
    <s v="Cold"/>
    <n v="7000"/>
    <m/>
    <m/>
    <m/>
    <x v="5"/>
    <m/>
    <m/>
    <m/>
    <x v="3"/>
    <m/>
    <s v=""/>
    <m/>
  </r>
  <r>
    <d v="2026-07-24T00:00:00"/>
    <s v="Pradeep"/>
    <s v="Hyderabad"/>
    <x v="350"/>
    <s v="F2F"/>
    <s v="Corporate"/>
    <m/>
    <s v="Bulk Order"/>
    <s v="New"/>
    <s v="It"/>
    <s v="Sangeetha"/>
    <m/>
    <s v="Bulk order requirement"/>
    <s v="Cancelled"/>
    <m/>
    <m/>
    <m/>
    <m/>
    <s v="Warm"/>
    <n v="30000"/>
    <m/>
    <m/>
    <m/>
    <x v="5"/>
    <m/>
    <m/>
    <m/>
    <x v="3"/>
    <m/>
    <m/>
    <m/>
  </r>
  <r>
    <d v="2026-07-24T00:00:00"/>
    <s v="Sameer"/>
    <s v="Hyderabad"/>
    <x v="348"/>
    <s v="F2F"/>
    <s v="Aggregator"/>
    <s v="Hunger Box"/>
    <s v="Pop Up Counter"/>
    <s v="New"/>
    <s v="F&amp;B Aggregator"/>
    <s v="Pawan"/>
    <m/>
    <s v="Popup on 24-07-2026"/>
    <s v="Closed(C4)"/>
    <m/>
    <m/>
    <s v=""/>
    <s v=""/>
    <s v="Hot"/>
    <n v="40000"/>
    <n v="43240"/>
    <d v="2026-07-24T00:00:00"/>
    <s v="00GCBTA000294594"/>
    <x v="2"/>
    <s v="Pending"/>
    <m/>
    <m/>
    <x v="3"/>
    <m/>
    <s v=""/>
    <m/>
  </r>
  <r>
    <d v="2026-07-24T00:00:00"/>
    <s v="Sameer"/>
    <s v="Hyderabad"/>
    <x v="278"/>
    <s v="F2F"/>
    <s v="Corporate"/>
    <m/>
    <s v="Pop Up Counter"/>
    <s v="New"/>
    <s v="It"/>
    <s v="Gopi"/>
    <m/>
    <s v="Popup Counter 24-07-2026"/>
    <s v="Closed(C4)"/>
    <m/>
    <m/>
    <s v=""/>
    <s v=""/>
    <s v="Hot"/>
    <n v="22000"/>
    <n v="34713"/>
    <d v="2026-07-24T00:00:00"/>
    <s v="00GCBTA000294593"/>
    <x v="2"/>
    <s v="Received at Store"/>
    <m/>
    <d v="2026-07-24T00:00:00"/>
    <x v="3"/>
    <m/>
    <s v=""/>
    <m/>
  </r>
  <r>
    <d v="2026-07-24T00:00:00"/>
    <s v="Pradeep"/>
    <s v="Hyderabad"/>
    <x v="351"/>
    <s v="F2F"/>
    <s v="Corporate"/>
    <m/>
    <s v="Bulk Order"/>
    <s v="New"/>
    <s v="It"/>
    <s v="Sharath"/>
    <m/>
    <s v="Discussed on bulk order requirement"/>
    <s v="Cancelled"/>
    <m/>
    <m/>
    <n v="87"/>
    <s v=""/>
    <s v="Warm"/>
    <n v="25000"/>
    <m/>
    <m/>
    <m/>
    <x v="5"/>
    <m/>
    <m/>
    <m/>
    <x v="3"/>
    <m/>
    <s v=""/>
    <m/>
  </r>
  <r>
    <d v="2026-07-24T00:00:00"/>
    <s v="Pradeep"/>
    <s v="Hyderabad"/>
    <x v="352"/>
    <s v="F2F"/>
    <s v="Corporate"/>
    <m/>
    <s v="Bulk Order"/>
    <s v="New"/>
    <s v="It"/>
    <s v="Sameera"/>
    <m/>
    <s v="Proposed for Bulk Order and Biryani Kits for Gifting"/>
    <s v="Cancelled"/>
    <d v="2026-09-01T00:00:00"/>
    <s v="Call"/>
    <n v="87"/>
    <s v=""/>
    <s v="Cold"/>
    <n v="30000"/>
    <m/>
    <m/>
    <m/>
    <x v="5"/>
    <m/>
    <m/>
    <m/>
    <x v="3"/>
    <m/>
    <s v=""/>
    <m/>
  </r>
  <r>
    <d v="2026-07-24T00:00:00"/>
    <s v="Vishwanath"/>
    <s v="Bangalore"/>
    <x v="353"/>
    <s v="F2F"/>
    <s v="Corporate"/>
    <m/>
    <s v="Pop Up Counter"/>
    <s v="New"/>
    <s v="It"/>
    <s v="Sharan"/>
    <m/>
    <s v="Popup counter"/>
    <s v="Follow-up( C1 )"/>
    <m/>
    <m/>
    <n v="87"/>
    <s v=""/>
    <s v="Hot"/>
    <n v="50000"/>
    <m/>
    <m/>
    <m/>
    <x v="5"/>
    <m/>
    <m/>
    <m/>
    <x v="3"/>
    <m/>
    <s v=""/>
    <m/>
  </r>
  <r>
    <d v="2026-07-24T00:00:00"/>
    <s v="Bashab"/>
    <s v="Bangalore"/>
    <x v="37"/>
    <s v="Call"/>
    <s v="Aggregator"/>
    <s v="SmartQ"/>
    <s v="Pop Up Counter"/>
    <s v="Repeat"/>
    <s v="It"/>
    <s v="Harish"/>
    <m/>
    <s v="Pop-up counter done"/>
    <s v="Closed(C4)"/>
    <m/>
    <m/>
    <m/>
    <s v=""/>
    <s v="Hot"/>
    <n v="15000"/>
    <n v="17330"/>
    <d v="2026-07-24T00:00:00"/>
    <m/>
    <x v="12"/>
    <s v="Received at HO"/>
    <m/>
    <d v="2026-07-24T00:00:00"/>
    <x v="3"/>
    <m/>
    <s v=""/>
    <m/>
  </r>
  <r>
    <d v="2026-07-24T00:00:00"/>
    <s v="Bashab"/>
    <s v="Bangalore"/>
    <x v="41"/>
    <s v="Call"/>
    <s v="Aggregator"/>
    <s v="SmartQ"/>
    <s v="Pop Up Counter"/>
    <s v="Repeat"/>
    <s v="It"/>
    <s v="Harish"/>
    <m/>
    <s v="Pop-up counter done"/>
    <s v="Closed(C4)"/>
    <m/>
    <m/>
    <m/>
    <s v=""/>
    <s v="Hot"/>
    <n v="15000"/>
    <n v="11125"/>
    <d v="2026-07-24T00:00:00"/>
    <m/>
    <x v="12"/>
    <s v="Received at HO"/>
    <m/>
    <d v="2026-07-24T00:00:00"/>
    <x v="3"/>
    <m/>
    <s v=""/>
    <m/>
  </r>
  <r>
    <d v="2026-07-27T00:00:00"/>
    <s v="Pradeep"/>
    <s v="Hyderabad"/>
    <x v="354"/>
    <s v="F2F"/>
    <s v="Corporate"/>
    <m/>
    <s v="Bulk Order"/>
    <s v="New"/>
    <s v="F&amp;B Aggregator"/>
    <s v="Venugopal"/>
    <m/>
    <s v="Proposed for Pop up-counters Business"/>
    <s v="Closed(C4)"/>
    <m/>
    <m/>
    <s v=""/>
    <s v=""/>
    <s v="Hot"/>
    <m/>
    <m/>
    <m/>
    <m/>
    <x v="5"/>
    <m/>
    <m/>
    <m/>
    <x v="3"/>
    <m/>
    <s v=""/>
    <m/>
  </r>
  <r>
    <d v="2026-07-27T00:00:00"/>
    <s v="Pradeep"/>
    <s v="Hyderabad"/>
    <x v="355"/>
    <s v="F2F"/>
    <s v="Corporate"/>
    <m/>
    <s v="Bulk Order"/>
    <s v="New"/>
    <s v="It"/>
    <s v="Srikanth"/>
    <m/>
    <s v="Proposed for Bulk Order and Biryani Kits for Gifting"/>
    <s v="Cancelled"/>
    <m/>
    <m/>
    <n v="84"/>
    <s v=""/>
    <s v="Cold"/>
    <n v="20000"/>
    <m/>
    <m/>
    <m/>
    <x v="5"/>
    <m/>
    <m/>
    <m/>
    <x v="3"/>
    <m/>
    <s v=""/>
    <m/>
  </r>
  <r>
    <d v="2026-07-27T00:00:00"/>
    <s v="Pradeep"/>
    <s v="Hyderabad"/>
    <x v="356"/>
    <s v="F2F"/>
    <s v="Corporate"/>
    <m/>
    <s v="Bulk Order"/>
    <s v="New"/>
    <s v="It"/>
    <s v="Renuka"/>
    <m/>
    <s v="Bulk order requirement"/>
    <s v="Cancelled"/>
    <m/>
    <m/>
    <n v="84"/>
    <s v=""/>
    <s v="Warm"/>
    <n v="25000"/>
    <m/>
    <m/>
    <m/>
    <x v="5"/>
    <m/>
    <m/>
    <m/>
    <x v="3"/>
    <m/>
    <s v=""/>
    <m/>
  </r>
  <r>
    <d v="2026-07-27T00:00:00"/>
    <s v="Pradeep"/>
    <s v="Hyderabad"/>
    <x v="357"/>
    <s v="F2F"/>
    <s v="Corporate"/>
    <m/>
    <s v="Bulk Order"/>
    <s v="New"/>
    <s v="Healthcare"/>
    <s v="Shaik Nisar"/>
    <m/>
    <s v="Proposed for Bulk Order and Biryani Kits for Gifting"/>
    <s v="Cancelled"/>
    <m/>
    <m/>
    <n v="84"/>
    <s v=""/>
    <s v="Warm"/>
    <n v="40000"/>
    <m/>
    <m/>
    <m/>
    <x v="5"/>
    <m/>
    <m/>
    <m/>
    <x v="3"/>
    <m/>
    <s v=""/>
    <m/>
  </r>
  <r>
    <d v="2026-07-28T00:00:00"/>
    <s v="Pradeep"/>
    <s v="Hyderabad"/>
    <x v="268"/>
    <s v="F2F"/>
    <s v="Corporate"/>
    <m/>
    <s v="Bulk Order"/>
    <s v="New"/>
    <s v="It"/>
    <s v="Sandeep"/>
    <m/>
    <s v="Proposed for Bulk Order and Biryani Kits for Gifting"/>
    <s v="Cancelled"/>
    <m/>
    <m/>
    <n v="83"/>
    <s v=""/>
    <s v="Cold"/>
    <n v="20000"/>
    <m/>
    <m/>
    <m/>
    <x v="5"/>
    <m/>
    <m/>
    <m/>
    <x v="3"/>
    <m/>
    <s v=""/>
    <m/>
  </r>
  <r>
    <d v="2026-07-28T00:00:00"/>
    <s v="Pradeep"/>
    <s v="Hyderabad"/>
    <x v="358"/>
    <s v="F2F"/>
    <s v="Corporate"/>
    <m/>
    <s v="Bulk Order"/>
    <s v="New"/>
    <s v="It"/>
    <s v="Sangeeth"/>
    <m/>
    <s v="Bulk order requirement"/>
    <s v="Cancelled"/>
    <m/>
    <m/>
    <n v="83"/>
    <s v=""/>
    <s v="Warm"/>
    <n v="35000"/>
    <m/>
    <m/>
    <m/>
    <x v="5"/>
    <m/>
    <m/>
    <m/>
    <x v="3"/>
    <m/>
    <s v=""/>
    <m/>
  </r>
  <r>
    <d v="2026-07-28T00:00:00"/>
    <s v="Sameer"/>
    <s v="Hyderabad"/>
    <x v="359"/>
    <s v="F2F"/>
    <s v="Corporate"/>
    <m/>
    <s v="Bulk Order"/>
    <s v="New"/>
    <s v="It"/>
    <s v="Pradeep"/>
    <m/>
    <s v="Delivery of food 150 PAX on 30-07-2026"/>
    <s v="Closed(C4)"/>
    <m/>
    <m/>
    <s v=""/>
    <s v=""/>
    <s v="Hot"/>
    <n v="40000"/>
    <n v="47548"/>
    <d v="2026-07-31T00:00:00"/>
    <s v="00PRTA1000056616"/>
    <x v="29"/>
    <s v="Received at Store"/>
    <m/>
    <d v="2026-07-31T00:00:00"/>
    <x v="3"/>
    <m/>
    <s v=""/>
    <m/>
  </r>
  <r>
    <d v="2026-07-28T00:00:00"/>
    <s v="Pradeep"/>
    <s v="Hyderabad"/>
    <x v="360"/>
    <s v="F2F"/>
    <s v="Corporate"/>
    <m/>
    <s v="Bulk Order"/>
    <s v="New"/>
    <s v="It"/>
    <s v="Hemanth Kumar"/>
    <m/>
    <s v="Proposed for Bulk Order and Biryani Kits for Gifting"/>
    <s v="Cancelled"/>
    <m/>
    <s v="Call"/>
    <n v="83"/>
    <s v=""/>
    <s v="Warm"/>
    <n v="55000"/>
    <m/>
    <m/>
    <m/>
    <x v="5"/>
    <m/>
    <m/>
    <m/>
    <x v="3"/>
    <m/>
    <s v=""/>
    <m/>
  </r>
  <r>
    <d v="2026-07-28T00:00:00"/>
    <s v="Pradeep"/>
    <s v="Hyderabad"/>
    <x v="361"/>
    <s v="F2F"/>
    <s v="Corporate"/>
    <m/>
    <s v="Bulk Order"/>
    <s v="New"/>
    <s v="It"/>
    <s v="Shravani"/>
    <m/>
    <s v="Proposed for Bulk Order and Biryani Kits for Gifting"/>
    <s v="Cancelled"/>
    <m/>
    <m/>
    <n v="83"/>
    <s v=""/>
    <s v="Cold"/>
    <n v="25000"/>
    <m/>
    <m/>
    <m/>
    <x v="5"/>
    <m/>
    <m/>
    <m/>
    <x v="3"/>
    <m/>
    <s v=""/>
    <m/>
  </r>
  <r>
    <d v="2026-07-28T00:00:00"/>
    <s v="Sameer"/>
    <s v="Hyderabad"/>
    <x v="362"/>
    <s v="F2F"/>
    <s v="Corporate"/>
    <m/>
    <s v="Bulk Order"/>
    <s v="New"/>
    <s v="Pharma"/>
    <s v="Faiz"/>
    <m/>
    <s v="Delivery of Biryani kits"/>
    <s v="Confirmed( C3 )"/>
    <m/>
    <m/>
    <n v="83"/>
    <s v=""/>
    <s v="Hot"/>
    <n v="0"/>
    <m/>
    <d v="2026-10-10T00:00:00"/>
    <m/>
    <x v="5"/>
    <m/>
    <m/>
    <m/>
    <x v="4"/>
    <m/>
    <s v=""/>
    <m/>
  </r>
  <r>
    <d v="2026-07-28T00:00:00"/>
    <s v="Vishwanath"/>
    <s v="Bangalore"/>
    <x v="363"/>
    <s v="F2F"/>
    <s v="Corporate"/>
    <m/>
    <s v="Pop Up Counter"/>
    <s v="New"/>
    <s v="It"/>
    <s v="Sharan"/>
    <m/>
    <s v="Popup counter"/>
    <s v="Closed(C4)"/>
    <m/>
    <m/>
    <s v=""/>
    <s v=""/>
    <s v="Hot"/>
    <n v="50000"/>
    <n v="52948"/>
    <d v="2026-07-28T00:00:00"/>
    <m/>
    <x v="5"/>
    <s v="Received at Store"/>
    <m/>
    <m/>
    <x v="3"/>
    <m/>
    <s v=""/>
    <m/>
  </r>
  <r>
    <d v="2026-07-28T00:00:00"/>
    <s v="Bashab"/>
    <s v="Bangalore"/>
    <x v="15"/>
    <s v="F2F"/>
    <s v="Corporate"/>
    <m/>
    <s v="Popup Counter"/>
    <s v="Repeat"/>
    <s v="Retail"/>
    <s v="James"/>
    <m/>
    <s v="Popup Confirmed"/>
    <s v="Closed(C4)"/>
    <m/>
    <m/>
    <m/>
    <s v=""/>
    <s v="Hot"/>
    <n v="10000"/>
    <n v="5723"/>
    <d v="2026-07-28T00:00:00"/>
    <s v="00WFTA1000039791"/>
    <x v="7"/>
    <s v="Received at Store"/>
    <m/>
    <d v="2026-07-28T00:00:00"/>
    <x v="3"/>
    <m/>
    <s v=""/>
    <m/>
  </r>
  <r>
    <d v="2026-07-29T00:00:00"/>
    <s v="Pradeep"/>
    <s v="Hyderabad"/>
    <x v="364"/>
    <s v="F2F"/>
    <s v="Corporate"/>
    <m/>
    <s v="Bulk Order"/>
    <s v="New"/>
    <s v="Healthcare"/>
    <s v="Sandeep Reddy"/>
    <m/>
    <s v="Bulk order requirement"/>
    <s v="Cancelled"/>
    <d v="2026-08-17T00:00:00"/>
    <s v="Call"/>
    <m/>
    <m/>
    <s v="Warm"/>
    <n v="35000"/>
    <m/>
    <m/>
    <m/>
    <x v="5"/>
    <m/>
    <m/>
    <m/>
    <x v="3"/>
    <m/>
    <m/>
    <m/>
  </r>
  <r>
    <d v="2026-07-29T00:00:00"/>
    <s v="Pradeep"/>
    <s v="Hyderabad"/>
    <x v="365"/>
    <s v="F2F"/>
    <s v="Corporate"/>
    <m/>
    <s v="Bulk Order"/>
    <s v="New"/>
    <s v="Realestate"/>
    <s v="Ravi"/>
    <m/>
    <s v="Bulk order requirement"/>
    <s v="Cancelled"/>
    <m/>
    <m/>
    <m/>
    <m/>
    <s v="Warm"/>
    <n v="20000"/>
    <m/>
    <m/>
    <m/>
    <x v="5"/>
    <m/>
    <m/>
    <m/>
    <x v="3"/>
    <m/>
    <m/>
    <m/>
  </r>
  <r>
    <d v="2026-07-29T00:00:00"/>
    <s v="Sameer"/>
    <s v="Hyderabad"/>
    <x v="156"/>
    <s v="F2F"/>
    <s v="Aggregator"/>
    <s v="Compass"/>
    <s v="Bulk Order"/>
    <s v="New"/>
    <s v="F&amp;B Aggregator"/>
    <s v="Srinivas"/>
    <m/>
    <s v="Business Closed"/>
    <s v="Closed(C4)"/>
    <m/>
    <m/>
    <m/>
    <s v=""/>
    <s v="Hot"/>
    <n v="300000"/>
    <n v="331800"/>
    <d v="2026-07-29T00:00:00"/>
    <s v="CIFSPL270715"/>
    <x v="17"/>
    <s v="Pending"/>
    <m/>
    <m/>
    <x v="3"/>
    <m/>
    <s v=""/>
    <m/>
  </r>
  <r>
    <d v="2026-07-29T00:00:00"/>
    <s v="Bashab"/>
    <s v="Hyderabad"/>
    <x v="156"/>
    <s v="Call"/>
    <s v="Aggregator"/>
    <s v="Compass"/>
    <s v="Bulk Order"/>
    <s v="New"/>
    <s v="F&amp;B Aggregator"/>
    <s v="Srinivas"/>
    <m/>
    <s v="Business Closed"/>
    <s v="Closed(C4)"/>
    <m/>
    <m/>
    <m/>
    <s v=""/>
    <s v="Hot"/>
    <n v="300000"/>
    <n v="331800"/>
    <d v="2026-07-29T00:00:00"/>
    <s v="CIFSPL270715"/>
    <x v="17"/>
    <s v="Received at HO"/>
    <m/>
    <m/>
    <x v="3"/>
    <m/>
    <s v=""/>
    <m/>
  </r>
  <r>
    <d v="2026-07-29T00:00:00"/>
    <s v="Pradeep"/>
    <s v="Hyderabad"/>
    <x v="366"/>
    <s v="F2F"/>
    <s v="Corporate"/>
    <m/>
    <s v="Bulk Order"/>
    <s v="New"/>
    <s v="Realestate"/>
    <s v="Madhavi"/>
    <m/>
    <s v="Proposed for Bulk Order and Biryani Kits for Gifting"/>
    <s v="Cancelled"/>
    <m/>
    <m/>
    <m/>
    <m/>
    <s v="Cold"/>
    <n v="50000"/>
    <m/>
    <m/>
    <m/>
    <x v="5"/>
    <m/>
    <m/>
    <m/>
    <x v="3"/>
    <m/>
    <m/>
    <m/>
  </r>
  <r>
    <d v="2026-07-29T00:00:00"/>
    <s v="Sameer"/>
    <s v="Bangalore"/>
    <x v="3"/>
    <s v="Call"/>
    <s v="Aggregator"/>
    <s v="Compass"/>
    <s v="Bulk Order"/>
    <s v="Repeat"/>
    <s v="F&amp;B Agrigator"/>
    <s v="Saad"/>
    <m/>
    <s v="Delivery in July month from HSR"/>
    <s v="Closed(C4)"/>
    <m/>
    <m/>
    <s v=""/>
    <s v=""/>
    <s v="Hot"/>
    <n v="20000"/>
    <n v="30249"/>
    <d v="2026-07-29T00:00:00"/>
    <s v="00HSA06000007849"/>
    <x v="3"/>
    <s v="Received at HO"/>
    <m/>
    <m/>
    <x v="3"/>
    <m/>
    <s v=""/>
    <m/>
  </r>
  <r>
    <d v="2026-07-29T00:00:00"/>
    <s v="Pradeep"/>
    <s v="Hyderabad"/>
    <x v="249"/>
    <s v="F2F"/>
    <s v="Corporate"/>
    <m/>
    <s v="Bulk Order"/>
    <s v="New"/>
    <s v="It"/>
    <s v="Ravi"/>
    <m/>
    <s v="Proposed for Bulk Order and Biryani Kits for Gifting"/>
    <s v="Cancelled"/>
    <m/>
    <m/>
    <n v="82"/>
    <s v=""/>
    <s v="Warm"/>
    <n v="25000"/>
    <m/>
    <m/>
    <m/>
    <x v="5"/>
    <m/>
    <m/>
    <m/>
    <x v="3"/>
    <m/>
    <m/>
    <m/>
  </r>
  <r>
    <d v="2026-07-29T00:00:00"/>
    <s v="Vishwanath"/>
    <s v="Bangalore"/>
    <x v="353"/>
    <s v="F2F"/>
    <s v="Corporate"/>
    <m/>
    <s v="Pop Up Counter"/>
    <s v="New"/>
    <s v="It"/>
    <s v="Sharan"/>
    <m/>
    <s v="Pop Up Counter"/>
    <s v="Closed(C4)"/>
    <m/>
    <m/>
    <s v=""/>
    <s v=""/>
    <s v="Hot"/>
    <n v="50000"/>
    <n v="50993"/>
    <d v="2026-07-29T00:00:00"/>
    <m/>
    <x v="5"/>
    <s v="Received at Store"/>
    <m/>
    <m/>
    <x v="3"/>
    <m/>
    <s v=""/>
    <m/>
  </r>
  <r>
    <d v="2026-07-29T00:00:00"/>
    <s v="Bashab"/>
    <s v="Bangalore"/>
    <x v="31"/>
    <s v="F2F"/>
    <s v="Corporate"/>
    <m/>
    <s v="Popup Counter"/>
    <s v="Repeat"/>
    <s v="Retail"/>
    <s v="Mueenudheen"/>
    <m/>
    <s v="Popup Confirmed"/>
    <s v="Closed(C4)"/>
    <m/>
    <m/>
    <m/>
    <s v=""/>
    <s v="Hot"/>
    <n v="15000"/>
    <n v="9156"/>
    <d v="2026-07-29T00:00:00"/>
    <s v="00WFTA1000039796"/>
    <x v="7"/>
    <s v="Received at Store"/>
    <m/>
    <d v="2026-07-29T00:00:00"/>
    <x v="3"/>
    <m/>
    <s v=""/>
    <m/>
  </r>
  <r>
    <d v="2026-07-29T00:00:00"/>
    <s v="Vishwanath"/>
    <s v="Bangalore"/>
    <x v="16"/>
    <s v="Call"/>
    <s v="Corporate"/>
    <s v="Compass"/>
    <s v="Bulk Order"/>
    <s v="Repeat"/>
    <s v="Retail"/>
    <s v="Mohammed"/>
    <m/>
    <s v="Business Closed"/>
    <s v="Closed(C4)"/>
    <m/>
    <m/>
    <s v=""/>
    <s v=""/>
    <s v="Hot"/>
    <n v="20000"/>
    <n v="30250"/>
    <d v="2026-07-29T00:00:00"/>
    <s v="00HSA06000007849"/>
    <x v="3"/>
    <s v="Received at HO"/>
    <m/>
    <m/>
    <x v="3"/>
    <m/>
    <s v=""/>
    <m/>
  </r>
  <r>
    <d v="2026-07-30T00:00:00"/>
    <s v="Pradeep"/>
    <s v="Hyderabad"/>
    <x v="249"/>
    <s v="F2F"/>
    <s v="Corporate"/>
    <m/>
    <s v="Bulk Order"/>
    <s v="New"/>
    <s v="It"/>
    <s v="Ravi"/>
    <m/>
    <s v="Proposed for Bulk Order and Biryani Kits for Gifting"/>
    <s v="Cancelled"/>
    <m/>
    <m/>
    <n v="81"/>
    <s v=""/>
    <s v="Warm"/>
    <n v="25000"/>
    <m/>
    <m/>
    <m/>
    <x v="5"/>
    <m/>
    <m/>
    <m/>
    <x v="3"/>
    <m/>
    <m/>
    <m/>
  </r>
  <r>
    <d v="2026-07-30T00:00:00"/>
    <s v="Pradeep"/>
    <s v="Hyderabad"/>
    <x v="255"/>
    <s v="F2F"/>
    <s v="Corporate"/>
    <m/>
    <s v="Bulk Order"/>
    <s v="New"/>
    <s v="It"/>
    <s v="Priya"/>
    <m/>
    <s v="Proposed for Bulk Order and Biryani Kits for Gifting"/>
    <s v="Cancelled"/>
    <m/>
    <m/>
    <m/>
    <m/>
    <s v="Warm"/>
    <n v="40000"/>
    <m/>
    <m/>
    <m/>
    <x v="5"/>
    <m/>
    <m/>
    <m/>
    <x v="3"/>
    <m/>
    <m/>
    <m/>
  </r>
  <r>
    <d v="2026-07-30T00:00:00"/>
    <s v="Pradeep"/>
    <s v="Hyderabad"/>
    <x v="367"/>
    <s v="F2F"/>
    <s v="Corporate"/>
    <m/>
    <s v="Bulk Order"/>
    <s v="New"/>
    <s v="Manufacturing"/>
    <s v="Nithin"/>
    <m/>
    <s v="Bulk order Proposed"/>
    <s v="Cancelled"/>
    <d v="2026-08-17T00:00:00"/>
    <s v="Call"/>
    <m/>
    <m/>
    <s v="Cold"/>
    <n v="55000"/>
    <m/>
    <m/>
    <m/>
    <x v="5"/>
    <m/>
    <m/>
    <m/>
    <x v="3"/>
    <m/>
    <m/>
    <m/>
  </r>
  <r>
    <d v="2026-07-30T00:00:00"/>
    <s v="Pradeep"/>
    <s v="Hyderabad"/>
    <x v="368"/>
    <s v="F2F"/>
    <s v="Corporate"/>
    <m/>
    <s v="Bulk Order"/>
    <s v="New"/>
    <s v="Healthcare"/>
    <s v="Geetha"/>
    <m/>
    <s v="Discussed on Bulk Order Requirement"/>
    <s v="Cancelled"/>
    <m/>
    <m/>
    <m/>
    <m/>
    <s v="Warm"/>
    <n v="35000"/>
    <m/>
    <m/>
    <m/>
    <x v="5"/>
    <m/>
    <m/>
    <m/>
    <x v="3"/>
    <m/>
    <m/>
    <m/>
  </r>
  <r>
    <d v="2026-07-30T00:00:00"/>
    <s v="Vishwanath"/>
    <s v="Bangalore"/>
    <x v="341"/>
    <s v="F2F"/>
    <s v="Corporate"/>
    <m/>
    <s v="Bulk Order"/>
    <s v="New"/>
    <s v="It"/>
    <s v="Piklu Nath"/>
    <m/>
    <s v="Bulk Order"/>
    <s v="Closed(C4)"/>
    <m/>
    <m/>
    <s v=""/>
    <s v=""/>
    <s v="Hot"/>
    <n v="50000"/>
    <n v="57870.75"/>
    <d v="2026-07-30T00:00:00"/>
    <m/>
    <x v="3"/>
    <s v="Received at HO"/>
    <m/>
    <m/>
    <x v="3"/>
    <m/>
    <s v=""/>
    <m/>
  </r>
  <r>
    <d v="2026-07-30T00:00:00"/>
    <s v="Pradeep"/>
    <s v="Hyderabad"/>
    <x v="369"/>
    <s v="F2F"/>
    <s v="Corporate"/>
    <m/>
    <s v="Bulk Order"/>
    <s v="New"/>
    <s v="Banking Finance &amp; Insurance"/>
    <s v="Rajesh"/>
    <m/>
    <s v="Bulk Order Closed"/>
    <s v="Closed(C4)"/>
    <m/>
    <m/>
    <m/>
    <m/>
    <s v="Hot"/>
    <n v="10000"/>
    <n v="4148"/>
    <d v="2026-07-30T00:00:00"/>
    <s v="00STA02000029296"/>
    <x v="14"/>
    <s v="Received at Store"/>
    <m/>
    <d v="2026-07-30T00:00:00"/>
    <x v="3"/>
    <m/>
    <m/>
    <s v="Takeaway-Bulk-Insti"/>
  </r>
  <r>
    <d v="2026-07-30T00:00:00"/>
    <s v="Vishwanath"/>
    <s v="Hyderabad"/>
    <x v="341"/>
    <s v="Call"/>
    <s v="Corporate"/>
    <m/>
    <s v="Bulk Order"/>
    <s v="New"/>
    <s v="It"/>
    <s v="Piklu Nath"/>
    <m/>
    <s v="Bulk Order"/>
    <s v="Closed(C4)"/>
    <m/>
    <m/>
    <s v=""/>
    <s v=""/>
    <s v="Hot"/>
    <n v="50000"/>
    <n v="16500"/>
    <d v="2026-07-30T00:00:00"/>
    <m/>
    <x v="5"/>
    <s v="Received at HO"/>
    <m/>
    <m/>
    <x v="3"/>
    <m/>
    <s v=""/>
    <m/>
  </r>
  <r>
    <d v="2026-07-31T00:00:00"/>
    <s v="Pradeep"/>
    <s v="Hyderabad"/>
    <x v="367"/>
    <s v="F2F"/>
    <s v="Corporate"/>
    <m/>
    <s v="Bulk Order"/>
    <s v="New"/>
    <s v="Manufacturing"/>
    <s v="Nithin"/>
    <m/>
    <s v="Bulk order Proposed"/>
    <s v="Cancelled"/>
    <m/>
    <m/>
    <m/>
    <m/>
    <s v="Cold"/>
    <n v="55000"/>
    <m/>
    <m/>
    <m/>
    <x v="5"/>
    <m/>
    <m/>
    <m/>
    <x v="3"/>
    <m/>
    <m/>
    <m/>
  </r>
  <r>
    <d v="2026-07-31T00:00:00"/>
    <s v="Pradeep"/>
    <s v="Hyderabad"/>
    <x v="368"/>
    <s v="F2F"/>
    <s v="Corporate"/>
    <m/>
    <s v="Bulk Order"/>
    <s v="New"/>
    <s v="Healthcare"/>
    <s v="Geetha"/>
    <m/>
    <s v="Discussed on Bulk Order Requirement"/>
    <s v="Cancelled"/>
    <m/>
    <m/>
    <m/>
    <m/>
    <s v="Warm"/>
    <n v="35000"/>
    <m/>
    <m/>
    <m/>
    <x v="5"/>
    <m/>
    <m/>
    <m/>
    <x v="3"/>
    <m/>
    <m/>
    <m/>
  </r>
  <r>
    <d v="2026-07-31T00:00:00"/>
    <s v="Pradeep"/>
    <s v="Hyderabad"/>
    <x v="274"/>
    <s v="F2F"/>
    <s v="Corporate"/>
    <m/>
    <s v="Bulk Order"/>
    <s v="New"/>
    <s v="It"/>
    <s v="Nishanth"/>
    <m/>
    <s v="Bulk order Proposed"/>
    <s v="Cancelled"/>
    <d v="2026-09-02T00:00:00"/>
    <s v="Call"/>
    <m/>
    <m/>
    <s v="Warm"/>
    <n v="30000"/>
    <m/>
    <m/>
    <m/>
    <x v="5"/>
    <m/>
    <m/>
    <m/>
    <x v="3"/>
    <m/>
    <m/>
    <m/>
  </r>
  <r>
    <d v="2026-07-31T00:00:00"/>
    <s v="Pradeep"/>
    <s v="Hyderabad"/>
    <x v="370"/>
    <s v="F2F"/>
    <s v="Corporate"/>
    <m/>
    <s v="Bulk Order"/>
    <s v="New"/>
    <s v="It"/>
    <s v="Swathi"/>
    <m/>
    <s v="Discussed on Bulk Order Requirement"/>
    <s v="Cancelled"/>
    <m/>
    <m/>
    <m/>
    <m/>
    <s v="Warm"/>
    <n v="50000"/>
    <m/>
    <m/>
    <m/>
    <x v="5"/>
    <m/>
    <m/>
    <m/>
    <x v="3"/>
    <m/>
    <m/>
    <m/>
  </r>
  <r>
    <d v="2026-07-31T00:00:00"/>
    <s v="Pradeep"/>
    <s v="Hyderabad"/>
    <x v="371"/>
    <s v="F2F"/>
    <s v="Corporate"/>
    <m/>
    <s v="Bulk Order"/>
    <s v="New"/>
    <s v="It"/>
    <s v="Subash"/>
    <m/>
    <s v="Discussed on Bulk Order Requirement"/>
    <s v="Cancelled"/>
    <m/>
    <m/>
    <m/>
    <m/>
    <s v="Warm"/>
    <n v="70000"/>
    <m/>
    <m/>
    <m/>
    <x v="5"/>
    <m/>
    <m/>
    <m/>
    <x v="3"/>
    <m/>
    <m/>
    <m/>
  </r>
  <r>
    <d v="2026-08-01T00:00:00"/>
    <s v="Bashab"/>
    <s v="Bangalore"/>
    <x v="37"/>
    <s v="Call"/>
    <s v="Aggregator"/>
    <s v="SmartQ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5"/>
    <m/>
    <m/>
    <m/>
  </r>
  <r>
    <d v="2026-08-01T00:00:00"/>
    <s v="Bashab"/>
    <s v="Bangalore"/>
    <x v="41"/>
    <s v="Call"/>
    <s v="Aggregator"/>
    <s v="SmartQ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5"/>
    <m/>
    <s v=""/>
    <m/>
  </r>
  <r>
    <d v="2026-08-01T00:00:00"/>
    <s v="Bashab"/>
    <s v="Bangalore"/>
    <x v="122"/>
    <s v="Call"/>
    <s v="Aggregator"/>
    <s v="SmartQ"/>
    <s v="Pop Up Counter"/>
    <s v="Repeat"/>
    <s v="It"/>
    <s v="Naveen"/>
    <m/>
    <s v="Pop-up counter done"/>
    <s v="Confirmed( C3 )"/>
    <m/>
    <m/>
    <m/>
    <s v=""/>
    <s v="Hot"/>
    <m/>
    <m/>
    <m/>
    <m/>
    <x v="11"/>
    <m/>
    <m/>
    <m/>
    <x v="5"/>
    <m/>
    <s v=""/>
    <m/>
  </r>
  <r>
    <d v="2026-08-01T00:00:00"/>
    <s v="Bashab"/>
    <s v="Bangalore"/>
    <x v="40"/>
    <s v="F2F"/>
    <s v="Corporate"/>
    <m/>
    <s v="Popup Counter"/>
    <s v="Repeat"/>
    <s v="Retail"/>
    <s v="Srinivas"/>
    <m/>
    <s v="Popup Confirmed"/>
    <s v="Confirmed( C3 )"/>
    <m/>
    <m/>
    <m/>
    <s v=""/>
    <s v="Hot"/>
    <m/>
    <m/>
    <m/>
    <m/>
    <x v="7"/>
    <m/>
    <m/>
    <m/>
    <x v="5"/>
    <m/>
    <s v=""/>
    <m/>
  </r>
  <r>
    <d v="2026-08-01T00:00:00"/>
    <s v="Bashab"/>
    <s v="Bangalore"/>
    <x v="18"/>
    <s v="F2F"/>
    <s v="Corporate"/>
    <m/>
    <s v="Popup Counter"/>
    <s v="Repeat"/>
    <s v="Retail"/>
    <s v="Vinod"/>
    <m/>
    <s v="Popup Confirmed"/>
    <s v="Confirmed( C3 )"/>
    <m/>
    <m/>
    <m/>
    <s v=""/>
    <s v="Hot"/>
    <m/>
    <m/>
    <m/>
    <m/>
    <x v="7"/>
    <m/>
    <m/>
    <m/>
    <x v="5"/>
    <m/>
    <s v=""/>
    <m/>
  </r>
  <r>
    <d v="2026-08-01T00:00:00"/>
    <s v="Bashab"/>
    <s v="Bangalore"/>
    <x v="15"/>
    <s v="F2F"/>
    <s v="Corporate"/>
    <m/>
    <s v="Popup Counter"/>
    <s v="Repeat"/>
    <s v="Retail"/>
    <s v="James"/>
    <m/>
    <s v="Popup Confirmed"/>
    <s v="Confirmed( C3 )"/>
    <m/>
    <m/>
    <m/>
    <s v=""/>
    <s v="Hot"/>
    <m/>
    <m/>
    <m/>
    <m/>
    <x v="7"/>
    <m/>
    <m/>
    <m/>
    <x v="5"/>
    <m/>
    <s v=""/>
    <m/>
  </r>
  <r>
    <d v="2026-08-01T00:00:00"/>
    <s v="Bashab"/>
    <s v="Bangalore"/>
    <x v="31"/>
    <s v="F2F"/>
    <s v="Corporate"/>
    <m/>
    <s v="Popup Counter"/>
    <s v="Repeat"/>
    <s v="Retail"/>
    <s v="Mueenudheen"/>
    <m/>
    <s v="Popup Confirmed"/>
    <s v="Confirmed( C3 )"/>
    <m/>
    <m/>
    <m/>
    <s v=""/>
    <s v="Hot"/>
    <m/>
    <m/>
    <m/>
    <m/>
    <x v="7"/>
    <m/>
    <m/>
    <m/>
    <x v="5"/>
    <m/>
    <s v=""/>
    <m/>
  </r>
  <r>
    <d v="2026-08-01T00:00:00"/>
    <s v="Bashab"/>
    <s v="Bangalore"/>
    <x v="123"/>
    <s v="Call"/>
    <s v="Corporate"/>
    <m/>
    <s v="Pop Up Counter"/>
    <s v="Repeat"/>
    <s v="It"/>
    <s v="Anand"/>
    <m/>
    <s v="Pop-up counter confirmed"/>
    <s v="Confirmed( C3 )"/>
    <m/>
    <m/>
    <m/>
    <s v=""/>
    <s v="Hot"/>
    <m/>
    <m/>
    <m/>
    <m/>
    <x v="21"/>
    <m/>
    <m/>
    <m/>
    <x v="5"/>
    <m/>
    <s v=""/>
    <m/>
  </r>
  <r>
    <d v="2026-08-01T00:00:00"/>
    <s v="Bashab"/>
    <s v="Hyderabad"/>
    <x v="156"/>
    <s v="F2F"/>
    <s v="Aggregator"/>
    <s v="Compass"/>
    <s v="Bulk Order"/>
    <s v="New"/>
    <s v="F&amp;B Aggregator"/>
    <s v="Srinivas"/>
    <m/>
    <s v="Business Closed"/>
    <s v="Confirmed( C3 )"/>
    <m/>
    <m/>
    <m/>
    <s v=""/>
    <s v="Hot"/>
    <m/>
    <m/>
    <m/>
    <m/>
    <x v="5"/>
    <m/>
    <m/>
    <m/>
    <x v="5"/>
    <m/>
    <s v=""/>
    <m/>
  </r>
  <r>
    <d v="2026-08-01T00:00:00"/>
    <s v="Bashab"/>
    <s v="Bangalore"/>
    <x v="66"/>
    <s v="Call"/>
    <s v="Aggregator"/>
    <s v="Gokhana"/>
    <s v="Pop Up Counter"/>
    <s v="Repeat"/>
    <s v="It"/>
    <s v="Navya"/>
    <m/>
    <s v="Popup Confirmed"/>
    <s v="Confirmed( C3 )"/>
    <m/>
    <m/>
    <m/>
    <s v=""/>
    <s v="Hot"/>
    <m/>
    <m/>
    <m/>
    <m/>
    <x v="11"/>
    <m/>
    <m/>
    <m/>
    <x v="5"/>
    <m/>
    <s v=""/>
    <m/>
  </r>
  <r>
    <d v="2026-08-01T00:00:00"/>
    <s v="Vishwanath"/>
    <s v="Bangalore"/>
    <x v="16"/>
    <s v="Call"/>
    <s v="Corporate"/>
    <s v="Compass"/>
    <s v="Bulk Order"/>
    <s v="Repeat"/>
    <s v="Retail"/>
    <s v="Mohammed"/>
    <m/>
    <s v="Business follow-up"/>
    <s v="Confirmed( C3 )"/>
    <m/>
    <m/>
    <n v="79"/>
    <s v=""/>
    <s v="Hot"/>
    <m/>
    <m/>
    <m/>
    <m/>
    <x v="3"/>
    <s v="Pending"/>
    <m/>
    <m/>
    <x v="5"/>
    <m/>
    <s v=""/>
    <m/>
  </r>
  <r>
    <d v="2026-08-03T00:00:00"/>
    <s v="Pradeep"/>
    <s v="Hyderabad"/>
    <x v="359"/>
    <s v="F2F"/>
    <s v="Corporate"/>
    <m/>
    <s v="Bulk Order"/>
    <s v="New"/>
    <s v="It"/>
    <s v="Madhu"/>
    <m/>
    <s v="Discussed on Bulk Order Requirement upcoming event"/>
    <s v="Follow-up( C1 )"/>
    <m/>
    <m/>
    <m/>
    <m/>
    <s v="Warm"/>
    <n v="40000"/>
    <m/>
    <m/>
    <m/>
    <x v="5"/>
    <m/>
    <m/>
    <m/>
    <x v="5"/>
    <m/>
    <m/>
    <m/>
  </r>
  <r>
    <d v="2026-08-03T00:00:00"/>
    <s v="Pradeep"/>
    <s v="Hyderabad"/>
    <x v="372"/>
    <s v="F2F"/>
    <s v="Corporate"/>
    <m/>
    <s v="Bulk Order"/>
    <s v="New"/>
    <s v="It"/>
    <s v="Kiran"/>
    <m/>
    <s v="Proposed for Bulk Order and Biryani Kits for Gifting"/>
    <s v="Follow-up( C1 )"/>
    <m/>
    <m/>
    <m/>
    <m/>
    <s v="Warm"/>
    <n v="20000"/>
    <m/>
    <m/>
    <m/>
    <x v="5"/>
    <m/>
    <m/>
    <m/>
    <x v="5"/>
    <m/>
    <m/>
    <m/>
  </r>
  <r>
    <d v="2026-08-03T00:00:00"/>
    <s v="Pradeep"/>
    <s v="Hyderabad"/>
    <x v="373"/>
    <s v="F2F"/>
    <s v="Corporate"/>
    <m/>
    <s v="Bulk Order"/>
    <s v="New"/>
    <s v="It"/>
    <s v="Sameera"/>
    <m/>
    <s v="Proposed for Bulk Order and Biryani Kits for Gifting"/>
    <s v="Introduction( C0 )"/>
    <m/>
    <m/>
    <m/>
    <m/>
    <s v="Warm"/>
    <n v="30000"/>
    <m/>
    <m/>
    <m/>
    <x v="5"/>
    <m/>
    <m/>
    <m/>
    <x v="5"/>
    <m/>
    <m/>
    <m/>
  </r>
  <r>
    <d v="2026-08-03T00:00:00"/>
    <s v="Pradeep"/>
    <s v="Hyderabad"/>
    <x v="374"/>
    <s v="F2F"/>
    <s v="Corporate"/>
    <m/>
    <s v="Bulk Order"/>
    <s v="New"/>
    <s v="It"/>
    <s v="Sai kiran"/>
    <m/>
    <s v="Discussed on Bulk Order Requirement upcoming event"/>
    <s v="Introduction( C0 )"/>
    <m/>
    <m/>
    <m/>
    <m/>
    <s v="Cold"/>
    <n v="25000"/>
    <m/>
    <m/>
    <m/>
    <x v="5"/>
    <m/>
    <m/>
    <m/>
    <x v="5"/>
    <m/>
    <m/>
    <m/>
  </r>
  <r>
    <d v="2026-08-03T00:00:00"/>
    <s v="Vishwanath"/>
    <s v="Bangalore"/>
    <x v="375"/>
    <s v="F2F"/>
    <s v="Corporate"/>
    <m/>
    <s v="Bulk Order"/>
    <s v="New"/>
    <s v="It"/>
    <s v="Mahesh"/>
    <m/>
    <s v="Discussed on Bulk order Requirement"/>
    <s v="Introduction( C0 )"/>
    <d v="2026-09-03T00:00:00"/>
    <m/>
    <m/>
    <m/>
    <s v="Warm"/>
    <n v="9500"/>
    <m/>
    <m/>
    <m/>
    <x v="5"/>
    <m/>
    <m/>
    <m/>
    <x v="5"/>
    <m/>
    <s v=""/>
    <m/>
  </r>
  <r>
    <d v="2026-08-04T00:00:00"/>
    <s v="Pradeep"/>
    <s v="Hyderabad"/>
    <x v="376"/>
    <s v="F2F"/>
    <s v="Corporate"/>
    <m/>
    <s v="Bulk Order"/>
    <s v="New"/>
    <s v="Realestate"/>
    <s v="Navya"/>
    <m/>
    <s v="Business follow-up"/>
    <s v="Follow-up( C1 )"/>
    <m/>
    <m/>
    <m/>
    <m/>
    <s v="Cold"/>
    <n v="50000"/>
    <m/>
    <m/>
    <m/>
    <x v="5"/>
    <m/>
    <m/>
    <m/>
    <x v="5"/>
    <m/>
    <m/>
    <m/>
  </r>
  <r>
    <d v="2026-08-04T00:00:00"/>
    <s v="Pradeep"/>
    <s v="Hyderabad"/>
    <x v="377"/>
    <s v="F2F"/>
    <s v="Corporate"/>
    <m/>
    <s v="Bulk Order"/>
    <s v="New"/>
    <s v="Education"/>
    <s v="Animakia"/>
    <m/>
    <s v="Proposed for Bulk Order and Biryani Kits for Gifting"/>
    <s v="Follow-up( C1 )"/>
    <m/>
    <m/>
    <m/>
    <m/>
    <s v="Warm"/>
    <n v="35000"/>
    <m/>
    <m/>
    <m/>
    <x v="5"/>
    <m/>
    <m/>
    <m/>
    <x v="5"/>
    <m/>
    <m/>
    <m/>
  </r>
  <r>
    <d v="2026-08-04T00:00:00"/>
    <s v="Pradeep"/>
    <s v="Hyderabad"/>
    <x v="181"/>
    <s v="F2F"/>
    <s v="Corporate"/>
    <m/>
    <s v="Bulk Order"/>
    <s v="New"/>
    <s v="It"/>
    <s v="Susheel"/>
    <m/>
    <s v="Business follow-up"/>
    <s v="Negotitaion( C2 )"/>
    <m/>
    <m/>
    <m/>
    <m/>
    <s v="Warm"/>
    <n v="40000"/>
    <m/>
    <m/>
    <m/>
    <x v="5"/>
    <m/>
    <m/>
    <m/>
    <x v="5"/>
    <m/>
    <m/>
    <m/>
  </r>
  <r>
    <d v="2026-08-04T00:00:00"/>
    <s v="Pradeep"/>
    <s v="Hyderabad"/>
    <x v="378"/>
    <s v="F2F"/>
    <s v="Corporate"/>
    <m/>
    <s v="Bulk Order"/>
    <s v="New"/>
    <s v="It"/>
    <s v="Zameel"/>
    <m/>
    <s v="Proposed for Bulk Order and Biryani Kits for Gifting"/>
    <s v="Follow-up( C1 )"/>
    <m/>
    <m/>
    <m/>
    <m/>
    <s v="Cold"/>
    <n v="50000"/>
    <m/>
    <m/>
    <m/>
    <x v="5"/>
    <m/>
    <m/>
    <m/>
    <x v="5"/>
    <m/>
    <m/>
    <m/>
  </r>
  <r>
    <d v="2026-08-04T00:00:00"/>
    <s v="Vishwanath"/>
    <s v="Bangalore"/>
    <x v="8"/>
    <s v="F2F"/>
    <s v="Corporate"/>
    <m/>
    <s v="Bulk Order"/>
    <s v="New"/>
    <s v="It"/>
    <s v="Ajay"/>
    <m/>
    <s v="Discussed on Bulk order Requirement"/>
    <s v="Introduction( C0 )"/>
    <d v="2026-09-03T00:00:00"/>
    <m/>
    <m/>
    <m/>
    <s v="Warm"/>
    <n v="8500"/>
    <m/>
    <m/>
    <m/>
    <x v="5"/>
    <m/>
    <m/>
    <m/>
    <x v="5"/>
    <m/>
    <s v=""/>
    <m/>
  </r>
  <r>
    <d v="2026-08-04T00:00:00"/>
    <s v="Vishwanath"/>
    <s v="Bangalore"/>
    <x v="379"/>
    <s v="F2F"/>
    <s v="Corporate"/>
    <m/>
    <s v="Bulk Order"/>
    <s v="New"/>
    <s v="Manufacturing"/>
    <s v="Dinesh"/>
    <m/>
    <s v="Discussed on Bulk order Requirement"/>
    <s v="Introduction( C0 )"/>
    <d v="2026-09-09T00:00:00"/>
    <m/>
    <m/>
    <m/>
    <s v="Warm"/>
    <n v="8000"/>
    <m/>
    <m/>
    <m/>
    <x v="5"/>
    <m/>
    <m/>
    <m/>
    <x v="5"/>
    <m/>
    <s v=""/>
    <m/>
  </r>
  <r>
    <d v="2026-08-04T00:00:00"/>
    <s v="Bashab"/>
    <s v="Bangalore"/>
    <x v="31"/>
    <s v="F2F"/>
    <s v="Corporate"/>
    <m/>
    <s v="Popup Counter"/>
    <s v="Repeat"/>
    <s v="Retail"/>
    <s v="Mueenudheen"/>
    <m/>
    <s v="Pop-up counter done"/>
    <s v="Closed(C4)"/>
    <m/>
    <m/>
    <m/>
    <s v=""/>
    <s v="Hot"/>
    <n v="10000"/>
    <n v="8051"/>
    <d v="2026-08-04T00:00:00"/>
    <m/>
    <x v="7"/>
    <s v="Received at HO"/>
    <m/>
    <m/>
    <x v="5"/>
    <m/>
    <s v=""/>
    <m/>
  </r>
  <r>
    <d v="2026-08-05T00:00:00"/>
    <s v="Pradeep"/>
    <s v="Hyderabad"/>
    <x v="380"/>
    <s v="F2F"/>
    <s v="Aggregator"/>
    <s v="Pinnacle"/>
    <s v="Pop Up Counter"/>
    <s v="New"/>
    <s v="F&amp;B Aggregator"/>
    <s v="Naushad"/>
    <m/>
    <s v="Popup Business Closed"/>
    <s v="Closed(C4)"/>
    <m/>
    <m/>
    <m/>
    <m/>
    <s v="Hot"/>
    <n v="250000"/>
    <n v="437000"/>
    <m/>
    <m/>
    <x v="5"/>
    <s v="Received at HO"/>
    <m/>
    <m/>
    <x v="5"/>
    <m/>
    <m/>
    <m/>
  </r>
  <r>
    <d v="2026-08-05T00:00:00"/>
    <s v="Sameer"/>
    <s v="Hyderabad"/>
    <x v="156"/>
    <s v="F2F"/>
    <s v="Aggregator"/>
    <s v="Compass"/>
    <s v="Bulk Order"/>
    <s v="New"/>
    <s v="F&amp;B Aggregator"/>
    <s v="Srinivas"/>
    <m/>
    <s v="Business Closed"/>
    <s v="Closed(C4)"/>
    <m/>
    <m/>
    <m/>
    <s v=""/>
    <s v="Hot"/>
    <n v="250000"/>
    <n v="261450"/>
    <d v="2026-08-05T00:00:00"/>
    <s v="CIFSPL070805"/>
    <x v="17"/>
    <s v="Received at HO"/>
    <m/>
    <m/>
    <x v="5"/>
    <m/>
    <s v=""/>
    <m/>
  </r>
  <r>
    <d v="2026-08-05T00:00:00"/>
    <s v="Bashab"/>
    <s v="Hyderabad"/>
    <x v="156"/>
    <s v="Call"/>
    <s v="Aggregator"/>
    <s v="Compass"/>
    <s v="Bulk Order"/>
    <s v="New"/>
    <s v="F&amp;B Aggregator"/>
    <s v="Srinivas"/>
    <m/>
    <s v="Business Closed"/>
    <s v="Closed(C4)"/>
    <m/>
    <m/>
    <m/>
    <s v=""/>
    <s v="Hot"/>
    <n v="250000"/>
    <n v="261450"/>
    <d v="2026-08-05T00:00:00"/>
    <s v="CIFSPL070805"/>
    <x v="17"/>
    <s v="Received at HO"/>
    <m/>
    <m/>
    <x v="5"/>
    <m/>
    <s v=""/>
    <m/>
  </r>
  <r>
    <d v="2026-08-05T00:00:00"/>
    <s v="Pradeep"/>
    <s v="Hyderabad"/>
    <x v="381"/>
    <s v="F2F"/>
    <s v="Corporate"/>
    <m/>
    <s v="Bulk Order"/>
    <s v="New"/>
    <s v="Healthcare"/>
    <s v="Soujanya"/>
    <m/>
    <s v="Proposed for Bulk Order and Biryani Kits for Gifting"/>
    <s v="Introduction( C0 )"/>
    <m/>
    <m/>
    <m/>
    <m/>
    <s v="Warm"/>
    <n v="60000"/>
    <m/>
    <m/>
    <m/>
    <x v="5"/>
    <m/>
    <m/>
    <m/>
    <x v="5"/>
    <m/>
    <m/>
    <m/>
  </r>
  <r>
    <d v="2026-08-05T00:00:00"/>
    <s v="Pradeep"/>
    <s v="Hyderabad"/>
    <x v="148"/>
    <s v="F2F"/>
    <s v="Corporate"/>
    <m/>
    <s v="Bulk Order"/>
    <s v="New"/>
    <s v="Government"/>
    <s v="Shahidar"/>
    <m/>
    <s v="Business Closed"/>
    <s v="Closed(C4)"/>
    <m/>
    <m/>
    <s v=""/>
    <s v=""/>
    <s v="Hot"/>
    <n v="15000"/>
    <n v="20399"/>
    <d v="2026-08-05T00:00:00"/>
    <s v="COKKPTBC00495169"/>
    <x v="17"/>
    <s v="Received at Store"/>
    <m/>
    <d v="2026-08-05T00:00:00"/>
    <x v="5"/>
    <m/>
    <s v=""/>
    <s v="Takeaway-Bulk-Insti"/>
  </r>
  <r>
    <d v="2026-08-05T00:00:00"/>
    <s v="Vishwanath"/>
    <s v="Bangalore"/>
    <x v="76"/>
    <s v="F2F"/>
    <s v="Bulk Order"/>
    <m/>
    <s v="Bulk Order"/>
    <s v="New"/>
    <m/>
    <s v="Naveen"/>
    <m/>
    <s v="Business Closed"/>
    <s v="Closed(C4)"/>
    <m/>
    <m/>
    <s v=""/>
    <s v=""/>
    <s v="Hot"/>
    <n v="5000"/>
    <n v="5480"/>
    <d v="2026-08-05T00:00:00"/>
    <m/>
    <x v="11"/>
    <s v="Received at Store"/>
    <m/>
    <m/>
    <x v="5"/>
    <m/>
    <s v=""/>
    <m/>
  </r>
  <r>
    <d v="2026-08-05T00:00:00"/>
    <s v="Pradeep"/>
    <s v="Hyderabad"/>
    <x v="382"/>
    <s v="F2F"/>
    <s v="Corporate"/>
    <m/>
    <s v="Bulk Order"/>
    <s v="New"/>
    <s v="Manufacturing"/>
    <s v="Sreeja"/>
    <m/>
    <s v="Proposed for Bulk Order and Biryani Kits for Gifting"/>
    <s v="Follow-up( C1 )"/>
    <m/>
    <m/>
    <m/>
    <m/>
    <s v="Warm"/>
    <n v="40000"/>
    <m/>
    <m/>
    <m/>
    <x v="5"/>
    <m/>
    <m/>
    <m/>
    <x v="5"/>
    <m/>
    <m/>
    <m/>
  </r>
  <r>
    <d v="2026-08-05T00:00:00"/>
    <s v="Vishwanath"/>
    <s v="Bangalore"/>
    <x v="91"/>
    <s v="F2F"/>
    <s v="Corporate"/>
    <m/>
    <s v="Bulk Order"/>
    <s v="New"/>
    <s v="It"/>
    <s v="Manohar P"/>
    <m/>
    <s v="Discussed on Bulk order Requirement"/>
    <s v="Introduction( C0 )"/>
    <d v="2026-09-04T00:00:00"/>
    <m/>
    <m/>
    <m/>
    <s v="Warm"/>
    <n v="10200"/>
    <m/>
    <m/>
    <m/>
    <x v="5"/>
    <m/>
    <m/>
    <m/>
    <x v="5"/>
    <m/>
    <s v=""/>
    <m/>
  </r>
  <r>
    <d v="2026-08-05T00:00:00"/>
    <s v="Bashab"/>
    <s v="Bangalore"/>
    <x v="18"/>
    <s v="F2F"/>
    <s v="Corporate"/>
    <m/>
    <s v="Popup Counter"/>
    <s v="Repeat"/>
    <s v="Retail"/>
    <s v="Vinod"/>
    <m/>
    <s v="Pop-up counter done"/>
    <s v="Closed(C4)"/>
    <m/>
    <m/>
    <m/>
    <s v=""/>
    <s v="Hot"/>
    <n v="10000"/>
    <n v="7148"/>
    <d v="2026-08-05T00:00:00"/>
    <m/>
    <x v="7"/>
    <s v="Received at HO"/>
    <m/>
    <m/>
    <x v="5"/>
    <m/>
    <s v=""/>
    <m/>
  </r>
  <r>
    <d v="2026-08-05T00:00:00"/>
    <s v="Vishwanath"/>
    <s v="Bangalore"/>
    <x v="225"/>
    <s v="Call"/>
    <s v="Aggregator"/>
    <s v="SmartQ"/>
    <s v="Pop Up Counter"/>
    <s v="Repeat"/>
    <s v="It"/>
    <s v="Naveen"/>
    <m/>
    <s v="Pop-up counter done"/>
    <s v="Closed(C4)"/>
    <m/>
    <m/>
    <m/>
    <s v=""/>
    <s v="Hot"/>
    <n v="15000"/>
    <n v="21783"/>
    <d v="2026-08-05T00:00:00"/>
    <m/>
    <x v="11"/>
    <s v="Received at HO"/>
    <m/>
    <m/>
    <x v="5"/>
    <m/>
    <s v=""/>
    <m/>
  </r>
  <r>
    <d v="2026-08-05T00:00:00"/>
    <s v="Vishwanath"/>
    <s v="Bangalore"/>
    <x v="16"/>
    <s v="Call"/>
    <s v="Corporate"/>
    <s v="Compass"/>
    <s v="Bulk Order"/>
    <s v="Repeat"/>
    <s v="Retail"/>
    <s v="Mohammed"/>
    <m/>
    <s v="Business Closed"/>
    <s v="Closed(C4)"/>
    <m/>
    <m/>
    <s v=""/>
    <s v=""/>
    <s v="Hot"/>
    <n v="25000"/>
    <n v="28187"/>
    <d v="2026-08-05T00:00:00"/>
    <s v="00HSA06000007694"/>
    <x v="3"/>
    <s v="Received at HO"/>
    <m/>
    <m/>
    <x v="5"/>
    <m/>
    <s v=""/>
    <m/>
  </r>
  <r>
    <d v="2026-08-05T00:00:00"/>
    <s v="Sameer"/>
    <s v="Bangalore"/>
    <x v="16"/>
    <s v="Call"/>
    <s v="Corporate"/>
    <s v="Compass"/>
    <s v="Bulk Order"/>
    <s v="Repeat"/>
    <s v="Retail"/>
    <s v="Mohammed"/>
    <m/>
    <s v="Business follow-up"/>
    <s v="Closed(C4)"/>
    <m/>
    <m/>
    <s v=""/>
    <s v=""/>
    <s v="Hot"/>
    <n v="25000"/>
    <n v="28187"/>
    <d v="2026-08-05T00:00:00"/>
    <s v="00HSA06000007694"/>
    <x v="3"/>
    <s v="Received at HO"/>
    <m/>
    <m/>
    <x v="5"/>
    <m/>
    <s v=""/>
    <m/>
  </r>
  <r>
    <d v="2026-08-06T00:00:00"/>
    <s v="Anushikha"/>
    <s v="Hyderabad"/>
    <x v="383"/>
    <s v="Call"/>
    <s v="Corporate"/>
    <m/>
    <s v="Bulk Order"/>
    <s v="New"/>
    <s v="Healthcare"/>
    <s v="Arijit"/>
    <m/>
    <s v="Executive meal for Doctors on 06-08-2026"/>
    <s v="Closed(C4)"/>
    <m/>
    <m/>
    <m/>
    <m/>
    <s v="Hot"/>
    <n v="12000"/>
    <n v="14000"/>
    <d v="2026-08-06T00:00:00"/>
    <s v="00HTA05000010030"/>
    <x v="22"/>
    <s v="Received at HO"/>
    <m/>
    <m/>
    <x v="5"/>
    <m/>
    <m/>
    <m/>
  </r>
  <r>
    <d v="2026-08-06T00:00:00"/>
    <s v="Pradeep"/>
    <s v="Hyderabad"/>
    <x v="384"/>
    <s v="F2F"/>
    <s v="Corporate"/>
    <m/>
    <s v="Bulk Order"/>
    <s v="New"/>
    <s v="It"/>
    <s v="Santosh"/>
    <m/>
    <s v="Business follow-up"/>
    <s v="Follow-up( C1 )"/>
    <m/>
    <m/>
    <m/>
    <m/>
    <s v="Cold"/>
    <n v="35000"/>
    <m/>
    <m/>
    <m/>
    <x v="5"/>
    <m/>
    <m/>
    <m/>
    <x v="5"/>
    <m/>
    <m/>
    <m/>
  </r>
  <r>
    <d v="2026-08-06T00:00:00"/>
    <s v="Pradeep"/>
    <s v="Hyderabad"/>
    <x v="385"/>
    <s v="F2F"/>
    <s v="Corporate"/>
    <m/>
    <s v="Bulk Order"/>
    <s v="New"/>
    <s v="Banking Finance &amp; Insurance"/>
    <s v="Nazia"/>
    <m/>
    <s v="Proposed for Bulk Order and Biryani Kits for Gifting"/>
    <s v="Introduction( C0 )"/>
    <m/>
    <m/>
    <m/>
    <m/>
    <s v="Cold"/>
    <n v="45000"/>
    <m/>
    <m/>
    <m/>
    <x v="5"/>
    <m/>
    <m/>
    <m/>
    <x v="5"/>
    <m/>
    <m/>
    <m/>
  </r>
  <r>
    <d v="2026-08-06T00:00:00"/>
    <s v="Pradeep"/>
    <s v="Hyderabad"/>
    <x v="368"/>
    <s v="F2F"/>
    <s v="Corporate"/>
    <m/>
    <s v="Bulk Order"/>
    <s v="New"/>
    <s v="Healthcare"/>
    <s v="Sriram"/>
    <m/>
    <s v="Proposed for Bulk Order and Biryani Kits for Gifting"/>
    <s v="Follow-up( C1 )"/>
    <m/>
    <m/>
    <m/>
    <m/>
    <s v="Cold"/>
    <n v="30000"/>
    <m/>
    <m/>
    <m/>
    <x v="5"/>
    <m/>
    <m/>
    <m/>
    <x v="5"/>
    <m/>
    <m/>
    <m/>
  </r>
  <r>
    <d v="2026-08-06T00:00:00"/>
    <s v="Vishwanath"/>
    <s v="Bangalore"/>
    <x v="386"/>
    <s v="F2F"/>
    <s v="Corporate"/>
    <m/>
    <s v="Bulk Order"/>
    <s v="New"/>
    <s v="It"/>
    <s v="Sai"/>
    <m/>
    <s v="Discussed on Bulk order Requirement"/>
    <s v="Introduction( C0 )"/>
    <d v="2026-09-07T00:00:00"/>
    <m/>
    <m/>
    <m/>
    <s v="Warm"/>
    <n v="11000"/>
    <m/>
    <m/>
    <m/>
    <x v="5"/>
    <m/>
    <m/>
    <m/>
    <x v="5"/>
    <m/>
    <s v=""/>
    <m/>
  </r>
  <r>
    <d v="2026-08-06T00:00:00"/>
    <s v="Vishwanath"/>
    <s v="Bangalore"/>
    <x v="386"/>
    <s v="F2F"/>
    <s v="Corporate"/>
    <m/>
    <s v="Bulk Order"/>
    <s v="New"/>
    <s v="It"/>
    <s v="Lohith Reddy"/>
    <m/>
    <s v="Discussed on Bulk order Requirement"/>
    <s v="Introduction( C0 )"/>
    <d v="2026-09-07T00:00:00"/>
    <m/>
    <m/>
    <m/>
    <s v="Warm"/>
    <n v="21000"/>
    <m/>
    <m/>
    <m/>
    <x v="5"/>
    <m/>
    <m/>
    <m/>
    <x v="5"/>
    <m/>
    <s v=""/>
    <m/>
  </r>
  <r>
    <d v="2026-08-06T00:00:00"/>
    <s v="Bashab"/>
    <s v="Bangalore"/>
    <x v="40"/>
    <s v="F2F"/>
    <s v="Corporate"/>
    <m/>
    <s v="Popup Counter"/>
    <s v="Repeat"/>
    <s v="Retail"/>
    <s v="Srinivas"/>
    <m/>
    <s v="Pop-up counter done"/>
    <s v="Closed(C4)"/>
    <m/>
    <m/>
    <m/>
    <s v=""/>
    <s v="Hot"/>
    <n v="15000"/>
    <n v="21282"/>
    <d v="2026-08-06T00:00:00"/>
    <m/>
    <x v="7"/>
    <s v="Received at HO"/>
    <m/>
    <m/>
    <x v="5"/>
    <m/>
    <s v=""/>
    <m/>
  </r>
  <r>
    <d v="2026-08-07T00:00:00"/>
    <s v="Pradeep"/>
    <s v="Hyderabad"/>
    <x v="387"/>
    <s v="F2F"/>
    <s v="Bulk Order"/>
    <m/>
    <s v="Bulk Order"/>
    <s v="New"/>
    <s v="Education"/>
    <s v="Suresh"/>
    <m/>
    <s v="Business Closed"/>
    <s v="Closed(C4)"/>
    <m/>
    <m/>
    <m/>
    <m/>
    <s v="Hot"/>
    <n v="20000"/>
    <n v="9760"/>
    <d v="2026-08-07T00:00:00"/>
    <s v="00UPTA1000059831"/>
    <x v="33"/>
    <s v="Received at Store"/>
    <m/>
    <d v="2026-08-07T00:00:00"/>
    <x v="5"/>
    <m/>
    <s v=""/>
    <s v="Takeaway-Bulk-Insti"/>
  </r>
  <r>
    <d v="2026-08-07T00:00:00"/>
    <s v="Pradeep"/>
    <s v="Hyderabad"/>
    <x v="388"/>
    <s v="F2F"/>
    <s v="Corporate"/>
    <m/>
    <s v="Bulk Order"/>
    <s v="New"/>
    <s v="It"/>
    <s v="Pavan"/>
    <m/>
    <s v="Business follow-up"/>
    <s v="Follow-up( C1 )"/>
    <m/>
    <m/>
    <m/>
    <m/>
    <s v="Cold"/>
    <n v="25000"/>
    <m/>
    <m/>
    <m/>
    <x v="5"/>
    <m/>
    <m/>
    <m/>
    <x v="5"/>
    <m/>
    <m/>
    <m/>
  </r>
  <r>
    <d v="2026-08-07T00:00:00"/>
    <s v="Pradeep"/>
    <s v="Hyderabad"/>
    <x v="389"/>
    <s v="F2F"/>
    <s v="Corporate"/>
    <m/>
    <s v="Bulk Order"/>
    <s v="New"/>
    <s v="It"/>
    <s v="Gaayathri"/>
    <m/>
    <s v="Business follow-up"/>
    <s v="Follow-up( C1 )"/>
    <m/>
    <m/>
    <m/>
    <m/>
    <s v="Warm"/>
    <n v="20000"/>
    <m/>
    <m/>
    <m/>
    <x v="5"/>
    <m/>
    <m/>
    <m/>
    <x v="5"/>
    <m/>
    <m/>
    <m/>
  </r>
  <r>
    <d v="2026-08-07T00:00:00"/>
    <s v="Pradeep"/>
    <s v="Hyderabad"/>
    <x v="148"/>
    <s v="F2F"/>
    <s v="Bulk Order"/>
    <m/>
    <s v="Bulk Order"/>
    <s v="New"/>
    <s v="Government"/>
    <s v="Shahidar"/>
    <m/>
    <s v="Business Closed"/>
    <s v="Closed(C4)"/>
    <m/>
    <m/>
    <m/>
    <m/>
    <s v="Hot"/>
    <n v="12000"/>
    <n v="14700"/>
    <d v="2026-08-07T00:00:00"/>
    <s v="C00KPTB000495438"/>
    <x v="17"/>
    <s v="Received at Store"/>
    <m/>
    <d v="2026-08-07T00:00:00"/>
    <x v="5"/>
    <m/>
    <s v=""/>
    <s v="Takeaway-Bulk-Insti"/>
  </r>
  <r>
    <d v="2026-08-07T00:00:00"/>
    <s v="Sameer"/>
    <s v="Hyderabad"/>
    <x v="390"/>
    <s v="F2F"/>
    <s v="Bulk Order"/>
    <m/>
    <s v="Pop Up Counter"/>
    <s v="New"/>
    <s v="Events"/>
    <s v="Venu "/>
    <m/>
    <s v="Business Closed"/>
    <s v="Closed(C4)"/>
    <m/>
    <m/>
    <m/>
    <m/>
    <s v="Hot"/>
    <n v="70000"/>
    <n v="103390"/>
    <d v="2026-08-07T00:00:00"/>
    <m/>
    <x v="17"/>
    <s v="Received at HO"/>
    <m/>
    <m/>
    <x v="5"/>
    <m/>
    <s v=""/>
    <m/>
  </r>
  <r>
    <d v="2026-08-07T00:00:00"/>
    <s v="Pradeep"/>
    <s v="Hyderabad"/>
    <x v="391"/>
    <s v="F2F"/>
    <s v="Bulk Order"/>
    <m/>
    <s v="Bulk Order"/>
    <s v="New"/>
    <s v="Sports"/>
    <s v="Suresh"/>
    <m/>
    <s v="Business Closed"/>
    <s v="Closed(C4)"/>
    <m/>
    <m/>
    <m/>
    <m/>
    <s v="Hot"/>
    <n v="10000"/>
    <n v="10120"/>
    <d v="2026-08-07T00:00:00"/>
    <s v="00GCBTA000295612"/>
    <x v="2"/>
    <s v="Received at Store"/>
    <m/>
    <d v="2026-08-07T00:00:00"/>
    <x v="5"/>
    <m/>
    <s v=""/>
    <s v="Takeaway-Bulk-Insti"/>
  </r>
  <r>
    <d v="2026-08-07T00:00:00"/>
    <s v="Vishwanath"/>
    <s v="Bangalore"/>
    <x v="392"/>
    <s v="F2F"/>
    <s v="Corporate"/>
    <m/>
    <s v="Bulk Order"/>
    <s v="New"/>
    <s v="Healthcare"/>
    <s v="Nagarajan K"/>
    <m/>
    <s v="Discussed on Bulk order Requirement"/>
    <s v="Introduction( C0 )"/>
    <d v="2026-09-08T00:00:00"/>
    <m/>
    <m/>
    <m/>
    <s v="Warm"/>
    <n v="6500"/>
    <m/>
    <m/>
    <m/>
    <x v="5"/>
    <m/>
    <m/>
    <m/>
    <x v="5"/>
    <m/>
    <s v=""/>
    <m/>
  </r>
  <r>
    <d v="2026-08-07T00:00:00"/>
    <s v="Bashab"/>
    <s v="Bangalore"/>
    <x v="393"/>
    <s v="Call"/>
    <s v="Aggregator"/>
    <s v="Pinnacle"/>
    <s v="Pop Up Counter"/>
    <s v="New"/>
    <s v="Events"/>
    <s v="Devendar"/>
    <m/>
    <s v="Business Confirmed"/>
    <s v="Confirmed( C3 )"/>
    <m/>
    <m/>
    <m/>
    <m/>
    <s v="Warm"/>
    <m/>
    <m/>
    <m/>
    <m/>
    <x v="5"/>
    <m/>
    <m/>
    <m/>
    <x v="5"/>
    <m/>
    <s v=""/>
    <m/>
  </r>
  <r>
    <d v="2026-08-07T00:00:00"/>
    <s v="Vishwanath"/>
    <s v="Bangalore"/>
    <x v="37"/>
    <s v="Call"/>
    <s v="Aggregator"/>
    <s v="SmartQ"/>
    <s v="Pop Up Counter"/>
    <s v="Repeat"/>
    <s v="It"/>
    <s v="Harish"/>
    <m/>
    <s v="Popup Confirmed"/>
    <s v="Closed(C4)"/>
    <m/>
    <m/>
    <m/>
    <s v=""/>
    <s v="Hot"/>
    <n v="15000"/>
    <n v="16220"/>
    <d v="2026-08-07T00:00:00"/>
    <m/>
    <x v="12"/>
    <s v="Received at HO"/>
    <m/>
    <m/>
    <x v="5"/>
    <m/>
    <m/>
    <m/>
  </r>
  <r>
    <d v="2026-08-07T00:00:00"/>
    <s v="Vishwanath"/>
    <s v="Bangalore"/>
    <x v="41"/>
    <s v="Call"/>
    <s v="Aggregator"/>
    <s v="SmartQ"/>
    <s v="Pop Up Counter"/>
    <s v="Repeat"/>
    <s v="It"/>
    <s v="Harish"/>
    <m/>
    <s v="Popup Confirmed"/>
    <s v="Closed(C4)"/>
    <m/>
    <m/>
    <m/>
    <s v=""/>
    <s v="Hot"/>
    <n v="15000"/>
    <n v="14785"/>
    <d v="2026-08-07T00:00:00"/>
    <m/>
    <x v="12"/>
    <s v="Received at HO"/>
    <m/>
    <m/>
    <x v="5"/>
    <m/>
    <s v=""/>
    <m/>
  </r>
  <r>
    <d v="2026-08-08T00:00:00"/>
    <s v="Pradeep"/>
    <s v="Hyderabad"/>
    <x v="61"/>
    <s v="Call"/>
    <s v="Bulk Order"/>
    <m/>
    <s v="Bulk Order"/>
    <s v="New"/>
    <s v="Family Group"/>
    <s v="Vivek"/>
    <m/>
    <s v="Business Closed"/>
    <s v="Closed(C4)"/>
    <m/>
    <m/>
    <m/>
    <m/>
    <s v="Hot"/>
    <n v="10000"/>
    <n v="5417"/>
    <d v="2026-08-08T00:00:00"/>
    <s v="00STA01000071562"/>
    <x v="14"/>
    <s v="Received at Store"/>
    <m/>
    <d v="2026-08-08T00:00:00"/>
    <x v="5"/>
    <m/>
    <s v=""/>
    <s v="Takeaway-Bulk-Insti"/>
  </r>
  <r>
    <d v="2026-08-08T00:00:00"/>
    <s v="Sameer"/>
    <s v="Hyderabad"/>
    <x v="394"/>
    <s v="F2F"/>
    <s v="Bulk Order"/>
    <m/>
    <s v="Bulk Order"/>
    <s v="New"/>
    <s v="Events"/>
    <s v="IMEEPL"/>
    <m/>
    <s v="Delivery of CB"/>
    <s v="Closed(C4)"/>
    <m/>
    <m/>
    <m/>
    <m/>
    <s v="Hot"/>
    <n v="25000"/>
    <n v="31512"/>
    <d v="2026-08-08T00:00:00"/>
    <s v="00PNTA1000068444"/>
    <x v="34"/>
    <s v="Received at Store"/>
    <m/>
    <d v="2026-08-08T00:00:00"/>
    <x v="5"/>
    <m/>
    <m/>
    <m/>
  </r>
  <r>
    <d v="2026-08-08T00:00:00"/>
    <s v="Pradeep"/>
    <s v="Hyderabad"/>
    <x v="390"/>
    <s v="F2F"/>
    <s v="Bulk Order"/>
    <m/>
    <s v="Pop Up Counter"/>
    <s v="New"/>
    <s v="Events"/>
    <s v="Venu "/>
    <m/>
    <s v="Business Closed"/>
    <s v="Closed(C4)"/>
    <m/>
    <m/>
    <m/>
    <m/>
    <s v="Hot"/>
    <n v="80000"/>
    <n v="105130"/>
    <d v="2026-08-08T00:00:00"/>
    <m/>
    <x v="17"/>
    <s v="Received at HO"/>
    <m/>
    <m/>
    <x v="5"/>
    <m/>
    <s v=""/>
    <m/>
  </r>
  <r>
    <d v="2026-08-09T00:00:00"/>
    <s v="Sameer"/>
    <s v="Hyderabad"/>
    <x v="390"/>
    <s v="F2F"/>
    <s v="Bulk Order"/>
    <m/>
    <s v="Pop Up Counter"/>
    <s v="New"/>
    <s v="Events"/>
    <s v="Venu "/>
    <m/>
    <s v="Business Closed"/>
    <s v="Closed(C4)"/>
    <m/>
    <m/>
    <m/>
    <m/>
    <s v="Hot"/>
    <n v="70000"/>
    <n v="131760"/>
    <d v="2026-08-10T00:00:00"/>
    <m/>
    <x v="17"/>
    <s v="Received at HO"/>
    <m/>
    <m/>
    <x v="5"/>
    <m/>
    <s v=""/>
    <m/>
  </r>
  <r>
    <d v="2026-08-10T00:00:00"/>
    <s v="Pradeep"/>
    <s v="Hyderabad"/>
    <x v="395"/>
    <s v="F2F"/>
    <s v="Corporate"/>
    <m/>
    <s v="Bulk Order"/>
    <s v="New"/>
    <s v="It"/>
    <s v="Sharanya"/>
    <m/>
    <s v="Proposed for Bulk Order and Biryani Kits for Gifting"/>
    <s v="Follow-up( C1 )"/>
    <m/>
    <m/>
    <m/>
    <m/>
    <s v="Warm"/>
    <n v="40000"/>
    <m/>
    <m/>
    <m/>
    <x v="5"/>
    <m/>
    <m/>
    <m/>
    <x v="5"/>
    <m/>
    <s v=""/>
    <m/>
  </r>
  <r>
    <d v="2026-08-10T00:00:00"/>
    <s v="Pradeep"/>
    <s v="Hyderabad"/>
    <x v="390"/>
    <s v="F2F"/>
    <s v="Bulk Order"/>
    <m/>
    <s v="Pop Up Counter"/>
    <s v="New"/>
    <s v="Events"/>
    <s v="Venu "/>
    <m/>
    <s v="Business Closed"/>
    <s v="Closed(C4)"/>
    <m/>
    <m/>
    <m/>
    <m/>
    <s v="Hot"/>
    <n v="30000"/>
    <n v="35820"/>
    <d v="2026-08-08T00:00:00"/>
    <m/>
    <x v="17"/>
    <s v="Received at HO"/>
    <m/>
    <d v="2026-08-08T00:00:00"/>
    <x v="5"/>
    <m/>
    <s v=""/>
    <m/>
  </r>
  <r>
    <d v="2026-08-10T00:00:00"/>
    <s v="Pradeep"/>
    <s v="Hyderabad"/>
    <x v="396"/>
    <s v="F2F"/>
    <s v="Corporate"/>
    <m/>
    <s v="Bulk Order"/>
    <s v="New"/>
    <s v="Manufacturing"/>
    <s v="Satish"/>
    <m/>
    <s v="Business follow-up"/>
    <s v="Follow-up( C1 )"/>
    <m/>
    <m/>
    <m/>
    <m/>
    <s v="Cold"/>
    <n v="25000"/>
    <m/>
    <m/>
    <m/>
    <x v="5"/>
    <m/>
    <m/>
    <m/>
    <x v="5"/>
    <m/>
    <s v=""/>
    <m/>
  </r>
  <r>
    <d v="2026-08-10T00:00:00"/>
    <s v="Pradeep"/>
    <s v="Hyderabad"/>
    <x v="397"/>
    <s v="F2F"/>
    <s v="Corporate"/>
    <m/>
    <s v="Bulk Order"/>
    <s v="New"/>
    <s v="It"/>
    <s v="Stallin"/>
    <m/>
    <s v="Business follow-up"/>
    <s v="Negotitaion( C2 )"/>
    <m/>
    <m/>
    <m/>
    <m/>
    <s v="Warm"/>
    <n v="35000"/>
    <m/>
    <m/>
    <m/>
    <x v="5"/>
    <m/>
    <m/>
    <m/>
    <x v="5"/>
    <m/>
    <s v=""/>
    <m/>
  </r>
  <r>
    <d v="2026-08-10T00:00:00"/>
    <s v="Anushikha"/>
    <s v="Hyderabad"/>
    <x v="148"/>
    <s v="F2F"/>
    <s v="Corporate"/>
    <m/>
    <s v="Bulk Order"/>
    <s v="New"/>
    <s v="It"/>
    <s v="Stallin"/>
    <m/>
    <s v="Business follow-up"/>
    <s v="Closed(C4)"/>
    <m/>
    <m/>
    <m/>
    <m/>
    <s v="Hot"/>
    <n v="8000"/>
    <n v="8520"/>
    <d v="2026-08-10T00:00:00"/>
    <s v="00KKPTB000495912"/>
    <x v="17"/>
    <s v="Received at Store"/>
    <m/>
    <d v="2026-08-10T00:00:00"/>
    <x v="5"/>
    <m/>
    <s v=""/>
    <s v="Takeaway-Bulk-Insti"/>
  </r>
  <r>
    <d v="2026-08-10T00:00:00"/>
    <s v="Vishwanath"/>
    <s v="Bangalore"/>
    <x v="398"/>
    <s v="F2F"/>
    <s v="Corporate"/>
    <m/>
    <s v="Bulk Order"/>
    <s v="New"/>
    <s v="It"/>
    <s v="Ajay"/>
    <m/>
    <s v="Discussed on Bulk order Requirement"/>
    <s v="Introduction( C0 )"/>
    <d v="2026-09-10T00:00:00"/>
    <m/>
    <m/>
    <m/>
    <s v="Warm"/>
    <n v="9000"/>
    <m/>
    <m/>
    <m/>
    <x v="5"/>
    <m/>
    <m/>
    <m/>
    <x v="5"/>
    <m/>
    <s v=""/>
    <m/>
  </r>
  <r>
    <d v="2026-08-11T00:00:00"/>
    <s v="Pradeep"/>
    <s v="Hyderabad"/>
    <x v="399"/>
    <s v="F2F"/>
    <s v="Corporate"/>
    <m/>
    <s v="Bulk Order"/>
    <s v="New"/>
    <s v="Manufacturing"/>
    <s v="Raju"/>
    <m/>
    <s v="Bulk order Requirement"/>
    <s v="Negotitaion( C2 )"/>
    <m/>
    <m/>
    <m/>
    <m/>
    <s v="Warm"/>
    <n v="30000"/>
    <m/>
    <m/>
    <m/>
    <x v="5"/>
    <m/>
    <m/>
    <m/>
    <x v="5"/>
    <m/>
    <m/>
    <m/>
  </r>
  <r>
    <d v="2026-08-11T00:00:00"/>
    <s v="Pradeep"/>
    <s v="Hyderabad"/>
    <x v="400"/>
    <s v="F2F"/>
    <s v="Corporate"/>
    <m/>
    <s v="Bulk Order"/>
    <s v="New"/>
    <s v="Healthcare"/>
    <s v="Ravinder"/>
    <m/>
    <s v="Bulk order Requirement"/>
    <s v="Negotitaion( C2 )"/>
    <m/>
    <m/>
    <m/>
    <m/>
    <s v="Warm"/>
    <n v="25000"/>
    <m/>
    <m/>
    <m/>
    <x v="5"/>
    <m/>
    <m/>
    <m/>
    <x v="5"/>
    <m/>
    <m/>
    <m/>
  </r>
  <r>
    <d v="2026-08-11T00:00:00"/>
    <s v="Pradeep"/>
    <s v="Hyderabad"/>
    <x v="61"/>
    <s v="Call"/>
    <s v="Bulk Order"/>
    <m/>
    <s v="Bulk Order"/>
    <s v="New"/>
    <s v="Family Group"/>
    <s v="Hemanth Kumar"/>
    <m/>
    <s v="Business Closed"/>
    <s v="Closed(C4)"/>
    <d v="2026-08-11T00:00:00"/>
    <m/>
    <m/>
    <m/>
    <s v="Hot"/>
    <n v="5000"/>
    <n v="4099"/>
    <d v="2026-08-11T00:00:00"/>
    <s v="COKKPTBC00496098"/>
    <x v="17"/>
    <s v="Received at Store"/>
    <m/>
    <d v="2026-08-11T00:00:00"/>
    <x v="5"/>
    <m/>
    <m/>
    <s v="Takeaway-Bulk-Insti"/>
  </r>
  <r>
    <d v="2026-08-11T00:00:00"/>
    <s v="Bashab"/>
    <s v="Bangalore"/>
    <x v="15"/>
    <s v="F2F"/>
    <s v="Corporate"/>
    <m/>
    <s v="Popup Counter"/>
    <s v="Repeat"/>
    <s v="Retail"/>
    <s v="James"/>
    <m/>
    <s v="Pop-up counter done"/>
    <s v="Closed(C4)"/>
    <m/>
    <m/>
    <m/>
    <s v=""/>
    <s v="Hot"/>
    <n v="10000"/>
    <n v="7252"/>
    <d v="2026-08-11T00:00:00"/>
    <m/>
    <x v="7"/>
    <s v="Received at HO"/>
    <m/>
    <m/>
    <x v="5"/>
    <m/>
    <s v=""/>
    <m/>
  </r>
  <r>
    <d v="2026-08-11T00:00:00"/>
    <s v="Pradeep"/>
    <s v="Hyderabad"/>
    <x v="401"/>
    <s v="Call"/>
    <s v="ODC"/>
    <m/>
    <s v="Pop Up Counter"/>
    <s v="New"/>
    <s v="Events"/>
    <s v="Patil"/>
    <m/>
    <s v="Pop-up counter working on P &amp; L"/>
    <s v="Follow-up( C1 )"/>
    <d v="2026-09-01T00:00:00"/>
    <s v="Call"/>
    <m/>
    <m/>
    <s v="Warm"/>
    <n v="200000"/>
    <m/>
    <m/>
    <m/>
    <x v="5"/>
    <m/>
    <m/>
    <m/>
    <x v="5"/>
    <m/>
    <m/>
    <m/>
  </r>
  <r>
    <d v="2026-08-11T00:00:00"/>
    <s v="Vishwanath"/>
    <s v="Bangalore"/>
    <x v="292"/>
    <s v="Call"/>
    <s v="Aggregator"/>
    <s v="SmartQ"/>
    <s v="Pop Up Counter"/>
    <s v="New"/>
    <s v="It"/>
    <s v="Harish"/>
    <m/>
    <s v="Popup Confirmed"/>
    <s v="Closed(C4)"/>
    <m/>
    <m/>
    <m/>
    <s v=""/>
    <s v="Hot"/>
    <n v="10000"/>
    <n v="9907"/>
    <d v="2026-08-11T00:00:00"/>
    <m/>
    <x v="21"/>
    <s v="Received at HO"/>
    <m/>
    <m/>
    <x v="5"/>
    <m/>
    <s v=""/>
    <m/>
  </r>
  <r>
    <d v="2026-08-12T00:00:00"/>
    <s v="Pradeep"/>
    <s v="Hyderabad"/>
    <x v="402"/>
    <s v="F2F"/>
    <s v="Corporate"/>
    <m/>
    <s v="Bulk Order"/>
    <s v="New"/>
    <s v="Healthcare"/>
    <s v="Kiran"/>
    <m/>
    <s v="Proposed for Bulk Order and Biryani Kits for Gifting"/>
    <s v="Introduction( C0 )"/>
    <m/>
    <m/>
    <m/>
    <m/>
    <s v="Cold"/>
    <n v="15000"/>
    <m/>
    <m/>
    <m/>
    <x v="5"/>
    <m/>
    <m/>
    <m/>
    <x v="5"/>
    <m/>
    <s v=""/>
    <m/>
  </r>
  <r>
    <d v="2026-08-12T00:00:00"/>
    <s v="Pradeep"/>
    <s v="Hyderabad"/>
    <x v="403"/>
    <s v="F2F"/>
    <s v="Corporate"/>
    <m/>
    <s v="Bulk Order"/>
    <s v="New"/>
    <s v="It"/>
    <s v="Kumara"/>
    <m/>
    <s v="Business follow-up"/>
    <s v="Follow-up( C1 )"/>
    <m/>
    <m/>
    <m/>
    <m/>
    <s v="Warm"/>
    <n v="25000"/>
    <m/>
    <m/>
    <m/>
    <x v="5"/>
    <m/>
    <m/>
    <m/>
    <x v="5"/>
    <m/>
    <s v=""/>
    <m/>
  </r>
  <r>
    <d v="2026-08-12T00:00:00"/>
    <s v="Pradeep"/>
    <s v="Hyderabad"/>
    <x v="233"/>
    <s v="F2F"/>
    <s v="Corporate"/>
    <m/>
    <s v="Pop Up Counter"/>
    <s v="New"/>
    <s v="It"/>
    <s v="Sruthi"/>
    <m/>
    <s v="Discussed on Bulk order Requirement"/>
    <s v="Negotitaion( C2 )"/>
    <m/>
    <m/>
    <m/>
    <m/>
    <s v="Warm"/>
    <n v="30000"/>
    <m/>
    <m/>
    <m/>
    <x v="5"/>
    <m/>
    <m/>
    <m/>
    <x v="5"/>
    <m/>
    <s v=""/>
    <m/>
  </r>
  <r>
    <d v="2026-08-12T00:00:00"/>
    <s v="Sameer"/>
    <s v="Hyderabad"/>
    <x v="156"/>
    <s v="F2F"/>
    <s v="Aggregator"/>
    <s v="Compass"/>
    <s v="Bulk Order"/>
    <s v="New"/>
    <s v="F&amp;B Aggregator"/>
    <s v="Srinivas"/>
    <m/>
    <s v="Business Closed"/>
    <s v="Closed(C4)"/>
    <m/>
    <m/>
    <m/>
    <s v=""/>
    <s v="Hot"/>
    <n v="250000"/>
    <n v="312900"/>
    <d v="2026-08-12T00:00:00"/>
    <s v="CIFSPL070812"/>
    <x v="17"/>
    <s v="Received at HO"/>
    <m/>
    <m/>
    <x v="5"/>
    <m/>
    <s v=""/>
    <m/>
  </r>
  <r>
    <d v="2026-08-12T00:00:00"/>
    <s v="Bashab"/>
    <s v="Hyderabad"/>
    <x v="156"/>
    <s v="Call"/>
    <s v="Aggregator"/>
    <s v="Compass"/>
    <s v="Bulk Order"/>
    <s v="New"/>
    <s v="F&amp;B Aggregator"/>
    <s v="Srinivas"/>
    <m/>
    <s v="Business Closed"/>
    <s v="Closed(C4)"/>
    <m/>
    <m/>
    <m/>
    <s v=""/>
    <s v="Hot"/>
    <n v="250000"/>
    <n v="312900"/>
    <d v="2026-08-12T00:00:00"/>
    <s v="CIFSPL070812"/>
    <x v="17"/>
    <s v="Received at HO"/>
    <m/>
    <m/>
    <x v="5"/>
    <m/>
    <s v=""/>
    <m/>
  </r>
  <r>
    <d v="2026-08-12T00:00:00"/>
    <s v="Sameer"/>
    <s v="Hyderabad"/>
    <x v="404"/>
    <s v="F2F"/>
    <s v="Corporate"/>
    <m/>
    <s v="Pop Up Counter"/>
    <s v="New"/>
    <s v="It"/>
    <s v="Pranay"/>
    <m/>
    <s v="Confirmed for popup on 18,19,20 August"/>
    <s v="Confirmed( C3 )"/>
    <m/>
    <m/>
    <m/>
    <m/>
    <s v="Hot"/>
    <n v="0"/>
    <m/>
    <m/>
    <m/>
    <x v="5"/>
    <m/>
    <m/>
    <m/>
    <x v="5"/>
    <m/>
    <s v=""/>
    <m/>
  </r>
  <r>
    <d v="2026-08-12T00:00:00"/>
    <s v="Bashab"/>
    <s v="Bangalore"/>
    <x v="40"/>
    <s v="F2F"/>
    <s v="Corporate"/>
    <m/>
    <s v="Popup Counter"/>
    <s v="Repeat"/>
    <s v="Retail"/>
    <s v="Srinivas"/>
    <m/>
    <s v="Pop-up counter done"/>
    <s v="Closed(C4)"/>
    <m/>
    <m/>
    <m/>
    <s v=""/>
    <s v="Hot"/>
    <n v="15000"/>
    <n v="18432"/>
    <d v="2026-08-12T00:00:00"/>
    <m/>
    <x v="7"/>
    <s v="Received at HO"/>
    <m/>
    <m/>
    <x v="5"/>
    <m/>
    <s v=""/>
    <m/>
  </r>
  <r>
    <d v="2026-08-12T00:00:00"/>
    <s v="Vishwanath"/>
    <s v="Bangalore"/>
    <x v="16"/>
    <s v="Call"/>
    <s v="Corporate"/>
    <s v="Compass"/>
    <s v="Bulk Order"/>
    <s v="Repeat"/>
    <s v="Retail"/>
    <s v="Mohammed"/>
    <m/>
    <s v="Business Closed"/>
    <s v="Closed(C4)"/>
    <m/>
    <m/>
    <s v=""/>
    <s v=""/>
    <s v="Hot"/>
    <n v="25000"/>
    <n v="28875"/>
    <d v="2026-08-12T00:00:00"/>
    <s v="00HSA06000007785"/>
    <x v="3"/>
    <s v="Received at HO"/>
    <m/>
    <m/>
    <x v="5"/>
    <m/>
    <s v=""/>
    <m/>
  </r>
  <r>
    <d v="2026-08-12T00:00:00"/>
    <s v="Sameer"/>
    <s v="Bangalore"/>
    <x v="16"/>
    <s v="Call"/>
    <s v="Corporate"/>
    <s v="Compass"/>
    <s v="Bulk Order"/>
    <s v="Repeat"/>
    <s v="Retail"/>
    <s v="Mohammed"/>
    <m/>
    <s v="Business follow-up"/>
    <s v="Closed(C4)"/>
    <m/>
    <m/>
    <s v=""/>
    <s v=""/>
    <s v="Hot"/>
    <n v="25000"/>
    <n v="28874"/>
    <d v="2026-08-12T00:00:00"/>
    <s v="00HSA06000007785"/>
    <x v="3"/>
    <s v="Received at HO"/>
    <m/>
    <m/>
    <x v="5"/>
    <m/>
    <s v=""/>
    <m/>
  </r>
  <r>
    <d v="2026-08-13T00:00:00"/>
    <s v="Pradeep"/>
    <s v="Hyderabad"/>
    <x v="405"/>
    <s v="F2F"/>
    <s v="Corporate"/>
    <m/>
    <s v="Bulk Order"/>
    <s v="New"/>
    <s v="It"/>
    <s v="Kiran Kumar"/>
    <m/>
    <s v="Proposed for Bulk Order and Biryani Kits for Gifting"/>
    <s v="Follow-up( C1 )"/>
    <d v="2026-09-07T00:00:00"/>
    <s v="Call"/>
    <m/>
    <m/>
    <s v="Cold"/>
    <n v="40000"/>
    <m/>
    <m/>
    <m/>
    <x v="5"/>
    <m/>
    <m/>
    <m/>
    <x v="5"/>
    <m/>
    <m/>
    <m/>
  </r>
  <r>
    <d v="2026-08-13T00:00:00"/>
    <s v="Pradeep"/>
    <s v="Hyderabad"/>
    <x v="406"/>
    <s v="F2F"/>
    <s v="Corporate"/>
    <m/>
    <s v="Bulk Order"/>
    <s v="New"/>
    <s v="It"/>
    <s v="Shiva"/>
    <m/>
    <s v="Discussed on Bulk order Requirement"/>
    <s v="Introduction( C0 )"/>
    <d v="2026-08-31T00:00:00"/>
    <s v="Call"/>
    <m/>
    <m/>
    <s v="Cold"/>
    <n v="20000"/>
    <m/>
    <m/>
    <m/>
    <x v="5"/>
    <m/>
    <m/>
    <m/>
    <x v="5"/>
    <m/>
    <m/>
    <m/>
  </r>
  <r>
    <d v="2026-08-13T00:00:00"/>
    <s v="Pradeep"/>
    <s v="Hyderabad"/>
    <x v="407"/>
    <s v="F2F"/>
    <s v="Corporate"/>
    <m/>
    <s v="Bulk Order"/>
    <s v="New"/>
    <s v="It"/>
    <s v="shalini"/>
    <m/>
    <s v="Discussed on Bulk order Requirement"/>
    <s v="Negotitaion( C2 )"/>
    <m/>
    <m/>
    <m/>
    <m/>
    <s v="Warm"/>
    <n v="35000"/>
    <m/>
    <m/>
    <m/>
    <x v="5"/>
    <m/>
    <m/>
    <m/>
    <x v="5"/>
    <m/>
    <m/>
    <m/>
  </r>
  <r>
    <d v="2026-08-14T00:00:00"/>
    <s v="Anushikha"/>
    <s v="Hyderabad"/>
    <x v="408"/>
    <s v="Call"/>
    <s v="Corporate"/>
    <m/>
    <s v="Bulk Order"/>
    <s v="New"/>
    <s v="Healthcare"/>
    <s v="Sridhar"/>
    <m/>
    <s v="Delicerd CB on 14 August from secundrabad"/>
    <s v="Closed(C4)"/>
    <m/>
    <m/>
    <m/>
    <m/>
    <s v="Hot"/>
    <n v="8000"/>
    <n v="8100"/>
    <d v="2026-08-14T00:00:00"/>
    <s v="00STA1000072794"/>
    <x v="14"/>
    <s v="Received at Store"/>
    <m/>
    <d v="2026-08-14T00:00:00"/>
    <x v="5"/>
    <m/>
    <s v=""/>
    <s v="Takeaway-Bulk-Insti"/>
  </r>
  <r>
    <d v="2026-08-14T00:00:00"/>
    <s v="Pradeep"/>
    <s v="Hyderabad"/>
    <x v="99"/>
    <s v="F2F"/>
    <s v="Corporate"/>
    <m/>
    <s v="Bulk Order"/>
    <s v="New"/>
    <s v="It"/>
    <s v="Shahi"/>
    <m/>
    <s v="Proposed for Bulk Order and Biryani Kits for Gifting"/>
    <s v="Introduction( C0 )"/>
    <d v="2026-09-01T00:00:00"/>
    <s v="Call"/>
    <m/>
    <m/>
    <s v="Cold"/>
    <n v="25000"/>
    <m/>
    <m/>
    <m/>
    <x v="5"/>
    <m/>
    <m/>
    <m/>
    <x v="5"/>
    <m/>
    <s v=""/>
    <m/>
  </r>
  <r>
    <d v="2026-08-14T00:00:00"/>
    <s v="Pradeep"/>
    <s v="Hyderabad"/>
    <x v="255"/>
    <s v="F2F"/>
    <s v="Corporate"/>
    <m/>
    <s v="Bulk Order"/>
    <s v="New"/>
    <s v="It"/>
    <s v="Mamatha"/>
    <m/>
    <s v="Discussed on Bulk order Requirement"/>
    <s v="Negotitaion( C2 )"/>
    <d v="2026-08-25T00:00:00"/>
    <s v="Call"/>
    <m/>
    <m/>
    <s v="Hot"/>
    <n v="40000"/>
    <m/>
    <m/>
    <m/>
    <x v="5"/>
    <m/>
    <m/>
    <m/>
    <x v="5"/>
    <m/>
    <s v=""/>
    <m/>
  </r>
  <r>
    <d v="2026-08-14T00:00:00"/>
    <s v="Pradeep"/>
    <s v="Hyderabad"/>
    <x v="61"/>
    <s v="Call"/>
    <s v="Bulk Order"/>
    <m/>
    <s v="Bulk Order"/>
    <s v="New"/>
    <s v="Family Group"/>
    <s v="Krishna"/>
    <m/>
    <s v="Bulk order Cancelled coz of pricing "/>
    <s v="Cancelled"/>
    <m/>
    <m/>
    <m/>
    <m/>
    <s v="Cold"/>
    <n v="20000"/>
    <m/>
    <m/>
    <m/>
    <x v="5"/>
    <m/>
    <m/>
    <m/>
    <x v="5"/>
    <m/>
    <s v=""/>
    <m/>
  </r>
  <r>
    <d v="2026-08-14T00:00:00"/>
    <s v="Pradeep"/>
    <s v="Hyderabad"/>
    <x v="255"/>
    <s v="Call"/>
    <s v="Bulk Order"/>
    <m/>
    <s v="Bulk Order"/>
    <s v="New"/>
    <s v="It"/>
    <s v="Naresh"/>
    <m/>
    <s v="Bulk order Cancelled coz of pricing "/>
    <s v="Cancelled"/>
    <m/>
    <m/>
    <m/>
    <m/>
    <s v="Cold"/>
    <n v="35000"/>
    <m/>
    <m/>
    <m/>
    <x v="5"/>
    <m/>
    <m/>
    <m/>
    <x v="5"/>
    <m/>
    <s v=""/>
    <m/>
  </r>
  <r>
    <d v="2026-08-14T00:00:00"/>
    <s v="Vishwanath"/>
    <s v="Chennai"/>
    <x v="409"/>
    <s v="Call"/>
    <s v="Aggregator"/>
    <m/>
    <s v="Pop Up Counter"/>
    <s v="New"/>
    <s v="Events"/>
    <s v="Keshavan"/>
    <m/>
    <s v="Proposal sent for Popup counters  following business"/>
    <s v="Follow-up( C1 )"/>
    <d v="2026-09-28T00:00:00"/>
    <s v="Call"/>
    <m/>
    <m/>
    <s v="Warm"/>
    <m/>
    <m/>
    <m/>
    <m/>
    <x v="5"/>
    <m/>
    <m/>
    <m/>
    <x v="5"/>
    <m/>
    <s v=""/>
    <m/>
  </r>
  <r>
    <d v="2026-08-17T00:00:00"/>
    <s v="Pradeep"/>
    <s v="Hyderabad"/>
    <x v="402"/>
    <s v="F2F"/>
    <s v="Corporate"/>
    <m/>
    <s v="Bulk Order"/>
    <s v="New"/>
    <s v="Healthcare"/>
    <s v="Sameera"/>
    <m/>
    <s v="Proposed for Bulk Order and Biryani Kits for Gifting"/>
    <s v="Follow-up( C1 )"/>
    <d v="2026-08-24T00:00:00"/>
    <s v="Call"/>
    <m/>
    <m/>
    <s v="Warm"/>
    <n v="20000"/>
    <m/>
    <m/>
    <m/>
    <x v="5"/>
    <m/>
    <m/>
    <m/>
    <x v="5"/>
    <m/>
    <m/>
    <m/>
  </r>
  <r>
    <d v="2026-08-17T00:00:00"/>
    <s v="Pradeep"/>
    <s v="Hyderabad"/>
    <x v="410"/>
    <s v="F2F"/>
    <s v="Corporate"/>
    <m/>
    <s v="Bulk Order"/>
    <s v="New"/>
    <s v="It"/>
    <s v="Zubair"/>
    <m/>
    <s v="Discussed on Bulk order Requirement"/>
    <s v="Negotitaion( C2 )"/>
    <d v="2026-09-01T00:00:00"/>
    <s v="Call"/>
    <m/>
    <m/>
    <s v="Warm"/>
    <n v="40000"/>
    <m/>
    <m/>
    <m/>
    <x v="5"/>
    <m/>
    <m/>
    <m/>
    <x v="5"/>
    <m/>
    <m/>
    <m/>
  </r>
  <r>
    <d v="2026-08-17T00:00:00"/>
    <s v="Pradeep"/>
    <s v="Hyderabad"/>
    <x v="411"/>
    <s v="F2F"/>
    <s v="Corporate"/>
    <m/>
    <s v="Bulk Order"/>
    <s v="New"/>
    <s v="It"/>
    <s v="Soujanya"/>
    <m/>
    <s v="Proposed for Bulk Order and Biryani Kits for Gifting"/>
    <s v="Introduction( C0 )"/>
    <d v="2026-08-28T00:00:00"/>
    <s v="Call"/>
    <m/>
    <m/>
    <s v="Warm"/>
    <n v="15000"/>
    <m/>
    <m/>
    <m/>
    <x v="5"/>
    <m/>
    <m/>
    <m/>
    <x v="5"/>
    <m/>
    <m/>
    <m/>
  </r>
  <r>
    <d v="2026-08-17T00:00:00"/>
    <s v="Vishwanath"/>
    <s v="Bangalore"/>
    <x v="412"/>
    <s v="F2F"/>
    <s v="Corporate"/>
    <m/>
    <s v="Bulk Order"/>
    <s v="New"/>
    <s v="It"/>
    <s v="Sumaiya Saleem"/>
    <m/>
    <s v="Discussed on Bulk order requirement"/>
    <s v="Introduction( C0 )"/>
    <d v="2026-09-07T00:00:00"/>
    <s v="F2F"/>
    <m/>
    <m/>
    <s v="Warm"/>
    <n v="6500"/>
    <m/>
    <m/>
    <m/>
    <x v="5"/>
    <m/>
    <m/>
    <m/>
    <x v="5"/>
    <m/>
    <s v=""/>
    <m/>
  </r>
  <r>
    <d v="2026-08-18T00:00:00"/>
    <s v="Sameer"/>
    <s v="Hyderabad"/>
    <x v="404"/>
    <s v="Call"/>
    <s v="Bulk Order"/>
    <m/>
    <s v="Bulk Order"/>
    <s v="New"/>
    <s v="It"/>
    <s v="Basudev"/>
    <m/>
    <s v="Delivery of Biryani"/>
    <s v="Negotitaion( C2 )"/>
    <d v="2026-08-20T00:00:00"/>
    <s v="Call"/>
    <m/>
    <m/>
    <s v="Hot"/>
    <n v="50000"/>
    <m/>
    <m/>
    <m/>
    <x v="5"/>
    <m/>
    <m/>
    <m/>
    <x v="5"/>
    <m/>
    <m/>
    <m/>
  </r>
  <r>
    <d v="2026-08-18T00:00:00"/>
    <s v="Pradeep"/>
    <s v="Hyderabad"/>
    <x v="29"/>
    <s v="F2F"/>
    <s v="Corporate"/>
    <m/>
    <s v="Bulk Order"/>
    <s v="New"/>
    <s v="It"/>
    <s v="Monika"/>
    <m/>
    <s v="Proposed for Bulk Order and Biryani Kits for Gifting"/>
    <s v="Introduction( C0 )"/>
    <d v="2026-09-01T00:00:00"/>
    <s v="F2F"/>
    <m/>
    <m/>
    <s v="Warm"/>
    <n v="25000"/>
    <m/>
    <m/>
    <m/>
    <x v="5"/>
    <m/>
    <m/>
    <m/>
    <x v="5"/>
    <m/>
    <m/>
    <m/>
  </r>
  <r>
    <d v="2026-08-18T00:00:00"/>
    <s v="Pradeep"/>
    <s v="Hyderabad"/>
    <x v="413"/>
    <s v="F2F"/>
    <s v="Corporate"/>
    <m/>
    <s v="Bulk Order"/>
    <s v="New"/>
    <s v="It"/>
    <s v="Pooja"/>
    <m/>
    <s v="Discussed on Bulk order Requirement"/>
    <s v="Negotitaion( C2 )"/>
    <m/>
    <s v="Call"/>
    <m/>
    <m/>
    <s v="Warm"/>
    <n v="20000"/>
    <m/>
    <m/>
    <m/>
    <x v="5"/>
    <m/>
    <m/>
    <m/>
    <x v="5"/>
    <m/>
    <m/>
    <m/>
  </r>
  <r>
    <d v="2026-08-18T00:00:00"/>
    <s v="Vishwanath"/>
    <s v="Bangalore"/>
    <x v="414"/>
    <s v="F2F"/>
    <s v="Aggregator"/>
    <m/>
    <s v="Pop Up Counter"/>
    <s v="New"/>
    <s v="Events"/>
    <s v="Amith Melvin"/>
    <m/>
    <s v="Proposal sent for Popup counters  following business"/>
    <s v="Introduction( C0 )"/>
    <d v="2026-08-28T00:00:00"/>
    <s v="F2F"/>
    <m/>
    <m/>
    <s v="Warm"/>
    <m/>
    <m/>
    <m/>
    <m/>
    <x v="5"/>
    <m/>
    <m/>
    <m/>
    <x v="5"/>
    <m/>
    <s v=""/>
    <m/>
  </r>
  <r>
    <d v="2026-08-19T00:00:00"/>
    <s v="Sameer"/>
    <s v="Hyderabad"/>
    <x v="156"/>
    <s v="F2F"/>
    <s v="Aggregator"/>
    <s v="Compass"/>
    <s v="Bulk Order"/>
    <s v="New"/>
    <s v="F&amp;B Aggregator"/>
    <s v="Srinivas"/>
    <m/>
    <s v="Business Closed"/>
    <s v="Closed(C4)"/>
    <m/>
    <m/>
    <m/>
    <s v=""/>
    <s v="Hot"/>
    <n v="250000"/>
    <n v="256200"/>
    <d v="2026-08-19T00:00:00"/>
    <m/>
    <x v="17"/>
    <s v="Received at HO"/>
    <m/>
    <m/>
    <x v="5"/>
    <m/>
    <s v=""/>
    <m/>
  </r>
  <r>
    <d v="2026-08-19T00:00:00"/>
    <s v="Bashab"/>
    <s v="Hyderabad"/>
    <x v="156"/>
    <s v="Call"/>
    <s v="Aggregator"/>
    <s v="Compass"/>
    <s v="Bulk Order"/>
    <s v="New"/>
    <s v="F&amp;B Aggregator"/>
    <s v="Srinivas"/>
    <m/>
    <s v="Business Closed"/>
    <s v="Closed(C4)"/>
    <m/>
    <m/>
    <m/>
    <s v=""/>
    <s v="Hot"/>
    <n v="250000"/>
    <n v="256200"/>
    <d v="2026-08-19T00:00:00"/>
    <m/>
    <x v="17"/>
    <s v="Received at HO"/>
    <m/>
    <m/>
    <x v="5"/>
    <m/>
    <s v=""/>
    <m/>
  </r>
  <r>
    <d v="2026-08-19T00:00:00"/>
    <s v="Pradeep"/>
    <s v="Hyderabad"/>
    <x v="415"/>
    <s v="F2F"/>
    <s v="Corporate"/>
    <m/>
    <s v="Bulk Order"/>
    <s v="New"/>
    <s v="It"/>
    <s v="Saraha"/>
    <m/>
    <s v="Discussed on Bulk order Requirement"/>
    <s v="Follow-up( C1 )"/>
    <d v="2026-08-26T00:00:00"/>
    <s v="F2F"/>
    <m/>
    <m/>
    <s v="Warm"/>
    <n v="20000"/>
    <m/>
    <m/>
    <m/>
    <x v="5"/>
    <m/>
    <m/>
    <m/>
    <x v="5"/>
    <m/>
    <m/>
    <m/>
  </r>
  <r>
    <d v="2026-08-19T00:00:00"/>
    <s v="Pradeep"/>
    <s v="Hyderabad"/>
    <x v="416"/>
    <s v="F2F"/>
    <s v="Corporate"/>
    <m/>
    <s v="Bulk Order"/>
    <s v="New"/>
    <s v="Realestate"/>
    <s v="Sharath"/>
    <m/>
    <s v="Discussed on Bulk order Requirement"/>
    <s v="Negotitaion( C2 )"/>
    <d v="2026-09-03T00:00:00"/>
    <s v="F2F"/>
    <m/>
    <m/>
    <s v="Cold"/>
    <n v="35000"/>
    <m/>
    <m/>
    <m/>
    <x v="5"/>
    <m/>
    <m/>
    <m/>
    <x v="5"/>
    <m/>
    <m/>
    <m/>
  </r>
  <r>
    <d v="2026-08-19T00:00:00"/>
    <s v="Sameer"/>
    <s v="Hyderabad"/>
    <x v="262"/>
    <s v="F2F"/>
    <s v="Corporate"/>
    <m/>
    <s v="Bulk Order"/>
    <s v="New"/>
    <s v="It"/>
    <s v="Parth"/>
    <m/>
    <s v="Shared Quote"/>
    <s v="Negotitaion( C2 )"/>
    <d v="2026-08-24T00:00:00"/>
    <s v="Call"/>
    <m/>
    <m/>
    <s v="Hot"/>
    <n v="50000"/>
    <m/>
    <m/>
    <m/>
    <x v="5"/>
    <m/>
    <m/>
    <m/>
    <x v="5"/>
    <m/>
    <s v=""/>
    <m/>
  </r>
  <r>
    <d v="2026-08-19T00:00:00"/>
    <s v="Pradeep"/>
    <s v="Hyderabad"/>
    <x v="374"/>
    <s v="F2F"/>
    <s v="Corporate"/>
    <m/>
    <s v="Bulk Order"/>
    <s v="New"/>
    <s v="It"/>
    <s v="Nazeer"/>
    <m/>
    <s v="Discussed on Bulk order Requirement"/>
    <s v="Follow-up( C1 )"/>
    <d v="2026-09-07T00:00:00"/>
    <s v="F2F"/>
    <m/>
    <m/>
    <s v="Warm"/>
    <n v="40000"/>
    <m/>
    <m/>
    <m/>
    <x v="5"/>
    <m/>
    <m/>
    <m/>
    <x v="5"/>
    <m/>
    <s v=""/>
    <m/>
  </r>
  <r>
    <d v="2026-08-19T00:00:00"/>
    <s v="Pradeep"/>
    <s v="Hyderabad"/>
    <x v="417"/>
    <s v="F2F"/>
    <s v="Corporate"/>
    <m/>
    <s v="Bulk Order"/>
    <s v="New"/>
    <s v="Realestate"/>
    <s v="Satish"/>
    <m/>
    <s v="Proposed for Bulk Order and Biryani Kits for Gifting"/>
    <s v="Negotitaion( C2 )"/>
    <d v="2026-08-28T00:00:00"/>
    <s v="Call"/>
    <m/>
    <m/>
    <s v="Warm"/>
    <n v="25000"/>
    <m/>
    <m/>
    <m/>
    <x v="5"/>
    <m/>
    <m/>
    <m/>
    <x v="5"/>
    <m/>
    <s v=""/>
    <m/>
  </r>
  <r>
    <d v="2026-08-19T00:00:00"/>
    <s v="Vishwanath"/>
    <s v="Bangalore"/>
    <x v="418"/>
    <s v="F2F"/>
    <s v="Aggregator"/>
    <m/>
    <s v="Pop Up Counter"/>
    <s v="New"/>
    <s v="Events"/>
    <s v="Sasha"/>
    <m/>
    <s v="Proposal sent for Popup counters  following business"/>
    <s v="Introduction( C0 )"/>
    <d v="2026-09-07T00:00:00"/>
    <m/>
    <m/>
    <m/>
    <s v="Warm"/>
    <m/>
    <m/>
    <m/>
    <m/>
    <x v="5"/>
    <m/>
    <m/>
    <m/>
    <x v="5"/>
    <m/>
    <s v=""/>
    <m/>
  </r>
  <r>
    <d v="2026-08-19T00:00:00"/>
    <s v="Vishwanath"/>
    <s v="Bangalore"/>
    <x v="16"/>
    <s v="Call"/>
    <s v="Corporate"/>
    <s v="Compass"/>
    <s v="Bulk Order"/>
    <s v="Repeat"/>
    <s v="Retail"/>
    <s v="Mohammed"/>
    <m/>
    <s v="Business Closed"/>
    <s v="Closed(C4)"/>
    <m/>
    <m/>
    <s v=""/>
    <s v=""/>
    <s v="Hot"/>
    <n v="25000"/>
    <n v="27958"/>
    <d v="2026-08-19T00:00:00"/>
    <s v="00HSA06000008155"/>
    <x v="3"/>
    <s v="Received at HO"/>
    <m/>
    <m/>
    <x v="5"/>
    <m/>
    <s v=""/>
    <m/>
  </r>
  <r>
    <d v="2026-08-19T00:00:00"/>
    <s v="Sameer"/>
    <s v="Bangalore"/>
    <x v="16"/>
    <s v="Call"/>
    <s v="Corporate"/>
    <s v="Compass"/>
    <s v="Bulk Order"/>
    <s v="Repeat"/>
    <s v="Retail"/>
    <s v="Mohammed"/>
    <m/>
    <s v="Business follow-up"/>
    <s v="Closed(C4)"/>
    <m/>
    <m/>
    <s v=""/>
    <s v=""/>
    <s v="Hot"/>
    <n v="25000"/>
    <n v="27958"/>
    <d v="2026-08-19T00:00:00"/>
    <s v="00HSA06000008155"/>
    <x v="3"/>
    <s v="Received at HO"/>
    <m/>
    <m/>
    <x v="5"/>
    <m/>
    <s v=""/>
    <m/>
  </r>
  <r>
    <d v="2026-08-20T00:00:00"/>
    <s v="Vishwanath"/>
    <s v="Bangalore"/>
    <x v="419"/>
    <s v="F2F"/>
    <s v="Corporate"/>
    <m/>
    <s v="Bulk Order"/>
    <s v="New"/>
    <s v="Realestate"/>
    <s v="Swetha"/>
    <m/>
    <s v="Discussed on Bulk order requirement"/>
    <s v="Introduction( C0 )"/>
    <d v="2026-09-07T00:00:00"/>
    <s v="F2F"/>
    <m/>
    <m/>
    <s v="Warm"/>
    <m/>
    <m/>
    <m/>
    <m/>
    <x v="5"/>
    <m/>
    <m/>
    <m/>
    <x v="5"/>
    <m/>
    <s v=""/>
    <m/>
  </r>
  <r>
    <d v="2026-08-20T00:00:00"/>
    <s v="Vishwanath"/>
    <s v="Bangalore"/>
    <x v="420"/>
    <s v="F2F"/>
    <s v="Aggregator"/>
    <s v="Pinnacle"/>
    <s v="ODC"/>
    <s v="New"/>
    <s v="Exhibition"/>
    <s v="Devendar"/>
    <m/>
    <s v="Business Closed"/>
    <s v="Closed(C4)"/>
    <m/>
    <m/>
    <m/>
    <m/>
    <s v="Hot"/>
    <n v="0"/>
    <n v="43500"/>
    <d v="2026-08-20T00:00:00"/>
    <m/>
    <x v="5"/>
    <m/>
    <m/>
    <m/>
    <x v="5"/>
    <m/>
    <s v=""/>
    <m/>
  </r>
  <r>
    <d v="2026-08-20T00:00:00"/>
    <s v="Pradeep"/>
    <s v="Hyderabad"/>
    <x v="421"/>
    <s v="F2F"/>
    <s v="Corporate"/>
    <m/>
    <s v="Bulk Order"/>
    <s v="New"/>
    <s v="It"/>
    <s v="Sarath"/>
    <m/>
    <s v="Discussed on Bulk order requirement"/>
    <s v="Negotitaion( C2 )"/>
    <d v="2026-09-01T00:00:00"/>
    <s v="F2F"/>
    <m/>
    <m/>
    <s v="Warm"/>
    <n v="25000"/>
    <m/>
    <m/>
    <m/>
    <x v="5"/>
    <m/>
    <m/>
    <m/>
    <x v="5"/>
    <m/>
    <s v=""/>
    <m/>
  </r>
  <r>
    <d v="2026-08-20T00:00:00"/>
    <s v="Pradeep"/>
    <s v="Hyderabad"/>
    <x v="422"/>
    <s v="F2F"/>
    <s v="Corporate"/>
    <m/>
    <s v="Bulk Order"/>
    <s v="New"/>
    <s v="Healthcare"/>
    <s v="Soumaya"/>
    <m/>
    <s v="Proposed for Bulk Order and Biryani Kits for Gifting"/>
    <s v="Follow-up( C1 )"/>
    <d v="2026-08-31T00:00:00"/>
    <s v="F2F"/>
    <m/>
    <m/>
    <s v="Warm"/>
    <n v="20000"/>
    <m/>
    <m/>
    <m/>
    <x v="5"/>
    <m/>
    <m/>
    <m/>
    <x v="5"/>
    <m/>
    <s v=""/>
    <m/>
  </r>
  <r>
    <d v="2026-08-20T00:00:00"/>
    <s v="Pradeep"/>
    <s v="Hyderabad"/>
    <x v="423"/>
    <s v="F2F"/>
    <s v="Corporate"/>
    <m/>
    <s v="Bulk Order"/>
    <s v="New"/>
    <s v="It"/>
    <s v="Satish"/>
    <m/>
    <s v="Discussed on Bulk order Requirement"/>
    <s v="Negotitaion( C2 )"/>
    <d v="2026-09-02T00:00:00"/>
    <s v="Call"/>
    <m/>
    <m/>
    <s v="Cold"/>
    <n v="30000"/>
    <m/>
    <m/>
    <m/>
    <x v="5"/>
    <m/>
    <m/>
    <m/>
    <x v="5"/>
    <m/>
    <s v=""/>
    <m/>
  </r>
  <r>
    <d v="2026-08-20T00:00:00"/>
    <s v="Sameer"/>
    <s v="Hyderabad"/>
    <x v="424"/>
    <s v="F2F"/>
    <s v="Corporate"/>
    <m/>
    <s v="Bulk Order"/>
    <s v="New"/>
    <s v="It"/>
    <s v="Chandan"/>
    <m/>
    <s v="Discussed on Bulk order Requirement"/>
    <s v="Negotitaion( C2 )"/>
    <d v="2026-09-15T00:00:00"/>
    <s v="Call"/>
    <m/>
    <m/>
    <s v="Warm"/>
    <n v="25000"/>
    <m/>
    <m/>
    <m/>
    <x v="5"/>
    <m/>
    <m/>
    <m/>
    <x v="5"/>
    <m/>
    <m/>
    <m/>
  </r>
  <r>
    <d v="2026-08-21T00:00:00"/>
    <s v="Pradeep"/>
    <s v="Hyderabad"/>
    <x v="425"/>
    <s v="F2F"/>
    <s v="Corporate"/>
    <m/>
    <s v="Bulk Order"/>
    <s v="New"/>
    <s v="Realestate"/>
    <s v="Sathyanarayana Reddy"/>
    <m/>
    <s v="Proposed for Bulk Order and Biryani Kits for Gifting"/>
    <s v="Negotitaion( C2 )"/>
    <d v="2026-09-07T00:00:00"/>
    <s v="Call"/>
    <m/>
    <m/>
    <s v="Warm"/>
    <n v="40000"/>
    <m/>
    <m/>
    <m/>
    <x v="5"/>
    <m/>
    <m/>
    <m/>
    <x v="5"/>
    <m/>
    <s v=""/>
    <m/>
  </r>
  <r>
    <d v="2026-08-21T00:00:00"/>
    <s v="Pradeep"/>
    <s v="Hyderabad"/>
    <x v="426"/>
    <s v="F2F"/>
    <s v="Corporate"/>
    <m/>
    <s v="Bulk Order"/>
    <s v="New"/>
    <s v="It"/>
    <s v="Swathi"/>
    <m/>
    <s v="Discussed on Bulk order Requirement"/>
    <s v="Negotitaion( C2 )"/>
    <d v="2026-09-08T00:00:00"/>
    <s v="F2F"/>
    <m/>
    <m/>
    <s v="Warm"/>
    <n v="35000"/>
    <m/>
    <m/>
    <m/>
    <x v="5"/>
    <m/>
    <m/>
    <m/>
    <x v="5"/>
    <m/>
    <s v=""/>
    <m/>
  </r>
  <r>
    <d v="2026-08-21T00:00:00"/>
    <s v="Pradeep"/>
    <s v="Hyderabad"/>
    <x v="399"/>
    <s v="F2F"/>
    <s v="Corporate"/>
    <m/>
    <s v="Bulk Order"/>
    <s v="New"/>
    <s v="Manufacturing"/>
    <s v="RAvinder"/>
    <m/>
    <s v="Discussed on Bulk order Requirement"/>
    <s v="Follow-up( C1 )"/>
    <d v="2026-09-14T00:00:00"/>
    <s v="F2F"/>
    <m/>
    <m/>
    <s v="Cold"/>
    <n v="30000"/>
    <m/>
    <m/>
    <m/>
    <x v="5"/>
    <m/>
    <m/>
    <m/>
    <x v="5"/>
    <m/>
    <s v=""/>
    <m/>
  </r>
  <r>
    <d v="2026-08-21T00:00:00"/>
    <s v="Pradeep"/>
    <s v="Hyderabad"/>
    <x v="61"/>
    <s v="Call"/>
    <s v="Bulk Order"/>
    <m/>
    <s v="Bulk Order"/>
    <s v="New"/>
    <s v="Family Group"/>
    <s v="Sindhu"/>
    <m/>
    <s v="Business Closed"/>
    <s v="Closed(C4)"/>
    <m/>
    <m/>
    <m/>
    <m/>
    <s v="Hot"/>
    <n v="10000"/>
    <n v="7110"/>
    <d v="2026-08-21T00:00:00"/>
    <s v="00JBC01200069166"/>
    <x v="31"/>
    <s v="Received at Store"/>
    <m/>
    <d v="2026-08-21T00:00:00"/>
    <x v="5"/>
    <m/>
    <m/>
    <s v="Takeaway-Bulk-Insti"/>
  </r>
  <r>
    <d v="2026-08-21T00:00:00"/>
    <s v="Sameer"/>
    <s v="Hyderabad"/>
    <x v="427"/>
    <s v="F2F"/>
    <s v="Aggregator"/>
    <s v="Compass"/>
    <s v="Bulk Order"/>
    <s v="New"/>
    <s v="F&amp;B Aggregator"/>
    <s v="Subhadeep"/>
    <m/>
    <s v="Mutton biryani from kukatpally on 21-08-2026"/>
    <s v="Closed(C4)"/>
    <m/>
    <m/>
    <m/>
    <m/>
    <s v="Hot"/>
    <n v="5000"/>
    <n v="7500"/>
    <d v="2026-08-21T00:00:00"/>
    <s v="CIFSPL070821"/>
    <x v="17"/>
    <s v="Received at HO"/>
    <m/>
    <m/>
    <x v="5"/>
    <m/>
    <m/>
    <m/>
  </r>
  <r>
    <d v="2026-08-21T00:00:00"/>
    <s v="Vishwanath"/>
    <s v="Bangalore"/>
    <x v="420"/>
    <s v="F2F"/>
    <s v="Aggregator"/>
    <s v="Pinnacle"/>
    <s v="ODC"/>
    <s v="New"/>
    <s v="Exhibition"/>
    <s v="Devendar"/>
    <m/>
    <s v="Business Closed"/>
    <s v="Closed(C4)"/>
    <m/>
    <m/>
    <m/>
    <m/>
    <s v="Hot"/>
    <m/>
    <n v="43100"/>
    <d v="2026-08-21T00:00:00"/>
    <m/>
    <x v="5"/>
    <m/>
    <m/>
    <m/>
    <x v="5"/>
    <m/>
    <s v=""/>
    <m/>
  </r>
  <r>
    <d v="2026-08-21T00:00:00"/>
    <s v="Vishwanath"/>
    <s v="Bangalore"/>
    <x v="276"/>
    <s v="F2F"/>
    <s v="Aggregator"/>
    <s v="SmartQ"/>
    <s v="Pop Up Counter"/>
    <s v="Repeat"/>
    <s v="Banking Finance &amp; Insurance"/>
    <s v="Harish"/>
    <m/>
    <s v="Business Closed"/>
    <s v="Closed(C4)"/>
    <m/>
    <m/>
    <m/>
    <m/>
    <s v="Hot"/>
    <m/>
    <n v="13300"/>
    <d v="2026-08-21T00:00:00"/>
    <m/>
    <x v="5"/>
    <m/>
    <m/>
    <m/>
    <x v="5"/>
    <m/>
    <s v=""/>
    <m/>
  </r>
  <r>
    <d v="2026-08-22T00:00:00"/>
    <s v="Vishwanath"/>
    <s v="Bangalore"/>
    <x v="420"/>
    <s v="F2F"/>
    <s v="Aggregator"/>
    <s v="Pinnacle"/>
    <s v="ODC"/>
    <s v="New"/>
    <s v="Exhibition"/>
    <s v="Devendar"/>
    <m/>
    <s v="Business Closed"/>
    <s v="Closed(C4)"/>
    <m/>
    <m/>
    <m/>
    <m/>
    <s v="Hot"/>
    <m/>
    <n v="31700"/>
    <d v="2026-08-22T00:00:00"/>
    <m/>
    <x v="5"/>
    <m/>
    <m/>
    <m/>
    <x v="5"/>
    <m/>
    <s v=""/>
    <m/>
  </r>
  <r>
    <d v="2026-08-22T00:00:00"/>
    <s v="Bashab"/>
    <s v="Bangalore"/>
    <x v="293"/>
    <s v="Call"/>
    <s v="Aggregator"/>
    <s v="SmartQ"/>
    <s v="Pop Up Counter"/>
    <s v="New"/>
    <s v="It"/>
    <s v="Harish"/>
    <m/>
    <s v="Popup Confirmed"/>
    <s v="Closed(C4)"/>
    <m/>
    <m/>
    <m/>
    <s v=""/>
    <s v="Hot"/>
    <n v="20000"/>
    <n v="24170"/>
    <d v="2026-09-22T00:00:00"/>
    <s v="00MRAO8000010479"/>
    <x v="21"/>
    <s v="Received at HO"/>
    <m/>
    <m/>
    <x v="6"/>
    <m/>
    <s v=""/>
    <m/>
  </r>
  <r>
    <d v="2026-08-23T00:00:00"/>
    <s v="Pradeep"/>
    <s v="Hyderabad"/>
    <x v="428"/>
    <s v="Call"/>
    <s v="Corporate"/>
    <m/>
    <s v="Bulk Order"/>
    <s v="New"/>
    <s v="It"/>
    <s v="Sagar"/>
    <m/>
    <s v="Business Closed"/>
    <s v="Closed(C4)"/>
    <m/>
    <m/>
    <m/>
    <m/>
    <s v="Hot"/>
    <n v="15000"/>
    <n v="11000"/>
    <d v="2026-08-23T00:00:00"/>
    <s v="00VNDE1000045726"/>
    <x v="35"/>
    <s v="Received at Store"/>
    <m/>
    <d v="2026-08-23T00:00:00"/>
    <x v="5"/>
    <m/>
    <s v=""/>
    <s v="Takeaway-Bulk-Insti"/>
  </r>
  <r>
    <d v="2026-08-23T00:00:00"/>
    <s v="Pradeep"/>
    <s v="Hyderabad"/>
    <x v="61"/>
    <s v="Call"/>
    <s v="Bulk Order"/>
    <m/>
    <s v="Bulk Order"/>
    <s v="New"/>
    <s v="Family Group"/>
    <s v="Kiran"/>
    <m/>
    <s v="Business Closed"/>
    <s v="Closed(C4)"/>
    <m/>
    <m/>
    <m/>
    <m/>
    <s v="Hot"/>
    <n v="15000"/>
    <n v="11790"/>
    <d v="2026-08-23T00:00:00"/>
    <s v="00VNTA1000064060"/>
    <x v="35"/>
    <s v="Received at Store"/>
    <m/>
    <d v="2026-08-23T00:00:00"/>
    <x v="5"/>
    <m/>
    <m/>
    <s v="Takeaway-Bulk-Insti"/>
  </r>
  <r>
    <d v="2026-08-24T00:00:00"/>
    <s v="Vishwanath"/>
    <s v="Bangalore"/>
    <x v="429"/>
    <s v="F2F"/>
    <s v="Aggregator"/>
    <m/>
    <s v="Pop Up Counter"/>
    <s v="New"/>
    <s v="Exhibition"/>
    <s v="Hanumesh"/>
    <m/>
    <s v="Proposal for Pop Up Counter"/>
    <s v="Introduction( C0 )"/>
    <d v="2026-09-23T00:00:00"/>
    <m/>
    <m/>
    <m/>
    <s v="Warm"/>
    <m/>
    <m/>
    <m/>
    <m/>
    <x v="5"/>
    <m/>
    <m/>
    <m/>
    <x v="5"/>
    <m/>
    <s v=""/>
    <m/>
  </r>
  <r>
    <d v="2026-08-24T00:00:00"/>
    <s v="Vishwanath"/>
    <s v="Bangalore"/>
    <x v="430"/>
    <s v="F2F"/>
    <s v="Bulk Order"/>
    <m/>
    <s v="Bulk Order"/>
    <s v="New"/>
    <s v="Education"/>
    <s v="Anand"/>
    <m/>
    <s v="Bulk order requirement"/>
    <s v="Introduction( C0 )"/>
    <d v="2026-09-23T00:00:00"/>
    <m/>
    <m/>
    <m/>
    <s v="Warm"/>
    <n v="12500"/>
    <m/>
    <m/>
    <m/>
    <x v="5"/>
    <m/>
    <m/>
    <m/>
    <x v="5"/>
    <m/>
    <s v=""/>
    <m/>
  </r>
  <r>
    <d v="2026-08-24T00:00:00"/>
    <s v="Pradeep"/>
    <s v="Hyderabad"/>
    <x v="102"/>
    <s v="F2F"/>
    <s v="Corporate"/>
    <m/>
    <s v="Bulk Order"/>
    <s v="New"/>
    <s v="Healthcare"/>
    <s v="Ravinder Reddy"/>
    <m/>
    <s v="Proposed for Bulk Order and Biryani Kits for Gifting"/>
    <s v="Follow-up( C1 )"/>
    <d v="2026-09-15T00:00:00"/>
    <s v="Call"/>
    <m/>
    <m/>
    <s v="Warm"/>
    <n v="40000"/>
    <m/>
    <m/>
    <m/>
    <x v="5"/>
    <m/>
    <m/>
    <m/>
    <x v="5"/>
    <m/>
    <m/>
    <m/>
  </r>
  <r>
    <d v="2026-08-24T00:00:00"/>
    <s v="Pradeep"/>
    <s v="Hyderabad"/>
    <x v="431"/>
    <s v="F2F"/>
    <s v="Corporate"/>
    <m/>
    <s v="Bulk Order"/>
    <s v="New"/>
    <s v="It"/>
    <s v="Sara"/>
    <m/>
    <s v="Discussed on Bulk order Requirement"/>
    <s v="Introduction( C0 )"/>
    <d v="2026-09-08T00:00:00"/>
    <s v="F2F"/>
    <m/>
    <m/>
    <s v="Cold"/>
    <n v="20000"/>
    <m/>
    <m/>
    <m/>
    <x v="5"/>
    <m/>
    <m/>
    <m/>
    <x v="5"/>
    <m/>
    <m/>
    <m/>
  </r>
  <r>
    <d v="2026-08-24T00:00:00"/>
    <s v="Sameer"/>
    <s v="Hyderabad"/>
    <x v="29"/>
    <s v="F2F"/>
    <s v="Corporate"/>
    <m/>
    <s v="Bulk Order"/>
    <s v="New"/>
    <s v="It"/>
    <s v="Vikas"/>
    <m/>
    <s v="Discussed on Bulk order Requirement"/>
    <s v="Follow-up( C1 )"/>
    <d v="2026-09-21T00:00:00"/>
    <s v="Call"/>
    <m/>
    <m/>
    <s v="Warm"/>
    <n v="50000"/>
    <m/>
    <m/>
    <m/>
    <x v="5"/>
    <m/>
    <m/>
    <m/>
    <x v="5"/>
    <m/>
    <m/>
    <m/>
  </r>
  <r>
    <d v="2026-08-24T00:00:00"/>
    <s v="Sameer"/>
    <s v="Hyderabad"/>
    <x v="432"/>
    <s v="F2F"/>
    <s v="Corporate"/>
    <m/>
    <s v="Bulk Order"/>
    <s v="New"/>
    <s v="It"/>
    <s v="Jafar"/>
    <m/>
    <s v="Proposed for Bulk Order and Biryani Kits for Gifting"/>
    <s v="Follow-up( C1 )"/>
    <d v="2026-09-07T00:00:00"/>
    <s v="Call"/>
    <m/>
    <m/>
    <s v="Warm"/>
    <n v="25000"/>
    <m/>
    <m/>
    <m/>
    <x v="5"/>
    <m/>
    <m/>
    <m/>
    <x v="5"/>
    <m/>
    <m/>
    <m/>
  </r>
  <r>
    <d v="2026-08-24T00:00:00"/>
    <s v="Pradeep"/>
    <s v="Hyderabad"/>
    <x v="433"/>
    <s v="F2F"/>
    <s v="Corporate"/>
    <m/>
    <s v="Bulk Order"/>
    <s v="New"/>
    <s v="It"/>
    <s v="Santosh"/>
    <m/>
    <s v="Discussed on Bulk order Requirement"/>
    <s v="Negotitaion( C2 )"/>
    <m/>
    <m/>
    <m/>
    <m/>
    <s v="Warm"/>
    <n v="30000"/>
    <m/>
    <m/>
    <m/>
    <x v="5"/>
    <m/>
    <m/>
    <m/>
    <x v="5"/>
    <m/>
    <m/>
    <m/>
  </r>
  <r>
    <d v="2026-08-24T00:00:00"/>
    <s v="Pradeep"/>
    <s v="Hyderabad"/>
    <x v="434"/>
    <s v="F2F"/>
    <s v="Corporate"/>
    <m/>
    <s v="Bulk Order"/>
    <s v="New"/>
    <s v="It"/>
    <s v="Sameera"/>
    <m/>
    <s v="Discussed on Bulk order Requirement"/>
    <s v="Follow-up( C1 )"/>
    <d v="2026-09-08T00:00:00"/>
    <m/>
    <m/>
    <m/>
    <s v="Cold"/>
    <n v="40000"/>
    <m/>
    <m/>
    <m/>
    <x v="5"/>
    <m/>
    <m/>
    <m/>
    <x v="5"/>
    <m/>
    <m/>
    <m/>
  </r>
  <r>
    <d v="2026-08-24T00:00:00"/>
    <s v="Pradeep"/>
    <s v="Hyderabad"/>
    <x v="435"/>
    <s v="F2F"/>
    <s v="Corporate"/>
    <m/>
    <s v="Bulk Order"/>
    <s v="New"/>
    <s v="It"/>
    <s v="Meera"/>
    <m/>
    <s v="Business Closed"/>
    <s v="Closed(C4)"/>
    <m/>
    <m/>
    <m/>
    <m/>
    <s v="Hot"/>
    <n v="10000"/>
    <n v="9600"/>
    <d v="2026-08-24T00:00:00"/>
    <s v="COKKFTB000498505"/>
    <x v="17"/>
    <s v="Received at Store"/>
    <m/>
    <d v="2026-08-24T00:00:00"/>
    <x v="5"/>
    <m/>
    <m/>
    <s v="Takeaway-Bulk-Insti"/>
  </r>
  <r>
    <d v="2026-08-25T00:00:00"/>
    <s v="Vishwanath"/>
    <s v="Bangalore"/>
    <x v="436"/>
    <s v="F2F"/>
    <s v="Bulk Order"/>
    <m/>
    <s v="Bulk Order"/>
    <s v="New"/>
    <s v="Education"/>
    <s v="Rathan "/>
    <m/>
    <s v="Bulkorder requirement"/>
    <s v="Introduction( C0 )"/>
    <d v="2026-09-22T00:00:00"/>
    <m/>
    <m/>
    <m/>
    <s v="Warm"/>
    <n v="5500"/>
    <m/>
    <m/>
    <m/>
    <x v="5"/>
    <m/>
    <m/>
    <m/>
    <x v="5"/>
    <m/>
    <s v=""/>
    <m/>
  </r>
  <r>
    <d v="2026-08-25T00:00:00"/>
    <s v="Vishwanath"/>
    <s v="Bangalore"/>
    <x v="437"/>
    <s v="F2F"/>
    <s v="Bulk Order"/>
    <m/>
    <s v="Bulk Order"/>
    <s v="New"/>
    <s v="Events"/>
    <s v="Prasad"/>
    <m/>
    <s v="Bulkorder requirement"/>
    <s v="Introduction( C0 )"/>
    <d v="2026-09-24T00:00:00"/>
    <m/>
    <m/>
    <m/>
    <s v="Warm"/>
    <n v="10000"/>
    <m/>
    <m/>
    <m/>
    <x v="5"/>
    <m/>
    <m/>
    <m/>
    <x v="5"/>
    <m/>
    <s v=""/>
    <m/>
  </r>
  <r>
    <d v="2026-08-25T00:00:00"/>
    <s v="Pradeep"/>
    <s v="Hyderabad"/>
    <x v="438"/>
    <s v="F2F"/>
    <s v="Corporate"/>
    <m/>
    <s v="Bulk Order"/>
    <s v="New"/>
    <s v="It"/>
    <s v="Srinivas"/>
    <m/>
    <s v="Proposed for Bulk Order and Biryani Kits for Gifting"/>
    <s v="Introduction( C0 )"/>
    <d v="2026-09-17T00:00:00"/>
    <s v="Call"/>
    <m/>
    <m/>
    <s v="Warm"/>
    <n v="35000"/>
    <m/>
    <m/>
    <m/>
    <x v="5"/>
    <m/>
    <m/>
    <m/>
    <x v="5"/>
    <m/>
    <m/>
    <m/>
  </r>
  <r>
    <d v="2026-08-25T00:00:00"/>
    <s v="Pradeep"/>
    <s v="Hyderabad"/>
    <x v="439"/>
    <s v="F2F"/>
    <s v="Corporate"/>
    <m/>
    <s v="Bulk Order"/>
    <s v="New"/>
    <s v="It"/>
    <s v="HAmeed"/>
    <m/>
    <s v="Proposed for Bulk Order and Biryani Kits for Gifting"/>
    <s v="Introduction( C0 )"/>
    <m/>
    <m/>
    <m/>
    <m/>
    <s v="Hot"/>
    <n v="28000"/>
    <m/>
    <m/>
    <m/>
    <x v="5"/>
    <m/>
    <m/>
    <m/>
    <x v="5"/>
    <m/>
    <m/>
    <m/>
  </r>
  <r>
    <d v="2026-08-25T00:00:00"/>
    <s v="Sameer"/>
    <s v="Hyderabad"/>
    <x v="440"/>
    <s v="F2F"/>
    <s v="Corporate"/>
    <m/>
    <s v="Bulk Order"/>
    <s v="New"/>
    <s v="Dealers &amp; Distributers"/>
    <s v="Gouse"/>
    <m/>
    <s v="Discussed on Bulk order Requirement"/>
    <s v="Negotitaion( C2 )"/>
    <d v="2026-09-21T00:00:00"/>
    <s v="Call"/>
    <m/>
    <m/>
    <s v="Warm"/>
    <n v="55000"/>
    <m/>
    <m/>
    <m/>
    <x v="5"/>
    <m/>
    <m/>
    <m/>
    <x v="5"/>
    <m/>
    <m/>
    <m/>
  </r>
  <r>
    <d v="2026-08-25T00:00:00"/>
    <s v="Sameer"/>
    <s v="Hyderabad"/>
    <x v="356"/>
    <s v="F2F"/>
    <s v="Corporate"/>
    <m/>
    <s v="Bulk Order"/>
    <s v="New"/>
    <s v="It"/>
    <s v="Sandesh"/>
    <m/>
    <s v="Bulkorder requirement"/>
    <s v="Introduction( C0 )"/>
    <m/>
    <m/>
    <m/>
    <m/>
    <s v="Hot"/>
    <n v="35000"/>
    <m/>
    <m/>
    <m/>
    <x v="5"/>
    <m/>
    <m/>
    <m/>
    <x v="5"/>
    <m/>
    <m/>
    <m/>
  </r>
  <r>
    <d v="2026-08-25T00:00:00"/>
    <s v="Pradeep"/>
    <s v="Hyderabad"/>
    <x v="268"/>
    <s v="F2F"/>
    <s v="Corporate"/>
    <m/>
    <s v="Bulk Order"/>
    <s v="New"/>
    <s v="It"/>
    <s v="Swathi"/>
    <m/>
    <s v="Discussed on Bulk order Requirement"/>
    <s v="Follow-up( C1 )"/>
    <m/>
    <m/>
    <m/>
    <m/>
    <s v="Warm"/>
    <n v="70000"/>
    <m/>
    <m/>
    <m/>
    <x v="5"/>
    <m/>
    <m/>
    <m/>
    <x v="5"/>
    <m/>
    <m/>
    <m/>
  </r>
  <r>
    <d v="2026-08-26T00:00:00"/>
    <s v="Vishwanath"/>
    <s v="Bangalore"/>
    <x v="441"/>
    <s v="F2F"/>
    <s v="Corporate"/>
    <m/>
    <s v="Bulk Order"/>
    <s v="New"/>
    <s v="Education"/>
    <s v="Nagaraj"/>
    <m/>
    <s v="Bulkorder requirement"/>
    <s v="Introduction( C0 )"/>
    <d v="2026-09-21T00:00:00"/>
    <m/>
    <m/>
    <m/>
    <s v="Warm"/>
    <n v="6000"/>
    <m/>
    <m/>
    <m/>
    <x v="5"/>
    <m/>
    <m/>
    <m/>
    <x v="5"/>
    <m/>
    <s v=""/>
    <m/>
  </r>
  <r>
    <d v="2026-08-26T00:00:00"/>
    <s v="Vishwanath"/>
    <s v="Bangalore"/>
    <x v="442"/>
    <s v="F2F"/>
    <s v="Corporate"/>
    <m/>
    <s v="Bulk Order"/>
    <s v="New"/>
    <s v="Events"/>
    <s v="Raghu Gowda"/>
    <m/>
    <s v="Bulkorder requirement"/>
    <s v="Introduction( C0 )"/>
    <d v="2026-09-22T00:00:00"/>
    <m/>
    <m/>
    <m/>
    <s v="Warm"/>
    <n v="5500"/>
    <m/>
    <m/>
    <m/>
    <x v="5"/>
    <m/>
    <m/>
    <m/>
    <x v="5"/>
    <m/>
    <s v=""/>
    <m/>
  </r>
  <r>
    <d v="2026-08-26T00:00:00"/>
    <s v="Pradeep"/>
    <s v="Hyderabad"/>
    <x v="304"/>
    <s v="F2F"/>
    <s v="Corporate"/>
    <m/>
    <s v="Bulk Order"/>
    <s v="New"/>
    <s v="It"/>
    <s v="Sai GAnesh"/>
    <m/>
    <s v="Discussed on Bulk order Requirement"/>
    <s v="Follow-up( C1 )"/>
    <d v="2026-09-17T00:00:00"/>
    <s v="Call"/>
    <m/>
    <m/>
    <s v="Cold"/>
    <n v="45000"/>
    <m/>
    <m/>
    <m/>
    <x v="5"/>
    <m/>
    <m/>
    <m/>
    <x v="5"/>
    <m/>
    <m/>
    <m/>
  </r>
  <r>
    <d v="2026-08-26T00:00:00"/>
    <s v="Sameer"/>
    <s v="Hyderabad"/>
    <x v="156"/>
    <s v="F2F"/>
    <s v="Aggregator"/>
    <s v="Compass"/>
    <s v="Bulk Order"/>
    <s v="New"/>
    <s v="F&amp;B Aggregator"/>
    <s v="Srinivas"/>
    <m/>
    <s v="Business Closed"/>
    <s v="Closed(C4)"/>
    <m/>
    <m/>
    <m/>
    <s v=""/>
    <s v="Hot"/>
    <n v="400000"/>
    <n v="411600"/>
    <d v="2026-08-26T00:00:00"/>
    <m/>
    <x v="17"/>
    <s v="Received at HO"/>
    <m/>
    <m/>
    <x v="5"/>
    <m/>
    <s v=""/>
    <m/>
  </r>
  <r>
    <d v="2026-08-26T00:00:00"/>
    <s v="Bashab"/>
    <s v="Hyderabad"/>
    <x v="156"/>
    <s v="Call"/>
    <s v="Aggregator"/>
    <s v="Compass"/>
    <s v="Bulk Order"/>
    <s v="New"/>
    <s v="F&amp;B Aggregator"/>
    <s v="Srinivas"/>
    <m/>
    <s v="Business Closed"/>
    <s v="Closed(C4)"/>
    <m/>
    <m/>
    <m/>
    <s v=""/>
    <s v="Hot"/>
    <n v="400000"/>
    <n v="411600"/>
    <d v="2026-08-26T00:00:00"/>
    <m/>
    <x v="17"/>
    <s v="Received at HO"/>
    <m/>
    <m/>
    <x v="5"/>
    <m/>
    <s v=""/>
    <m/>
  </r>
  <r>
    <d v="2026-08-26T00:00:00"/>
    <s v="Pradeep"/>
    <s v="Hyderabad"/>
    <x v="443"/>
    <s v="Call"/>
    <s v="Aggregator"/>
    <m/>
    <s v="Bulk Order"/>
    <s v="New"/>
    <s v="Defence &amp; Aerospace"/>
    <s v="Ravinder "/>
    <m/>
    <s v="Proposed for Bulk Order and Biryani Kits for Gifting"/>
    <s v="Follow-up( C1 )"/>
    <d v="2026-09-25T00:00:00"/>
    <s v="Call"/>
    <m/>
    <m/>
    <s v="Warm"/>
    <n v="60000"/>
    <m/>
    <m/>
    <m/>
    <x v="5"/>
    <m/>
    <m/>
    <m/>
    <x v="5"/>
    <m/>
    <m/>
    <m/>
  </r>
  <r>
    <d v="2026-08-26T00:00:00"/>
    <s v="Pradeep"/>
    <s v="Hyderabad"/>
    <x v="444"/>
    <s v="F2F"/>
    <s v="Corporate"/>
    <m/>
    <s v="Bulk Order"/>
    <s v="New"/>
    <s v="Healthcare"/>
    <s v="Shanmukah"/>
    <m/>
    <s v="Discussed on Bulk order Requirement"/>
    <s v="Follow-up( C1 )"/>
    <d v="2026-09-16T00:00:00"/>
    <s v="Call"/>
    <m/>
    <m/>
    <s v="Warm"/>
    <n v="50000"/>
    <m/>
    <m/>
    <m/>
    <x v="5"/>
    <m/>
    <m/>
    <m/>
    <x v="5"/>
    <m/>
    <m/>
    <m/>
  </r>
  <r>
    <d v="2026-08-26T00:00:00"/>
    <s v="Vishwanath"/>
    <s v="Bangalore"/>
    <x v="16"/>
    <s v="Call"/>
    <s v="Corporate"/>
    <s v="Compass"/>
    <s v="Bulk Order"/>
    <s v="Repeat"/>
    <s v="Retail"/>
    <s v="Mohammed"/>
    <m/>
    <s v="Business Closed"/>
    <s v="Closed(C4)"/>
    <m/>
    <m/>
    <s v=""/>
    <s v=""/>
    <s v="Hot"/>
    <n v="25000"/>
    <n v="25895"/>
    <d v="2026-08-26T00:00:00"/>
    <s v="00HSA06000008403"/>
    <x v="3"/>
    <s v="Received at HO"/>
    <m/>
    <m/>
    <x v="5"/>
    <m/>
    <s v=""/>
    <m/>
  </r>
  <r>
    <d v="2026-08-26T00:00:00"/>
    <s v="Sameer"/>
    <s v="Bangalore"/>
    <x v="16"/>
    <s v="Call"/>
    <s v="Corporate"/>
    <s v="Compass"/>
    <s v="Bulk Order"/>
    <s v="Repeat"/>
    <s v="Retail"/>
    <s v="Mohammed"/>
    <m/>
    <s v="Business follow-up"/>
    <s v="Closed(C4)"/>
    <m/>
    <m/>
    <s v=""/>
    <s v=""/>
    <s v="Hot"/>
    <n v="25000"/>
    <n v="25896"/>
    <d v="2026-08-26T00:00:00"/>
    <s v="00HSA06000008403"/>
    <x v="3"/>
    <s v="Received at HO"/>
    <m/>
    <m/>
    <x v="5"/>
    <m/>
    <s v=""/>
    <m/>
  </r>
  <r>
    <d v="2026-08-26T00:00:00"/>
    <s v="Pradeep"/>
    <s v="Hyderabad"/>
    <x v="445"/>
    <s v="F2F"/>
    <s v="Corporate"/>
    <m/>
    <s v="Bulk Order"/>
    <s v="New"/>
    <s v="Healthcare"/>
    <s v="Sunitha"/>
    <m/>
    <s v="Discussed on Bulk order Requirement"/>
    <s v="Follow-up( C1 )"/>
    <d v="2026-09-10T00:00:00"/>
    <s v="Call"/>
    <m/>
    <m/>
    <s v="Hot"/>
    <n v="30000"/>
    <m/>
    <m/>
    <m/>
    <x v="5"/>
    <m/>
    <m/>
    <m/>
    <x v="5"/>
    <m/>
    <m/>
    <m/>
  </r>
  <r>
    <d v="2026-08-27T00:00:00"/>
    <s v="Vishwanath"/>
    <s v="Bangalore"/>
    <x v="446"/>
    <s v="F2F"/>
    <s v="Corporate"/>
    <m/>
    <s v="Bulk Order"/>
    <s v="New"/>
    <s v="Events"/>
    <s v="Ravi"/>
    <m/>
    <s v="Bulkorder requirement"/>
    <s v="Introduction( C0 )"/>
    <d v="2026-09-24T00:00:00"/>
    <m/>
    <m/>
    <m/>
    <s v="Warm"/>
    <n v="6500"/>
    <m/>
    <m/>
    <m/>
    <x v="5"/>
    <m/>
    <m/>
    <m/>
    <x v="5"/>
    <m/>
    <s v=""/>
    <m/>
  </r>
  <r>
    <d v="2026-08-27T00:00:00"/>
    <s v="Pradeep"/>
    <s v="Hyderabad"/>
    <x v="447"/>
    <s v="F2F"/>
    <s v="Bulk Order"/>
    <m/>
    <s v="Bulk Order"/>
    <s v="New"/>
    <s v="College"/>
    <s v="Rama"/>
    <m/>
    <s v="Discussed on Bulk order Requirement"/>
    <s v="Follow-up( C1 )"/>
    <d v="2026-09-11T00:00:00"/>
    <s v="Call"/>
    <m/>
    <m/>
    <s v="Hot"/>
    <n v="35000"/>
    <m/>
    <m/>
    <m/>
    <x v="5"/>
    <m/>
    <m/>
    <m/>
    <x v="5"/>
    <m/>
    <m/>
    <m/>
  </r>
  <r>
    <d v="2026-08-27T00:00:00"/>
    <s v="Pradeep"/>
    <s v="Hyderabad"/>
    <x v="448"/>
    <s v="F2F"/>
    <s v="Bulk Order"/>
    <m/>
    <s v="Bulk Order"/>
    <s v="New"/>
    <s v="College"/>
    <s v="RAvinder"/>
    <m/>
    <s v="Discussed on Bulk order Requirement"/>
    <s v="Negotitaion( C2 )"/>
    <d v="2026-09-20T00:00:00"/>
    <s v="Call"/>
    <m/>
    <m/>
    <s v="Warm"/>
    <n v="50000"/>
    <m/>
    <m/>
    <m/>
    <x v="5"/>
    <m/>
    <m/>
    <m/>
    <x v="5"/>
    <m/>
    <m/>
    <m/>
  </r>
  <r>
    <d v="2026-08-27T00:00:00"/>
    <s v="Vishwanath"/>
    <s v="Bangalore"/>
    <x v="449"/>
    <s v="F2F"/>
    <s v="Corporate"/>
    <m/>
    <s v="Bulk Order"/>
    <s v="New"/>
    <s v="Events"/>
    <s v="Harish"/>
    <m/>
    <s v="Bulkorder requirement"/>
    <s v="Introduction( C0 )"/>
    <d v="2026-09-21T00:00:00"/>
    <m/>
    <m/>
    <m/>
    <s v="Warm"/>
    <n v="8000"/>
    <m/>
    <m/>
    <m/>
    <x v="5"/>
    <m/>
    <m/>
    <m/>
    <x v="5"/>
    <m/>
    <s v=""/>
    <m/>
  </r>
  <r>
    <d v="2026-08-27T00:00:00"/>
    <s v="Pradeep"/>
    <s v="Hyderabad"/>
    <x v="450"/>
    <s v="F2F"/>
    <s v="Corporate"/>
    <m/>
    <s v="Bulk Order"/>
    <s v="New"/>
    <s v="Healthcare"/>
    <s v="Raju"/>
    <m/>
    <s v="Discussed on Bulk order Requirement"/>
    <s v="Follow-up( C1 )"/>
    <d v="2026-09-25T00:00:00"/>
    <s v="Call"/>
    <m/>
    <m/>
    <s v="Warm"/>
    <n v="50000"/>
    <m/>
    <m/>
    <m/>
    <x v="5"/>
    <m/>
    <m/>
    <m/>
    <x v="5"/>
    <m/>
    <m/>
    <m/>
  </r>
  <r>
    <d v="2026-08-27T00:00:00"/>
    <s v="Sameer"/>
    <s v="Hyderabad"/>
    <x v="46"/>
    <s v="Call"/>
    <s v="Aggregator"/>
    <s v="Hunger Box"/>
    <s v="Pop Up Counter"/>
    <s v="New"/>
    <s v="F&amp;B Aggregator"/>
    <s v="Pawan"/>
    <m/>
    <s v="Popup on 27-08-2026 from Kompally"/>
    <s v="Closed(C4)"/>
    <m/>
    <m/>
    <m/>
    <m/>
    <s v="Hot"/>
    <n v="70000"/>
    <n v="76345"/>
    <d v="2026-08-27T00:00:00"/>
    <s v="00KPTDE1000001690"/>
    <x v="36"/>
    <s v="Received at HO"/>
    <m/>
    <m/>
    <x v="5"/>
    <m/>
    <m/>
    <m/>
  </r>
  <r>
    <d v="2026-08-27T00:00:00"/>
    <s v="Pradeep"/>
    <s v="Hyderabad"/>
    <x v="451"/>
    <s v="F2F"/>
    <s v="Corporate"/>
    <m/>
    <s v="Bulk Order"/>
    <s v="New"/>
    <s v="Healthcare"/>
    <s v="Sundar"/>
    <m/>
    <s v="Proposed for Bulk Order and Biryani Kits for Gifting"/>
    <s v="Negotitaion( C2 )"/>
    <d v="2026-09-20T00:00:00"/>
    <s v="Call"/>
    <m/>
    <m/>
    <s v="Warm"/>
    <n v="25000"/>
    <m/>
    <m/>
    <m/>
    <x v="5"/>
    <m/>
    <m/>
    <m/>
    <x v="5"/>
    <m/>
    <m/>
    <m/>
  </r>
  <r>
    <d v="2026-08-27T00:00:00"/>
    <s v="Pradeep"/>
    <s v="Hyderabad"/>
    <x v="404"/>
    <s v="Call"/>
    <s v="Aggregator"/>
    <s v="Compass"/>
    <s v="Pop Up Counter"/>
    <s v="New"/>
    <s v="F&amp;B Aggregator"/>
    <s v="Pranay"/>
    <m/>
    <s v="Popup on 25,26,27 August from Hitec City"/>
    <s v="Closed(C4)"/>
    <m/>
    <m/>
    <m/>
    <m/>
    <s v="Hot"/>
    <n v="50000"/>
    <n v="52185"/>
    <d v="2026-08-27T00:00:00"/>
    <s v="00HCA05000029410"/>
    <x v="4"/>
    <s v="Received at HO"/>
    <m/>
    <m/>
    <x v="5"/>
    <m/>
    <m/>
    <m/>
  </r>
  <r>
    <d v="2026-08-28T00:00:00"/>
    <s v="Vishwanath"/>
    <s v="Bangalore"/>
    <x v="452"/>
    <s v="F2F"/>
    <s v="Corporate"/>
    <m/>
    <s v="Bulk Order"/>
    <s v="New"/>
    <s v="Exhibition"/>
    <s v="Mahesh"/>
    <m/>
    <s v="Bulkorder requirement"/>
    <s v="Introduction( C0 )"/>
    <d v="2026-09-18T00:00:00"/>
    <m/>
    <m/>
    <m/>
    <s v="Warm"/>
    <m/>
    <m/>
    <m/>
    <m/>
    <x v="5"/>
    <m/>
    <m/>
    <m/>
    <x v="5"/>
    <m/>
    <s v=""/>
    <m/>
  </r>
  <r>
    <d v="2026-08-28T00:00:00"/>
    <s v="Vishwanath"/>
    <s v="Bangalore"/>
    <x v="453"/>
    <s v="F2F"/>
    <s v="Bulk Order"/>
    <m/>
    <s v="Bulk Order"/>
    <s v="New"/>
    <s v="Exhibition"/>
    <s v="Yokesh"/>
    <m/>
    <s v="Bulkorder requirement"/>
    <s v="Introduction( C0 )"/>
    <d v="2026-09-18T00:00:00"/>
    <m/>
    <m/>
    <m/>
    <s v="Warm"/>
    <n v="5500"/>
    <m/>
    <m/>
    <m/>
    <x v="5"/>
    <m/>
    <m/>
    <m/>
    <x v="5"/>
    <m/>
    <s v=""/>
    <m/>
  </r>
  <r>
    <d v="2026-08-28T00:00:00"/>
    <s v="Pradeep"/>
    <s v="Hyderabad"/>
    <x v="454"/>
    <s v="F2F"/>
    <s v="Corporate"/>
    <m/>
    <s v="Bulk Order"/>
    <s v="New"/>
    <s v="Healthcare"/>
    <s v="Jagadish"/>
    <m/>
    <s v="Discussed on Bulk order Requirement"/>
    <s v="Follow-up( C1 )"/>
    <d v="2026-09-17T00:00:00"/>
    <m/>
    <m/>
    <m/>
    <s v="Warm"/>
    <n v="30000"/>
    <m/>
    <m/>
    <m/>
    <x v="5"/>
    <m/>
    <m/>
    <m/>
    <x v="5"/>
    <m/>
    <m/>
    <m/>
  </r>
  <r>
    <d v="2026-08-28T00:00:00"/>
    <s v="Pradeep"/>
    <s v="Hyderabad"/>
    <x v="455"/>
    <s v="F2F"/>
    <s v="Corporate"/>
    <m/>
    <s v="Bulk Order"/>
    <s v="New"/>
    <s v="Healthcare"/>
    <s v="Hameed"/>
    <m/>
    <s v="Discussed on Bulk order Requirement"/>
    <s v="Follow-up( C1 )"/>
    <d v="2026-09-12T00:00:00"/>
    <s v="Call"/>
    <m/>
    <m/>
    <s v="Hot"/>
    <n v="45000"/>
    <m/>
    <m/>
    <m/>
    <x v="5"/>
    <m/>
    <m/>
    <m/>
    <x v="5"/>
    <m/>
    <m/>
    <m/>
  </r>
  <r>
    <d v="2026-08-28T00:00:00"/>
    <s v="Vishwanath"/>
    <s v="Bangalore"/>
    <x v="37"/>
    <s v="Call"/>
    <s v="Aggregator"/>
    <s v="SmartQ"/>
    <s v="Pop Up Counter"/>
    <s v="Repeat"/>
    <s v="It"/>
    <s v="Harish"/>
    <m/>
    <s v="Popup Counter"/>
    <s v="Closed(C4)"/>
    <m/>
    <m/>
    <m/>
    <s v=""/>
    <s v="Hot"/>
    <n v="10000"/>
    <n v="9505"/>
    <d v="2026-08-28T00:00:00"/>
    <m/>
    <x v="12"/>
    <s v="Received at HO"/>
    <m/>
    <m/>
    <x v="5"/>
    <m/>
    <m/>
    <m/>
  </r>
  <r>
    <d v="2026-08-28T00:00:00"/>
    <s v="Pradeep"/>
    <s v="Hyderabad"/>
    <x v="456"/>
    <s v="F2F"/>
    <s v="Corporate"/>
    <m/>
    <s v="Bulk Order"/>
    <s v="New"/>
    <s v="Healthcare"/>
    <s v="Mahesh"/>
    <m/>
    <s v="Discussed on Bulk order Requirement"/>
    <s v="Negotitaion( C2 )"/>
    <m/>
    <m/>
    <m/>
    <m/>
    <s v="Warm"/>
    <n v="20000"/>
    <m/>
    <m/>
    <m/>
    <x v="5"/>
    <m/>
    <m/>
    <m/>
    <x v="5"/>
    <m/>
    <m/>
    <m/>
  </r>
  <r>
    <d v="2026-08-28T00:00:00"/>
    <s v="Pradeep"/>
    <s v="Hyderabad"/>
    <x v="457"/>
    <s v="F2F"/>
    <s v="Corporate"/>
    <m/>
    <s v="Bulk Order"/>
    <s v="New"/>
    <s v="Healthcare"/>
    <s v="Ajay"/>
    <m/>
    <s v="Discussed on Bulk order Requirement"/>
    <s v="Negotitaion( C2 )"/>
    <d v="2026-09-19T00:00:00"/>
    <s v="Call"/>
    <m/>
    <m/>
    <s v="Warm"/>
    <n v="40000"/>
    <m/>
    <m/>
    <m/>
    <x v="5"/>
    <m/>
    <m/>
    <m/>
    <x v="5"/>
    <m/>
    <m/>
    <m/>
  </r>
  <r>
    <d v="2026-08-28T00:00:00"/>
    <s v="Vishwanath"/>
    <s v="Bangalore"/>
    <x v="41"/>
    <s v="Call"/>
    <s v="Aggregator"/>
    <s v="SmartQ"/>
    <s v="Pop Up Counter"/>
    <s v="Repeat"/>
    <s v="It"/>
    <s v="Harish"/>
    <m/>
    <s v="Popup Counter"/>
    <s v="Closed(C4)"/>
    <m/>
    <m/>
    <m/>
    <s v=""/>
    <s v="Hot"/>
    <n v="15000"/>
    <n v="11380"/>
    <d v="2026-08-28T00:00:00"/>
    <m/>
    <x v="12"/>
    <s v="Received at HO"/>
    <m/>
    <m/>
    <x v="5"/>
    <m/>
    <s v=""/>
    <m/>
  </r>
  <r>
    <d v="2026-08-31T00:00:00"/>
    <s v="Pradeep"/>
    <s v="Hyderabad"/>
    <x v="458"/>
    <s v="F2F"/>
    <s v="Corporate"/>
    <m/>
    <s v="Bulk Order"/>
    <s v="New"/>
    <s v="Healthcare"/>
    <s v="Deepthi"/>
    <m/>
    <s v="Discussed on Bulk order Requirement"/>
    <s v="Negotitaion( C2 )"/>
    <d v="2026-09-13T00:00:00"/>
    <s v="Call"/>
    <m/>
    <m/>
    <s v="Warm"/>
    <n v="50000"/>
    <m/>
    <m/>
    <m/>
    <x v="5"/>
    <m/>
    <m/>
    <m/>
    <x v="5"/>
    <m/>
    <m/>
    <m/>
  </r>
  <r>
    <d v="2026-08-31T00:00:00"/>
    <s v="Pradeep"/>
    <s v="Hyderabad"/>
    <x v="459"/>
    <s v="F2F"/>
    <s v="Bulk Order"/>
    <m/>
    <s v="Bulk Order"/>
    <s v="New"/>
    <s v="Education"/>
    <s v="Gowtham"/>
    <m/>
    <s v="Discussed on Bulk order Requirement"/>
    <s v="Follow-up( C1 )"/>
    <d v="2026-09-24T00:00:00"/>
    <s v="Call"/>
    <m/>
    <m/>
    <s v="Warm"/>
    <n v="35000"/>
    <m/>
    <m/>
    <m/>
    <x v="5"/>
    <m/>
    <m/>
    <m/>
    <x v="5"/>
    <m/>
    <m/>
    <m/>
  </r>
  <r>
    <d v="2026-08-31T00:00:00"/>
    <s v="Sameer"/>
    <s v="Hyderabad"/>
    <x v="259"/>
    <s v="F2F"/>
    <s v="Corporate"/>
    <m/>
    <s v="Bulk Order"/>
    <s v="New"/>
    <s v="It"/>
    <s v="Chandu"/>
    <m/>
    <s v="Discussed on Bulk order Requirement"/>
    <s v="Negotitaion( C2 )"/>
    <d v="2026-09-17T00:00:00"/>
    <s v="Call"/>
    <m/>
    <m/>
    <s v="Warm"/>
    <n v="30000"/>
    <m/>
    <m/>
    <m/>
    <x v="5"/>
    <m/>
    <m/>
    <m/>
    <x v="5"/>
    <m/>
    <s v=""/>
    <m/>
  </r>
  <r>
    <d v="2026-08-31T00:00:00"/>
    <s v="Pradeep"/>
    <s v="Hyderabad"/>
    <x v="104"/>
    <s v="F2F"/>
    <s v="Corporate"/>
    <m/>
    <s v="Bulk Order"/>
    <s v="New"/>
    <s v="It"/>
    <s v="Rajesh"/>
    <m/>
    <s v="Discussed on Bulk order Requirement"/>
    <s v="Follow-up( C1 )"/>
    <d v="2026-09-20T00:00:00"/>
    <s v="Call"/>
    <m/>
    <m/>
    <s v="Warm"/>
    <n v="50000"/>
    <m/>
    <m/>
    <m/>
    <x v="5"/>
    <m/>
    <m/>
    <m/>
    <x v="5"/>
    <m/>
    <s v=""/>
    <m/>
  </r>
  <r>
    <d v="2026-08-31T00:00:00"/>
    <s v="Pradeep"/>
    <s v="Hyderabad"/>
    <x v="460"/>
    <s v="F2F"/>
    <s v="Corporate"/>
    <m/>
    <s v="Bulk Order"/>
    <s v="New"/>
    <s v="Healthcare"/>
    <s v="Sunil"/>
    <m/>
    <s v="Discussed on Bulk order Requirement"/>
    <s v="Negotitaion( C2 )"/>
    <d v="2026-09-21T00:00:00"/>
    <s v="Call"/>
    <m/>
    <m/>
    <s v="Warm"/>
    <n v="33000"/>
    <m/>
    <m/>
    <m/>
    <x v="5"/>
    <m/>
    <m/>
    <m/>
    <x v="5"/>
    <m/>
    <s v=""/>
    <m/>
  </r>
  <r>
    <d v="2026-08-31T00:00:00"/>
    <s v="Sameer"/>
    <s v="Hyderabad"/>
    <x v="461"/>
    <s v="F2F"/>
    <s v="Corporate"/>
    <m/>
    <s v="Bulk Order"/>
    <s v="New"/>
    <s v="Healthcare"/>
    <s v="Rajendra Prasad"/>
    <m/>
    <s v="Discussed on Bulk order Requirement"/>
    <s v="Follow-up( C1 )"/>
    <d v="2026-09-24T00:00:00"/>
    <s v="Call"/>
    <m/>
    <m/>
    <s v="Warm"/>
    <n v="50000"/>
    <m/>
    <m/>
    <m/>
    <x v="5"/>
    <m/>
    <m/>
    <m/>
    <x v="5"/>
    <m/>
    <s v=""/>
    <m/>
  </r>
  <r>
    <d v="2026-08-31T00:00:00"/>
    <s v="Vishwanath"/>
    <s v="Bangalore"/>
    <x v="462"/>
    <s v="F2F"/>
    <s v="Corporate"/>
    <m/>
    <s v="Bulk Order"/>
    <s v="New"/>
    <s v="It"/>
    <s v="Narasimha B N"/>
    <m/>
    <s v="Discussed on Bulk order Requirement"/>
    <s v="Follow-up( C1 )"/>
    <d v="2026-09-25T00:00:00"/>
    <m/>
    <m/>
    <m/>
    <s v="Warm"/>
    <m/>
    <m/>
    <m/>
    <m/>
    <x v="5"/>
    <m/>
    <m/>
    <m/>
    <x v="5"/>
    <m/>
    <s v=""/>
    <m/>
  </r>
  <r>
    <d v="2026-09-01T00:00:00"/>
    <s v="Pradeep"/>
    <s v="Hyderabad"/>
    <x v="61"/>
    <s v="F2F"/>
    <s v="Corporate"/>
    <m/>
    <s v="Bulk Order"/>
    <s v="New"/>
    <s v="Banking Finance &amp; Insurance"/>
    <s v="Lakshmi Narayana"/>
    <m/>
    <s v="Bulk order Closed"/>
    <s v="Closed(C4)"/>
    <m/>
    <m/>
    <m/>
    <m/>
    <s v="Hot"/>
    <n v="10000"/>
    <n v="4147"/>
    <d v="2026-09-01T00:00:00"/>
    <s v="00STA02000033567"/>
    <x v="14"/>
    <s v="Received at Store"/>
    <m/>
    <d v="2026-09-01T00:00:00"/>
    <x v="6"/>
    <m/>
    <s v=""/>
    <s v="Takeaway-Bulk-Insti"/>
  </r>
  <r>
    <d v="2026-09-01T00:00:00"/>
    <s v="Pradeep"/>
    <s v="Hyderabad"/>
    <x v="463"/>
    <s v="F2F"/>
    <s v="Corporate"/>
    <m/>
    <s v="Bulk Order"/>
    <s v="New"/>
    <s v="Healthcare"/>
    <s v="Pradeep"/>
    <m/>
    <s v="Discussed on Bulk order Requirement"/>
    <s v="Negotitaion( C2 )"/>
    <d v="2026-09-25T00:00:00"/>
    <s v="Call"/>
    <m/>
    <m/>
    <s v="Warm"/>
    <n v="60000"/>
    <m/>
    <m/>
    <m/>
    <x v="5"/>
    <m/>
    <m/>
    <m/>
    <x v="6"/>
    <m/>
    <m/>
    <m/>
  </r>
  <r>
    <d v="2026-09-01T00:00:00"/>
    <s v="Pradeep"/>
    <s v="Hyderabad"/>
    <x v="464"/>
    <s v="F2F"/>
    <s v="Corporate"/>
    <m/>
    <s v="Bulk Order"/>
    <s v="New"/>
    <s v="Healthcare"/>
    <s v="Shalini"/>
    <m/>
    <s v="Proposed for Bulk Order and Biryani Kits for Gifting"/>
    <s v="Cancelled"/>
    <d v="2026-10-13T00:00:00"/>
    <m/>
    <m/>
    <m/>
    <s v="Hot"/>
    <n v="30000"/>
    <m/>
    <m/>
    <m/>
    <x v="5"/>
    <m/>
    <m/>
    <m/>
    <x v="6"/>
    <m/>
    <m/>
    <m/>
  </r>
  <r>
    <d v="2026-09-01T00:00:00"/>
    <s v="Bashab"/>
    <s v="Bangalore"/>
    <x v="37"/>
    <s v="Call"/>
    <s v="Aggregator"/>
    <s v="SmartQ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6"/>
    <m/>
    <m/>
    <m/>
  </r>
  <r>
    <d v="2026-09-01T00:00:00"/>
    <s v="Vishwanath"/>
    <s v="Bangalore"/>
    <x v="465"/>
    <s v="F2F"/>
    <s v="Aggregator"/>
    <s v="Compass"/>
    <s v="Bulk Order"/>
    <s v="Repeat"/>
    <s v="It"/>
    <s v="Saadh"/>
    <m/>
    <s v="Business Closed"/>
    <s v="Confirmed( C3 )"/>
    <m/>
    <m/>
    <m/>
    <m/>
    <s v="Hot"/>
    <m/>
    <m/>
    <m/>
    <m/>
    <x v="3"/>
    <m/>
    <m/>
    <m/>
    <x v="6"/>
    <m/>
    <m/>
    <m/>
  </r>
  <r>
    <d v="2026-09-01T00:00:00"/>
    <s v="Vishwanath"/>
    <s v="Bangalore"/>
    <x v="466"/>
    <s v="F2F"/>
    <s v="Aggregator"/>
    <s v="SmartQ"/>
    <s v="Bulk Order"/>
    <s v="Repeat"/>
    <s v="It"/>
    <s v="Harish"/>
    <m/>
    <s v="Popup Confirmed"/>
    <s v="Confirmed( C3 )"/>
    <m/>
    <m/>
    <m/>
    <m/>
    <s v="Warm"/>
    <m/>
    <m/>
    <m/>
    <m/>
    <x v="5"/>
    <m/>
    <m/>
    <m/>
    <x v="6"/>
    <m/>
    <m/>
    <m/>
  </r>
  <r>
    <d v="2026-09-01T00:00:00"/>
    <s v="Bashab"/>
    <s v="Bangalore"/>
    <x v="41"/>
    <s v="Call"/>
    <s v="Aggregator"/>
    <s v="SmartQ"/>
    <s v="Pop Up Counter"/>
    <s v="Repeat"/>
    <s v="It"/>
    <s v="Harish"/>
    <m/>
    <s v="Popup Confirmed"/>
    <s v="Confirmed( C3 )"/>
    <m/>
    <m/>
    <m/>
    <s v=""/>
    <s v="Hot"/>
    <m/>
    <m/>
    <m/>
    <m/>
    <x v="12"/>
    <m/>
    <m/>
    <m/>
    <x v="6"/>
    <m/>
    <s v=""/>
    <m/>
  </r>
  <r>
    <d v="2026-09-01T00:00:00"/>
    <s v="Bashab"/>
    <s v="Bangalore"/>
    <x v="122"/>
    <s v="Call"/>
    <s v="Aggregator"/>
    <s v="SmartQ"/>
    <s v="Pop Up Counter"/>
    <s v="Repeat"/>
    <s v="It"/>
    <s v="Naveen"/>
    <m/>
    <s v="Pop-up counter done"/>
    <s v="Confirmed( C3 )"/>
    <m/>
    <m/>
    <m/>
    <s v=""/>
    <s v="Hot"/>
    <m/>
    <m/>
    <m/>
    <m/>
    <x v="11"/>
    <m/>
    <m/>
    <m/>
    <x v="6"/>
    <m/>
    <s v=""/>
    <m/>
  </r>
  <r>
    <d v="2026-09-01T00:00:00"/>
    <s v="Bashab"/>
    <s v="Bangalore"/>
    <x v="225"/>
    <s v="F2F"/>
    <s v="Aggregator"/>
    <s v="SmartQ"/>
    <s v="Popup Counter"/>
    <s v="Repeat"/>
    <s v="It"/>
    <s v="Naveen"/>
    <m/>
    <s v="Popup Confirmed"/>
    <s v="Confirmed( C3 )"/>
    <m/>
    <m/>
    <m/>
    <s v=""/>
    <s v="Hot"/>
    <m/>
    <m/>
    <m/>
    <m/>
    <x v="11"/>
    <m/>
    <m/>
    <m/>
    <x v="6"/>
    <m/>
    <s v=""/>
    <m/>
  </r>
  <r>
    <d v="2026-09-01T00:00:00"/>
    <s v="Bashab"/>
    <s v="Bangalore"/>
    <x v="467"/>
    <s v="F2F"/>
    <s v="Aggregator"/>
    <s v="Pinnacle"/>
    <s v="ODC"/>
    <s v="Repeat"/>
    <s v="Events"/>
    <s v="Devendar"/>
    <m/>
    <s v="ODC Confirmed"/>
    <s v="Confirmed( C3 )"/>
    <m/>
    <m/>
    <m/>
    <s v=""/>
    <s v="Hot"/>
    <m/>
    <m/>
    <m/>
    <m/>
    <x v="8"/>
    <m/>
    <m/>
    <m/>
    <x v="6"/>
    <m/>
    <s v=""/>
    <m/>
  </r>
  <r>
    <d v="2026-09-01T00:00:00"/>
    <s v="Bashab"/>
    <s v="Bangalore"/>
    <x v="467"/>
    <s v="F2F"/>
    <s v="Aggregator"/>
    <s v="Meals &amp; More"/>
    <s v="ODC"/>
    <s v="Repeat"/>
    <s v="Events"/>
    <s v="Rawath"/>
    <m/>
    <s v="ODC Confirmed"/>
    <s v="Confirmed( C3 )"/>
    <m/>
    <m/>
    <m/>
    <s v=""/>
    <s v="Hot"/>
    <m/>
    <m/>
    <m/>
    <m/>
    <x v="8"/>
    <m/>
    <m/>
    <m/>
    <x v="6"/>
    <m/>
    <s v=""/>
    <m/>
  </r>
  <r>
    <d v="2026-09-01T00:00:00"/>
    <s v="Vishwanath"/>
    <s v="Bangalore"/>
    <x v="468"/>
    <s v="F2F"/>
    <s v="Corporate"/>
    <m/>
    <s v="Bulk Order"/>
    <s v="New"/>
    <s v="It"/>
    <s v="Sarvanan"/>
    <m/>
    <s v="Order Cancelled, will update for future requirements"/>
    <s v="Cancelled"/>
    <m/>
    <m/>
    <m/>
    <s v=""/>
    <s v="Warm"/>
    <n v="100000"/>
    <m/>
    <m/>
    <m/>
    <x v="5"/>
    <m/>
    <m/>
    <m/>
    <x v="6"/>
    <m/>
    <s v=""/>
    <m/>
  </r>
  <r>
    <d v="2026-09-01T00:00:00"/>
    <s v="Vishwanath"/>
    <s v="Bangalore"/>
    <x v="469"/>
    <s v="Call"/>
    <s v="Corporate"/>
    <m/>
    <s v="Bulk Order"/>
    <s v="New"/>
    <s v="It"/>
    <s v="Anand"/>
    <m/>
    <s v="Pop-up counter confirmed"/>
    <s v="Confirmed( C3 )"/>
    <m/>
    <m/>
    <m/>
    <s v=""/>
    <s v="Hot"/>
    <m/>
    <m/>
    <m/>
    <m/>
    <x v="21"/>
    <m/>
    <m/>
    <m/>
    <x v="6"/>
    <m/>
    <s v=""/>
    <m/>
  </r>
  <r>
    <d v="2026-09-01T00:00:00"/>
    <s v="Bashab"/>
    <s v="Hyderabad"/>
    <x v="156"/>
    <s v="F2F"/>
    <s v="Aggregator"/>
    <s v="Compass"/>
    <s v="Bulk Order"/>
    <s v="New"/>
    <s v="F&amp;B Aggregator"/>
    <s v="Srinivas"/>
    <m/>
    <s v="Business Closed"/>
    <s v="Confirmed( C3 )"/>
    <m/>
    <m/>
    <m/>
    <s v=""/>
    <s v="Hot"/>
    <m/>
    <m/>
    <m/>
    <m/>
    <x v="5"/>
    <m/>
    <m/>
    <m/>
    <x v="6"/>
    <m/>
    <s v=""/>
    <m/>
  </r>
  <r>
    <d v="2026-09-01T00:00:00"/>
    <s v="Bashab"/>
    <s v="Bangalore"/>
    <x v="66"/>
    <s v="Call"/>
    <s v="Aggregator"/>
    <s v="Gokhana"/>
    <s v="Pop Up Counter"/>
    <s v="Repeat"/>
    <s v="It"/>
    <s v="Navya"/>
    <m/>
    <s v="Popup Confirmed"/>
    <s v="Confirmed( C3 )"/>
    <m/>
    <m/>
    <m/>
    <s v=""/>
    <s v="Hot"/>
    <m/>
    <m/>
    <m/>
    <m/>
    <x v="11"/>
    <m/>
    <m/>
    <m/>
    <x v="6"/>
    <m/>
    <s v=""/>
    <m/>
  </r>
  <r>
    <d v="2026-09-01T00:00:00"/>
    <s v="Vishwanath"/>
    <s v="Bangalore"/>
    <x v="470"/>
    <s v="F2F"/>
    <s v="Corporate"/>
    <m/>
    <s v="Bulk Order"/>
    <s v="New"/>
    <s v="It"/>
    <s v="N Sridhar"/>
    <m/>
    <s v="Discussed on Bulk order Requirement"/>
    <s v="Follow-up( C1 )"/>
    <d v="2026-09-28T00:00:00"/>
    <m/>
    <m/>
    <m/>
    <s v="Warm"/>
    <m/>
    <m/>
    <m/>
    <m/>
    <x v="5"/>
    <m/>
    <m/>
    <m/>
    <x v="6"/>
    <m/>
    <s v=""/>
    <m/>
  </r>
  <r>
    <d v="2026-09-01T00:00:00"/>
    <s v="Vishwanath"/>
    <s v="Bangalore"/>
    <x v="471"/>
    <s v="F2F"/>
    <s v="Corporate"/>
    <m/>
    <s v="Bulk Order"/>
    <s v="New"/>
    <s v="It"/>
    <s v="Arul Selvam"/>
    <m/>
    <s v="Discussed on Bulk order Requirement"/>
    <s v="Follow-up( C1 )"/>
    <d v="2026-09-21T00:00:00"/>
    <m/>
    <m/>
    <m/>
    <s v="Warm"/>
    <m/>
    <m/>
    <m/>
    <m/>
    <x v="5"/>
    <m/>
    <m/>
    <m/>
    <x v="6"/>
    <m/>
    <s v=""/>
    <m/>
  </r>
  <r>
    <d v="2026-09-02T00:00:00"/>
    <s v="Sameer"/>
    <s v="Hyderabad"/>
    <x v="156"/>
    <s v="F2F"/>
    <s v="Aggregator"/>
    <s v="Compass"/>
    <s v="Bulk Order"/>
    <s v="New"/>
    <s v="F&amp;B Aggregator"/>
    <s v="Srinivas"/>
    <m/>
    <s v="Business Closed"/>
    <s v="Closed(C4)"/>
    <m/>
    <m/>
    <m/>
    <s v=""/>
    <s v="Hot"/>
    <n v="400000"/>
    <n v="252630"/>
    <d v="2026-09-02T00:00:00"/>
    <s v="CIFSPL070902"/>
    <x v="17"/>
    <s v="Received at HO"/>
    <m/>
    <m/>
    <x v="6"/>
    <m/>
    <s v=""/>
    <m/>
  </r>
  <r>
    <d v="2026-09-02T00:00:00"/>
    <s v="Bashab"/>
    <s v="Hyderabad"/>
    <x v="156"/>
    <s v="Call"/>
    <s v="Aggregator"/>
    <s v="Compass"/>
    <s v="Bulk Order"/>
    <s v="New"/>
    <s v="F&amp;B Aggregator"/>
    <s v="Srinivas"/>
    <m/>
    <s v="Business Closed"/>
    <s v="Closed(C4)"/>
    <m/>
    <m/>
    <m/>
    <s v=""/>
    <s v="Hot"/>
    <n v="200000"/>
    <n v="252630"/>
    <d v="2026-09-02T00:00:00"/>
    <s v="CIFSPL070902"/>
    <x v="17"/>
    <s v="Received at HO"/>
    <m/>
    <m/>
    <x v="6"/>
    <m/>
    <s v=""/>
    <m/>
  </r>
  <r>
    <d v="2026-09-02T00:00:00"/>
    <s v="Pradeep"/>
    <s v="Hyderabad"/>
    <x v="472"/>
    <s v="F2F"/>
    <s v="Corporate"/>
    <m/>
    <s v="Bulk Order"/>
    <s v="New"/>
    <s v="It"/>
    <s v="Santosh"/>
    <m/>
    <s v="Discussed on Bulk order Requirement"/>
    <s v="Follow-up( C1 )"/>
    <m/>
    <m/>
    <m/>
    <m/>
    <s v="Hot"/>
    <n v="35000"/>
    <m/>
    <m/>
    <m/>
    <x v="5"/>
    <m/>
    <m/>
    <m/>
    <x v="6"/>
    <m/>
    <s v=""/>
    <m/>
  </r>
  <r>
    <d v="2026-09-02T00:00:00"/>
    <s v="Pradeep"/>
    <s v="Hyderabad"/>
    <x v="473"/>
    <s v="F2F"/>
    <s v="Corporate"/>
    <m/>
    <s v="Bulk Order"/>
    <s v="New"/>
    <s v="Healthcare"/>
    <s v="Arshiya"/>
    <m/>
    <s v="Proposed for Bulk Order and Biryani Kits for Gifting"/>
    <s v="Negotitaion( C2 )"/>
    <d v="2026-09-16T00:00:00"/>
    <s v="F2F"/>
    <m/>
    <m/>
    <s v="Hot"/>
    <n v="60000"/>
    <m/>
    <m/>
    <m/>
    <x v="5"/>
    <m/>
    <m/>
    <m/>
    <x v="6"/>
    <m/>
    <s v=""/>
    <m/>
  </r>
  <r>
    <d v="2026-09-02T00:00:00"/>
    <s v="Sameer"/>
    <s v="Hyderabad"/>
    <x v="56"/>
    <s v="F2F"/>
    <s v="Corporate"/>
    <m/>
    <s v="Bulk Order"/>
    <s v="New"/>
    <s v="Healthcare"/>
    <s v="Asad"/>
    <m/>
    <s v="Discussed on Bulk order Requirement"/>
    <s v="Confirmed( C3 )"/>
    <d v="2026-10-16T00:00:00"/>
    <s v="Call"/>
    <m/>
    <m/>
    <s v="Hot"/>
    <n v="0"/>
    <m/>
    <m/>
    <m/>
    <x v="5"/>
    <m/>
    <m/>
    <m/>
    <x v="6"/>
    <m/>
    <m/>
    <m/>
  </r>
  <r>
    <d v="2026-09-02T00:00:00"/>
    <s v="Pradeep"/>
    <s v="Hyderabad"/>
    <x v="474"/>
    <s v="F2F"/>
    <s v="Corporate"/>
    <m/>
    <s v="Bulk Order"/>
    <s v="New"/>
    <s v="It"/>
    <s v="Bhanu"/>
    <m/>
    <s v="Discussed on Bulk order Requirement"/>
    <s v="Negotitaion( C2 )"/>
    <m/>
    <m/>
    <m/>
    <m/>
    <s v="Hot"/>
    <n v="40000"/>
    <m/>
    <m/>
    <m/>
    <x v="5"/>
    <m/>
    <m/>
    <m/>
    <x v="6"/>
    <m/>
    <s v=""/>
    <m/>
  </r>
  <r>
    <d v="2026-09-02T00:00:00"/>
    <s v="Pradeep"/>
    <s v="Hyderabad"/>
    <x v="475"/>
    <s v="F2F"/>
    <s v="Corporate"/>
    <m/>
    <s v="Bulk Order"/>
    <s v="New"/>
    <s v="Manufacturing"/>
    <s v="Ravi"/>
    <m/>
    <s v="Proposed for Bulk Order and Biryani Kits for Gifting"/>
    <s v="Negotitaion( C2 )"/>
    <m/>
    <m/>
    <m/>
    <m/>
    <s v="Hot"/>
    <n v="50000"/>
    <m/>
    <m/>
    <m/>
    <x v="5"/>
    <m/>
    <m/>
    <m/>
    <x v="6"/>
    <m/>
    <s v=""/>
    <m/>
  </r>
  <r>
    <d v="2026-09-02T00:00:00"/>
    <s v="Sameer"/>
    <s v="Hyderabad"/>
    <x v="476"/>
    <s v="F2F"/>
    <s v="Corporate"/>
    <m/>
    <s v="Bulk Order"/>
    <s v="New"/>
    <s v="Events"/>
    <s v="Saltanat"/>
    <m/>
    <s v="Bulk order "/>
    <s v="Confirmed( C3 )"/>
    <d v="2026-09-26T00:00:00"/>
    <s v="Call"/>
    <m/>
    <m/>
    <s v="Hot"/>
    <n v="0"/>
    <m/>
    <m/>
    <m/>
    <x v="5"/>
    <m/>
    <m/>
    <m/>
    <x v="6"/>
    <m/>
    <m/>
    <m/>
  </r>
  <r>
    <d v="2026-09-02T00:00:00"/>
    <s v="Sameer"/>
    <s v="Hyderabad"/>
    <x v="204"/>
    <s v="F2F"/>
    <s v="Corporate"/>
    <m/>
    <s v="Bulk Order"/>
    <s v="New"/>
    <s v="Exhibition"/>
    <s v="Venu Gopal"/>
    <m/>
    <s v="Bulk order Business"/>
    <s v="Confirmed( C3 )"/>
    <m/>
    <m/>
    <m/>
    <m/>
    <s v="Hot"/>
    <n v="0"/>
    <m/>
    <m/>
    <m/>
    <x v="5"/>
    <m/>
    <m/>
    <m/>
    <x v="6"/>
    <m/>
    <m/>
    <m/>
  </r>
  <r>
    <d v="2026-09-02T00:00:00"/>
    <s v="Bashab"/>
    <s v="Bangalore"/>
    <x v="11"/>
    <s v="F2F"/>
    <s v="Corporate"/>
    <m/>
    <s v="Bulk Order"/>
    <s v="New"/>
    <s v="It"/>
    <s v="Jeevan"/>
    <m/>
    <s v="Bulk order Delivery"/>
    <s v="Closed(C4)"/>
    <m/>
    <m/>
    <m/>
    <m/>
    <s v="Hot"/>
    <n v="40000"/>
    <n v="41801"/>
    <m/>
    <s v="00JNTA1000018018"/>
    <x v="8"/>
    <s v="Received at Store"/>
    <m/>
    <d v="2026-09-02T00:00:00"/>
    <x v="6"/>
    <m/>
    <s v=""/>
    <m/>
  </r>
  <r>
    <d v="2026-09-02T00:00:00"/>
    <s v="Vishwanath"/>
    <s v="Bangalore"/>
    <x v="477"/>
    <s v="F2F"/>
    <s v="Bulk Order"/>
    <m/>
    <s v="Bulk Order"/>
    <s v="New"/>
    <s v="Transport"/>
    <s v="Naveen Kumar"/>
    <m/>
    <s v="Discussed on Bulk order Requirement"/>
    <s v="Follow-up( C1 )"/>
    <d v="2026-09-15T00:00:00"/>
    <m/>
    <m/>
    <m/>
    <s v="Warm"/>
    <m/>
    <m/>
    <m/>
    <m/>
    <x v="5"/>
    <m/>
    <m/>
    <m/>
    <x v="6"/>
    <m/>
    <s v=""/>
    <m/>
  </r>
  <r>
    <d v="2026-09-02T00:00:00"/>
    <s v="Vishwanath"/>
    <s v="Bangalore"/>
    <x v="478"/>
    <s v="F2F"/>
    <s v="Bulk Order"/>
    <m/>
    <s v="Bulk Order"/>
    <s v="New"/>
    <s v="Concert"/>
    <s v="Vivek"/>
    <m/>
    <s v="Discussed on Bulk order Requirement"/>
    <s v="Follow-up( C1 )"/>
    <d v="2026-09-15T00:00:00"/>
    <m/>
    <m/>
    <m/>
    <s v="Warm"/>
    <m/>
    <m/>
    <m/>
    <m/>
    <x v="5"/>
    <m/>
    <m/>
    <m/>
    <x v="6"/>
    <m/>
    <s v=""/>
    <m/>
  </r>
  <r>
    <d v="2026-09-02T00:00:00"/>
    <s v="Bashab"/>
    <s v="Bangalore"/>
    <x v="479"/>
    <s v="F2F"/>
    <s v="Corporate"/>
    <m/>
    <s v="Pop Up Counter"/>
    <s v="New"/>
    <s v="It"/>
    <s v="Nehal"/>
    <m/>
    <s v="Business Closed"/>
    <s v="Closed(C4)"/>
    <m/>
    <m/>
    <m/>
    <m/>
    <s v="Hot"/>
    <n v="15000"/>
    <n v="62137"/>
    <d v="2026-09-02T00:00:00"/>
    <s v="00WFTA1000041457"/>
    <x v="7"/>
    <s v="Received at HO"/>
    <m/>
    <m/>
    <x v="6"/>
    <m/>
    <s v=""/>
    <m/>
  </r>
  <r>
    <d v="2026-09-02T00:00:00"/>
    <s v="Vishwanath"/>
    <s v="Bangalore"/>
    <x v="276"/>
    <s v="F2F"/>
    <s v="Aggregator"/>
    <s v="SmartQ"/>
    <s v="Pop Up Counter"/>
    <s v="New"/>
    <s v="It"/>
    <s v="Adhnan"/>
    <m/>
    <s v="Business Closed"/>
    <s v="Closed(C4)"/>
    <m/>
    <m/>
    <m/>
    <m/>
    <s v="Hot"/>
    <n v="10000"/>
    <n v="18505"/>
    <d v="2026-09-02T00:00:00"/>
    <m/>
    <x v="12"/>
    <s v="Received at HO"/>
    <m/>
    <m/>
    <x v="6"/>
    <m/>
    <s v=""/>
    <m/>
  </r>
  <r>
    <d v="2026-09-02T00:00:00"/>
    <s v="Vishwanath"/>
    <s v="Bangalore"/>
    <x v="16"/>
    <s v="Call"/>
    <s v="Corporate"/>
    <s v="Compass"/>
    <s v="Bulk Order"/>
    <s v="Repeat"/>
    <s v="Retail"/>
    <s v="Mohammed"/>
    <m/>
    <s v="Business Closed"/>
    <s v="Closed(C4)"/>
    <m/>
    <m/>
    <s v=""/>
    <s v=""/>
    <s v="Hot"/>
    <n v="25000"/>
    <n v="27958"/>
    <d v="2026-09-02T00:00:00"/>
    <s v="00HSA06000008698"/>
    <x v="3"/>
    <s v="Received at HO"/>
    <m/>
    <m/>
    <x v="6"/>
    <m/>
    <s v=""/>
    <m/>
  </r>
  <r>
    <d v="2026-09-02T00:00:00"/>
    <s v="Sameer"/>
    <s v="Bangalore"/>
    <x v="16"/>
    <s v="Call"/>
    <s v="Corporate"/>
    <s v="Compass"/>
    <s v="Bulk Order"/>
    <s v="Repeat"/>
    <s v="Retail"/>
    <s v="Mohammed"/>
    <m/>
    <s v="Business follow-up"/>
    <s v="Closed(C4)"/>
    <m/>
    <m/>
    <s v=""/>
    <s v=""/>
    <s v="Hot"/>
    <n v="25000"/>
    <n v="27958"/>
    <d v="2026-09-02T00:00:00"/>
    <s v="00HSA06000008698"/>
    <x v="3"/>
    <s v="Received at HO"/>
    <m/>
    <m/>
    <x v="6"/>
    <m/>
    <s v=""/>
    <m/>
  </r>
  <r>
    <d v="2026-09-03T00:00:00"/>
    <s v="Pradeep"/>
    <s v="Hyderabad"/>
    <x v="480"/>
    <s v="F2F"/>
    <s v="Corporate"/>
    <m/>
    <s v="Bulk Order"/>
    <s v="New"/>
    <s v="College"/>
    <s v="Rajreddy"/>
    <m/>
    <s v="Proposed for Bulk Order and Biryani Kits for Gifting"/>
    <s v="Follow-up( C1 )"/>
    <d v="2026-09-19T00:00:00"/>
    <s v="Call"/>
    <m/>
    <m/>
    <s v="Warm"/>
    <n v="32000"/>
    <m/>
    <m/>
    <m/>
    <x v="5"/>
    <m/>
    <m/>
    <m/>
    <x v="6"/>
    <m/>
    <s v=""/>
    <m/>
  </r>
  <r>
    <d v="2026-09-03T00:00:00"/>
    <s v="Pradeep"/>
    <s v="Hyderabad"/>
    <x v="481"/>
    <s v="F2F"/>
    <s v="Corporate"/>
    <m/>
    <s v="Bulk Order"/>
    <s v="New"/>
    <s v="Healthcare"/>
    <s v="Soujanya"/>
    <m/>
    <s v="Discussed on Bulk order Requirement"/>
    <s v="Confirmed( C3 )"/>
    <d v="2026-10-23T00:00:00"/>
    <s v="Call"/>
    <m/>
    <m/>
    <s v="Hot"/>
    <n v="46000"/>
    <m/>
    <m/>
    <m/>
    <x v="5"/>
    <m/>
    <m/>
    <m/>
    <x v="6"/>
    <m/>
    <s v=""/>
    <m/>
  </r>
  <r>
    <d v="2026-09-03T00:00:00"/>
    <s v="Sameer"/>
    <s v="Hyderabad"/>
    <x v="482"/>
    <s v="F2F"/>
    <s v="Corporate"/>
    <m/>
    <s v="Bulk Order"/>
    <s v="New"/>
    <s v="Healthcare"/>
    <s v="Tanmoy"/>
    <m/>
    <s v="Bulk order "/>
    <s v="Negotitaion( C2 )"/>
    <d v="2026-09-13T00:00:00"/>
    <s v="Call"/>
    <m/>
    <m/>
    <s v="Warm"/>
    <n v="130000"/>
    <m/>
    <m/>
    <m/>
    <x v="5"/>
    <m/>
    <m/>
    <m/>
    <x v="6"/>
    <m/>
    <m/>
    <m/>
  </r>
  <r>
    <d v="2026-09-03T00:00:00"/>
    <s v="Sameer"/>
    <s v="Hyderabad"/>
    <x v="483"/>
    <s v="Call"/>
    <s v="Corporate"/>
    <m/>
    <s v="Bulk Order"/>
    <s v="New"/>
    <s v="Pharma"/>
    <s v="Sandeep"/>
    <m/>
    <s v="Bulk order "/>
    <s v="Follow-up( C1 )"/>
    <d v="2026-09-24T00:00:00"/>
    <s v="Call"/>
    <m/>
    <m/>
    <s v="Warm"/>
    <n v="200000"/>
    <m/>
    <m/>
    <m/>
    <x v="5"/>
    <m/>
    <m/>
    <m/>
    <x v="6"/>
    <m/>
    <m/>
    <m/>
  </r>
  <r>
    <d v="2026-09-03T00:00:00"/>
    <s v="Pradeep"/>
    <s v="Hyderabad"/>
    <x v="484"/>
    <s v="F2F"/>
    <s v="Corporate"/>
    <m/>
    <s v="Bulk Order"/>
    <s v="New"/>
    <s v="Education"/>
    <s v="Krishna"/>
    <m/>
    <s v="Proposed for Bulk Order and Biryani Kits for Gifting"/>
    <s v="Follow-up( C1 )"/>
    <d v="2026-09-11T00:00:00"/>
    <s v="F2F"/>
    <m/>
    <m/>
    <s v="Hot"/>
    <n v="50000"/>
    <m/>
    <m/>
    <m/>
    <x v="5"/>
    <m/>
    <m/>
    <m/>
    <x v="6"/>
    <m/>
    <s v=""/>
    <m/>
  </r>
  <r>
    <d v="2026-09-03T00:00:00"/>
    <s v="Pradeep"/>
    <s v="Hyderabad"/>
    <x v="485"/>
    <s v="F2F"/>
    <s v="Corporate"/>
    <m/>
    <s v="Bulk Order"/>
    <s v="New"/>
    <s v="Manufacturing"/>
    <s v="Madhu"/>
    <m/>
    <s v="Discussed on Bulk order Requirement"/>
    <s v="Negotitaion( C2 )"/>
    <m/>
    <m/>
    <m/>
    <m/>
    <s v="Warm"/>
    <n v="25000"/>
    <m/>
    <m/>
    <m/>
    <x v="5"/>
    <m/>
    <m/>
    <m/>
    <x v="6"/>
    <m/>
    <s v=""/>
    <m/>
  </r>
  <r>
    <d v="2026-09-03T00:00:00"/>
    <s v="Sameer"/>
    <s v="Hyderabad"/>
    <x v="259"/>
    <s v="F2F"/>
    <s v="Corporate"/>
    <m/>
    <s v="Pop Up Counter"/>
    <s v="New"/>
    <s v="It"/>
    <s v="Sasidevi"/>
    <m/>
    <s v="Pop-Up Bulk Order"/>
    <s v="Confirmed( C3 )"/>
    <d v="2026-09-23T00:00:00"/>
    <s v="Call"/>
    <m/>
    <m/>
    <s v="Hot"/>
    <n v="0"/>
    <m/>
    <m/>
    <m/>
    <x v="5"/>
    <m/>
    <m/>
    <m/>
    <x v="6"/>
    <m/>
    <m/>
    <m/>
  </r>
  <r>
    <d v="2026-09-03T00:00:00"/>
    <s v="Sameer"/>
    <s v="Hyderabad"/>
    <x v="77"/>
    <s v="F2F"/>
    <s v="Corporate"/>
    <m/>
    <s v="Bulk Order"/>
    <s v="New"/>
    <s v="It"/>
    <s v="Jaipal"/>
    <m/>
    <s v="Bulk order Take away"/>
    <s v="Confirmed( C3 )"/>
    <d v="2026-09-28T00:00:00"/>
    <s v="Call"/>
    <m/>
    <m/>
    <s v="Hot"/>
    <n v="20000"/>
    <m/>
    <d v="2026-10-10T00:00:00"/>
    <m/>
    <x v="5"/>
    <m/>
    <m/>
    <m/>
    <x v="4"/>
    <m/>
    <m/>
    <m/>
  </r>
  <r>
    <d v="2026-09-03T00:00:00"/>
    <s v="Vishwanath"/>
    <s v="Bangalore"/>
    <x v="486"/>
    <s v="F2F"/>
    <s v="Corporate"/>
    <m/>
    <s v="Bulk Order"/>
    <s v="New"/>
    <s v="It"/>
    <s v="Venkatakrishnan"/>
    <m/>
    <s v="Discussed on Bulk order Requirement"/>
    <s v="Follow-up( C1 )"/>
    <d v="2026-09-21T00:00:00"/>
    <m/>
    <m/>
    <m/>
    <s v="Warm"/>
    <m/>
    <m/>
    <m/>
    <m/>
    <x v="5"/>
    <m/>
    <m/>
    <m/>
    <x v="6"/>
    <m/>
    <s v=""/>
    <m/>
  </r>
  <r>
    <d v="2026-09-04T00:00:00"/>
    <s v="Pradeep"/>
    <s v="Hyderabad"/>
    <x v="487"/>
    <s v="F2F"/>
    <s v="Corporate"/>
    <m/>
    <s v="Bulk Order"/>
    <s v="New"/>
    <s v="Healthcare"/>
    <s v="Shiva"/>
    <m/>
    <s v="Proposed for Bulk Order and Biryani Kits for Gifting"/>
    <s v="Cancelled"/>
    <d v="2026-09-13T00:00:00"/>
    <s v="Call"/>
    <m/>
    <m/>
    <s v="Hot"/>
    <n v="60000"/>
    <m/>
    <m/>
    <m/>
    <x v="5"/>
    <m/>
    <m/>
    <m/>
    <x v="6"/>
    <m/>
    <s v=""/>
    <m/>
  </r>
  <r>
    <d v="2026-09-04T00:00:00"/>
    <s v="Pradeep"/>
    <s v="Hyderabad"/>
    <x v="488"/>
    <s v="F2F"/>
    <s v="Corporate"/>
    <m/>
    <s v="Bulk Order"/>
    <s v="New"/>
    <s v="It"/>
    <s v="Sameer"/>
    <m/>
    <s v="Proposed for Bulk Order and Biryani Kits for Gifting"/>
    <s v="Follow-up( C1 )"/>
    <m/>
    <m/>
    <m/>
    <m/>
    <s v="Hot"/>
    <n v="55000"/>
    <m/>
    <m/>
    <m/>
    <x v="5"/>
    <m/>
    <m/>
    <m/>
    <x v="6"/>
    <m/>
    <s v=""/>
    <m/>
  </r>
  <r>
    <d v="2026-09-04T00:00:00"/>
    <s v="Sameer"/>
    <s v="Hyderabad"/>
    <x v="489"/>
    <s v="F2F"/>
    <s v="Corporate"/>
    <m/>
    <s v="Bulk Order"/>
    <s v="New"/>
    <s v="Transport"/>
    <s v="Mallikarjuna"/>
    <m/>
    <s v="Bulk order "/>
    <s v="Confirmed( C3 )"/>
    <d v="2026-09-24T00:00:00"/>
    <s v="Call"/>
    <m/>
    <m/>
    <s v="Hot"/>
    <n v="80000"/>
    <m/>
    <d v="2026-10-11T00:00:00"/>
    <m/>
    <x v="5"/>
    <m/>
    <m/>
    <m/>
    <x v="4"/>
    <m/>
    <m/>
    <m/>
  </r>
  <r>
    <d v="2026-09-04T00:00:00"/>
    <s v="Pradeep"/>
    <s v="Hyderabad"/>
    <x v="425"/>
    <s v="F2F"/>
    <s v="Corporate"/>
    <m/>
    <s v="Bulk Order"/>
    <s v="New"/>
    <s v="Realestate"/>
    <s v="Venkat"/>
    <m/>
    <s v="Discussed on Bulk order Requirement"/>
    <s v="Negotitaion( C2 )"/>
    <d v="2026-09-26T00:00:00"/>
    <s v="Call"/>
    <m/>
    <m/>
    <s v="Warm"/>
    <n v="40000"/>
    <m/>
    <m/>
    <m/>
    <x v="5"/>
    <m/>
    <m/>
    <m/>
    <x v="6"/>
    <m/>
    <s v=""/>
    <m/>
  </r>
  <r>
    <d v="2026-09-04T00:00:00"/>
    <s v="Pradeep"/>
    <s v="Hyderabad"/>
    <x v="490"/>
    <s v="F2F"/>
    <s v="Corporate"/>
    <m/>
    <s v="Bulk Order"/>
    <s v="New"/>
    <s v="It"/>
    <s v="Swathi"/>
    <m/>
    <s v="Proposed for Bulk Order and Biryani Kits for Gifting"/>
    <s v="Cancelled"/>
    <d v="2026-09-18T00:00:00"/>
    <s v="Call"/>
    <m/>
    <m/>
    <s v="Hot"/>
    <n v="80000"/>
    <m/>
    <m/>
    <m/>
    <x v="5"/>
    <m/>
    <m/>
    <m/>
    <x v="6"/>
    <m/>
    <s v=""/>
    <m/>
  </r>
  <r>
    <d v="2026-09-04T00:00:00"/>
    <s v="Sameer"/>
    <s v="Hyderabad"/>
    <x v="138"/>
    <s v="F2F"/>
    <s v="Corporate"/>
    <m/>
    <s v="Bulk Order"/>
    <s v="New"/>
    <s v="Education"/>
    <s v="Hyder"/>
    <m/>
    <s v="Awaiting for setup "/>
    <s v="Confirmed( C3 )"/>
    <d v="2026-09-13T00:00:00"/>
    <s v="Call"/>
    <m/>
    <m/>
    <s v="Hot"/>
    <n v="300000"/>
    <m/>
    <d v="2026-10-10T00:00:00"/>
    <m/>
    <x v="5"/>
    <m/>
    <m/>
    <m/>
    <x v="4"/>
    <m/>
    <m/>
    <m/>
  </r>
  <r>
    <d v="2026-09-04T00:00:00"/>
    <s v="Sameer"/>
    <s v="Hyderabad"/>
    <x v="144"/>
    <s v="F2F"/>
    <s v="Corporate"/>
    <m/>
    <s v="Bulk Order"/>
    <s v="New"/>
    <s v="Transport"/>
    <s v="Kiran"/>
    <m/>
    <s v="Discussed on Bulk order Requirement"/>
    <s v="Confirmed( C3 )"/>
    <d v="2026-09-24T00:00:00"/>
    <s v="Call"/>
    <m/>
    <m/>
    <s v="Hot"/>
    <n v="0"/>
    <m/>
    <m/>
    <m/>
    <x v="5"/>
    <m/>
    <m/>
    <m/>
    <x v="6"/>
    <m/>
    <m/>
    <m/>
  </r>
  <r>
    <d v="2026-09-04T00:00:00"/>
    <s v="Vishwanath"/>
    <s v="Bangalore"/>
    <x v="491"/>
    <s v="F2F"/>
    <s v="Corporate"/>
    <m/>
    <s v="Bulk Order"/>
    <s v="New"/>
    <s v="Banking Finance &amp; Insurance"/>
    <s v="Sonika Gowda"/>
    <m/>
    <s v="Discussed on Bulk order Requirement"/>
    <s v="Follow-up( C1 )"/>
    <d v="2026-09-18T00:00:00"/>
    <m/>
    <m/>
    <m/>
    <s v="Warm"/>
    <m/>
    <m/>
    <m/>
    <m/>
    <x v="5"/>
    <m/>
    <m/>
    <m/>
    <x v="6"/>
    <m/>
    <s v=""/>
    <m/>
  </r>
  <r>
    <d v="2026-09-05T00:00:00"/>
    <s v="Pradeep"/>
    <s v="Hyderabad"/>
    <x v="492"/>
    <s v="F2F"/>
    <s v="Bulk Order"/>
    <m/>
    <s v="Bulk Order"/>
    <s v="New"/>
    <s v="Education"/>
    <s v="Farmaan"/>
    <m/>
    <s v="Bulk order Closed"/>
    <s v="Closed(C4)"/>
    <m/>
    <m/>
    <m/>
    <m/>
    <s v="Hot"/>
    <n v="10000"/>
    <n v="3455"/>
    <d v="2026-09-05T00:00:00"/>
    <s v="00HTA05000011819"/>
    <x v="22"/>
    <s v="Received at Store"/>
    <m/>
    <d v="2026-09-04T00:00:00"/>
    <x v="6"/>
    <m/>
    <s v=""/>
    <s v="Takeaway-Bulk-Insti"/>
  </r>
  <r>
    <d v="2026-09-05T00:00:00"/>
    <s v="Sameer"/>
    <s v="Hyderabad"/>
    <x v="333"/>
    <s v="F2F"/>
    <s v="Aggregator"/>
    <s v="Hunger Box"/>
    <s v="Bulk Order"/>
    <s v="New"/>
    <s v="It"/>
    <s v="Manganu"/>
    <m/>
    <s v="Bulk delivery and serving on 5th sept from BHEL"/>
    <s v="Closed(C4)"/>
    <m/>
    <m/>
    <m/>
    <m/>
    <s v="Hot"/>
    <n v="40000"/>
    <n v="50400"/>
    <d v="2026-09-05T00:00:00"/>
    <m/>
    <x v="1"/>
    <s v="Received at HO"/>
    <m/>
    <m/>
    <x v="6"/>
    <m/>
    <s v=""/>
    <m/>
  </r>
  <r>
    <d v="2026-09-05T00:00:00"/>
    <s v="Sameer"/>
    <s v="Hyderabad"/>
    <x v="493"/>
    <s v="Call"/>
    <s v="Bulk Order"/>
    <m/>
    <s v="Bulk Order"/>
    <s v="New"/>
    <s v="Education"/>
    <s v="Arun"/>
    <m/>
    <s v="Bulk order Delivery"/>
    <s v="Follow-up( C1 )"/>
    <d v="2026-09-28T00:00:00"/>
    <s v="Call"/>
    <m/>
    <m/>
    <s v="Hot"/>
    <n v="80000"/>
    <m/>
    <m/>
    <m/>
    <x v="5"/>
    <m/>
    <m/>
    <m/>
    <x v="6"/>
    <m/>
    <m/>
    <m/>
  </r>
  <r>
    <d v="2026-09-07T00:00:00"/>
    <s v="Pradeep"/>
    <s v="Hyderabad"/>
    <x v="494"/>
    <s v="F2F"/>
    <s v="Aggregator"/>
    <s v="Pinnacle"/>
    <s v="Pop Up Counter"/>
    <s v="New"/>
    <s v="Exhibition"/>
    <s v="Devendra"/>
    <m/>
    <s v="Pop-Up Bulk Order"/>
    <s v="Closed(C4)"/>
    <m/>
    <m/>
    <m/>
    <m/>
    <s v="Hot"/>
    <n v="300000"/>
    <n v="64310"/>
    <m/>
    <s v="00MTTA1000034110"/>
    <x v="18"/>
    <s v="Received at HO"/>
    <m/>
    <m/>
    <x v="6"/>
    <m/>
    <s v=""/>
    <m/>
  </r>
  <r>
    <d v="2026-09-07T00:00:00"/>
    <s v="Pradeep"/>
    <s v="Hyderabad"/>
    <x v="204"/>
    <s v="F2F"/>
    <s v="Corporate"/>
    <m/>
    <s v="Bulk Order"/>
    <s v="New"/>
    <s v="Exhibition"/>
    <s v="VenuGopal"/>
    <m/>
    <s v="Pop-Up Bulk Order"/>
    <s v="Closed(C4)"/>
    <m/>
    <m/>
    <m/>
    <m/>
    <s v="Hot"/>
    <n v="50000"/>
    <n v="13830"/>
    <m/>
    <s v="00MTTA1000069177"/>
    <x v="18"/>
    <m/>
    <m/>
    <m/>
    <x v="7"/>
    <m/>
    <m/>
    <m/>
  </r>
  <r>
    <d v="2026-09-07T00:00:00"/>
    <s v="Sameer"/>
    <s v="Hyderabad"/>
    <x v="495"/>
    <s v="F2F"/>
    <s v="Bulk Order"/>
    <m/>
    <s v="Bulk Order"/>
    <s v="New"/>
    <s v="Manufacturing"/>
    <s v="Bharat"/>
    <m/>
    <s v="Bulk order for coupons"/>
    <s v="Follow-up( C1 )"/>
    <d v="2026-09-29T00:00:00"/>
    <s v="Call"/>
    <m/>
    <m/>
    <s v="Hot"/>
    <n v="1500000"/>
    <m/>
    <m/>
    <m/>
    <x v="5"/>
    <m/>
    <m/>
    <m/>
    <x v="6"/>
    <m/>
    <s v=""/>
    <m/>
  </r>
  <r>
    <d v="2026-09-07T00:00:00"/>
    <s v="Sameer"/>
    <s v="Hyderabad"/>
    <x v="496"/>
    <s v="F2F"/>
    <s v="Bulk Order"/>
    <m/>
    <s v="Bulk Order"/>
    <s v="New"/>
    <s v="Healthcare"/>
    <s v="Rupesh"/>
    <m/>
    <s v="Discussed on Bulk order Requirement"/>
    <s v="Negotitaion( C2 )"/>
    <d v="2026-09-25T00:00:00"/>
    <s v="Call"/>
    <m/>
    <m/>
    <s v="Warm"/>
    <n v="85000"/>
    <m/>
    <m/>
    <m/>
    <x v="5"/>
    <m/>
    <m/>
    <m/>
    <x v="6"/>
    <m/>
    <s v=""/>
    <m/>
  </r>
  <r>
    <d v="2026-09-07T00:00:00"/>
    <s v="Sameer"/>
    <s v="Hyderabad"/>
    <x v="497"/>
    <s v="F2F"/>
    <s v="Corporate"/>
    <m/>
    <s v="Bulk Order"/>
    <s v="New"/>
    <s v="Banking Finance &amp; Insurance"/>
    <s v="Nilesh"/>
    <m/>
    <s v="Discussed on Bulk order Requirement"/>
    <s v="Negotitaion( C2 )"/>
    <d v="2026-09-24T00:00:00"/>
    <s v="Call"/>
    <m/>
    <m/>
    <s v="Hot"/>
    <n v="65000"/>
    <m/>
    <m/>
    <m/>
    <x v="5"/>
    <m/>
    <m/>
    <m/>
    <x v="6"/>
    <m/>
    <s v=""/>
    <m/>
  </r>
  <r>
    <d v="2026-09-07T00:00:00"/>
    <s v="Sameer"/>
    <s v="Hyderabad"/>
    <x v="483"/>
    <s v="F2F"/>
    <s v="Corporate"/>
    <m/>
    <s v="Bulk Order"/>
    <s v="New"/>
    <s v="Pharma"/>
    <s v="Sandeep"/>
    <m/>
    <s v="Bulk order Requirement"/>
    <s v="Confirmed( C3 )"/>
    <d v="2026-09-18T00:00:00"/>
    <s v="Call"/>
    <m/>
    <m/>
    <s v="Hot"/>
    <n v="0"/>
    <m/>
    <m/>
    <m/>
    <x v="5"/>
    <m/>
    <m/>
    <m/>
    <x v="6"/>
    <m/>
    <s v=""/>
    <m/>
  </r>
  <r>
    <d v="2026-09-07T00:00:00"/>
    <s v="Vishwanath"/>
    <s v="Bangalore"/>
    <x v="498"/>
    <s v="F2F"/>
    <s v="Aggregator"/>
    <s v="Pinnacle"/>
    <s v="Pop Up Counter"/>
    <s v="New"/>
    <s v="Exhibition"/>
    <s v="Devendra"/>
    <m/>
    <s v="Bulk order Delivery"/>
    <s v="Closed(C4)"/>
    <m/>
    <m/>
    <m/>
    <m/>
    <s v="Hot"/>
    <n v="100000"/>
    <n v="103820"/>
    <m/>
    <s v="00JNTA1000018031"/>
    <x v="8"/>
    <s v="Received at HO"/>
    <m/>
    <m/>
    <x v="6"/>
    <m/>
    <s v=""/>
    <m/>
  </r>
  <r>
    <d v="2026-09-07T00:00:00"/>
    <s v="Bashab"/>
    <s v="Bangalore"/>
    <x v="499"/>
    <s v="F2F"/>
    <s v="Corporate"/>
    <m/>
    <s v="Bulk Order"/>
    <s v="New"/>
    <s v="It"/>
    <s v="Sanjay"/>
    <m/>
    <s v="Bulk order Delivery"/>
    <s v="Closed(C4)"/>
    <m/>
    <m/>
    <m/>
    <m/>
    <s v="Hot"/>
    <n v="46000"/>
    <n v="46000"/>
    <m/>
    <s v="00JNTA1000018029_x000a_00JNTA1000018030"/>
    <x v="8"/>
    <s v="Received at HO"/>
    <m/>
    <m/>
    <x v="6"/>
    <m/>
    <s v=""/>
    <m/>
  </r>
  <r>
    <d v="2026-09-07T00:00:00"/>
    <s v="Pradeep"/>
    <s v="Hyderabad"/>
    <x v="500"/>
    <s v="F2F"/>
    <s v="Corporate"/>
    <m/>
    <s v="Bulk Order"/>
    <s v="New"/>
    <s v="Manufacturing"/>
    <s v="Sharma"/>
    <m/>
    <s v="Proposed for Bulk Order and Biryani Kits for Gifting"/>
    <s v="Negotitaion( C2 )"/>
    <d v="2026-09-17T00:00:00"/>
    <m/>
    <m/>
    <m/>
    <s v="Warm"/>
    <n v="25000"/>
    <m/>
    <m/>
    <m/>
    <x v="5"/>
    <m/>
    <m/>
    <m/>
    <x v="6"/>
    <m/>
    <s v=""/>
    <m/>
  </r>
  <r>
    <d v="2026-09-07T00:00:00"/>
    <s v="Pradeep"/>
    <s v="Hyderabad"/>
    <x v="501"/>
    <s v="F2F"/>
    <s v="Corporate"/>
    <m/>
    <s v="Bulk Order"/>
    <s v="New"/>
    <s v="It"/>
    <s v="Anitha"/>
    <m/>
    <s v="Discussed on Bulk order Requirement"/>
    <s v="Follow-up( C1 )"/>
    <m/>
    <m/>
    <m/>
    <m/>
    <s v="Cold"/>
    <n v="30000"/>
    <m/>
    <m/>
    <m/>
    <x v="5"/>
    <m/>
    <m/>
    <m/>
    <x v="6"/>
    <m/>
    <s v=""/>
    <m/>
  </r>
  <r>
    <d v="2026-09-07T00:00:00"/>
    <s v="Pradeep"/>
    <s v="Hyderabad"/>
    <x v="502"/>
    <s v="F2F"/>
    <s v="Corporate"/>
    <m/>
    <s v="Bulk Order"/>
    <s v="New"/>
    <s v="It"/>
    <s v="Praveen"/>
    <m/>
    <s v="Proposed for Bulk Order and Biryani Kits for Gifting"/>
    <s v="Negotitaion( C2 )"/>
    <d v="2026-09-26T00:00:00"/>
    <m/>
    <m/>
    <m/>
    <s v="Warm"/>
    <n v="42000"/>
    <m/>
    <m/>
    <m/>
    <x v="5"/>
    <m/>
    <m/>
    <m/>
    <x v="6"/>
    <m/>
    <s v=""/>
    <m/>
  </r>
  <r>
    <d v="2026-09-07T00:00:00"/>
    <s v="Vishwanath"/>
    <s v="Bangalore"/>
    <x v="503"/>
    <s v="F2F"/>
    <s v="Bulk Order"/>
    <m/>
    <s v="Bulk Order"/>
    <s v="New"/>
    <s v="Healthcare"/>
    <s v="Naresh"/>
    <m/>
    <s v="Discussed on bulk order"/>
    <s v="Introduction( C0 )"/>
    <m/>
    <m/>
    <m/>
    <m/>
    <s v="Warm"/>
    <m/>
    <m/>
    <m/>
    <m/>
    <x v="5"/>
    <m/>
    <m/>
    <m/>
    <x v="6"/>
    <m/>
    <s v=""/>
    <m/>
  </r>
  <r>
    <d v="2026-09-07T00:00:00"/>
    <s v="Vishwanath"/>
    <s v="Bangalore"/>
    <x v="504"/>
    <s v="F2F"/>
    <s v="Corporate"/>
    <m/>
    <s v="Bulk Order"/>
    <s v="New"/>
    <s v="It"/>
    <s v="Ganesh Hegde"/>
    <m/>
    <s v="Discussed on bulk order"/>
    <s v="Introduction( C0 )"/>
    <m/>
    <m/>
    <m/>
    <m/>
    <s v="Warm"/>
    <m/>
    <m/>
    <m/>
    <m/>
    <x v="5"/>
    <m/>
    <m/>
    <m/>
    <x v="6"/>
    <m/>
    <s v=""/>
    <m/>
  </r>
  <r>
    <d v="2026-09-08T00:00:00"/>
    <s v="Pradeep"/>
    <s v="Hyderabad"/>
    <x v="505"/>
    <s v="F2F"/>
    <s v="Corporate"/>
    <m/>
    <s v="Bulk Order"/>
    <s v="New"/>
    <s v="It"/>
    <s v="Pramod"/>
    <m/>
    <s v="Bulk order Closed"/>
    <s v="Closed(C4)"/>
    <m/>
    <m/>
    <m/>
    <m/>
    <s v="Hot"/>
    <n v="10000"/>
    <n v="3600"/>
    <d v="2026-09-08T00:00:00"/>
    <s v="00HTA05000011930"/>
    <x v="22"/>
    <s v="Received at Store"/>
    <m/>
    <d v="2026-09-08T00:00:00"/>
    <x v="6"/>
    <m/>
    <s v=""/>
    <s v="Takeaway-Bulk-Insti"/>
  </r>
  <r>
    <d v="2026-09-08T00:00:00"/>
    <s v="Pradeep"/>
    <s v="Hyderabad"/>
    <x v="61"/>
    <s v="F2F"/>
    <s v="Corporate"/>
    <m/>
    <s v="Bulk Order"/>
    <s v="New"/>
    <m/>
    <s v="Vinay"/>
    <m/>
    <s v="Bulk order Closed"/>
    <s v="Closed(C4)"/>
    <m/>
    <m/>
    <m/>
    <m/>
    <s v="Hot"/>
    <n v="20000"/>
    <n v="11130"/>
    <d v="2026-09-09T00:00:00"/>
    <s v="00PNTA1000070652"/>
    <x v="34"/>
    <s v="Received at Store"/>
    <m/>
    <d v="2026-09-09T00:00:00"/>
    <x v="6"/>
    <m/>
    <s v=""/>
    <s v="Takeaway-Bulk-Insti"/>
  </r>
  <r>
    <d v="2026-09-08T00:00:00"/>
    <s v="Pradeep"/>
    <s v="Hyderabad"/>
    <x v="506"/>
    <s v="F2F"/>
    <s v="Corporate"/>
    <m/>
    <s v="Bulk Order"/>
    <s v="New"/>
    <s v="Healthcare"/>
    <s v="Akhila"/>
    <m/>
    <s v="Discussed on Bulk order Requirement"/>
    <s v="Cancelled"/>
    <d v="2026-09-26T00:00:00"/>
    <s v="Call"/>
    <m/>
    <m/>
    <s v="Hot"/>
    <n v="85000"/>
    <m/>
    <m/>
    <m/>
    <x v="5"/>
    <m/>
    <m/>
    <m/>
    <x v="6"/>
    <m/>
    <m/>
    <m/>
  </r>
  <r>
    <d v="2026-09-08T00:00:00"/>
    <s v="Pradeep"/>
    <s v="Hyderabad"/>
    <x v="507"/>
    <s v="F2F"/>
    <s v="Corporate"/>
    <m/>
    <s v="Bulk Order"/>
    <s v="New"/>
    <s v="Education"/>
    <s v="Surender"/>
    <m/>
    <s v="Discussed on Bulk order Requirement"/>
    <s v="Negotitaion( C2 )"/>
    <d v="2026-10-02T00:00:00"/>
    <s v="F2F"/>
    <m/>
    <m/>
    <s v="Warm"/>
    <n v="100000"/>
    <m/>
    <m/>
    <m/>
    <x v="5"/>
    <m/>
    <m/>
    <m/>
    <x v="6"/>
    <m/>
    <m/>
    <m/>
  </r>
  <r>
    <d v="2026-09-08T00:00:00"/>
    <s v="Sameer"/>
    <s v="Hyderabad"/>
    <x v="508"/>
    <s v="F2F"/>
    <s v="Corporate"/>
    <s v="Hunger Box"/>
    <s v="Bulk Order"/>
    <s v="New"/>
    <s v="F&amp;B Aggregator"/>
    <s v="Sathya"/>
    <m/>
    <s v="Delivery of CB on 18th September"/>
    <s v="Negotitaion( C2 )"/>
    <d v="2026-09-16T00:00:00"/>
    <m/>
    <m/>
    <m/>
    <s v="Hot"/>
    <n v="612000"/>
    <m/>
    <m/>
    <m/>
    <x v="5"/>
    <m/>
    <m/>
    <m/>
    <x v="6"/>
    <m/>
    <m/>
    <m/>
  </r>
  <r>
    <d v="2026-09-08T00:00:00"/>
    <s v="Bashab"/>
    <s v="Bangalore"/>
    <x v="41"/>
    <s v="F2F"/>
    <s v="Aggregator"/>
    <s v="SmartQ"/>
    <s v="Pop Up Counter"/>
    <s v="New"/>
    <s v="It"/>
    <s v="Goutham"/>
    <m/>
    <s v="Business Closed"/>
    <s v="Closed(C4)"/>
    <m/>
    <m/>
    <m/>
    <m/>
    <s v="Hot"/>
    <n v="10000"/>
    <n v="7670"/>
    <d v="2026-09-08T00:00:00"/>
    <s v="00KVTA1000028545"/>
    <x v="12"/>
    <s v="Received at HO"/>
    <m/>
    <m/>
    <x v="6"/>
    <m/>
    <s v=""/>
    <m/>
  </r>
  <r>
    <d v="2026-09-08T00:00:00"/>
    <s v="Vishwanath"/>
    <s v="Bangalore"/>
    <x v="509"/>
    <s v="F2F"/>
    <s v="Corporate"/>
    <m/>
    <s v="Bulk Order"/>
    <s v="New"/>
    <s v="Manufacturing"/>
    <s v="K. Shiva Kumar"/>
    <m/>
    <s v="Discussed on bulk order"/>
    <s v="Introduction( C0 )"/>
    <m/>
    <m/>
    <m/>
    <m/>
    <s v="Warm"/>
    <m/>
    <m/>
    <m/>
    <m/>
    <x v="5"/>
    <m/>
    <m/>
    <m/>
    <x v="6"/>
    <m/>
    <s v=""/>
    <m/>
  </r>
  <r>
    <d v="2026-09-08T00:00:00"/>
    <s v="Vishwanath"/>
    <s v="Bangalore"/>
    <x v="510"/>
    <s v="F2F"/>
    <s v="Corporate"/>
    <m/>
    <s v="Bulk Order"/>
    <s v="New"/>
    <s v="It"/>
    <s v="PremKumar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09T00:00:00"/>
    <s v="Sameer"/>
    <s v="Hyderabad"/>
    <x v="156"/>
    <s v="F2F"/>
    <s v="Aggregator"/>
    <s v="Compass"/>
    <s v="Bulk Order"/>
    <s v="New"/>
    <s v="F&amp;B Aggregator"/>
    <s v="Srinivas"/>
    <m/>
    <s v="Business Closed"/>
    <s v="Closed(C4)"/>
    <m/>
    <m/>
    <m/>
    <s v=""/>
    <s v="Hot"/>
    <n v="100000"/>
    <n v="126000"/>
    <d v="2026-09-09T00:00:00"/>
    <s v="CIFSPL070909"/>
    <x v="17"/>
    <s v="Received at HO"/>
    <m/>
    <m/>
    <x v="6"/>
    <m/>
    <s v=""/>
    <m/>
  </r>
  <r>
    <d v="2026-09-09T00:00:00"/>
    <s v="Bashab"/>
    <s v="Hyderabad"/>
    <x v="156"/>
    <s v="Call"/>
    <s v="Aggregator"/>
    <s v="Compass"/>
    <s v="Bulk Order"/>
    <s v="New"/>
    <s v="F&amp;B Aggregator"/>
    <s v="Srinivas"/>
    <m/>
    <s v="Business Closed"/>
    <s v="Closed(C4)"/>
    <m/>
    <m/>
    <m/>
    <s v=""/>
    <s v="Hot"/>
    <n v="100000"/>
    <n v="126000"/>
    <d v="2026-09-09T00:00:00"/>
    <s v="CIFSPL070909"/>
    <x v="17"/>
    <s v="Received at HO"/>
    <m/>
    <m/>
    <x v="6"/>
    <m/>
    <s v=""/>
    <m/>
  </r>
  <r>
    <d v="2026-09-09T00:00:00"/>
    <s v="Sameer"/>
    <s v="Hyderabad"/>
    <x v="511"/>
    <s v="F2F"/>
    <s v="ODC"/>
    <m/>
    <s v="Pop Up Counter"/>
    <s v="New"/>
    <s v="College"/>
    <s v="Dinesh"/>
    <m/>
    <s v="Proposed popup counter"/>
    <s v="Negotitaion( C2 )"/>
    <d v="2026-10-02T00:00:00"/>
    <m/>
    <m/>
    <m/>
    <s v="Hot"/>
    <n v="600000"/>
    <m/>
    <d v="2026-10-10T00:00:00"/>
    <m/>
    <x v="26"/>
    <m/>
    <m/>
    <m/>
    <x v="4"/>
    <m/>
    <s v=""/>
    <m/>
  </r>
  <r>
    <d v="2026-09-09T00:00:00"/>
    <s v="Pradeep"/>
    <s v="Hyderabad"/>
    <x v="512"/>
    <s v="F2F"/>
    <s v="Bulk Order"/>
    <m/>
    <s v="Bulk Order"/>
    <s v="New"/>
    <s v="Healthcare"/>
    <s v="Sanjay"/>
    <m/>
    <s v="Discussed on Bulk order Requirement"/>
    <s v="Introduction( C0 )"/>
    <d v="2026-09-18T00:00:00"/>
    <s v="Call"/>
    <m/>
    <m/>
    <s v="Warm"/>
    <n v="30000"/>
    <m/>
    <m/>
    <m/>
    <x v="5"/>
    <m/>
    <m/>
    <m/>
    <x v="6"/>
    <m/>
    <s v=""/>
    <m/>
  </r>
  <r>
    <d v="2026-09-09T00:00:00"/>
    <s v="Pradeep"/>
    <s v="Hyderabad"/>
    <x v="513"/>
    <s v="F2F"/>
    <s v="Corporate"/>
    <m/>
    <s v="Bulk Order"/>
    <s v="New"/>
    <s v="It"/>
    <s v="Swathi"/>
    <m/>
    <s v="Proposed for Bulk Order and Biryani Kits for Gifting"/>
    <s v="Follow-up( C1 )"/>
    <d v="2026-09-18T00:00:00"/>
    <s v="F2F"/>
    <m/>
    <m/>
    <s v="Warm"/>
    <n v="70000"/>
    <m/>
    <m/>
    <m/>
    <x v="5"/>
    <m/>
    <m/>
    <m/>
    <x v="6"/>
    <m/>
    <s v=""/>
    <m/>
  </r>
  <r>
    <d v="2026-09-09T00:00:00"/>
    <s v="Pradeep"/>
    <s v="Hyderabad"/>
    <x v="514"/>
    <s v="F2F"/>
    <s v="Bulk Order"/>
    <m/>
    <s v="Bulk Order"/>
    <s v="New"/>
    <s v="Healthcare"/>
    <s v="Gandgadher"/>
    <m/>
    <s v="Discussed on Bulk order Requirement"/>
    <s v="Negotitaion( C2 )"/>
    <d v="2026-09-23T00:00:00"/>
    <s v="Call"/>
    <m/>
    <m/>
    <s v="Warm"/>
    <n v="40000"/>
    <m/>
    <m/>
    <m/>
    <x v="5"/>
    <m/>
    <m/>
    <m/>
    <x v="6"/>
    <m/>
    <s v=""/>
    <m/>
  </r>
  <r>
    <d v="2026-09-09T00:00:00"/>
    <s v="Pradeep"/>
    <s v="Hyderabad"/>
    <x v="515"/>
    <s v="F2F"/>
    <s v="Bulk Order"/>
    <m/>
    <s v="Bulk Order"/>
    <s v="New"/>
    <s v="Education"/>
    <s v="Sujatha"/>
    <m/>
    <s v="Discussed on Bulk order Requirement"/>
    <s v="Follow-up( C1 )"/>
    <d v="2026-09-20T00:00:00"/>
    <s v="Call"/>
    <m/>
    <m/>
    <s v="Warm"/>
    <n v="35000"/>
    <m/>
    <m/>
    <m/>
    <x v="5"/>
    <m/>
    <m/>
    <m/>
    <x v="6"/>
    <m/>
    <s v=""/>
    <m/>
  </r>
  <r>
    <d v="2026-09-09T00:00:00"/>
    <s v="Bashab"/>
    <s v="Bangalore"/>
    <x v="516"/>
    <s v="F2F"/>
    <s v="Corporate"/>
    <m/>
    <s v="Bulk Order"/>
    <s v="New"/>
    <s v="It"/>
    <s v="Hema"/>
    <m/>
    <s v="Business Closed"/>
    <s v="Closed(C4)"/>
    <m/>
    <m/>
    <m/>
    <m/>
    <s v="Hot"/>
    <n v="20000"/>
    <n v="22733"/>
    <d v="2026-09-09T00:00:00"/>
    <s v="00PMTA1000C05259"/>
    <x v="21"/>
    <s v="Received at Store"/>
    <m/>
    <m/>
    <x v="6"/>
    <m/>
    <s v=""/>
    <m/>
  </r>
  <r>
    <d v="2026-09-09T00:00:00"/>
    <s v="Bashab"/>
    <s v="Bangalore"/>
    <x v="37"/>
    <s v="F2F"/>
    <s v="Aggregator"/>
    <s v="SmartQ"/>
    <s v="Pop Up Counter"/>
    <s v="New"/>
    <s v="It"/>
    <s v="Goutham"/>
    <m/>
    <s v="Business Closed"/>
    <s v="Closed(C4)"/>
    <m/>
    <m/>
    <m/>
    <m/>
    <s v="Hot"/>
    <n v="10000"/>
    <n v="8695"/>
    <d v="2026-09-09T00:00:00"/>
    <s v="00KVTA1000028545"/>
    <x v="12"/>
    <s v="Received at HO"/>
    <m/>
    <m/>
    <x v="6"/>
    <m/>
    <s v=""/>
    <m/>
  </r>
  <r>
    <d v="2026-09-09T00:00:00"/>
    <s v="Bashab"/>
    <s v="Bangalore"/>
    <x v="517"/>
    <s v="F2F"/>
    <s v="Corporate"/>
    <m/>
    <s v="Pop Up Counter"/>
    <s v="New"/>
    <s v="It"/>
    <s v="Saurabh"/>
    <m/>
    <s v="Business Closed"/>
    <s v="Closed(C4)"/>
    <m/>
    <m/>
    <m/>
    <m/>
    <s v="Hot"/>
    <n v="10000"/>
    <n v="27748"/>
    <d v="2026-09-09T00:00:00"/>
    <s v="00JNTA1000018086"/>
    <x v="8"/>
    <s v="Received at HO"/>
    <m/>
    <m/>
    <x v="6"/>
    <m/>
    <s v=""/>
    <m/>
  </r>
  <r>
    <d v="2026-09-09T00:00:00"/>
    <s v="Vishwanath"/>
    <s v="Bangalore"/>
    <x v="518"/>
    <s v="F2F"/>
    <s v="Corporate"/>
    <m/>
    <s v="Bulk Order"/>
    <s v="New"/>
    <s v="Manufacturing"/>
    <s v="Sujini B.H.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09T00:00:00"/>
    <s v="Vishwanath"/>
    <s v="Bangalore"/>
    <x v="519"/>
    <s v="F2F"/>
    <s v="Corporate"/>
    <m/>
    <s v="Bulk Order"/>
    <s v="New"/>
    <s v="Manufacturing"/>
    <s v="B.G.Deshmukh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09T00:00:00"/>
    <s v="Vishwanath"/>
    <s v="Bangalore"/>
    <x v="16"/>
    <s v="Call"/>
    <s v="Corporate"/>
    <s v="Compass"/>
    <s v="Bulk Order"/>
    <s v="Repeat"/>
    <s v="Retail"/>
    <s v="Mohammed"/>
    <m/>
    <s v="Business Closed"/>
    <s v="Closed(C4)"/>
    <m/>
    <m/>
    <s v=""/>
    <s v=""/>
    <s v="Hot"/>
    <n v="25000"/>
    <n v="24979"/>
    <d v="2026-09-09T00:00:00"/>
    <s v="00HSA06000008720"/>
    <x v="3"/>
    <s v="Received at HO"/>
    <m/>
    <m/>
    <x v="6"/>
    <m/>
    <s v=""/>
    <m/>
  </r>
  <r>
    <d v="2026-09-09T00:00:00"/>
    <s v="Sameer"/>
    <s v="Bangalore"/>
    <x v="16"/>
    <s v="Call"/>
    <s v="Corporate"/>
    <s v="Compass"/>
    <s v="Bulk Order"/>
    <s v="Repeat"/>
    <s v="Retail"/>
    <s v="Mohammed"/>
    <m/>
    <s v="Business follow-up"/>
    <s v="Closed(C4)"/>
    <m/>
    <m/>
    <s v=""/>
    <s v=""/>
    <s v="Hot"/>
    <n v="25000"/>
    <n v="24978"/>
    <d v="2026-09-09T00:00:00"/>
    <s v="00HSA06000008720"/>
    <x v="3"/>
    <s v="Received at HO"/>
    <m/>
    <m/>
    <x v="6"/>
    <m/>
    <s v=""/>
    <m/>
  </r>
  <r>
    <d v="2026-09-10T00:00:00"/>
    <s v="Pradeep"/>
    <s v="Hyderabad"/>
    <x v="520"/>
    <s v="F2F"/>
    <s v="Bulk Order"/>
    <m/>
    <s v="Bulk Order"/>
    <s v="New"/>
    <s v="Education"/>
    <s v="Sharath kumar"/>
    <m/>
    <s v="Proposed for Bulk Order and Biryani Kits for Gifting"/>
    <s v="Negotitaion( C2 )"/>
    <m/>
    <m/>
    <m/>
    <m/>
    <s v="Cold"/>
    <n v="30000"/>
    <m/>
    <m/>
    <m/>
    <x v="5"/>
    <m/>
    <m/>
    <m/>
    <x v="6"/>
    <m/>
    <s v=""/>
    <m/>
  </r>
  <r>
    <d v="2026-09-10T00:00:00"/>
    <s v="Pradeep"/>
    <s v="Hyderabad"/>
    <x v="521"/>
    <s v="F2F"/>
    <s v="Bulk Order"/>
    <m/>
    <s v="Bulk Order"/>
    <s v="New"/>
    <s v="Realestate"/>
    <s v="Venklat Ramana"/>
    <m/>
    <s v="Proposed for Bulk Order and Biryani Kits for Gifting"/>
    <s v="Introduction( C0 )"/>
    <d v="2026-09-19T00:00:00"/>
    <s v="Call"/>
    <m/>
    <m/>
    <s v="Warm"/>
    <n v="40000"/>
    <m/>
    <m/>
    <m/>
    <x v="5"/>
    <m/>
    <m/>
    <m/>
    <x v="6"/>
    <m/>
    <s v=""/>
    <m/>
  </r>
  <r>
    <d v="2026-09-10T00:00:00"/>
    <s v="Pradeep"/>
    <s v="Hyderabad"/>
    <x v="522"/>
    <s v="F2F"/>
    <s v="Corporate"/>
    <m/>
    <s v="Bulk Order"/>
    <s v="New"/>
    <s v="It"/>
    <s v="Kiranmai"/>
    <m/>
    <s v="Discussed on Bulk order Requirement"/>
    <s v="Cancelled"/>
    <m/>
    <m/>
    <m/>
    <m/>
    <s v="Hot"/>
    <n v="65000"/>
    <m/>
    <m/>
    <m/>
    <x v="5"/>
    <m/>
    <m/>
    <m/>
    <x v="6"/>
    <m/>
    <s v=""/>
    <m/>
  </r>
  <r>
    <d v="2026-09-10T00:00:00"/>
    <s v="Pradeep"/>
    <s v="Hyderabad"/>
    <x v="523"/>
    <s v="F2F"/>
    <s v="Corporate"/>
    <m/>
    <s v="Bulk Order"/>
    <s v="New"/>
    <s v="It"/>
    <s v="Vijay"/>
    <m/>
    <s v="Proposed for Bulk Order and Biryani Kits for Gifting"/>
    <s v="Cancelled"/>
    <d v="2026-09-26T00:00:00"/>
    <s v="Call"/>
    <m/>
    <m/>
    <s v="Hot"/>
    <n v="90000"/>
    <m/>
    <m/>
    <m/>
    <x v="5"/>
    <m/>
    <m/>
    <m/>
    <x v="6"/>
    <m/>
    <s v=""/>
    <m/>
  </r>
  <r>
    <d v="2026-09-10T00:00:00"/>
    <s v="Vishwanath"/>
    <s v="Bangalore"/>
    <x v="524"/>
    <s v="F2F"/>
    <s v="Corporate"/>
    <m/>
    <s v="Bulk Order"/>
    <s v="New"/>
    <s v="Manufacturing"/>
    <s v="Flavy Smrithi Shankar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10T00:00:00"/>
    <s v="Vishwanath"/>
    <s v="Bangalore"/>
    <x v="525"/>
    <s v="F2F"/>
    <s v="Corporate"/>
    <m/>
    <s v="Bulk Order"/>
    <s v="New"/>
    <s v="Healthcare"/>
    <s v="Bharath Reddy.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11T00:00:00"/>
    <s v="Pradeep"/>
    <s v="Hyderabad"/>
    <x v="526"/>
    <s v="F2F"/>
    <s v="Corporate"/>
    <m/>
    <s v="Bulk Order"/>
    <s v="New"/>
    <s v="It"/>
    <s v="Shravan Kumar"/>
    <m/>
    <s v="Proposed for Bulk Order and Biryani Kits for Gifting"/>
    <s v="Follow-up( C1 )"/>
    <d v="2026-09-27T00:00:00"/>
    <s v="Call"/>
    <m/>
    <m/>
    <s v="Warm"/>
    <n v="60000"/>
    <m/>
    <m/>
    <m/>
    <x v="5"/>
    <m/>
    <m/>
    <m/>
    <x v="6"/>
    <m/>
    <s v=""/>
    <m/>
  </r>
  <r>
    <d v="2026-09-11T00:00:00"/>
    <s v="Pradeep"/>
    <s v="Hyderabad"/>
    <x v="527"/>
    <s v="F2F"/>
    <s v="Corporate"/>
    <m/>
    <s v="Bulk Order"/>
    <s v="New"/>
    <s v="Education"/>
    <s v="Shashidar reddy"/>
    <m/>
    <s v="Discussed on Bulk order Requirement"/>
    <s v="Cancelled"/>
    <d v="2026-09-28T00:00:00"/>
    <s v="Call"/>
    <m/>
    <m/>
    <s v="Hot"/>
    <n v="80000"/>
    <m/>
    <m/>
    <m/>
    <x v="5"/>
    <m/>
    <m/>
    <m/>
    <x v="6"/>
    <m/>
    <s v=""/>
    <m/>
  </r>
  <r>
    <d v="2026-09-11T00:00:00"/>
    <s v="Pradeep"/>
    <s v="Hyderabad"/>
    <x v="528"/>
    <s v="F2F"/>
    <s v="Corporate"/>
    <m/>
    <s v="Bulk Order"/>
    <s v="New"/>
    <s v="Healthcare"/>
    <s v="Sowmya"/>
    <m/>
    <s v="Discussed on Bulk order Requirement"/>
    <s v="Cancelled"/>
    <d v="2026-09-29T00:00:00"/>
    <s v="Call"/>
    <m/>
    <m/>
    <s v="Hot"/>
    <n v="110000"/>
    <m/>
    <m/>
    <m/>
    <x v="5"/>
    <m/>
    <m/>
    <m/>
    <x v="6"/>
    <m/>
    <s v=""/>
    <m/>
  </r>
  <r>
    <d v="2026-09-11T00:00:00"/>
    <s v="Pradeep"/>
    <s v="Hyderabad"/>
    <x v="425"/>
    <s v="F2F"/>
    <s v="Corporate"/>
    <m/>
    <s v="Bulk Order"/>
    <s v="New"/>
    <s v="Realestate"/>
    <s v="Ravinder Reddy"/>
    <m/>
    <s v="Proposed for Bulk Order and Biryani Kits for Gifting"/>
    <s v="Negotitaion( C2 )"/>
    <d v="2026-09-23T00:00:00"/>
    <s v="F2F"/>
    <m/>
    <m/>
    <s v="Warm"/>
    <n v="55000"/>
    <m/>
    <m/>
    <m/>
    <x v="5"/>
    <m/>
    <m/>
    <m/>
    <x v="6"/>
    <m/>
    <s v=""/>
    <m/>
  </r>
  <r>
    <d v="2026-09-11T00:00:00"/>
    <s v="Vishwanath"/>
    <s v="Bangalore"/>
    <x v="529"/>
    <s v="F2F"/>
    <s v="Corporate"/>
    <m/>
    <s v="Bulk Order"/>
    <s v="New"/>
    <s v="Healthcare"/>
    <s v="Jibin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11T00:00:00"/>
    <s v="Vishwanath"/>
    <s v="Bangalore"/>
    <x v="530"/>
    <s v="F2F"/>
    <s v="Corporate"/>
    <m/>
    <s v="Bulk Order"/>
    <s v="New"/>
    <s v="It"/>
    <s v="Pratap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12T00:00:00"/>
    <s v="Bashab"/>
    <s v="Hyderabad"/>
    <x v="531"/>
    <s v="Call"/>
    <s v="Aggregator"/>
    <s v="Pinnacle"/>
    <s v="ODC"/>
    <s v="New"/>
    <s v="Exhibition"/>
    <s v="Devendar"/>
    <m/>
    <s v="Business Closed"/>
    <s v="Closed(C4)"/>
    <m/>
    <m/>
    <m/>
    <m/>
    <s v="Hot"/>
    <n v="40000"/>
    <n v="32125"/>
    <d v="2026-09-09T00:00:00"/>
    <s v="00MTTA1000034110"/>
    <x v="5"/>
    <m/>
    <m/>
    <m/>
    <x v="6"/>
    <m/>
    <m/>
    <m/>
  </r>
  <r>
    <d v="2026-09-15T00:00:00"/>
    <s v="Anushikha"/>
    <s v="Hyderabad"/>
    <x v="532"/>
    <s v="Call"/>
    <s v="Corporate"/>
    <m/>
    <s v="Bulk Order"/>
    <s v="New"/>
    <s v="Healthcare"/>
    <s v="Arijith"/>
    <m/>
    <s v="Discussed on bulk order"/>
    <s v="Closed(C4)"/>
    <m/>
    <s v="Call"/>
    <m/>
    <m/>
    <s v="Hot"/>
    <n v="39350"/>
    <n v="39353"/>
    <d v="2026-09-11T00:00:00"/>
    <s v="00BGA09000044720"/>
    <x v="15"/>
    <m/>
    <m/>
    <d v="2026-09-15T00:00:00"/>
    <x v="6"/>
    <m/>
    <s v=""/>
    <m/>
  </r>
  <r>
    <d v="2026-09-15T00:00:00"/>
    <s v="Anushikha"/>
    <s v="Hyderabad"/>
    <x v="533"/>
    <s v="Call"/>
    <s v="Corporate"/>
    <m/>
    <s v="Bulk Order"/>
    <s v="New"/>
    <s v="Tourism"/>
    <s v="Khusro"/>
    <m/>
    <s v="Discussed on bulk order requirement"/>
    <s v="Follow-up( C1 )"/>
    <m/>
    <s v="Call"/>
    <m/>
    <m/>
    <s v="Warm"/>
    <n v="40000"/>
    <m/>
    <m/>
    <m/>
    <x v="5"/>
    <m/>
    <m/>
    <m/>
    <x v="6"/>
    <m/>
    <s v=""/>
    <m/>
  </r>
  <r>
    <d v="2026-09-15T00:00:00"/>
    <s v="Anushikha"/>
    <s v="Hyderabad"/>
    <x v="534"/>
    <s v="Call"/>
    <s v="Corporate"/>
    <m/>
    <s v="Bulk Order"/>
    <s v="New"/>
    <s v="Transport"/>
    <s v="Anil"/>
    <m/>
    <s v="Proposed for bulk order"/>
    <s v="Follow-up( C1 )"/>
    <m/>
    <s v="Call"/>
    <m/>
    <m/>
    <s v="Warm"/>
    <n v="30000"/>
    <m/>
    <m/>
    <m/>
    <x v="5"/>
    <m/>
    <m/>
    <m/>
    <x v="6"/>
    <m/>
    <s v=""/>
    <m/>
  </r>
  <r>
    <d v="2026-09-15T00:00:00"/>
    <s v="Anushikha"/>
    <s v="Hyderabad"/>
    <x v="535"/>
    <s v="Call"/>
    <s v="Corporate"/>
    <m/>
    <s v="Bulk Order"/>
    <s v="New"/>
    <s v="Tourism"/>
    <s v="Ibrahim"/>
    <m/>
    <s v="Discussed on bulk order requirement"/>
    <s v="Follow-up( C1 )"/>
    <d v="2026-09-17T00:00:00"/>
    <s v="Call"/>
    <m/>
    <m/>
    <s v="Warm"/>
    <n v="40000"/>
    <m/>
    <m/>
    <m/>
    <x v="5"/>
    <m/>
    <m/>
    <m/>
    <x v="6"/>
    <m/>
    <s v=""/>
    <m/>
  </r>
  <r>
    <d v="2026-09-15T00:00:00"/>
    <s v="Anushikha"/>
    <s v="Hyderabad"/>
    <x v="536"/>
    <s v="Call"/>
    <s v="Corporate"/>
    <m/>
    <s v="Bulk Order"/>
    <s v="New"/>
    <s v="Tourism"/>
    <s v="Syed Ahmed"/>
    <m/>
    <s v="Discussed on bulk order reqirement"/>
    <s v="Follow-up( C1 )"/>
    <m/>
    <s v="Call"/>
    <m/>
    <m/>
    <s v="Warm"/>
    <n v="25000"/>
    <m/>
    <m/>
    <m/>
    <x v="5"/>
    <m/>
    <m/>
    <m/>
    <x v="6"/>
    <m/>
    <s v=""/>
    <m/>
  </r>
  <r>
    <d v="2026-09-15T00:00:00"/>
    <s v="Anushikha"/>
    <s v="Hyderabad"/>
    <x v="537"/>
    <s v="Call"/>
    <s v="ODC"/>
    <m/>
    <s v="Pop Up Counter"/>
    <s v="New"/>
    <s v="Exhibition"/>
    <s v="Manali"/>
    <m/>
    <s v="Discussed for bulk order requirement"/>
    <s v="Negotitaion( C2 )"/>
    <m/>
    <s v="Call"/>
    <m/>
    <m/>
    <s v="Warm"/>
    <m/>
    <m/>
    <m/>
    <m/>
    <x v="5"/>
    <m/>
    <m/>
    <m/>
    <x v="6"/>
    <m/>
    <s v=""/>
    <m/>
  </r>
  <r>
    <d v="2026-09-15T00:00:00"/>
    <s v="Anushikha"/>
    <s v="Hyderabad"/>
    <x v="538"/>
    <s v="Call"/>
    <s v="ODC"/>
    <m/>
    <s v="Pop Up Counter"/>
    <s v="New"/>
    <s v="Events"/>
    <s v="Nanditha"/>
    <m/>
    <s v="Discussed on bulk order requirement"/>
    <s v="Negotitaion( C2 )"/>
    <m/>
    <s v="Call"/>
    <m/>
    <m/>
    <s v="Hot"/>
    <m/>
    <m/>
    <m/>
    <m/>
    <x v="5"/>
    <m/>
    <m/>
    <m/>
    <x v="6"/>
    <m/>
    <s v=""/>
    <m/>
  </r>
  <r>
    <d v="2026-09-15T00:00:00"/>
    <s v="Anushikha"/>
    <s v="Hyderabad"/>
    <x v="539"/>
    <s v="Call"/>
    <s v="ODC"/>
    <m/>
    <s v="ODC"/>
    <s v="New"/>
    <s v="Events"/>
    <s v="Aatna"/>
    <m/>
    <s v="Proposed for ODC"/>
    <s v="Introduction( C0 )"/>
    <m/>
    <s v="F2F"/>
    <m/>
    <m/>
    <s v="Cold"/>
    <m/>
    <m/>
    <m/>
    <m/>
    <x v="5"/>
    <m/>
    <m/>
    <m/>
    <x v="6"/>
    <m/>
    <s v=""/>
    <m/>
  </r>
  <r>
    <d v="2026-09-15T00:00:00"/>
    <s v="Pradeep"/>
    <s v="Hyderabad"/>
    <x v="540"/>
    <s v="F2F"/>
    <s v="Corporate"/>
    <m/>
    <s v="Bulk Order"/>
    <s v="New"/>
    <s v="It"/>
    <s v="Sai Kiran"/>
    <m/>
    <s v="Discussed on bulk order requirement"/>
    <s v="Negotitaion( C2 )"/>
    <d v="2026-09-25T00:00:00"/>
    <s v="Call"/>
    <m/>
    <m/>
    <s v="Warm"/>
    <n v="50000"/>
    <m/>
    <m/>
    <m/>
    <x v="5"/>
    <m/>
    <m/>
    <m/>
    <x v="6"/>
    <m/>
    <s v=""/>
    <m/>
  </r>
  <r>
    <d v="2026-09-15T00:00:00"/>
    <s v="Pradeep"/>
    <s v="Hyderabad"/>
    <x v="541"/>
    <s v="F2F"/>
    <s v="Bulk Order"/>
    <m/>
    <s v="Bulk Order"/>
    <s v="New"/>
    <s v="Education"/>
    <s v="Anu"/>
    <m/>
    <s v="Discussed on bulk order requirement"/>
    <s v="Confirmed( C3 )"/>
    <d v="2026-10-23T00:00:00"/>
    <s v="Call"/>
    <m/>
    <m/>
    <s v="Hot"/>
    <n v="85000"/>
    <m/>
    <m/>
    <m/>
    <x v="5"/>
    <m/>
    <m/>
    <m/>
    <x v="6"/>
    <m/>
    <s v=""/>
    <m/>
  </r>
  <r>
    <d v="2026-09-15T00:00:00"/>
    <s v="Pradeep"/>
    <s v="Hyderabad"/>
    <x v="542"/>
    <s v="F2F"/>
    <s v="Bulk Order"/>
    <m/>
    <s v="Bulk Order"/>
    <s v="New"/>
    <s v="Healthcare"/>
    <s v="Simran"/>
    <m/>
    <s v="Proposed for bulk order"/>
    <s v="Negotitaion( C2 )"/>
    <d v="2026-09-30T00:00:00"/>
    <s v="Call"/>
    <m/>
    <m/>
    <s v="Hot"/>
    <n v="60000"/>
    <m/>
    <m/>
    <m/>
    <x v="5"/>
    <m/>
    <m/>
    <m/>
    <x v="6"/>
    <m/>
    <s v=""/>
    <m/>
  </r>
  <r>
    <d v="2026-09-15T00:00:00"/>
    <s v="Pradeep"/>
    <s v="Hyderabad"/>
    <x v="543"/>
    <s v="F2F"/>
    <s v="Corporate"/>
    <m/>
    <s v="Bulk Order"/>
    <s v="New"/>
    <s v="It"/>
    <s v="Varun"/>
    <m/>
    <s v="Discussed on bulk order reqirement"/>
    <s v="Follow-up( C1 )"/>
    <m/>
    <s v="Call"/>
    <m/>
    <m/>
    <s v="Warm"/>
    <n v="65000"/>
    <m/>
    <m/>
    <m/>
    <x v="5"/>
    <m/>
    <m/>
    <m/>
    <x v="6"/>
    <m/>
    <s v=""/>
    <m/>
  </r>
  <r>
    <d v="2026-09-15T00:00:00"/>
    <s v="Bashab"/>
    <s v="Bangalore"/>
    <x v="41"/>
    <s v="F2F"/>
    <s v="Aggregator"/>
    <s v="SmartQ"/>
    <s v="Pop Up Counter"/>
    <s v="New"/>
    <s v="It"/>
    <s v="Goutham"/>
    <m/>
    <s v="Business Closed"/>
    <s v="Closed(C4)"/>
    <m/>
    <m/>
    <m/>
    <m/>
    <s v="Hot"/>
    <n v="10000"/>
    <n v="6860"/>
    <d v="2026-09-15T00:00:00"/>
    <s v="00KVTA1000028545"/>
    <x v="12"/>
    <s v="Received at HO"/>
    <m/>
    <m/>
    <x v="6"/>
    <m/>
    <s v=""/>
    <m/>
  </r>
  <r>
    <d v="2026-09-15T00:00:00"/>
    <s v="Vishwanath"/>
    <s v="Bangalore"/>
    <x v="544"/>
    <s v="F2F"/>
    <s v="Corporate"/>
    <m/>
    <s v="Bulk Order"/>
    <s v="New"/>
    <s v="Realestate"/>
    <s v="Boby C.Augustin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15T00:00:00"/>
    <s v="Vishwanath"/>
    <s v="Bangalore"/>
    <x v="545"/>
    <s v="F2F"/>
    <s v="Aggregator"/>
    <s v="Gokhana"/>
    <s v="Pop Up Counter"/>
    <s v="New"/>
    <s v="F&amp;B Aggregator"/>
    <s v="Kailash"/>
    <m/>
    <s v="Pop UP Counter"/>
    <s v="Introduction( C0 )"/>
    <m/>
    <m/>
    <m/>
    <m/>
    <s v="Warm"/>
    <m/>
    <m/>
    <m/>
    <m/>
    <x v="5"/>
    <m/>
    <m/>
    <m/>
    <x v="6"/>
    <m/>
    <s v=""/>
    <m/>
  </r>
  <r>
    <d v="2026-09-16T00:00:00"/>
    <s v="Pradeep"/>
    <s v="Hyderabad"/>
    <x v="546"/>
    <s v="F2F"/>
    <s v="Corporate"/>
    <m/>
    <s v="Bulk Order"/>
    <s v="New"/>
    <s v="Manufacturing"/>
    <s v="Rajender"/>
    <m/>
    <s v="Proposed for bulk order"/>
    <s v="Negotitaion( C2 )"/>
    <m/>
    <s v="Call"/>
    <m/>
    <m/>
    <s v="Warm"/>
    <n v="35000"/>
    <m/>
    <m/>
    <m/>
    <x v="5"/>
    <m/>
    <m/>
    <m/>
    <x v="6"/>
    <m/>
    <s v=""/>
    <m/>
  </r>
  <r>
    <d v="2026-09-16T00:00:00"/>
    <s v="Pradeep"/>
    <s v="Hyderabad"/>
    <x v="547"/>
    <s v="F2F"/>
    <s v="Corporate"/>
    <m/>
    <s v="Bulk Order"/>
    <s v="New"/>
    <s v="Dealers &amp; Distributers"/>
    <s v="Sandeep"/>
    <m/>
    <s v="Proposed for bulk order"/>
    <s v="Follow-up( C1 )"/>
    <m/>
    <m/>
    <m/>
    <m/>
    <s v="Hot"/>
    <n v="40000"/>
    <m/>
    <m/>
    <m/>
    <x v="5"/>
    <m/>
    <m/>
    <m/>
    <x v="6"/>
    <m/>
    <s v=""/>
    <m/>
  </r>
  <r>
    <d v="2026-09-16T00:00:00"/>
    <s v="Pradeep"/>
    <s v="Hyderabad"/>
    <x v="548"/>
    <s v="F2F"/>
    <s v="Corporate"/>
    <m/>
    <s v="Bulk Order"/>
    <s v="New"/>
    <s v="Manufacturing"/>
    <s v="Narguna"/>
    <m/>
    <s v="Discussed on bulk order requirement"/>
    <s v="Confirmed( C3 )"/>
    <d v="2026-09-25T00:00:00"/>
    <s v="Call"/>
    <m/>
    <m/>
    <s v="Hot"/>
    <n v="80000"/>
    <m/>
    <m/>
    <s v="`"/>
    <x v="5"/>
    <m/>
    <m/>
    <m/>
    <x v="6"/>
    <m/>
    <s v=""/>
    <m/>
  </r>
  <r>
    <d v="2026-09-16T00:00:00"/>
    <s v="Pradeep"/>
    <s v="Hyderabad"/>
    <x v="549"/>
    <s v="F2F"/>
    <s v="Bulk Order"/>
    <m/>
    <s v="Bulk Order"/>
    <s v="New"/>
    <s v="Healthcare"/>
    <s v="Srujana"/>
    <m/>
    <s v="Proposed for bulk order"/>
    <s v="Follow-up( C1 )"/>
    <m/>
    <m/>
    <m/>
    <m/>
    <s v="Warm"/>
    <n v="35000"/>
    <m/>
    <m/>
    <m/>
    <x v="5"/>
    <m/>
    <m/>
    <m/>
    <x v="6"/>
    <m/>
    <s v=""/>
    <m/>
  </r>
  <r>
    <d v="2026-09-16T00:00:00"/>
    <s v="Bashab"/>
    <s v="Bangalore"/>
    <x v="550"/>
    <s v="F2F"/>
    <s v="Aggregator"/>
    <s v="Pinnacle"/>
    <s v="ODC"/>
    <s v="New"/>
    <s v="Events"/>
    <s v="Devendra"/>
    <m/>
    <s v="Business Closed"/>
    <s v="Closed(C4)"/>
    <m/>
    <m/>
    <m/>
    <m/>
    <s v="Hot"/>
    <n v="100000"/>
    <n v="172150"/>
    <d v="2026-09-16T00:00:00"/>
    <s v="00JNTA1000018219"/>
    <x v="8"/>
    <s v="Pending"/>
    <m/>
    <m/>
    <x v="6"/>
    <m/>
    <s v=""/>
    <m/>
  </r>
  <r>
    <d v="2026-09-16T00:00:00"/>
    <s v="Vishwanath"/>
    <s v="Bangalore"/>
    <x v="545"/>
    <s v="F2F"/>
    <s v="Aggregator"/>
    <s v="Gokhana"/>
    <s v="Pop Up Counter"/>
    <s v="New"/>
    <s v="F&amp;B Aggregator"/>
    <s v="Ramesh"/>
    <m/>
    <s v="Pop UP Counter"/>
    <s v="Confirmed( C3 )"/>
    <m/>
    <m/>
    <m/>
    <m/>
    <s v="Warm"/>
    <m/>
    <m/>
    <m/>
    <m/>
    <x v="5"/>
    <m/>
    <m/>
    <m/>
    <x v="6"/>
    <m/>
    <s v=""/>
    <m/>
  </r>
  <r>
    <d v="2026-09-16T00:00:00"/>
    <s v="Vishwanath"/>
    <s v="Bangalore"/>
    <x v="16"/>
    <s v="Call"/>
    <s v="Corporate"/>
    <m/>
    <s v="Bulk Order"/>
    <s v="Repeat"/>
    <s v="Retail"/>
    <s v="Mohammed"/>
    <m/>
    <s v="Business Closed"/>
    <s v="Closed(C4)"/>
    <m/>
    <m/>
    <s v=""/>
    <s v=""/>
    <s v="Hot"/>
    <n v="25000"/>
    <n v="26124"/>
    <d v="2026-09-16T00:00:00"/>
    <s v="00HSA06000008848"/>
    <x v="3"/>
    <s v="Pending"/>
    <m/>
    <m/>
    <x v="6"/>
    <m/>
    <s v=""/>
    <m/>
  </r>
  <r>
    <d v="2026-09-16T00:00:00"/>
    <s v="Sameer"/>
    <s v="Bangalore"/>
    <x v="16"/>
    <s v="Call"/>
    <s v="Corporate"/>
    <s v="Compass"/>
    <s v="Bulk Order"/>
    <s v="Repeat"/>
    <s v="Retail"/>
    <s v="Mohammed"/>
    <m/>
    <s v="Business follow-up"/>
    <s v="Closed(C4)"/>
    <m/>
    <m/>
    <s v=""/>
    <s v=""/>
    <s v="Hot"/>
    <n v="25000"/>
    <n v="26125"/>
    <d v="2026-09-16T00:00:00"/>
    <s v="00HSA06000008848"/>
    <x v="3"/>
    <s v="Pending"/>
    <m/>
    <m/>
    <x v="6"/>
    <m/>
    <s v=""/>
    <m/>
  </r>
  <r>
    <d v="2026-09-17T00:00:00"/>
    <s v="Pradeep"/>
    <s v="Hyderabad"/>
    <x v="189"/>
    <s v="F2F"/>
    <s v="Corporate"/>
    <m/>
    <s v="Bulk Order"/>
    <s v="New"/>
    <s v="It"/>
    <s v="Suman"/>
    <m/>
    <s v="Bulk order closed"/>
    <s v="Closed(C4)"/>
    <m/>
    <m/>
    <m/>
    <m/>
    <s v="Hot"/>
    <n v="10000"/>
    <n v="2816"/>
    <d v="2026-09-17T00:00:00"/>
    <s v="00HCA5000030137"/>
    <x v="4"/>
    <s v="Received at Store"/>
    <m/>
    <d v="2026-09-17T00:00:00"/>
    <x v="6"/>
    <m/>
    <s v=""/>
    <s v="Takeaway-Bulk-Insti"/>
  </r>
  <r>
    <d v="2026-09-17T00:00:00"/>
    <s v="Pradeep"/>
    <s v="Hyderabad"/>
    <x v="189"/>
    <s v="F2F"/>
    <s v="Corporate"/>
    <m/>
    <s v="Bulk Order"/>
    <s v="New"/>
    <s v="It"/>
    <s v="Suman"/>
    <m/>
    <s v="Bulk order closed"/>
    <s v="Closed(C4)"/>
    <m/>
    <m/>
    <m/>
    <m/>
    <s v="Hot"/>
    <n v="10000"/>
    <n v="2625"/>
    <d v="2026-09-17T00:00:00"/>
    <s v="00HCA5000030138"/>
    <x v="4"/>
    <s v="Received at Store"/>
    <m/>
    <d v="2026-09-17T00:00:00"/>
    <x v="6"/>
    <m/>
    <m/>
    <s v="Takeaway-Bulk-Insti"/>
  </r>
  <r>
    <d v="2026-09-17T00:00:00"/>
    <s v="Vishwanath"/>
    <s v="Bangalore"/>
    <x v="551"/>
    <s v="F2F"/>
    <s v="Corporate"/>
    <m/>
    <s v="Bulk Order"/>
    <s v="New"/>
    <s v="It"/>
    <s v="Rathan"/>
    <m/>
    <s v="Business Closed"/>
    <s v="Closed(C4)"/>
    <m/>
    <m/>
    <m/>
    <m/>
    <s v="Hot"/>
    <n v="100000"/>
    <n v="131303"/>
    <d v="2026-09-17T00:00:00"/>
    <m/>
    <x v="11"/>
    <s v="Pending"/>
    <m/>
    <m/>
    <x v="6"/>
    <m/>
    <s v=""/>
    <m/>
  </r>
  <r>
    <d v="2026-09-17T00:00:00"/>
    <s v="Bashab"/>
    <s v="Hyderabad"/>
    <x v="552"/>
    <s v="F2F"/>
    <s v="Aggregator"/>
    <s v="Compass"/>
    <s v="Bulk Order"/>
    <s v="New"/>
    <s v="It"/>
    <s v="Ashok"/>
    <m/>
    <s v="Business Closed"/>
    <s v="Closed(C4)"/>
    <m/>
    <m/>
    <m/>
    <m/>
    <s v="Hot"/>
    <n v="300000"/>
    <n v="378154"/>
    <d v="2026-09-17T00:00:00"/>
    <m/>
    <x v="5"/>
    <s v="Pending"/>
    <m/>
    <m/>
    <x v="6"/>
    <m/>
    <s v=""/>
    <m/>
  </r>
  <r>
    <d v="2026-09-17T00:00:00"/>
    <s v="Sameer"/>
    <s v="Hyderabad"/>
    <x v="552"/>
    <s v="F2F"/>
    <s v="Aggregator"/>
    <s v="Compass"/>
    <s v="Bulk Order"/>
    <s v="New"/>
    <s v="It"/>
    <s v="Ashok"/>
    <m/>
    <s v="Business Closed"/>
    <s v="Closed(C4)"/>
    <m/>
    <m/>
    <m/>
    <m/>
    <s v="Hot"/>
    <n v="300000"/>
    <n v="378154"/>
    <d v="2026-09-17T00:00:00"/>
    <m/>
    <x v="5"/>
    <s v="Pending"/>
    <m/>
    <m/>
    <x v="6"/>
    <m/>
    <s v=""/>
    <m/>
  </r>
  <r>
    <d v="2026-09-17T00:00:00"/>
    <s v="Sameer"/>
    <s v="Hyderabad"/>
    <x v="553"/>
    <s v="F2F"/>
    <s v="Corporate"/>
    <m/>
    <s v="Bulk Order"/>
    <s v="New"/>
    <s v="Realestate"/>
    <s v="MS Reddy"/>
    <m/>
    <s v="Introduction to Bulk supply"/>
    <s v="Introduction( C0 )"/>
    <d v="2026-09-21T00:00:00"/>
    <m/>
    <m/>
    <m/>
    <s v="Cold"/>
    <n v="500000"/>
    <m/>
    <d v="2026-09-17T00:00:00"/>
    <m/>
    <x v="5"/>
    <m/>
    <m/>
    <m/>
    <x v="6"/>
    <m/>
    <s v=""/>
    <m/>
  </r>
  <r>
    <d v="2026-09-17T00:00:00"/>
    <s v="Pradeep"/>
    <s v="Hyderabad"/>
    <x v="554"/>
    <s v="F2F"/>
    <s v="Corporate"/>
    <m/>
    <s v="ODC"/>
    <s v="New"/>
    <s v="College"/>
    <s v="Amaan"/>
    <m/>
    <s v="ODC on 18 &amp;19 September"/>
    <s v="Closed(C4)"/>
    <m/>
    <m/>
    <m/>
    <m/>
    <s v="Hot"/>
    <n v="100000"/>
    <n v="77843"/>
    <d v="2026-09-17T00:00:00"/>
    <s v="00PRTA1000059902"/>
    <x v="29"/>
    <s v="Received at Store"/>
    <m/>
    <m/>
    <x v="6"/>
    <m/>
    <s v=""/>
    <s v="Takeaway-Bulk-Insti"/>
  </r>
  <r>
    <d v="2026-09-17T00:00:00"/>
    <s v="Vishwanath"/>
    <s v="Bangalore"/>
    <x v="545"/>
    <s v="F2F"/>
    <s v="Aggregator"/>
    <m/>
    <s v="Pop Up Counter"/>
    <s v="New"/>
    <s v="F&amp;B Aggregator"/>
    <s v="Akash"/>
    <m/>
    <s v="Bulk Order"/>
    <s v="Closed(C4)"/>
    <m/>
    <m/>
    <m/>
    <m/>
    <s v="Warm"/>
    <m/>
    <m/>
    <m/>
    <m/>
    <x v="5"/>
    <m/>
    <m/>
    <m/>
    <x v="6"/>
    <m/>
    <s v=""/>
    <m/>
  </r>
  <r>
    <d v="2026-09-18T00:00:00"/>
    <s v="Bashab"/>
    <s v="Bangalore"/>
    <x v="555"/>
    <s v="F2F"/>
    <s v="Aggregator"/>
    <s v="Pinnacle"/>
    <s v="ODC"/>
    <s v="New"/>
    <s v="Exhibition"/>
    <s v="Devendar"/>
    <m/>
    <s v="Business Closed"/>
    <s v="Closed(C4)"/>
    <m/>
    <m/>
    <m/>
    <m/>
    <s v="Hot"/>
    <n v="300000"/>
    <n v="450000"/>
    <d v="2026-09-18T00:00:00"/>
    <s v="00JNTA1000018219"/>
    <x v="8"/>
    <s v="Pending"/>
    <m/>
    <m/>
    <x v="6"/>
    <m/>
    <s v=""/>
    <m/>
  </r>
  <r>
    <d v="2026-09-18T00:00:00"/>
    <s v="Vishwanath"/>
    <s v="Bangalore"/>
    <x v="555"/>
    <s v="F2F"/>
    <s v="Aggregator"/>
    <s v="Pinnacle"/>
    <s v="ODC"/>
    <s v="New"/>
    <s v="Exhibition"/>
    <s v="Devendar"/>
    <m/>
    <s v="Business Closed"/>
    <s v="Closed(C4)"/>
    <m/>
    <m/>
    <m/>
    <m/>
    <s v="Hot"/>
    <n v="250000"/>
    <n v="304650"/>
    <d v="2026-09-18T00:00:00"/>
    <s v="00JNTA1000018219"/>
    <x v="8"/>
    <s v="Pending"/>
    <m/>
    <m/>
    <x v="6"/>
    <m/>
    <s v=""/>
    <m/>
  </r>
  <r>
    <d v="2026-09-18T00:00:00"/>
    <s v="Bashab"/>
    <s v="Bangalore"/>
    <x v="276"/>
    <s v="F2F"/>
    <s v="Corporate"/>
    <m/>
    <s v="Pop Up Counter"/>
    <s v="New"/>
    <s v="It"/>
    <s v="Adhnan"/>
    <m/>
    <s v="Business Closed"/>
    <s v="Closed(C4)"/>
    <m/>
    <m/>
    <m/>
    <m/>
    <s v="Hot"/>
    <n v="10000"/>
    <n v="23443"/>
    <d v="2026-09-18T00:00:00"/>
    <s v="00MRAO8000009711"/>
    <x v="11"/>
    <s v="Received at HO"/>
    <m/>
    <m/>
    <x v="6"/>
    <m/>
    <s v=""/>
    <m/>
  </r>
  <r>
    <d v="2026-09-18T00:00:00"/>
    <s v="Pradeep"/>
    <s v="Hyderabad"/>
    <x v="556"/>
    <s v="F2F"/>
    <s v="Corporate"/>
    <m/>
    <s v="Bulk Order"/>
    <s v="New"/>
    <s v="Education"/>
    <s v="Rajesh"/>
    <m/>
    <s v="Discussed on bulk order requirement"/>
    <s v="Negotitaion( C2 )"/>
    <d v="2026-09-29T00:00:00"/>
    <m/>
    <m/>
    <m/>
    <s v="Cold"/>
    <n v="30000"/>
    <m/>
    <m/>
    <m/>
    <x v="5"/>
    <m/>
    <m/>
    <m/>
    <x v="6"/>
    <m/>
    <m/>
    <m/>
  </r>
  <r>
    <d v="2026-09-18T00:00:00"/>
    <s v="Pradeep"/>
    <s v="Hyderabad"/>
    <x v="557"/>
    <s v="F2F"/>
    <s v="Corporate"/>
    <m/>
    <s v="Bulk Order"/>
    <s v="New"/>
    <s v="Healthcare"/>
    <s v="Ajay"/>
    <m/>
    <s v="Discussed on bulk order requirement"/>
    <s v="Follow-up( C1 )"/>
    <d v="2026-09-26T00:00:00"/>
    <m/>
    <m/>
    <m/>
    <s v="Warm"/>
    <n v="40000"/>
    <m/>
    <m/>
    <m/>
    <x v="5"/>
    <m/>
    <m/>
    <m/>
    <x v="6"/>
    <m/>
    <m/>
    <m/>
  </r>
  <r>
    <d v="2026-09-18T00:00:00"/>
    <s v="Pradeep"/>
    <s v="Hyderabad"/>
    <x v="315"/>
    <s v="F2F"/>
    <s v="Corporate"/>
    <m/>
    <s v="Bulk Order"/>
    <s v="New"/>
    <s v="Manufacturing"/>
    <s v="Sourav"/>
    <m/>
    <s v="Discussed on bulk order requirement"/>
    <s v="Negotitaion( C2 )"/>
    <m/>
    <m/>
    <m/>
    <m/>
    <s v="Warm"/>
    <n v="25000"/>
    <m/>
    <m/>
    <m/>
    <x v="5"/>
    <m/>
    <m/>
    <m/>
    <x v="6"/>
    <m/>
    <m/>
    <m/>
  </r>
  <r>
    <d v="2026-09-18T00:00:00"/>
    <s v="Vishwanath"/>
    <s v="Bangalore"/>
    <x v="558"/>
    <s v="F2F"/>
    <s v="Corporate"/>
    <m/>
    <s v="Bulk Order"/>
    <s v="New"/>
    <s v="Manufacturing"/>
    <s v="Anurag.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18T00:00:00"/>
    <s v="Vishwanath"/>
    <s v="Bangalore"/>
    <x v="545"/>
    <s v="F2F"/>
    <s v="Aggregator"/>
    <m/>
    <s v="Pop Up Counter"/>
    <s v="New"/>
    <s v="F&amp;B Aggregator"/>
    <s v="Akash"/>
    <m/>
    <s v="Bulk Order"/>
    <s v="Closed(C4)"/>
    <m/>
    <m/>
    <m/>
    <m/>
    <s v="Warm"/>
    <m/>
    <m/>
    <m/>
    <m/>
    <x v="5"/>
    <m/>
    <m/>
    <m/>
    <x v="6"/>
    <m/>
    <s v=""/>
    <m/>
  </r>
  <r>
    <d v="2026-09-20T00:00:00"/>
    <s v="Sameer"/>
    <s v="Hyderabad"/>
    <x v="495"/>
    <s v="F2F"/>
    <s v="Corporate"/>
    <m/>
    <s v="Bulk Order"/>
    <s v="New"/>
    <s v="Manufacturing"/>
    <s v="Bidula"/>
    <m/>
    <s v="Discussed for order in november"/>
    <s v="Follow-up( C1 )"/>
    <d v="2026-09-30T00:00:00"/>
    <s v="Call"/>
    <m/>
    <m/>
    <s v="Hot"/>
    <n v="1500000"/>
    <m/>
    <m/>
    <m/>
    <x v="5"/>
    <m/>
    <m/>
    <m/>
    <x v="6"/>
    <m/>
    <m/>
    <m/>
  </r>
  <r>
    <d v="2026-09-20T00:00:00"/>
    <s v="Pradeep"/>
    <s v="Hyderabad"/>
    <x v="61"/>
    <s v="F2F"/>
    <s v="Bulk Order"/>
    <m/>
    <s v="Bulk Order"/>
    <s v="New"/>
    <s v="Family Group"/>
    <s v="Chandu"/>
    <m/>
    <s v="Business Closed"/>
    <s v="Closed(C4)"/>
    <m/>
    <m/>
    <m/>
    <m/>
    <s v="Hot"/>
    <n v="25000"/>
    <n v="13195"/>
    <d v="2026-09-20T00:00:00"/>
    <s v="00PRTA1000059889"/>
    <x v="29"/>
    <s v="Received at Store"/>
    <m/>
    <d v="2026-09-20T00:00:00"/>
    <x v="6"/>
    <m/>
    <s v=""/>
    <s v="Takeaway-Bulk-Insti"/>
  </r>
  <r>
    <d v="2026-09-20T00:00:00"/>
    <s v="Anushikha"/>
    <s v="Hyderabad"/>
    <x v="99"/>
    <s v="Call"/>
    <s v="Bulk Order"/>
    <m/>
    <s v="Bulk Order"/>
    <s v="New"/>
    <s v="It"/>
    <s v="Karan"/>
    <m/>
    <s v="Business Closed"/>
    <s v="Closed(C4)"/>
    <m/>
    <m/>
    <m/>
    <m/>
    <s v="Hot"/>
    <n v="22000"/>
    <n v="24061"/>
    <d v="2026-09-20T00:00:00"/>
    <s v="00MGA01000007471"/>
    <x v="37"/>
    <s v="Received at Store"/>
    <m/>
    <d v="2026-09-20T00:00:00"/>
    <x v="6"/>
    <m/>
    <s v=""/>
    <m/>
  </r>
  <r>
    <d v="2026-09-21T00:00:00"/>
    <s v="Pradeep"/>
    <s v="Hyderabad"/>
    <x v="559"/>
    <s v="F2F"/>
    <s v="Corporate"/>
    <m/>
    <s v="Bulk Order"/>
    <s v="New"/>
    <s v="It"/>
    <s v="Randheer reddy"/>
    <m/>
    <s v="Discussed on bulk order requirement"/>
    <s v="Negotitaion( C2 )"/>
    <m/>
    <m/>
    <m/>
    <m/>
    <s v="Warm"/>
    <n v="50000"/>
    <m/>
    <m/>
    <m/>
    <x v="5"/>
    <m/>
    <m/>
    <m/>
    <x v="6"/>
    <m/>
    <m/>
    <m/>
  </r>
  <r>
    <d v="2026-09-21T00:00:00"/>
    <s v="Pradeep"/>
    <s v="Hyderabad"/>
    <x v="560"/>
    <s v="F2F"/>
    <s v="Corporate"/>
    <m/>
    <s v="Bulk Order"/>
    <s v="New"/>
    <s v="It"/>
    <s v="Bhargav"/>
    <m/>
    <s v="Discussed on bulk order requirement"/>
    <s v="Negotitaion( C2 )"/>
    <m/>
    <m/>
    <m/>
    <m/>
    <s v="Cold"/>
    <n v="45000"/>
    <m/>
    <m/>
    <m/>
    <x v="5"/>
    <m/>
    <m/>
    <m/>
    <x v="6"/>
    <m/>
    <m/>
    <m/>
  </r>
  <r>
    <d v="2026-09-21T00:00:00"/>
    <s v="Sameer"/>
    <s v="Hyderabad"/>
    <x v="165"/>
    <s v="F2F"/>
    <s v="Bulk Order"/>
    <s v="Compass"/>
    <s v="Bulk Order"/>
    <s v="New"/>
    <s v="F&amp;B Aggregator"/>
    <s v="Upendhar"/>
    <m/>
    <s v="Buffet lunch on 30-09-2026"/>
    <s v="Confirmed( C3 )"/>
    <m/>
    <m/>
    <m/>
    <m/>
    <s v="Hot"/>
    <n v="0"/>
    <m/>
    <m/>
    <m/>
    <x v="5"/>
    <m/>
    <m/>
    <m/>
    <x v="6"/>
    <m/>
    <s v=""/>
    <m/>
  </r>
  <r>
    <d v="2026-09-21T00:00:00"/>
    <s v="Pradeep"/>
    <s v="Hyderabad"/>
    <x v="259"/>
    <s v="F2F"/>
    <s v="Aggregator"/>
    <s v="Hunger Box"/>
    <s v="Pop Up Counter"/>
    <s v="New"/>
    <s v="F&amp;B Aggregator"/>
    <s v="Kiran"/>
    <m/>
    <s v="Popupcounter on 24 &amp; 25 September"/>
    <s v="Closed(C4)"/>
    <m/>
    <m/>
    <m/>
    <m/>
    <s v="Hot"/>
    <n v="110000"/>
    <n v="113155"/>
    <d v="2026-09-21T00:00:00"/>
    <m/>
    <x v="1"/>
    <s v="Received at HO"/>
    <m/>
    <m/>
    <x v="6"/>
    <m/>
    <s v=""/>
    <m/>
  </r>
  <r>
    <d v="2026-09-21T00:00:00"/>
    <s v="Pradeep"/>
    <s v="Hyderabad"/>
    <x v="561"/>
    <s v="F2F"/>
    <s v="Bulk Order"/>
    <m/>
    <s v="Bulk Order"/>
    <s v="New"/>
    <s v="Healthcare"/>
    <s v="Manoj"/>
    <m/>
    <s v="Discussed on bulk order requirement"/>
    <s v="Negotitaion( C2 )"/>
    <d v="2026-09-27T00:00:00"/>
    <m/>
    <m/>
    <m/>
    <s v="Hot"/>
    <n v="70000"/>
    <m/>
    <m/>
    <m/>
    <x v="5"/>
    <m/>
    <m/>
    <m/>
    <x v="6"/>
    <m/>
    <s v=""/>
    <m/>
  </r>
  <r>
    <d v="2026-09-21T00:00:00"/>
    <s v="Pradeep"/>
    <s v="Hyderabad"/>
    <x v="562"/>
    <s v="F2F"/>
    <s v="Bulk Order"/>
    <m/>
    <s v="Bulk Order"/>
    <s v="New"/>
    <s v="It"/>
    <s v="Prashanth"/>
    <m/>
    <s v="Proposed for bulk order"/>
    <s v="Follow-up( C1 )"/>
    <d v="2026-10-18T00:00:00"/>
    <m/>
    <m/>
    <m/>
    <s v="Warm"/>
    <n v="30000"/>
    <m/>
    <m/>
    <m/>
    <x v="5"/>
    <m/>
    <m/>
    <m/>
    <x v="6"/>
    <m/>
    <s v=""/>
    <m/>
  </r>
  <r>
    <d v="2026-09-21T00:00:00"/>
    <s v="Sameer"/>
    <s v="Hyderabad"/>
    <x v="563"/>
    <s v="Call"/>
    <s v="Corporate"/>
    <m/>
    <s v="Bulk Order"/>
    <s v="New"/>
    <s v="Events"/>
    <s v="Ajay"/>
    <m/>
    <s v="Events at 4 locations"/>
    <s v="Cancelled"/>
    <d v="2026-10-01T00:00:00"/>
    <s v="Call"/>
    <m/>
    <m/>
    <s v="Hot"/>
    <n v="50000"/>
    <m/>
    <d v="2026-10-17T00:00:00"/>
    <m/>
    <x v="5"/>
    <m/>
    <m/>
    <m/>
    <x v="4"/>
    <m/>
    <m/>
    <m/>
  </r>
  <r>
    <d v="2026-09-21T00:00:00"/>
    <s v="Vishwanath"/>
    <s v="Bangalore"/>
    <x v="564"/>
    <s v="F2F"/>
    <s v="Corporate"/>
    <m/>
    <s v="Bulk Order"/>
    <s v="New"/>
    <s v="It"/>
    <s v="Hungerbox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21T00:00:00"/>
    <s v="Vishwanath"/>
    <s v="Bangalore"/>
    <x v="565"/>
    <s v="F2F"/>
    <s v="Corporate"/>
    <m/>
    <s v="Bulk Order"/>
    <s v="New"/>
    <s v="Healthcare"/>
    <s v=" Junaid. Khan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22T00:00:00"/>
    <s v="Pradeep"/>
    <s v="Hyderabad"/>
    <x v="566"/>
    <s v="F2F"/>
    <s v="Corporate"/>
    <m/>
    <s v="Bulk Order"/>
    <s v="New"/>
    <s v="It"/>
    <s v="Pavan"/>
    <m/>
    <s v="Discussed on bulk order requirement"/>
    <s v="Negotitaion( C2 )"/>
    <d v="2026-10-10T00:00:00"/>
    <m/>
    <m/>
    <m/>
    <s v="Warm"/>
    <n v="28000"/>
    <m/>
    <m/>
    <m/>
    <x v="5"/>
    <m/>
    <m/>
    <m/>
    <x v="6"/>
    <m/>
    <m/>
    <m/>
  </r>
  <r>
    <d v="2026-09-22T00:00:00"/>
    <s v="Pradeep"/>
    <s v="Hyderabad"/>
    <x v="567"/>
    <s v="F2F"/>
    <s v="Corporate"/>
    <m/>
    <s v="Bulk Order"/>
    <s v="New"/>
    <s v="It"/>
    <s v="Soujanya"/>
    <m/>
    <s v="Proposed for Bulk Order and Biryani Kits for Gifting"/>
    <s v="Follow-up( C1 )"/>
    <m/>
    <m/>
    <m/>
    <m/>
    <s v="Warm"/>
    <n v="30000"/>
    <m/>
    <m/>
    <m/>
    <x v="5"/>
    <m/>
    <m/>
    <m/>
    <x v="6"/>
    <m/>
    <m/>
    <m/>
  </r>
  <r>
    <d v="2026-09-22T00:00:00"/>
    <s v="Pradeep"/>
    <s v="Hyderabad"/>
    <x v="568"/>
    <s v="F2F"/>
    <s v="Corporate"/>
    <m/>
    <s v="Bulk Order"/>
    <s v="New"/>
    <s v="Education"/>
    <s v="Ravinder"/>
    <m/>
    <s v="Discussed on bulk order requirement"/>
    <s v="Negotitaion( C2 )"/>
    <d v="2026-10-09T00:00:00"/>
    <s v="Call"/>
    <m/>
    <m/>
    <s v="Warm"/>
    <n v="40000"/>
    <m/>
    <m/>
    <m/>
    <x v="5"/>
    <m/>
    <m/>
    <m/>
    <x v="6"/>
    <m/>
    <m/>
    <m/>
  </r>
  <r>
    <d v="2026-09-22T00:00:00"/>
    <s v="Vishwanath"/>
    <s v="Bangalore"/>
    <x v="569"/>
    <s v="F2F"/>
    <s v="Corporate"/>
    <m/>
    <s v="Bulk Order"/>
    <s v="New"/>
    <s v="It"/>
    <s v="Yogita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22T00:00:00"/>
    <s v="Vishwanath"/>
    <s v="Bangalore"/>
    <x v="570"/>
    <s v="F2F"/>
    <s v="Corporate"/>
    <m/>
    <s v="Bulk Order"/>
    <s v="New"/>
    <s v="Manufacturing"/>
    <s v="Vijay Kumar J.R.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23T00:00:00"/>
    <s v="Pradeep"/>
    <s v="Hyderabad"/>
    <x v="156"/>
    <s v="Call"/>
    <s v="Aggregator"/>
    <s v="Compass"/>
    <s v="Bulk Order"/>
    <s v="New"/>
    <s v="F&amp;B Aggregator"/>
    <s v="Srinivas"/>
    <m/>
    <s v="Business Closed"/>
    <s v="Closed(C4)"/>
    <m/>
    <m/>
    <m/>
    <s v=""/>
    <s v="Hot"/>
    <n v="100000"/>
    <n v="105000"/>
    <d v="2026-09-23T00:00:00"/>
    <s v="CIFSPL070923"/>
    <x v="5"/>
    <s v="Pending"/>
    <m/>
    <m/>
    <x v="6"/>
    <m/>
    <s v=""/>
    <m/>
  </r>
  <r>
    <d v="2026-09-23T00:00:00"/>
    <s v="Bashab"/>
    <s v="Hyderabad"/>
    <x v="156"/>
    <s v="Call"/>
    <s v="Aggregator"/>
    <s v="Compass"/>
    <s v="Bulk Order"/>
    <s v="New"/>
    <s v="F&amp;B Aggregator"/>
    <s v="Srinivas"/>
    <m/>
    <s v="Business Closed"/>
    <s v="Closed(C4)"/>
    <m/>
    <m/>
    <m/>
    <s v=""/>
    <s v="Hot"/>
    <n v="100000"/>
    <n v="105000"/>
    <d v="2026-09-23T00:00:00"/>
    <s v="CIFSPL070923"/>
    <x v="5"/>
    <s v="Pending"/>
    <m/>
    <m/>
    <x v="6"/>
    <m/>
    <s v=""/>
    <m/>
  </r>
  <r>
    <d v="2026-09-23T00:00:00"/>
    <s v="Pradeep"/>
    <s v="Hyderabad"/>
    <x v="61"/>
    <s v="Call"/>
    <s v="Bulk Order"/>
    <m/>
    <s v="Bulk Order"/>
    <s v="New"/>
    <s v="Family Group"/>
    <s v="Zafar"/>
    <m/>
    <s v="Business Closed"/>
    <s v="Closed(C4)"/>
    <m/>
    <m/>
    <m/>
    <m/>
    <s v="Hot"/>
    <n v="15000"/>
    <n v="7840"/>
    <d v="2026-09-23T00:00:00"/>
    <s v="00CMTA1000156297"/>
    <x v="38"/>
    <m/>
    <m/>
    <m/>
    <x v="6"/>
    <m/>
    <s v=""/>
    <s v="Takeaway-Bulk-Insti"/>
  </r>
  <r>
    <d v="2026-09-23T00:00:00"/>
    <s v="Pradeep"/>
    <s v="Hyderabad"/>
    <x v="144"/>
    <s v="F2F"/>
    <s v="Corporate"/>
    <m/>
    <s v="Bulk Order"/>
    <s v="New"/>
    <s v="Transport"/>
    <s v="Sai Kiran"/>
    <m/>
    <s v="Business Closed"/>
    <s v="Closed(C4)"/>
    <m/>
    <m/>
    <m/>
    <m/>
    <s v="Hot"/>
    <n v="15000"/>
    <n v="9000"/>
    <d v="2026-09-23T00:00:00"/>
    <m/>
    <x v="26"/>
    <s v="Received at Store"/>
    <m/>
    <m/>
    <x v="6"/>
    <m/>
    <s v=""/>
    <s v="Takeaway-Bulk-Insti"/>
  </r>
  <r>
    <d v="2026-09-23T00:00:00"/>
    <s v="Vishwanath"/>
    <s v="Bangalore"/>
    <x v="571"/>
    <s v="F2F"/>
    <s v="Corporate"/>
    <m/>
    <s v="Bulk Order"/>
    <s v="New"/>
    <s v="It"/>
    <s v=" Vanisha.M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23T00:00:00"/>
    <s v="Vishwanath"/>
    <s v="Bangalore"/>
    <x v="16"/>
    <s v="Call"/>
    <s v="Corporate"/>
    <s v="Compass"/>
    <s v="Bulk Order"/>
    <s v="Repeat"/>
    <s v="Retail"/>
    <s v="Mohammed"/>
    <m/>
    <s v="Business Closed"/>
    <s v="Closed(C4)"/>
    <m/>
    <m/>
    <s v=""/>
    <s v=""/>
    <s v="Hot"/>
    <n v="25000"/>
    <n v="25895"/>
    <d v="2026-09-23T00:00:00"/>
    <s v="00HSA06000009029"/>
    <x v="3"/>
    <s v="Pending"/>
    <m/>
    <m/>
    <x v="6"/>
    <m/>
    <s v=""/>
    <m/>
  </r>
  <r>
    <d v="2026-09-23T00:00:00"/>
    <s v="Sameer"/>
    <s v="Bangalore"/>
    <x v="16"/>
    <s v="Call"/>
    <s v="Corporate"/>
    <s v="Compass"/>
    <s v="Bulk Order"/>
    <s v="Repeat"/>
    <s v="Retail"/>
    <s v="Mohammed"/>
    <m/>
    <s v="Business Closed"/>
    <s v="Closed(C4)"/>
    <m/>
    <m/>
    <s v=""/>
    <s v=""/>
    <s v="Hot"/>
    <n v="25000"/>
    <n v="25896"/>
    <d v="2026-09-23T00:00:00"/>
    <s v="00HSA06000009029"/>
    <x v="3"/>
    <s v="Pending"/>
    <m/>
    <m/>
    <x v="6"/>
    <m/>
    <s v=""/>
    <m/>
  </r>
  <r>
    <d v="2026-09-23T00:00:00"/>
    <s v="Vishwanath"/>
    <s v="Bangalore"/>
    <x v="16"/>
    <s v="Call"/>
    <s v="Corporate"/>
    <s v="Compass"/>
    <s v="Bulk Order"/>
    <s v="Repeat"/>
    <s v="Retail"/>
    <s v="Mohammed"/>
    <m/>
    <s v="Business Closed"/>
    <s v="Closed(C4)"/>
    <m/>
    <m/>
    <s v=""/>
    <s v=""/>
    <s v="Hot"/>
    <n v="25000"/>
    <n v="13521"/>
    <d v="2026-09-26T00:00:00"/>
    <s v="00HSA06000009072"/>
    <x v="3"/>
    <s v="Pending"/>
    <m/>
    <m/>
    <x v="6"/>
    <m/>
    <m/>
    <m/>
  </r>
  <r>
    <d v="2026-09-23T00:00:00"/>
    <s v="Sameer"/>
    <s v="Bangalore"/>
    <x v="16"/>
    <s v="Call"/>
    <s v="Corporate"/>
    <s v="Compass"/>
    <s v="Bulk Order"/>
    <s v="Repeat"/>
    <s v="Retail"/>
    <s v="Mohammed"/>
    <m/>
    <s v="Business Closed"/>
    <s v="Closed(C4)"/>
    <m/>
    <m/>
    <s v=""/>
    <s v=""/>
    <s v="Hot"/>
    <n v="25000"/>
    <n v="13520"/>
    <d v="2026-09-26T00:00:00"/>
    <s v="00HSA06000009072"/>
    <x v="3"/>
    <s v="Pending"/>
    <m/>
    <m/>
    <x v="6"/>
    <m/>
    <m/>
    <m/>
  </r>
  <r>
    <d v="2026-09-24T00:00:00"/>
    <s v="Pradeep"/>
    <s v="Hyderabad"/>
    <x v="572"/>
    <s v="F2F"/>
    <s v="Corporate"/>
    <m/>
    <s v="Bulk Order"/>
    <s v="New"/>
    <s v="Healthcare"/>
    <s v="Durga"/>
    <m/>
    <s v="Discussed on bulk order requirement"/>
    <s v="Negotitaion( C2 )"/>
    <d v="2026-10-15T00:00:00"/>
    <s v="Call"/>
    <m/>
    <m/>
    <s v="Warm"/>
    <n v="25000"/>
    <m/>
    <m/>
    <m/>
    <x v="5"/>
    <m/>
    <m/>
    <m/>
    <x v="6"/>
    <m/>
    <m/>
    <m/>
  </r>
  <r>
    <d v="2026-09-24T00:00:00"/>
    <s v="Pradeep"/>
    <s v="Hyderabad"/>
    <x v="317"/>
    <s v="F2F"/>
    <s v="Corporate"/>
    <m/>
    <s v="Bulk Order"/>
    <s v="New"/>
    <s v="It"/>
    <s v="Shyam Kumar"/>
    <m/>
    <s v="Discussed on bulk order requirement"/>
    <s v="Follow-up( C1 )"/>
    <d v="2026-10-05T00:00:00"/>
    <s v="Call"/>
    <m/>
    <m/>
    <s v="Warm"/>
    <n v="15000"/>
    <m/>
    <m/>
    <m/>
    <x v="5"/>
    <m/>
    <m/>
    <m/>
    <x v="6"/>
    <m/>
    <m/>
    <m/>
  </r>
  <r>
    <d v="2026-09-24T00:00:00"/>
    <s v="Anushikha"/>
    <s v="Hyderabad"/>
    <x v="573"/>
    <s v="Call"/>
    <s v="Bulk Order"/>
    <m/>
    <s v="Bulk Order"/>
    <s v="New"/>
    <s v="Church"/>
    <s v="Jee"/>
    <m/>
    <s v="Proposed for bulk order"/>
    <s v="Introduction( C0 )"/>
    <d v="2026-09-28T00:00:00"/>
    <m/>
    <m/>
    <m/>
    <s v="Warm"/>
    <n v="30000"/>
    <m/>
    <m/>
    <m/>
    <x v="5"/>
    <m/>
    <m/>
    <m/>
    <x v="6"/>
    <m/>
    <s v=""/>
    <m/>
  </r>
  <r>
    <d v="2026-09-24T00:00:00"/>
    <s v="Anushikha"/>
    <s v="Hyderabad"/>
    <x v="574"/>
    <s v="Call"/>
    <s v="Bulk Order"/>
    <m/>
    <s v="Bulk Order"/>
    <s v="New"/>
    <s v="Church"/>
    <s v="Srikanth"/>
    <m/>
    <s v="Discussed on bulk order requirement"/>
    <s v="Follow-up( C1 )"/>
    <d v="2026-10-05T00:00:00"/>
    <m/>
    <m/>
    <m/>
    <s v="Hot"/>
    <n v="50000"/>
    <m/>
    <m/>
    <m/>
    <x v="5"/>
    <m/>
    <m/>
    <m/>
    <x v="6"/>
    <m/>
    <s v=""/>
    <m/>
  </r>
  <r>
    <d v="2026-09-24T00:00:00"/>
    <s v="Anushikha"/>
    <s v="Hyderabad"/>
    <x v="575"/>
    <s v="Call"/>
    <s v="Corporate"/>
    <m/>
    <s v="Bulk Order"/>
    <s v="New"/>
    <s v="Healthcare"/>
    <s v="Ashok"/>
    <m/>
    <s v="Discussed on bulk order"/>
    <s v="Introduction( C0 )"/>
    <m/>
    <m/>
    <m/>
    <m/>
    <s v="Warm"/>
    <n v="45000"/>
    <m/>
    <m/>
    <m/>
    <x v="5"/>
    <m/>
    <m/>
    <m/>
    <x v="6"/>
    <m/>
    <s v=""/>
    <m/>
  </r>
  <r>
    <d v="2026-09-24T00:00:00"/>
    <s v="Pradeep"/>
    <s v="Hyderabad"/>
    <x v="487"/>
    <s v="F2F"/>
    <s v="Corporate"/>
    <m/>
    <s v="Bulk Order"/>
    <s v="New"/>
    <s v="Healthcare"/>
    <s v="Raj reddy"/>
    <m/>
    <s v="Discussed on bulk order requirement"/>
    <s v="Follow-up( C1 )"/>
    <d v="2026-10-02T00:00:00"/>
    <s v="Call"/>
    <m/>
    <m/>
    <s v="Warm"/>
    <n v="35000"/>
    <m/>
    <m/>
    <m/>
    <x v="5"/>
    <m/>
    <m/>
    <m/>
    <x v="6"/>
    <m/>
    <m/>
    <m/>
  </r>
  <r>
    <d v="2026-09-24T00:00:00"/>
    <s v="Pradeep"/>
    <s v="Hyderabad"/>
    <x v="307"/>
    <s v="F2F"/>
    <s v="Corporate"/>
    <m/>
    <s v="Bulk Order"/>
    <s v="New"/>
    <s v="It"/>
    <s v="Sunith"/>
    <m/>
    <s v="Proposed for bulk order"/>
    <s v="Follow-up( C1 )"/>
    <d v="2026-10-07T00:00:00"/>
    <s v="Call"/>
    <m/>
    <m/>
    <s v="Cold"/>
    <n v="50000"/>
    <m/>
    <m/>
    <m/>
    <x v="5"/>
    <m/>
    <m/>
    <m/>
    <x v="6"/>
    <m/>
    <m/>
    <m/>
  </r>
  <r>
    <d v="2026-09-24T00:00:00"/>
    <s v="Anushikha"/>
    <s v="Hyderabad"/>
    <x v="576"/>
    <s v="Call"/>
    <s v="Bulk Order"/>
    <m/>
    <s v="Bulk Order"/>
    <s v="New"/>
    <s v="Church"/>
    <s v="Jyothi Sampath"/>
    <m/>
    <s v="Discussed on bulk order"/>
    <s v="Follow-up( C1 )"/>
    <m/>
    <m/>
    <m/>
    <m/>
    <m/>
    <m/>
    <m/>
    <m/>
    <m/>
    <x v="5"/>
    <m/>
    <m/>
    <m/>
    <x v="6"/>
    <m/>
    <s v=""/>
    <m/>
  </r>
  <r>
    <d v="2026-09-24T00:00:00"/>
    <s v="Vishwanath"/>
    <s v="Bangalore"/>
    <x v="577"/>
    <s v="F2F"/>
    <s v="Corporate"/>
    <m/>
    <s v="Bulk Order"/>
    <s v="New"/>
    <s v="It"/>
    <s v="Anil"/>
    <m/>
    <s v="Bulk order Discussion"/>
    <s v="Introduction( C0 )"/>
    <m/>
    <m/>
    <m/>
    <m/>
    <s v="Warm"/>
    <m/>
    <m/>
    <m/>
    <m/>
    <x v="5"/>
    <m/>
    <m/>
    <m/>
    <x v="6"/>
    <m/>
    <s v=""/>
    <m/>
  </r>
  <r>
    <d v="2026-09-24T00:00:00"/>
    <s v="Bashab"/>
    <s v="Bangalore"/>
    <x v="37"/>
    <s v="F2F"/>
    <s v="Aggregator"/>
    <s v="SmartQ"/>
    <s v="Pop Up Counter"/>
    <s v="New"/>
    <s v="It"/>
    <s v="Goutham"/>
    <m/>
    <s v="Business Closed"/>
    <s v="Closed(C4)"/>
    <m/>
    <m/>
    <m/>
    <m/>
    <s v="Hot"/>
    <n v="10000"/>
    <n v="9890"/>
    <d v="2026-09-24T00:00:00"/>
    <s v="00KVTA1000028545"/>
    <x v="12"/>
    <s v="Received at HO"/>
    <m/>
    <m/>
    <x v="6"/>
    <m/>
    <s v=""/>
    <m/>
  </r>
  <r>
    <d v="2026-09-25T00:00:00"/>
    <s v="Pradeep"/>
    <s v="Hyderabad"/>
    <x v="578"/>
    <s v="F2F"/>
    <s v="Corporate"/>
    <m/>
    <s v="Bulk Order"/>
    <s v="New"/>
    <s v="Healthcare"/>
    <s v="Jyothi"/>
    <m/>
    <s v="Proposed for bulk order"/>
    <s v="Negotitaion( C2 )"/>
    <d v="2026-10-08T00:00:00"/>
    <s v="Call"/>
    <m/>
    <m/>
    <s v="Warm"/>
    <n v="32000"/>
    <m/>
    <m/>
    <m/>
    <x v="5"/>
    <m/>
    <m/>
    <m/>
    <x v="6"/>
    <m/>
    <m/>
    <m/>
  </r>
  <r>
    <d v="2026-09-25T00:00:00"/>
    <s v="Pradeep"/>
    <s v="Hyderabad"/>
    <x v="579"/>
    <s v="F2F"/>
    <s v="Corporate"/>
    <m/>
    <s v="Bulk Order"/>
    <s v="New"/>
    <s v="Education"/>
    <s v="Imran "/>
    <m/>
    <s v="Discussed on bulk order requirement"/>
    <s v="Confirmed( C3 )"/>
    <d v="2026-10-13T00:00:00"/>
    <s v="Call"/>
    <m/>
    <m/>
    <s v="Hot"/>
    <n v="65000"/>
    <m/>
    <m/>
    <m/>
    <x v="5"/>
    <m/>
    <m/>
    <m/>
    <x v="6"/>
    <m/>
    <m/>
    <m/>
  </r>
  <r>
    <d v="2026-09-25T00:00:00"/>
    <s v="Vishwanath"/>
    <s v="Bangalore"/>
    <x v="41"/>
    <s v="F2F"/>
    <s v="Aggregator"/>
    <s v="SmartQ"/>
    <s v="Pop Up Counter"/>
    <s v="New"/>
    <s v="It"/>
    <s v="Goutham"/>
    <m/>
    <s v="Business Closed"/>
    <s v="Closed(C4)"/>
    <m/>
    <m/>
    <m/>
    <m/>
    <s v="Hot"/>
    <n v="10000"/>
    <n v="8670"/>
    <d v="2026-09-25T00:00:00"/>
    <s v="00KVTA1000028545"/>
    <x v="12"/>
    <s v="Pending"/>
    <m/>
    <m/>
    <x v="6"/>
    <m/>
    <s v=""/>
    <m/>
  </r>
  <r>
    <d v="2026-09-28T00:00:00"/>
    <s v="Pradeep"/>
    <s v="Hyderabad"/>
    <x v="580"/>
    <s v="Call"/>
    <s v="Corporate"/>
    <m/>
    <s v="Bulk Order"/>
    <s v="New"/>
    <s v="Events"/>
    <s v="Kanthraj"/>
    <m/>
    <s v="Business Closed"/>
    <s v="Closed(C4)"/>
    <m/>
    <m/>
    <m/>
    <m/>
    <s v="Cold"/>
    <n v="20000"/>
    <n v="13351"/>
    <d v="2026-09-28T00:00:00"/>
    <s v="00BGA09000046997"/>
    <x v="15"/>
    <s v="Received at Store"/>
    <m/>
    <d v="2026-09-28T00:00:00"/>
    <x v="6"/>
    <m/>
    <m/>
    <s v="Takeaway-Bulk-Insti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986A29-B724-49DE-926A-127E4FEB1889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16:L21" firstHeaderRow="1" firstDataRow="2" firstDataCol="1" rowPageCount="1" colPageCount="1"/>
  <pivotFields count="31">
    <pivotField showAll="0"/>
    <pivotField showAll="0"/>
    <pivotField showAll="0"/>
    <pivotField axis="axisRow" multipleItemSelectionAllowed="1" showAll="0">
      <items count="615">
        <item h="1" x="311"/>
        <item h="1" x="198"/>
        <item h="1" x="235"/>
        <item h="1" x="195"/>
        <item h="1" x="16"/>
        <item h="1" x="149"/>
        <item h="1" x="259"/>
        <item h="1" x="145"/>
        <item h="1" x="71"/>
        <item h="1" x="41"/>
        <item h="1" x="37"/>
        <item h="1" x="174"/>
        <item h="1" x="107"/>
        <item h="1" x="348"/>
        <item h="1" x="0"/>
        <item h="1" x="82"/>
        <item h="1" x="46"/>
        <item h="1" x="175"/>
        <item h="1" x="20"/>
        <item h="1" x="21"/>
        <item h="1" x="115"/>
        <item h="1" x="184"/>
        <item h="1" x="183"/>
        <item h="1" x="72"/>
        <item h="1" x="197"/>
        <item h="1" x="136"/>
        <item h="1" x="193"/>
        <item h="1" x="243"/>
        <item h="1" x="87"/>
        <item h="1" x="123"/>
        <item h="1" x="15"/>
        <item h="1" x="18"/>
        <item h="1" x="40"/>
        <item h="1" x="31"/>
        <item h="1" x="160"/>
        <item h="1" x="25"/>
        <item h="1" x="113"/>
        <item h="1" x="272"/>
        <item h="1" x="194"/>
        <item h="1" x="227"/>
        <item h="1" x="77"/>
        <item h="1" x="168"/>
        <item h="1" x="135"/>
        <item h="1" x="117"/>
        <item h="1" x="163"/>
        <item h="1" x="217"/>
        <item h="1" x="150"/>
        <item h="1" x="64"/>
        <item h="1" x="307"/>
        <item h="1" x="238"/>
        <item h="1" x="196"/>
        <item h="1" x="114"/>
        <item h="1" x="129"/>
        <item h="1" x="313"/>
        <item h="1" x="34"/>
        <item h="1" x="191"/>
        <item h="1" x="222"/>
        <item h="1" x="187"/>
        <item h="1" x="268"/>
        <item h="1" x="354"/>
        <item h="1" x="329"/>
        <item h="1" x="302"/>
        <item h="1" x="39"/>
        <item h="1" x="176"/>
        <item h="1" x="189"/>
        <item h="1" x="4"/>
        <item h="1" x="215"/>
        <item h="1" x="17"/>
        <item h="1" x="340"/>
        <item h="1" x="212"/>
        <item h="1" x="265"/>
        <item h="1" x="239"/>
        <item h="1" x="244"/>
        <item h="1" x="171"/>
        <item h="1" x="60"/>
        <item h="1" x="99"/>
        <item h="1" x="261"/>
        <item h="1" x="67"/>
        <item h="1" x="68"/>
        <item h="1" x="162"/>
        <item h="1" x="69"/>
        <item h="1" x="260"/>
        <item h="1" x="70"/>
        <item h="1" x="293"/>
        <item h="1" x="292"/>
        <item h="1" x="297"/>
        <item h="1" x="290"/>
        <item h="1" x="36"/>
        <item h="1" x="177"/>
        <item h="1" x="241"/>
        <item h="1" x="315"/>
        <item h="1" x="254"/>
        <item h="1" x="228"/>
        <item h="1" x="103"/>
        <item h="1" x="98"/>
        <item h="1" x="296"/>
        <item h="1" x="2"/>
        <item h="1" x="294"/>
        <item h="1" x="182"/>
        <item h="1" x="10"/>
        <item x="156"/>
        <item h="1" x="267"/>
        <item h="1" x="144"/>
        <item h="1" x="166"/>
        <item h="1" x="274"/>
        <item h="1" x="246"/>
        <item h="1" x="28"/>
        <item h="1" x="128"/>
        <item h="1" x="230"/>
        <item h="1" x="42"/>
        <item h="1" x="27"/>
        <item h="1" x="301"/>
        <item h="1" x="310"/>
        <item h="1" x="3"/>
        <item h="1" x="181"/>
        <item h="1" x="262"/>
        <item h="1" x="284"/>
        <item h="1" x="1"/>
        <item h="1" x="74"/>
        <item h="1" x="106"/>
        <item h="1" x="250"/>
        <item h="1" x="357"/>
        <item h="1" x="8"/>
        <item h="1" x="102"/>
        <item h="1" x="280"/>
        <item h="1" x="139"/>
        <item h="1" x="172"/>
        <item h="1" x="321"/>
        <item h="1" x="73"/>
        <item h="1" x="234"/>
        <item h="1" x="245"/>
        <item h="1" x="14"/>
        <item h="1" x="170"/>
        <item h="1" x="291"/>
        <item h="1" x="258"/>
        <item h="1" x="206"/>
        <item h="1" x="304"/>
        <item h="1" x="322"/>
        <item h="1" x="76"/>
        <item h="1" x="61"/>
        <item h="1" x="186"/>
        <item h="1" x="116"/>
        <item h="1" x="120"/>
        <item h="1" x="79"/>
        <item h="1" x="124"/>
        <item h="1" x="251"/>
        <item h="1" x="248"/>
        <item h="1" x="288"/>
        <item h="1" x="209"/>
        <item h="1" x="233"/>
        <item h="1" x="208"/>
        <item h="1" x="305"/>
        <item h="1" x="361"/>
        <item h="1" x="229"/>
        <item h="1" x="5"/>
        <item h="1" x="43"/>
        <item h="1" x="35"/>
        <item h="1" x="333"/>
        <item h="1" x="161"/>
        <item h="1" x="104"/>
        <item h="1" x="360"/>
        <item h="1" x="213"/>
        <item h="1" x="256"/>
        <item h="1" x="204"/>
        <item h="1" x="219"/>
        <item h="1" x="285"/>
        <item h="1" x="326"/>
        <item h="1" x="252"/>
        <item h="1" x="337"/>
        <item h="1" x="132"/>
        <item h="1" x="9"/>
        <item h="1" x="247"/>
        <item h="1" x="289"/>
        <item h="1" x="299"/>
        <item h="1" x="237"/>
        <item h="1" x="266"/>
        <item h="1" x="351"/>
        <item h="1" x="51"/>
        <item h="1" x="138"/>
        <item h="1" x="86"/>
        <item h="1" x="30"/>
        <item h="1" x="278"/>
        <item h="1" x="282"/>
        <item h="1" x="201"/>
        <item h="1" x="346"/>
        <item h="1" x="148"/>
        <item h="1" x="66"/>
        <item h="1" x="185"/>
        <item h="1" x="83"/>
        <item h="1" x="432"/>
        <item h="1" x="318"/>
        <item h="1" x="147"/>
        <item h="1" x="38"/>
        <item h="1" x="356"/>
        <item h="1" x="300"/>
        <item h="1" x="158"/>
        <item h="1" x="338"/>
        <item h="1" m="1" x="613"/>
        <item h="1" x="49"/>
        <item h="1" x="226"/>
        <item h="1" x="127"/>
        <item h="1" x="211"/>
        <item h="1" x="92"/>
        <item h="1" x="78"/>
        <item h="1" x="7"/>
        <item h="1" x="111"/>
        <item h="1" x="122"/>
        <item h="1" x="225"/>
        <item h="1" x="276"/>
        <item h="1" x="271"/>
        <item h="1" x="343"/>
        <item h="1" x="130"/>
        <item h="1" x="275"/>
        <item h="1" x="316"/>
        <item h="1" x="110"/>
        <item h="1" x="169"/>
        <item h="1" x="323"/>
        <item h="1" x="240"/>
        <item h="1" x="112"/>
        <item h="1" x="19"/>
        <item h="1" x="202"/>
        <item h="1" x="6"/>
        <item h="1" x="192"/>
        <item h="1" x="24"/>
        <item h="1" x="26"/>
        <item h="1" x="159"/>
        <item h="1" x="56"/>
        <item h="1" x="309"/>
        <item h="1" x="57"/>
        <item h="1" x="12"/>
        <item h="1" x="101"/>
        <item h="1" x="100"/>
        <item x="332"/>
        <item x="80"/>
        <item h="1" x="137"/>
        <item h="1" x="118"/>
        <item h="1" x="89"/>
        <item h="1" x="167"/>
        <item h="1" x="283"/>
        <item h="1" x="358"/>
        <item h="1" x="306"/>
        <item h="1" x="96"/>
        <item h="1" x="81"/>
        <item h="1" x="327"/>
        <item h="1" x="97"/>
        <item h="1" x="143"/>
        <item h="1" x="336"/>
        <item h="1" x="157"/>
        <item h="1" x="165"/>
        <item h="1" x="52"/>
        <item h="1" x="155"/>
        <item h="1" x="359"/>
        <item h="1" x="257"/>
        <item h="1" x="308"/>
        <item h="1" x="62"/>
        <item h="1" x="164"/>
        <item h="1" x="320"/>
        <item h="1" x="303"/>
        <item h="1" x="263"/>
        <item h="1" x="13"/>
        <item h="1" x="45"/>
        <item h="1" x="85"/>
        <item h="1" x="84"/>
        <item h="1" x="279"/>
        <item h="1" x="345"/>
        <item h="1" x="298"/>
        <item h="1" x="108"/>
        <item h="1" x="264"/>
        <item h="1" x="63"/>
        <item h="1" x="146"/>
        <item h="1" x="90"/>
        <item h="1" x="249"/>
        <item h="1" x="65"/>
        <item h="1" x="207"/>
        <item h="1" x="350"/>
        <item h="1" x="32"/>
        <item h="1" x="153"/>
        <item h="1" x="47"/>
        <item h="1" x="152"/>
        <item h="1" x="324"/>
        <item h="1" x="126"/>
        <item h="1" x="253"/>
        <item h="1" x="93"/>
        <item h="1" x="188"/>
        <item h="1" x="141"/>
        <item h="1" x="277"/>
        <item h="1" x="22"/>
        <item h="1" x="131"/>
        <item h="1" x="121"/>
        <item h="1" x="33"/>
        <item h="1" x="88"/>
        <item h="1" x="221"/>
        <item h="1" x="355"/>
        <item h="1" x="214"/>
        <item h="1" x="330"/>
        <item h="1" x="180"/>
        <item h="1" x="105"/>
        <item h="1" x="231"/>
        <item h="1" x="232"/>
        <item h="1" x="210"/>
        <item h="1" x="134"/>
        <item h="1" x="281"/>
        <item h="1" x="220"/>
        <item h="1" x="352"/>
        <item h="1" x="54"/>
        <item h="1" x="44"/>
        <item h="1" x="55"/>
        <item h="1" x="151"/>
        <item h="1" x="29"/>
        <item h="1" x="200"/>
        <item h="1" x="339"/>
        <item h="1" x="255"/>
        <item h="1" x="347"/>
        <item h="1" x="75"/>
        <item h="1" x="270"/>
        <item h="1" x="242"/>
        <item h="1" x="53"/>
        <item h="1" x="50"/>
        <item h="1" x="140"/>
        <item h="1" x="295"/>
        <item h="1" x="205"/>
        <item h="1" x="312"/>
        <item h="1" x="331"/>
        <item h="1" x="273"/>
        <item h="1" x="223"/>
        <item h="1" x="179"/>
        <item h="1" x="142"/>
        <item h="1" x="344"/>
        <item h="1" x="317"/>
        <item h="1" x="216"/>
        <item h="1" x="154"/>
        <item h="1" x="59"/>
        <item h="1" x="269"/>
        <item h="1" x="224"/>
        <item h="1" x="48"/>
        <item h="1" x="199"/>
        <item h="1" x="178"/>
        <item h="1" x="109"/>
        <item h="1" x="286"/>
        <item h="1" x="328"/>
        <item h="1" x="23"/>
        <item h="1" x="236"/>
        <item h="1" x="91"/>
        <item h="1" x="94"/>
        <item h="1" x="218"/>
        <item h="1" x="133"/>
        <item h="1" x="11"/>
        <item h="1" x="95"/>
        <item h="1" x="190"/>
        <item h="1" x="287"/>
        <item h="1" x="173"/>
        <item h="1" x="58"/>
        <item h="1" x="362"/>
        <item h="1" x="125"/>
        <item h="1" x="203"/>
        <item h="1" x="119"/>
        <item h="1" x="610"/>
        <item h="1" x="335"/>
        <item h="1" m="1" x="612"/>
        <item h="1" x="341"/>
        <item h="1" x="334"/>
        <item h="1" x="314"/>
        <item h="1" x="319"/>
        <item h="1" x="325"/>
        <item h="1" x="342"/>
        <item h="1" x="349"/>
        <item h="1" x="366"/>
        <item h="1" x="353"/>
        <item h="1" x="363"/>
        <item h="1" x="364"/>
        <item h="1" x="365"/>
        <item h="1" x="367"/>
        <item h="1" x="368"/>
        <item h="1" x="370"/>
        <item h="1" x="371"/>
        <item h="1" x="372"/>
        <item h="1" x="373"/>
        <item h="1" x="374"/>
        <item h="1" x="376"/>
        <item h="1" x="377"/>
        <item h="1" x="378"/>
        <item h="1" x="380"/>
        <item h="1" x="381"/>
        <item h="1" x="382"/>
        <item h="1" x="384"/>
        <item h="1" x="385"/>
        <item h="1" x="387"/>
        <item h="1" x="390"/>
        <item h="1" x="391"/>
        <item h="1" x="375"/>
        <item h="1" x="379"/>
        <item h="1" x="386"/>
        <item h="1" x="388"/>
        <item h="1" x="389"/>
        <item h="1" x="392"/>
        <item h="1" x="395"/>
        <item h="1" x="396"/>
        <item h="1" x="397"/>
        <item h="1" x="398"/>
        <item h="1" m="1" x="611"/>
        <item h="1" x="393"/>
        <item h="1" x="383"/>
        <item h="1" x="399"/>
        <item h="1" x="400"/>
        <item h="1" x="402"/>
        <item h="1" x="403"/>
        <item h="1" x="394"/>
        <item h="1" x="404"/>
        <item h="1" x="408"/>
        <item h="1" x="405"/>
        <item h="1" x="406"/>
        <item h="1" x="407"/>
        <item h="1" x="410"/>
        <item h="1" x="411"/>
        <item h="1" x="413"/>
        <item h="1" x="369"/>
        <item h="1" x="401"/>
        <item h="1" x="409"/>
        <item h="1" x="412"/>
        <item h="1" x="414"/>
        <item h="1" x="415"/>
        <item h="1" x="416"/>
        <item h="1" x="417"/>
        <item h="1" x="418"/>
        <item h="1" x="419"/>
        <item h="1" x="420"/>
        <item h="1" x="421"/>
        <item h="1" x="422"/>
        <item h="1" x="423"/>
        <item h="1" x="424"/>
        <item h="1" x="425"/>
        <item h="1" x="426"/>
        <item h="1" x="428"/>
        <item h="1" x="429"/>
        <item h="1" x="430"/>
        <item h="1" x="431"/>
        <item h="1" x="433"/>
        <item h="1" x="434"/>
        <item h="1" x="436"/>
        <item h="1" x="437"/>
        <item h="1" x="438"/>
        <item h="1" x="439"/>
        <item h="1" x="440"/>
        <item h="1" x="441"/>
        <item h="1" x="442"/>
        <item h="1" x="443"/>
        <item h="1" x="444"/>
        <item h="1" x="445"/>
        <item h="1" x="446"/>
        <item h="1" x="447"/>
        <item h="1" x="448"/>
        <item h="1" x="449"/>
        <item h="1" x="450"/>
        <item h="1" x="451"/>
        <item h="1" x="452"/>
        <item h="1" x="453"/>
        <item h="1" x="435"/>
        <item h="1" x="454"/>
        <item h="1" x="455"/>
        <item h="1" x="456"/>
        <item h="1" x="457"/>
        <item h="1" x="458"/>
        <item h="1" x="459"/>
        <item h="1" x="460"/>
        <item h="1" x="461"/>
        <item h="1" x="463"/>
        <item h="1" x="464"/>
        <item h="1" x="467"/>
        <item h="1" x="468"/>
        <item h="1" x="469"/>
        <item h="1" x="472"/>
        <item h="1" x="473"/>
        <item h="1" x="474"/>
        <item h="1" x="475"/>
        <item h="1" x="476"/>
        <item h="1" x="480"/>
        <item h="1" x="481"/>
        <item h="1" x="482"/>
        <item h="1" x="483"/>
        <item h="1" x="484"/>
        <item h="1" x="485"/>
        <item h="1" x="487"/>
        <item h="1" x="488"/>
        <item h="1" x="489"/>
        <item h="1" x="490"/>
        <item h="1" x="492"/>
        <item h="1" x="493"/>
        <item h="1" x="494"/>
        <item h="1" x="495"/>
        <item h="1" x="496"/>
        <item h="1" x="497"/>
        <item h="1" x="498"/>
        <item h="1" x="470"/>
        <item h="1" x="471"/>
        <item h="1" x="477"/>
        <item h="1" x="478"/>
        <item h="1" x="486"/>
        <item h="1" x="491"/>
        <item h="1" x="462"/>
        <item h="1" x="499"/>
        <item h="1" x="500"/>
        <item h="1" x="501"/>
        <item h="1" x="502"/>
        <item h="1" x="505"/>
        <item h="1" x="506"/>
        <item h="1" x="507"/>
        <item h="1" x="511"/>
        <item h="1" x="512"/>
        <item h="1" x="513"/>
        <item h="1" x="514"/>
        <item h="1" x="515"/>
        <item h="1" x="520"/>
        <item h="1" x="521"/>
        <item h="1" x="522"/>
        <item h="1" x="523"/>
        <item h="1" x="526"/>
        <item h="1" x="527"/>
        <item h="1" x="528"/>
        <item h="1" x="508"/>
        <item h="1" x="532"/>
        <item h="1" x="533"/>
        <item h="1" x="534"/>
        <item h="1" x="535"/>
        <item h="1" x="536"/>
        <item h="1" x="537"/>
        <item h="1" x="538"/>
        <item h="1" x="539"/>
        <item h="1" x="540"/>
        <item h="1" x="541"/>
        <item h="1" x="542"/>
        <item h="1" x="543"/>
        <item h="1" x="546"/>
        <item h="1" x="547"/>
        <item h="1" x="548"/>
        <item h="1" x="549"/>
        <item h="1" x="550"/>
        <item h="1" x="551"/>
        <item h="1" x="552"/>
        <item h="1" x="427"/>
        <item h="1" x="465"/>
        <item h="1" x="466"/>
        <item h="1" x="479"/>
        <item h="1" x="503"/>
        <item h="1" x="504"/>
        <item h="1" x="509"/>
        <item h="1" x="510"/>
        <item h="1" x="516"/>
        <item h="1" x="517"/>
        <item h="1" x="518"/>
        <item h="1" x="519"/>
        <item h="1" x="524"/>
        <item h="1" x="525"/>
        <item h="1" x="529"/>
        <item h="1" x="530"/>
        <item h="1" x="531"/>
        <item h="1" x="544"/>
        <item h="1" x="545"/>
        <item h="1" x="553"/>
        <item h="1" x="554"/>
        <item h="1" x="555"/>
        <item h="1" x="556"/>
        <item h="1" x="557"/>
        <item h="1" x="558"/>
        <item h="1" x="559"/>
        <item h="1" x="560"/>
        <item h="1" x="561"/>
        <item h="1" x="562"/>
        <item h="1" x="563"/>
        <item h="1" x="564"/>
        <item h="1" x="565"/>
        <item h="1" x="566"/>
        <item h="1" x="567"/>
        <item h="1" x="568"/>
        <item h="1" x="569"/>
        <item h="1" x="570"/>
        <item h="1" x="571"/>
        <item h="1" x="572"/>
        <item h="1" x="573"/>
        <item h="1" x="574"/>
        <item h="1" x="575"/>
        <item h="1" x="576"/>
        <item h="1" x="577"/>
        <item h="1" x="578"/>
        <item h="1" x="579"/>
        <item h="1" x="580"/>
        <item h="1" x="581"/>
        <item h="1" x="582"/>
        <item h="1" x="583"/>
        <item h="1" x="584"/>
        <item h="1" x="585"/>
        <item h="1" x="586"/>
        <item h="1" x="587"/>
        <item h="1" x="588"/>
        <item h="1" x="589"/>
        <item h="1" x="590"/>
        <item h="1" x="591"/>
        <item h="1" x="592"/>
        <item h="1" x="593"/>
        <item h="1" x="594"/>
        <item h="1" x="595"/>
        <item h="1" x="596"/>
        <item h="1" x="597"/>
        <item h="1" x="598"/>
        <item h="1" x="599"/>
        <item h="1" x="600"/>
        <item h="1" x="601"/>
        <item h="1" x="602"/>
        <item h="1" x="603"/>
        <item h="1" x="604"/>
        <item h="1" x="605"/>
        <item h="1" x="606"/>
        <item h="1" x="607"/>
        <item h="1" x="608"/>
        <item h="1" x="609"/>
        <item t="default"/>
      </items>
    </pivotField>
    <pivotField showAll="0"/>
    <pivotField showAll="0"/>
    <pivotField axis="axisPage" showAll="0">
      <items count="8">
        <item x="2"/>
        <item x="3"/>
        <item x="0"/>
        <item x="4"/>
        <item x="6"/>
        <item x="1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Col" showAll="0">
      <items count="16">
        <item x="0"/>
        <item h="1" m="1" x="9"/>
        <item x="1"/>
        <item x="2"/>
        <item x="3"/>
        <item h="1" x="7"/>
        <item h="1" x="5"/>
        <item h="1" m="1" x="13"/>
        <item h="1" m="1" x="14"/>
        <item h="1" m="1" x="10"/>
        <item h="1" x="6"/>
        <item h="1" m="1" x="11"/>
        <item h="1" m="1" x="12"/>
        <item h="1" x="4"/>
        <item h="1" x="8"/>
        <item t="default"/>
      </items>
    </pivotField>
    <pivotField showAll="0"/>
    <pivotField showAll="0"/>
    <pivotField showAll="0"/>
  </pivotFields>
  <rowFields count="1">
    <field x="3"/>
  </rowFields>
  <rowItems count="4">
    <i>
      <x v="100"/>
    </i>
    <i>
      <x v="232"/>
    </i>
    <i>
      <x v="233"/>
    </i>
    <i t="grand">
      <x/>
    </i>
  </rowItems>
  <colFields count="1">
    <field x="27"/>
  </colFields>
  <colItems count="4">
    <i>
      <x v="2"/>
    </i>
    <i>
      <x v="3"/>
    </i>
    <i>
      <x v="4"/>
    </i>
    <i t="grand">
      <x/>
    </i>
  </colItems>
  <pageFields count="1">
    <pageField fld="6" hier="-1"/>
  </pageFields>
  <dataFields count="1">
    <dataField name="Sum of Actual Closed Business" fld="20" baseField="0" baseItem="0" numFmtId="165"/>
  </dataFields>
  <formats count="1">
    <format dxfId="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94BCD-82B1-4937-BE9B-C5D483CDF2B3}" name="PivotTable1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3" firstHeaderRow="0" firstDataRow="0" firstDataCol="0"/>
  <pivotFields count="31">
    <pivotField showAll="0"/>
    <pivotField showAll="0"/>
    <pivotField showAll="0"/>
    <pivotField axis="axisPage" multipleItemSelectionAllowed="1" showAll="0">
      <items count="615">
        <item x="311"/>
        <item x="198"/>
        <item x="235"/>
        <item x="195"/>
        <item x="16"/>
        <item x="149"/>
        <item x="259"/>
        <item x="145"/>
        <item x="71"/>
        <item x="41"/>
        <item x="37"/>
        <item x="174"/>
        <item x="107"/>
        <item x="348"/>
        <item x="0"/>
        <item x="82"/>
        <item x="46"/>
        <item x="175"/>
        <item x="20"/>
        <item x="21"/>
        <item x="115"/>
        <item x="184"/>
        <item x="183"/>
        <item x="72"/>
        <item x="197"/>
        <item x="136"/>
        <item x="193"/>
        <item x="243"/>
        <item x="87"/>
        <item x="123"/>
        <item x="15"/>
        <item x="18"/>
        <item x="40"/>
        <item x="31"/>
        <item x="160"/>
        <item x="25"/>
        <item x="113"/>
        <item x="272"/>
        <item x="194"/>
        <item x="227"/>
        <item x="77"/>
        <item x="168"/>
        <item x="135"/>
        <item x="117"/>
        <item x="163"/>
        <item x="217"/>
        <item x="150"/>
        <item x="64"/>
        <item x="307"/>
        <item x="238"/>
        <item x="196"/>
        <item x="114"/>
        <item x="129"/>
        <item x="313"/>
        <item x="34"/>
        <item x="191"/>
        <item x="222"/>
        <item x="187"/>
        <item x="268"/>
        <item x="354"/>
        <item x="329"/>
        <item x="302"/>
        <item x="39"/>
        <item x="176"/>
        <item x="189"/>
        <item x="4"/>
        <item x="215"/>
        <item x="17"/>
        <item x="340"/>
        <item x="212"/>
        <item x="265"/>
        <item x="239"/>
        <item x="244"/>
        <item x="171"/>
        <item x="60"/>
        <item x="99"/>
        <item x="261"/>
        <item x="67"/>
        <item x="68"/>
        <item x="162"/>
        <item x="69"/>
        <item x="260"/>
        <item x="70"/>
        <item x="293"/>
        <item x="292"/>
        <item x="297"/>
        <item x="290"/>
        <item x="36"/>
        <item x="177"/>
        <item x="241"/>
        <item x="315"/>
        <item x="254"/>
        <item x="228"/>
        <item x="103"/>
        <item x="98"/>
        <item x="296"/>
        <item x="2"/>
        <item x="294"/>
        <item x="182"/>
        <item x="10"/>
        <item h="1" x="156"/>
        <item x="267"/>
        <item x="144"/>
        <item x="166"/>
        <item x="274"/>
        <item x="246"/>
        <item x="28"/>
        <item x="128"/>
        <item x="230"/>
        <item x="42"/>
        <item x="27"/>
        <item x="301"/>
        <item x="310"/>
        <item x="3"/>
        <item x="181"/>
        <item x="262"/>
        <item x="284"/>
        <item x="1"/>
        <item x="74"/>
        <item x="106"/>
        <item x="250"/>
        <item x="357"/>
        <item x="8"/>
        <item x="102"/>
        <item x="280"/>
        <item x="139"/>
        <item x="172"/>
        <item x="321"/>
        <item x="73"/>
        <item x="234"/>
        <item x="245"/>
        <item x="14"/>
        <item x="170"/>
        <item x="291"/>
        <item x="258"/>
        <item x="206"/>
        <item x="304"/>
        <item x="322"/>
        <item x="76"/>
        <item x="61"/>
        <item x="186"/>
        <item x="116"/>
        <item x="120"/>
        <item x="79"/>
        <item x="124"/>
        <item x="251"/>
        <item x="248"/>
        <item x="288"/>
        <item x="209"/>
        <item x="233"/>
        <item x="208"/>
        <item x="305"/>
        <item x="361"/>
        <item x="229"/>
        <item x="5"/>
        <item x="43"/>
        <item x="35"/>
        <item x="333"/>
        <item x="161"/>
        <item x="104"/>
        <item x="360"/>
        <item x="213"/>
        <item x="256"/>
        <item x="204"/>
        <item x="219"/>
        <item x="285"/>
        <item x="326"/>
        <item x="252"/>
        <item x="337"/>
        <item x="132"/>
        <item x="9"/>
        <item x="247"/>
        <item x="289"/>
        <item x="299"/>
        <item x="237"/>
        <item x="266"/>
        <item x="351"/>
        <item x="51"/>
        <item x="138"/>
        <item x="86"/>
        <item x="30"/>
        <item x="278"/>
        <item x="282"/>
        <item x="201"/>
        <item x="346"/>
        <item x="148"/>
        <item x="66"/>
        <item x="185"/>
        <item x="83"/>
        <item x="432"/>
        <item x="318"/>
        <item x="147"/>
        <item x="38"/>
        <item x="356"/>
        <item x="300"/>
        <item x="158"/>
        <item x="338"/>
        <item m="1" x="613"/>
        <item x="49"/>
        <item x="226"/>
        <item x="127"/>
        <item x="211"/>
        <item x="92"/>
        <item x="78"/>
        <item x="7"/>
        <item x="111"/>
        <item x="122"/>
        <item x="225"/>
        <item x="276"/>
        <item x="271"/>
        <item x="343"/>
        <item x="130"/>
        <item x="275"/>
        <item x="316"/>
        <item x="110"/>
        <item x="169"/>
        <item x="323"/>
        <item x="240"/>
        <item x="112"/>
        <item x="19"/>
        <item x="202"/>
        <item x="6"/>
        <item x="192"/>
        <item x="24"/>
        <item x="26"/>
        <item x="159"/>
        <item x="56"/>
        <item x="309"/>
        <item x="57"/>
        <item x="12"/>
        <item x="101"/>
        <item x="100"/>
        <item h="1" x="332"/>
        <item h="1" x="80"/>
        <item x="137"/>
        <item x="118"/>
        <item x="89"/>
        <item x="167"/>
        <item x="283"/>
        <item x="358"/>
        <item x="306"/>
        <item x="96"/>
        <item x="81"/>
        <item x="327"/>
        <item x="97"/>
        <item x="143"/>
        <item x="336"/>
        <item x="157"/>
        <item x="165"/>
        <item x="52"/>
        <item x="155"/>
        <item x="359"/>
        <item x="257"/>
        <item x="308"/>
        <item x="62"/>
        <item x="164"/>
        <item x="320"/>
        <item x="303"/>
        <item x="263"/>
        <item x="13"/>
        <item x="45"/>
        <item x="85"/>
        <item x="84"/>
        <item x="279"/>
        <item x="345"/>
        <item x="298"/>
        <item x="108"/>
        <item x="264"/>
        <item x="63"/>
        <item x="146"/>
        <item x="90"/>
        <item x="249"/>
        <item x="65"/>
        <item x="207"/>
        <item x="350"/>
        <item x="32"/>
        <item x="153"/>
        <item x="47"/>
        <item x="152"/>
        <item x="324"/>
        <item x="126"/>
        <item x="253"/>
        <item x="93"/>
        <item x="188"/>
        <item x="141"/>
        <item x="277"/>
        <item x="22"/>
        <item x="131"/>
        <item x="121"/>
        <item x="33"/>
        <item x="88"/>
        <item x="221"/>
        <item x="355"/>
        <item x="214"/>
        <item x="330"/>
        <item x="180"/>
        <item x="105"/>
        <item x="231"/>
        <item x="232"/>
        <item x="210"/>
        <item x="134"/>
        <item x="281"/>
        <item x="220"/>
        <item x="352"/>
        <item x="54"/>
        <item x="44"/>
        <item x="55"/>
        <item x="151"/>
        <item x="29"/>
        <item x="200"/>
        <item x="339"/>
        <item x="255"/>
        <item x="347"/>
        <item x="75"/>
        <item x="270"/>
        <item x="242"/>
        <item x="53"/>
        <item x="50"/>
        <item x="140"/>
        <item x="295"/>
        <item x="205"/>
        <item x="312"/>
        <item x="331"/>
        <item x="273"/>
        <item x="223"/>
        <item x="179"/>
        <item x="142"/>
        <item x="344"/>
        <item x="317"/>
        <item x="216"/>
        <item x="154"/>
        <item x="59"/>
        <item x="269"/>
        <item x="224"/>
        <item x="48"/>
        <item x="199"/>
        <item x="178"/>
        <item x="109"/>
        <item x="286"/>
        <item x="328"/>
        <item x="23"/>
        <item x="236"/>
        <item x="91"/>
        <item x="94"/>
        <item x="218"/>
        <item x="133"/>
        <item x="11"/>
        <item x="95"/>
        <item x="190"/>
        <item x="287"/>
        <item x="173"/>
        <item x="58"/>
        <item x="362"/>
        <item x="125"/>
        <item x="203"/>
        <item x="119"/>
        <item x="610"/>
        <item h="1" x="335"/>
        <item h="1" m="1" x="612"/>
        <item h="1" x="341"/>
        <item h="1" x="334"/>
        <item h="1" x="314"/>
        <item h="1" x="319"/>
        <item h="1" x="325"/>
        <item h="1" x="342"/>
        <item h="1" x="349"/>
        <item h="1" x="366"/>
        <item h="1" x="353"/>
        <item h="1" x="363"/>
        <item h="1" x="364"/>
        <item h="1" x="365"/>
        <item h="1" x="367"/>
        <item h="1" x="368"/>
        <item h="1" x="370"/>
        <item h="1" x="371"/>
        <item h="1" x="372"/>
        <item h="1" x="373"/>
        <item h="1" x="374"/>
        <item h="1" x="376"/>
        <item h="1" x="377"/>
        <item h="1" x="378"/>
        <item h="1" x="380"/>
        <item h="1" x="381"/>
        <item h="1" x="382"/>
        <item h="1" x="384"/>
        <item h="1" x="385"/>
        <item h="1" x="387"/>
        <item h="1" x="390"/>
        <item h="1" x="391"/>
        <item h="1" x="375"/>
        <item h="1" x="379"/>
        <item h="1" x="386"/>
        <item h="1" x="388"/>
        <item h="1" x="389"/>
        <item h="1" x="392"/>
        <item h="1" x="395"/>
        <item h="1" x="396"/>
        <item h="1" x="397"/>
        <item h="1" x="398"/>
        <item h="1" m="1" x="611"/>
        <item h="1" x="393"/>
        <item h="1" x="383"/>
        <item h="1" x="399"/>
        <item h="1" x="400"/>
        <item h="1" x="402"/>
        <item h="1" x="403"/>
        <item h="1" x="394"/>
        <item h="1" x="404"/>
        <item h="1" x="408"/>
        <item h="1" x="405"/>
        <item h="1" x="406"/>
        <item h="1" x="407"/>
        <item h="1" x="410"/>
        <item h="1" x="411"/>
        <item h="1" x="413"/>
        <item h="1" x="369"/>
        <item h="1" x="401"/>
        <item h="1" x="409"/>
        <item h="1" x="412"/>
        <item h="1" x="414"/>
        <item h="1" x="415"/>
        <item h="1" x="416"/>
        <item h="1" x="417"/>
        <item h="1" x="418"/>
        <item h="1" x="419"/>
        <item h="1" x="420"/>
        <item h="1" x="421"/>
        <item h="1" x="422"/>
        <item h="1" x="423"/>
        <item h="1" x="424"/>
        <item h="1" x="425"/>
        <item h="1" x="426"/>
        <item h="1" x="428"/>
        <item h="1" x="429"/>
        <item h="1" x="430"/>
        <item h="1" x="431"/>
        <item h="1" x="433"/>
        <item h="1" x="434"/>
        <item h="1" x="436"/>
        <item h="1" x="437"/>
        <item h="1" x="438"/>
        <item h="1" x="439"/>
        <item h="1" x="440"/>
        <item h="1" x="441"/>
        <item h="1" x="442"/>
        <item h="1" x="443"/>
        <item h="1" x="444"/>
        <item h="1" x="445"/>
        <item h="1" x="446"/>
        <item h="1" x="447"/>
        <item h="1" x="448"/>
        <item h="1" x="449"/>
        <item h="1" x="450"/>
        <item h="1" x="451"/>
        <item h="1" x="452"/>
        <item h="1" x="453"/>
        <item h="1" x="435"/>
        <item h="1" x="454"/>
        <item h="1" x="455"/>
        <item h="1" x="456"/>
        <item h="1" x="457"/>
        <item h="1" x="458"/>
        <item h="1" x="459"/>
        <item h="1" x="460"/>
        <item h="1" x="461"/>
        <item h="1" x="463"/>
        <item h="1" x="464"/>
        <item h="1" x="467"/>
        <item h="1" x="468"/>
        <item h="1" x="469"/>
        <item h="1" x="472"/>
        <item h="1" x="473"/>
        <item h="1" x="474"/>
        <item h="1" x="475"/>
        <item h="1" x="476"/>
        <item h="1" x="480"/>
        <item h="1" x="481"/>
        <item h="1" x="482"/>
        <item h="1" x="483"/>
        <item h="1" x="484"/>
        <item h="1" x="485"/>
        <item h="1" x="487"/>
        <item h="1" x="488"/>
        <item h="1" x="489"/>
        <item h="1" x="490"/>
        <item h="1" x="492"/>
        <item h="1" x="493"/>
        <item h="1" x="494"/>
        <item h="1" x="495"/>
        <item h="1" x="496"/>
        <item h="1" x="497"/>
        <item h="1" x="498"/>
        <item h="1" x="470"/>
        <item h="1" x="471"/>
        <item h="1" x="477"/>
        <item h="1" x="478"/>
        <item h="1" x="486"/>
        <item h="1" x="491"/>
        <item h="1" x="462"/>
        <item h="1" x="499"/>
        <item h="1" x="500"/>
        <item h="1" x="501"/>
        <item h="1" x="502"/>
        <item h="1" x="505"/>
        <item h="1" x="506"/>
        <item h="1" x="507"/>
        <item h="1" x="511"/>
        <item h="1" x="512"/>
        <item h="1" x="513"/>
        <item h="1" x="514"/>
        <item h="1" x="515"/>
        <item h="1" x="520"/>
        <item h="1" x="521"/>
        <item h="1" x="522"/>
        <item h="1" x="523"/>
        <item h="1" x="526"/>
        <item h="1" x="527"/>
        <item h="1" x="528"/>
        <item h="1" x="508"/>
        <item h="1" x="532"/>
        <item h="1" x="533"/>
        <item h="1" x="534"/>
        <item h="1" x="535"/>
        <item h="1" x="536"/>
        <item h="1" x="537"/>
        <item h="1" x="538"/>
        <item h="1" x="539"/>
        <item h="1" x="540"/>
        <item h="1" x="541"/>
        <item h="1" x="542"/>
        <item h="1" x="543"/>
        <item h="1" x="546"/>
        <item h="1" x="547"/>
        <item h="1" x="548"/>
        <item h="1" x="549"/>
        <item h="1" x="550"/>
        <item h="1" x="551"/>
        <item h="1" x="552"/>
        <item h="1" x="427"/>
        <item h="1" x="465"/>
        <item h="1" x="466"/>
        <item h="1" x="479"/>
        <item h="1" x="503"/>
        <item h="1" x="504"/>
        <item h="1" x="509"/>
        <item h="1" x="510"/>
        <item h="1" x="516"/>
        <item h="1" x="517"/>
        <item h="1" x="518"/>
        <item h="1" x="519"/>
        <item h="1" x="524"/>
        <item h="1" x="525"/>
        <item h="1" x="529"/>
        <item h="1" x="530"/>
        <item h="1" x="531"/>
        <item h="1" x="544"/>
        <item h="1" x="545"/>
        <item h="1" x="553"/>
        <item h="1" x="554"/>
        <item h="1" x="555"/>
        <item h="1" x="556"/>
        <item h="1" x="557"/>
        <item h="1" x="558"/>
        <item h="1" x="559"/>
        <item h="1" x="560"/>
        <item h="1" x="561"/>
        <item h="1" x="562"/>
        <item h="1" x="563"/>
        <item h="1" x="564"/>
        <item h="1" x="565"/>
        <item h="1" x="566"/>
        <item h="1" x="567"/>
        <item h="1" x="568"/>
        <item h="1" x="569"/>
        <item h="1" x="570"/>
        <item h="1" x="571"/>
        <item h="1" x="572"/>
        <item h="1" x="573"/>
        <item h="1" x="574"/>
        <item h="1" x="575"/>
        <item h="1" x="576"/>
        <item h="1" x="577"/>
        <item h="1" x="578"/>
        <item h="1" x="579"/>
        <item h="1" x="580"/>
        <item h="1" x="581"/>
        <item h="1" x="582"/>
        <item h="1" x="583"/>
        <item h="1" x="584"/>
        <item h="1" x="585"/>
        <item h="1" x="586"/>
        <item h="1" x="587"/>
        <item h="1" x="588"/>
        <item h="1" x="589"/>
        <item h="1" x="590"/>
        <item h="1" x="591"/>
        <item h="1" x="592"/>
        <item h="1" x="593"/>
        <item h="1" x="594"/>
        <item h="1" x="595"/>
        <item h="1" x="596"/>
        <item h="1" x="597"/>
        <item h="1" x="598"/>
        <item h="1" x="599"/>
        <item h="1" x="600"/>
        <item h="1" x="601"/>
        <item h="1" x="602"/>
        <item h="1" x="603"/>
        <item h="1" x="604"/>
        <item h="1" x="605"/>
        <item h="1" x="606"/>
        <item h="1" x="607"/>
        <item h="1" x="608"/>
        <item h="1" x="60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41">
        <item x="27"/>
        <item x="15"/>
        <item x="1"/>
        <item x="6"/>
        <item x="2"/>
        <item x="0"/>
        <item x="13"/>
        <item x="22"/>
        <item x="4"/>
        <item x="3"/>
        <item x="24"/>
        <item x="8"/>
        <item x="31"/>
        <item x="12"/>
        <item x="19"/>
        <item x="17"/>
        <item x="28"/>
        <item x="16"/>
        <item x="20"/>
        <item x="21"/>
        <item x="11"/>
        <item x="25"/>
        <item x="18"/>
        <item x="9"/>
        <item x="29"/>
        <item x="23"/>
        <item x="10"/>
        <item x="14"/>
        <item x="26"/>
        <item x="32"/>
        <item x="30"/>
        <item x="7"/>
        <item x="5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/>
    <pivotField axis="axisCol" showAll="0">
      <items count="16">
        <item x="0"/>
        <item h="1" m="1" x="9"/>
        <item x="1"/>
        <item x="2"/>
        <item x="3"/>
        <item h="1" x="7"/>
        <item x="5"/>
        <item h="1" m="1" x="13"/>
        <item h="1" m="1" x="14"/>
        <item h="1" m="1" x="10"/>
        <item x="6"/>
        <item h="1" m="1" x="11"/>
        <item h="1" m="1" x="12"/>
        <item h="1" x="4"/>
        <item h="1" x="8"/>
        <item t="default"/>
      </items>
    </pivotField>
    <pivotField showAll="0"/>
    <pivotField showAll="0"/>
    <pivotField showAll="0"/>
  </pivotFields>
  <rowFields count="1">
    <field x="23"/>
  </rowFields>
  <row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4"/>
    </i>
    <i>
      <x v="35"/>
    </i>
    <i>
      <x v="36"/>
    </i>
    <i>
      <x v="37"/>
    </i>
    <i>
      <x v="38"/>
    </i>
    <i t="grand">
      <x/>
    </i>
  </rowItems>
  <colFields count="1">
    <field x="27"/>
  </colFields>
  <colItems count="7">
    <i>
      <x/>
    </i>
    <i>
      <x v="2"/>
    </i>
    <i>
      <x v="3"/>
    </i>
    <i>
      <x v="4"/>
    </i>
    <i>
      <x v="6"/>
    </i>
    <i>
      <x v="10"/>
    </i>
    <i t="grand">
      <x/>
    </i>
  </colItems>
  <pageFields count="1">
    <pageField fld="3" hier="-1"/>
  </pageFields>
  <dataFields count="1">
    <dataField name="Sum of Actual Closed Business" fld="20" baseField="0" baseItem="0" numFmtId="165"/>
  </dataFields>
  <formats count="1"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00EFF7-A07B-4882-9B76-00171AF2653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3:M12" firstHeaderRow="1" firstDataRow="2" firstDataCol="1" rowPageCount="1" colPageCount="1"/>
  <pivotFields count="31">
    <pivotField showAll="0"/>
    <pivotField showAll="0"/>
    <pivotField showAll="0"/>
    <pivotField axis="axisPage" multipleItemSelectionAllowed="1" showAll="0">
      <items count="615">
        <item x="311"/>
        <item x="198"/>
        <item x="235"/>
        <item x="195"/>
        <item x="16"/>
        <item x="149"/>
        <item x="259"/>
        <item x="145"/>
        <item x="71"/>
        <item x="41"/>
        <item x="37"/>
        <item x="174"/>
        <item x="107"/>
        <item x="348"/>
        <item x="0"/>
        <item x="82"/>
        <item x="46"/>
        <item x="175"/>
        <item x="20"/>
        <item x="21"/>
        <item x="115"/>
        <item x="184"/>
        <item x="183"/>
        <item x="72"/>
        <item x="197"/>
        <item x="136"/>
        <item x="193"/>
        <item x="243"/>
        <item x="87"/>
        <item x="123"/>
        <item x="15"/>
        <item x="18"/>
        <item x="40"/>
        <item x="31"/>
        <item x="160"/>
        <item x="25"/>
        <item x="113"/>
        <item x="272"/>
        <item x="194"/>
        <item x="227"/>
        <item x="77"/>
        <item x="168"/>
        <item x="135"/>
        <item x="117"/>
        <item x="163"/>
        <item x="217"/>
        <item x="150"/>
        <item x="64"/>
        <item x="307"/>
        <item x="238"/>
        <item x="196"/>
        <item x="114"/>
        <item x="129"/>
        <item x="313"/>
        <item x="34"/>
        <item x="191"/>
        <item x="222"/>
        <item x="187"/>
        <item x="268"/>
        <item x="354"/>
        <item x="329"/>
        <item x="302"/>
        <item x="39"/>
        <item x="176"/>
        <item x="189"/>
        <item x="4"/>
        <item x="215"/>
        <item x="17"/>
        <item x="340"/>
        <item x="212"/>
        <item x="265"/>
        <item x="239"/>
        <item x="244"/>
        <item x="171"/>
        <item x="60"/>
        <item x="99"/>
        <item x="261"/>
        <item x="67"/>
        <item x="68"/>
        <item x="162"/>
        <item x="69"/>
        <item x="260"/>
        <item x="70"/>
        <item x="293"/>
        <item x="292"/>
        <item x="297"/>
        <item x="290"/>
        <item x="36"/>
        <item x="177"/>
        <item x="241"/>
        <item x="315"/>
        <item x="254"/>
        <item x="228"/>
        <item x="103"/>
        <item x="98"/>
        <item x="296"/>
        <item x="2"/>
        <item x="294"/>
        <item x="182"/>
        <item x="10"/>
        <item h="1" x="156"/>
        <item x="267"/>
        <item x="144"/>
        <item x="166"/>
        <item x="274"/>
        <item x="246"/>
        <item x="28"/>
        <item x="128"/>
        <item x="230"/>
        <item x="42"/>
        <item x="27"/>
        <item x="301"/>
        <item x="310"/>
        <item x="3"/>
        <item x="181"/>
        <item x="262"/>
        <item x="284"/>
        <item x="1"/>
        <item x="74"/>
        <item x="106"/>
        <item x="250"/>
        <item x="357"/>
        <item x="8"/>
        <item x="102"/>
        <item x="280"/>
        <item x="139"/>
        <item x="172"/>
        <item x="321"/>
        <item x="73"/>
        <item x="234"/>
        <item x="245"/>
        <item x="14"/>
        <item x="170"/>
        <item x="291"/>
        <item x="258"/>
        <item x="206"/>
        <item x="304"/>
        <item x="322"/>
        <item x="76"/>
        <item x="61"/>
        <item x="186"/>
        <item x="116"/>
        <item x="120"/>
        <item x="79"/>
        <item x="124"/>
        <item x="251"/>
        <item x="248"/>
        <item x="288"/>
        <item x="209"/>
        <item x="233"/>
        <item x="208"/>
        <item x="305"/>
        <item x="361"/>
        <item x="229"/>
        <item x="5"/>
        <item x="43"/>
        <item x="35"/>
        <item x="333"/>
        <item x="161"/>
        <item x="104"/>
        <item x="360"/>
        <item x="213"/>
        <item x="256"/>
        <item x="204"/>
        <item x="219"/>
        <item x="285"/>
        <item x="326"/>
        <item x="252"/>
        <item x="337"/>
        <item x="132"/>
        <item x="9"/>
        <item x="247"/>
        <item x="289"/>
        <item x="299"/>
        <item x="237"/>
        <item x="266"/>
        <item x="351"/>
        <item x="51"/>
        <item x="138"/>
        <item x="86"/>
        <item x="30"/>
        <item x="278"/>
        <item x="282"/>
        <item x="201"/>
        <item x="346"/>
        <item x="148"/>
        <item x="66"/>
        <item x="185"/>
        <item x="83"/>
        <item x="432"/>
        <item x="318"/>
        <item x="147"/>
        <item x="38"/>
        <item x="356"/>
        <item x="300"/>
        <item x="158"/>
        <item x="338"/>
        <item m="1" x="613"/>
        <item x="49"/>
        <item x="226"/>
        <item x="127"/>
        <item x="211"/>
        <item x="92"/>
        <item x="78"/>
        <item x="7"/>
        <item x="111"/>
        <item x="122"/>
        <item x="225"/>
        <item x="276"/>
        <item x="271"/>
        <item x="343"/>
        <item x="130"/>
        <item x="275"/>
        <item x="316"/>
        <item x="110"/>
        <item x="169"/>
        <item x="323"/>
        <item x="240"/>
        <item x="112"/>
        <item x="19"/>
        <item x="202"/>
        <item x="6"/>
        <item x="192"/>
        <item x="24"/>
        <item x="26"/>
        <item x="159"/>
        <item x="56"/>
        <item x="309"/>
        <item x="57"/>
        <item x="12"/>
        <item x="101"/>
        <item x="100"/>
        <item h="1" x="332"/>
        <item h="1" x="80"/>
        <item x="137"/>
        <item x="118"/>
        <item x="89"/>
        <item x="167"/>
        <item x="283"/>
        <item x="358"/>
        <item x="306"/>
        <item x="96"/>
        <item x="81"/>
        <item x="327"/>
        <item x="97"/>
        <item x="143"/>
        <item x="336"/>
        <item x="157"/>
        <item x="165"/>
        <item x="52"/>
        <item x="155"/>
        <item x="359"/>
        <item x="257"/>
        <item x="308"/>
        <item x="62"/>
        <item x="164"/>
        <item x="320"/>
        <item x="303"/>
        <item x="263"/>
        <item x="13"/>
        <item x="45"/>
        <item x="85"/>
        <item x="84"/>
        <item x="279"/>
        <item x="345"/>
        <item x="298"/>
        <item x="108"/>
        <item x="264"/>
        <item x="63"/>
        <item x="146"/>
        <item x="90"/>
        <item x="249"/>
        <item x="65"/>
        <item x="207"/>
        <item x="350"/>
        <item x="32"/>
        <item x="153"/>
        <item x="47"/>
        <item x="152"/>
        <item x="324"/>
        <item x="126"/>
        <item x="253"/>
        <item x="93"/>
        <item x="188"/>
        <item x="141"/>
        <item x="277"/>
        <item x="22"/>
        <item x="131"/>
        <item x="121"/>
        <item x="33"/>
        <item x="88"/>
        <item x="221"/>
        <item x="355"/>
        <item x="214"/>
        <item x="330"/>
        <item x="180"/>
        <item x="105"/>
        <item x="231"/>
        <item x="232"/>
        <item x="210"/>
        <item x="134"/>
        <item x="281"/>
        <item x="220"/>
        <item x="352"/>
        <item x="54"/>
        <item x="44"/>
        <item x="55"/>
        <item x="151"/>
        <item x="29"/>
        <item x="200"/>
        <item x="339"/>
        <item x="255"/>
        <item x="347"/>
        <item x="75"/>
        <item x="270"/>
        <item x="242"/>
        <item x="53"/>
        <item x="50"/>
        <item x="140"/>
        <item x="295"/>
        <item x="205"/>
        <item x="312"/>
        <item x="331"/>
        <item x="273"/>
        <item x="223"/>
        <item x="179"/>
        <item x="142"/>
        <item x="344"/>
        <item x="317"/>
        <item x="216"/>
        <item x="154"/>
        <item x="59"/>
        <item x="269"/>
        <item x="224"/>
        <item x="48"/>
        <item x="199"/>
        <item x="178"/>
        <item x="109"/>
        <item x="286"/>
        <item x="328"/>
        <item x="23"/>
        <item x="236"/>
        <item x="91"/>
        <item x="94"/>
        <item x="218"/>
        <item x="133"/>
        <item x="11"/>
        <item x="95"/>
        <item x="190"/>
        <item x="287"/>
        <item x="173"/>
        <item x="58"/>
        <item x="362"/>
        <item x="125"/>
        <item x="203"/>
        <item x="119"/>
        <item x="610"/>
        <item h="1" x="335"/>
        <item h="1" m="1" x="612"/>
        <item h="1" x="341"/>
        <item h="1" x="334"/>
        <item h="1" x="314"/>
        <item h="1" x="319"/>
        <item h="1" x="325"/>
        <item h="1" x="342"/>
        <item h="1" x="349"/>
        <item h="1" x="366"/>
        <item h="1" x="353"/>
        <item h="1" x="363"/>
        <item h="1" x="364"/>
        <item h="1" x="365"/>
        <item h="1" x="367"/>
        <item h="1" x="368"/>
        <item h="1" x="370"/>
        <item h="1" x="371"/>
        <item h="1" x="372"/>
        <item h="1" x="373"/>
        <item h="1" x="374"/>
        <item h="1" x="376"/>
        <item h="1" x="377"/>
        <item h="1" x="378"/>
        <item h="1" x="380"/>
        <item h="1" x="381"/>
        <item h="1" x="382"/>
        <item h="1" x="384"/>
        <item h="1" x="385"/>
        <item h="1" x="387"/>
        <item h="1" x="390"/>
        <item h="1" x="391"/>
        <item h="1" x="375"/>
        <item h="1" x="379"/>
        <item h="1" x="386"/>
        <item h="1" x="388"/>
        <item h="1" x="389"/>
        <item h="1" x="392"/>
        <item h="1" x="395"/>
        <item h="1" x="396"/>
        <item h="1" x="397"/>
        <item h="1" x="398"/>
        <item h="1" m="1" x="611"/>
        <item h="1" x="393"/>
        <item h="1" x="383"/>
        <item h="1" x="399"/>
        <item h="1" x="400"/>
        <item h="1" x="402"/>
        <item h="1" x="403"/>
        <item h="1" x="394"/>
        <item h="1" x="404"/>
        <item h="1" x="408"/>
        <item h="1" x="405"/>
        <item h="1" x="406"/>
        <item h="1" x="407"/>
        <item h="1" x="410"/>
        <item h="1" x="411"/>
        <item h="1" x="413"/>
        <item h="1" x="369"/>
        <item h="1" x="401"/>
        <item h="1" x="409"/>
        <item h="1" x="412"/>
        <item h="1" x="414"/>
        <item h="1" x="415"/>
        <item h="1" x="416"/>
        <item h="1" x="417"/>
        <item h="1" x="418"/>
        <item h="1" x="419"/>
        <item h="1" x="420"/>
        <item h="1" x="421"/>
        <item h="1" x="422"/>
        <item h="1" x="423"/>
        <item h="1" x="424"/>
        <item h="1" x="425"/>
        <item h="1" x="426"/>
        <item h="1" x="428"/>
        <item h="1" x="429"/>
        <item h="1" x="430"/>
        <item h="1" x="431"/>
        <item h="1" x="433"/>
        <item h="1" x="434"/>
        <item h="1" x="436"/>
        <item h="1" x="437"/>
        <item h="1" x="438"/>
        <item h="1" x="439"/>
        <item h="1" x="440"/>
        <item h="1" x="441"/>
        <item h="1" x="442"/>
        <item h="1" x="443"/>
        <item h="1" x="444"/>
        <item h="1" x="445"/>
        <item h="1" x="446"/>
        <item h="1" x="447"/>
        <item h="1" x="448"/>
        <item h="1" x="449"/>
        <item h="1" x="450"/>
        <item h="1" x="451"/>
        <item h="1" x="452"/>
        <item h="1" x="453"/>
        <item h="1" x="435"/>
        <item h="1" x="454"/>
        <item h="1" x="455"/>
        <item h="1" x="456"/>
        <item h="1" x="457"/>
        <item h="1" x="458"/>
        <item h="1" x="459"/>
        <item h="1" x="460"/>
        <item h="1" x="461"/>
        <item h="1" x="463"/>
        <item h="1" x="464"/>
        <item h="1" x="467"/>
        <item h="1" x="468"/>
        <item h="1" x="469"/>
        <item h="1" x="472"/>
        <item h="1" x="473"/>
        <item h="1" x="474"/>
        <item h="1" x="475"/>
        <item h="1" x="476"/>
        <item h="1" x="480"/>
        <item h="1" x="481"/>
        <item h="1" x="482"/>
        <item h="1" x="483"/>
        <item h="1" x="484"/>
        <item h="1" x="485"/>
        <item h="1" x="487"/>
        <item h="1" x="488"/>
        <item h="1" x="489"/>
        <item h="1" x="490"/>
        <item h="1" x="492"/>
        <item h="1" x="493"/>
        <item h="1" x="494"/>
        <item h="1" x="495"/>
        <item h="1" x="496"/>
        <item h="1" x="497"/>
        <item h="1" x="498"/>
        <item h="1" x="470"/>
        <item h="1" x="471"/>
        <item h="1" x="477"/>
        <item h="1" x="478"/>
        <item h="1" x="486"/>
        <item h="1" x="491"/>
        <item h="1" x="462"/>
        <item h="1" x="499"/>
        <item h="1" x="500"/>
        <item h="1" x="501"/>
        <item h="1" x="502"/>
        <item h="1" x="505"/>
        <item h="1" x="506"/>
        <item h="1" x="507"/>
        <item h="1" x="511"/>
        <item h="1" x="512"/>
        <item h="1" x="513"/>
        <item h="1" x="514"/>
        <item h="1" x="515"/>
        <item h="1" x="520"/>
        <item h="1" x="521"/>
        <item h="1" x="522"/>
        <item h="1" x="523"/>
        <item h="1" x="526"/>
        <item h="1" x="527"/>
        <item h="1" x="528"/>
        <item h="1" x="508"/>
        <item h="1" x="532"/>
        <item h="1" x="533"/>
        <item h="1" x="534"/>
        <item h="1" x="535"/>
        <item h="1" x="536"/>
        <item h="1" x="537"/>
        <item h="1" x="538"/>
        <item h="1" x="539"/>
        <item h="1" x="540"/>
        <item h="1" x="541"/>
        <item h="1" x="542"/>
        <item h="1" x="543"/>
        <item h="1" x="546"/>
        <item h="1" x="547"/>
        <item h="1" x="548"/>
        <item h="1" x="549"/>
        <item h="1" x="550"/>
        <item h="1" x="551"/>
        <item h="1" x="552"/>
        <item h="1" x="427"/>
        <item h="1" x="465"/>
        <item h="1" x="466"/>
        <item h="1" x="479"/>
        <item h="1" x="503"/>
        <item h="1" x="504"/>
        <item h="1" x="509"/>
        <item h="1" x="510"/>
        <item h="1" x="516"/>
        <item h="1" x="517"/>
        <item h="1" x="518"/>
        <item h="1" x="519"/>
        <item h="1" x="524"/>
        <item h="1" x="525"/>
        <item h="1" x="529"/>
        <item h="1" x="530"/>
        <item h="1" x="531"/>
        <item h="1" x="544"/>
        <item h="1" x="545"/>
        <item h="1" x="553"/>
        <item h="1" x="554"/>
        <item h="1" x="555"/>
        <item h="1" x="556"/>
        <item h="1" x="557"/>
        <item h="1" x="558"/>
        <item h="1" x="559"/>
        <item h="1" x="560"/>
        <item h="1" x="561"/>
        <item h="1" x="562"/>
        <item h="1" x="563"/>
        <item h="1" x="564"/>
        <item h="1" x="565"/>
        <item h="1" x="566"/>
        <item h="1" x="567"/>
        <item h="1" x="568"/>
        <item h="1" x="569"/>
        <item h="1" x="570"/>
        <item h="1" x="571"/>
        <item h="1" x="572"/>
        <item h="1" x="573"/>
        <item h="1" x="574"/>
        <item h="1" x="575"/>
        <item h="1" x="576"/>
        <item h="1" x="577"/>
        <item h="1" x="578"/>
        <item h="1" x="579"/>
        <item h="1" x="580"/>
        <item h="1" x="581"/>
        <item h="1" x="582"/>
        <item h="1" x="583"/>
        <item h="1" x="584"/>
        <item h="1" x="585"/>
        <item h="1" x="586"/>
        <item h="1" x="587"/>
        <item h="1" x="588"/>
        <item h="1" x="589"/>
        <item h="1" x="590"/>
        <item h="1" x="591"/>
        <item h="1" x="592"/>
        <item h="1" x="593"/>
        <item h="1" x="594"/>
        <item h="1" x="595"/>
        <item h="1" x="596"/>
        <item h="1" x="597"/>
        <item h="1" x="598"/>
        <item h="1" x="599"/>
        <item h="1" x="600"/>
        <item h="1" x="601"/>
        <item h="1" x="602"/>
        <item h="1" x="603"/>
        <item h="1" x="604"/>
        <item h="1" x="605"/>
        <item h="1" x="606"/>
        <item h="1" x="607"/>
        <item h="1" x="608"/>
        <item h="1" x="609"/>
        <item t="default"/>
      </items>
    </pivotField>
    <pivotField showAll="0"/>
    <pivotField showAll="0"/>
    <pivotField axis="axisRow" showAll="0">
      <items count="8">
        <item x="2"/>
        <item x="3"/>
        <item x="0"/>
        <item x="4"/>
        <item x="6"/>
        <item x="1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Col" showAll="0">
      <items count="16">
        <item x="0"/>
        <item h="1" m="1" x="9"/>
        <item x="1"/>
        <item x="2"/>
        <item x="3"/>
        <item h="1" x="7"/>
        <item h="1" x="5"/>
        <item h="1" m="1" x="13"/>
        <item h="1" m="1" x="14"/>
        <item h="1" m="1" x="10"/>
        <item h="1" x="6"/>
        <item h="1" m="1" x="11"/>
        <item h="1" m="1" x="12"/>
        <item h="1" x="4"/>
        <item h="1" x="8"/>
        <item t="default"/>
      </items>
    </pivotField>
    <pivotField showAll="0"/>
    <pivotField showAll="0"/>
    <pivotField showAll="0"/>
  </pivotFields>
  <rowFields count="1">
    <field x="6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7"/>
  </colFields>
  <colItems count="5">
    <i>
      <x/>
    </i>
    <i>
      <x v="2"/>
    </i>
    <i>
      <x v="3"/>
    </i>
    <i>
      <x v="4"/>
    </i>
    <i t="grand">
      <x/>
    </i>
  </colItems>
  <pageFields count="1">
    <pageField fld="3" hier="-1"/>
  </pageFields>
  <dataFields count="1">
    <dataField name="Sum of Actual Closed Business" fld="20" baseField="0" baseItem="0" numFmtId="165"/>
  </dataFields>
  <formats count="1">
    <format dxfId="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D95667-22F0-43DE-916C-FABE10ABA0E3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44" firstHeaderRow="1" firstDataRow="2" firstDataCol="1" rowPageCount="1" colPageCount="1"/>
  <pivotFields count="31">
    <pivotField numFmtId="14" showAll="0"/>
    <pivotField showAll="0"/>
    <pivotField showAll="0"/>
    <pivotField axis="axisPage" showAll="0">
      <items count="586">
        <item x="311"/>
        <item x="198"/>
        <item x="235"/>
        <item x="441"/>
        <item x="195"/>
        <item x="16"/>
        <item x="364"/>
        <item x="149"/>
        <item x="480"/>
        <item x="259"/>
        <item x="145"/>
        <item x="71"/>
        <item x="41"/>
        <item x="37"/>
        <item x="174"/>
        <item x="107"/>
        <item x="348"/>
        <item x="0"/>
        <item x="82"/>
        <item x="46"/>
        <item x="175"/>
        <item x="20"/>
        <item x="21"/>
        <item x="115"/>
        <item x="184"/>
        <item x="349"/>
        <item x="395"/>
        <item x="553"/>
        <item x="183"/>
        <item x="72"/>
        <item x="197"/>
        <item x="136"/>
        <item x="334"/>
        <item x="193"/>
        <item x="243"/>
        <item x="479"/>
        <item x="533"/>
        <item x="87"/>
        <item x="123"/>
        <item x="15"/>
        <item x="18"/>
        <item x="40"/>
        <item x="31"/>
        <item x="160"/>
        <item x="25"/>
        <item x="113"/>
        <item x="531"/>
        <item x="494"/>
        <item x="272"/>
        <item x="425"/>
        <item x="194"/>
        <item x="227"/>
        <item x="77"/>
        <item x="366"/>
        <item x="168"/>
        <item x="135"/>
        <item x="117"/>
        <item x="402"/>
        <item x="384"/>
        <item x="163"/>
        <item x="367"/>
        <item x="485"/>
        <item x="431"/>
        <item x="500"/>
        <item x="217"/>
        <item x="483"/>
        <item x="464"/>
        <item x="150"/>
        <item x="64"/>
        <item x="470"/>
        <item x="307"/>
        <item x="471"/>
        <item x="507"/>
        <item x="238"/>
        <item x="474"/>
        <item x="196"/>
        <item x="114"/>
        <item x="129"/>
        <item m="1" x="582"/>
        <item x="497"/>
        <item x="495"/>
        <item x="401"/>
        <item x="313"/>
        <item x="580"/>
        <item x="34"/>
        <item x="396"/>
        <item x="191"/>
        <item x="467"/>
        <item x="222"/>
        <item x="187"/>
        <item x="371"/>
        <item x="268"/>
        <item x="354"/>
        <item x="329"/>
        <item x="302"/>
        <item x="39"/>
        <item x="176"/>
        <item x="189"/>
        <item x="4"/>
        <item x="215"/>
        <item x="477"/>
        <item x="325"/>
        <item x="314"/>
        <item x="17"/>
        <item x="478"/>
        <item x="522"/>
        <item x="340"/>
        <item x="422"/>
        <item x="212"/>
        <item x="265"/>
        <item x="239"/>
        <item x="244"/>
        <item x="319"/>
        <item x="171"/>
        <item x="60"/>
        <item x="99"/>
        <item x="261"/>
        <item x="67"/>
        <item x="68"/>
        <item x="162"/>
        <item x="69"/>
        <item x="260"/>
        <item x="70"/>
        <item x="486"/>
        <item x="293"/>
        <item x="292"/>
        <item x="297"/>
        <item x="290"/>
        <item x="36"/>
        <item x="177"/>
        <item x="382"/>
        <item x="468"/>
        <item x="409"/>
        <item x="241"/>
        <item x="315"/>
        <item x="254"/>
        <item x="228"/>
        <item x="103"/>
        <item x="98"/>
        <item x="523"/>
        <item x="411"/>
        <item x="296"/>
        <item x="2"/>
        <item x="373"/>
        <item x="294"/>
        <item x="182"/>
        <item x="10"/>
        <item x="156"/>
        <item x="427"/>
        <item x="267"/>
        <item x="398"/>
        <item x="435"/>
        <item x="501"/>
        <item x="418"/>
        <item x="144"/>
        <item x="166"/>
        <item x="274"/>
        <item x="424"/>
        <item x="374"/>
        <item x="246"/>
        <item x="499"/>
        <item x="28"/>
        <item x="335"/>
        <item x="128"/>
        <item x="230"/>
        <item x="548"/>
        <item x="506"/>
        <item x="42"/>
        <item x="27"/>
        <item x="301"/>
        <item x="310"/>
        <item x="3"/>
        <item x="394"/>
        <item x="413"/>
        <item x="181"/>
        <item x="516"/>
        <item x="469"/>
        <item x="262"/>
        <item x="284"/>
        <item x="1"/>
        <item x="442"/>
        <item x="476"/>
        <item x="491"/>
        <item x="540"/>
        <item x="487"/>
        <item x="74"/>
        <item x="106"/>
        <item x="250"/>
        <item x="412"/>
        <item x="357"/>
        <item x="8"/>
        <item x="102"/>
        <item m="1" x="584"/>
        <item x="399"/>
        <item x="280"/>
        <item x="414"/>
        <item x="139"/>
        <item x="172"/>
        <item x="321"/>
        <item x="73"/>
        <item x="550"/>
        <item x="555"/>
        <item x="234"/>
        <item x="419"/>
        <item x="245"/>
        <item x="14"/>
        <item x="386"/>
        <item x="170"/>
        <item x="433"/>
        <item x="291"/>
        <item x="258"/>
        <item x="390"/>
        <item x="377"/>
        <item x="568"/>
        <item x="429"/>
        <item x="206"/>
        <item x="304"/>
        <item x="322"/>
        <item x="76"/>
        <item x="61"/>
        <item x="186"/>
        <item x="116"/>
        <item x="120"/>
        <item x="407"/>
        <item x="79"/>
        <item x="434"/>
        <item x="124"/>
        <item x="251"/>
        <item x="579"/>
        <item x="248"/>
        <item x="288"/>
        <item x="449"/>
        <item x="209"/>
        <item x="563"/>
        <item x="233"/>
        <item x="208"/>
        <item x="305"/>
        <item x="361"/>
        <item x="420"/>
        <item x="393"/>
        <item x="559"/>
        <item x="229"/>
        <item x="5"/>
        <item x="43"/>
        <item x="368"/>
        <item x="534"/>
        <item x="511"/>
        <item x="35"/>
        <item x="445"/>
        <item x="333"/>
        <item x="397"/>
        <item x="161"/>
        <item x="104"/>
        <item x="360"/>
        <item x="455"/>
        <item x="462"/>
        <item x="213"/>
        <item x="256"/>
        <item x="204"/>
        <item x="219"/>
        <item x="285"/>
        <item x="423"/>
        <item x="326"/>
        <item x="363"/>
        <item x="353"/>
        <item x="252"/>
        <item x="406"/>
        <item x="337"/>
        <item x="132"/>
        <item x="9"/>
        <item x="247"/>
        <item x="289"/>
        <item x="535"/>
        <item x="299"/>
        <item x="237"/>
        <item x="266"/>
        <item x="351"/>
        <item x="51"/>
        <item x="138"/>
        <item x="498"/>
        <item x="369"/>
        <item x="86"/>
        <item x="30"/>
        <item x="278"/>
        <item x="282"/>
        <item x="201"/>
        <item x="566"/>
        <item x="489"/>
        <item x="346"/>
        <item x="148"/>
        <item m="1" x="583"/>
        <item x="66"/>
        <item x="185"/>
        <item x="428"/>
        <item x="83"/>
        <item x="432"/>
        <item x="475"/>
        <item x="488"/>
        <item x="318"/>
        <item x="417"/>
        <item x="147"/>
        <item x="542"/>
        <item x="38"/>
        <item x="356"/>
        <item x="300"/>
        <item x="158"/>
        <item x="338"/>
        <item x="484"/>
        <item x="473"/>
        <item x="460"/>
        <item x="49"/>
        <item x="226"/>
        <item x="127"/>
        <item x="211"/>
        <item x="545"/>
        <item x="454"/>
        <item x="92"/>
        <item x="78"/>
        <item x="7"/>
        <item x="111"/>
        <item x="342"/>
        <item x="122"/>
        <item x="225"/>
        <item x="276"/>
        <item x="271"/>
        <item x="505"/>
        <item x="343"/>
        <item x="130"/>
        <item x="275"/>
        <item x="316"/>
        <item x="110"/>
        <item x="456"/>
        <item x="169"/>
        <item x="562"/>
        <item x="323"/>
        <item x="472"/>
        <item x="521"/>
        <item x="240"/>
        <item x="379"/>
        <item x="388"/>
        <item x="112"/>
        <item x="19"/>
        <item x="202"/>
        <item x="6"/>
        <item x="192"/>
        <item x="24"/>
        <item x="26"/>
        <item x="458"/>
        <item x="452"/>
        <item x="159"/>
        <item x="56"/>
        <item x="309"/>
        <item x="567"/>
        <item x="551"/>
        <item x="552"/>
        <item x="408"/>
        <item x="57"/>
        <item x="376"/>
        <item x="12"/>
        <item x="101"/>
        <item x="100"/>
        <item x="332"/>
        <item x="80"/>
        <item x="443"/>
        <item x="137"/>
        <item x="118"/>
        <item x="89"/>
        <item x="167"/>
        <item x="482"/>
        <item x="283"/>
        <item x="502"/>
        <item x="543"/>
        <item x="541"/>
        <item x="536"/>
        <item x="358"/>
        <item x="306"/>
        <item x="96"/>
        <item x="532"/>
        <item x="496"/>
        <item x="81"/>
        <item x="327"/>
        <item x="97"/>
        <item x="143"/>
        <item x="438"/>
        <item x="336"/>
        <item x="405"/>
        <item x="375"/>
        <item x="157"/>
        <item x="165"/>
        <item x="52"/>
        <item x="439"/>
        <item x="437"/>
        <item x="155"/>
        <item x="365"/>
        <item x="400"/>
        <item x="359"/>
        <item x="257"/>
        <item x="370"/>
        <item x="446"/>
        <item x="392"/>
        <item m="1" x="581"/>
        <item x="383"/>
        <item x="308"/>
        <item x="62"/>
        <item x="528"/>
        <item x="575"/>
        <item x="520"/>
        <item x="421"/>
        <item x="164"/>
        <item x="320"/>
        <item x="378"/>
        <item x="448"/>
        <item x="303"/>
        <item x="263"/>
        <item x="380"/>
        <item x="436"/>
        <item x="13"/>
        <item x="45"/>
        <item x="85"/>
        <item x="84"/>
        <item x="279"/>
        <item x="345"/>
        <item x="391"/>
        <item x="578"/>
        <item x="517"/>
        <item x="372"/>
        <item x="298"/>
        <item x="108"/>
        <item x="264"/>
        <item x="63"/>
        <item x="146"/>
        <item x="481"/>
        <item x="90"/>
        <item x="249"/>
        <item x="65"/>
        <item x="207"/>
        <item x="350"/>
        <item x="32"/>
        <item x="153"/>
        <item x="576"/>
        <item x="577"/>
        <item x="47"/>
        <item x="527"/>
        <item x="508"/>
        <item x="152"/>
        <item x="324"/>
        <item x="126"/>
        <item x="461"/>
        <item x="253"/>
        <item x="447"/>
        <item x="571"/>
        <item x="387"/>
        <item x="93"/>
        <item x="549"/>
        <item x="503"/>
        <item x="465"/>
        <item x="188"/>
        <item x="570"/>
        <item x="574"/>
        <item x="141"/>
        <item x="277"/>
        <item x="22"/>
        <item x="426"/>
        <item x="430"/>
        <item x="565"/>
        <item x="451"/>
        <item x="457"/>
        <item x="131"/>
        <item x="569"/>
        <item x="564"/>
        <item x="121"/>
        <item x="466"/>
        <item x="33"/>
        <item x="453"/>
        <item x="544"/>
        <item x="530"/>
        <item x="88"/>
        <item x="221"/>
        <item x="558"/>
        <item x="557"/>
        <item x="355"/>
        <item x="515"/>
        <item x="572"/>
        <item x="214"/>
        <item x="330"/>
        <item x="556"/>
        <item x="180"/>
        <item x="105"/>
        <item x="231"/>
        <item x="232"/>
        <item x="492"/>
        <item x="561"/>
        <item x="341"/>
        <item x="526"/>
        <item x="538"/>
        <item x="210"/>
        <item x="134"/>
        <item x="546"/>
        <item x="385"/>
        <item x="403"/>
        <item x="512"/>
        <item x="389"/>
        <item x="547"/>
        <item x="281"/>
        <item x="514"/>
        <item x="463"/>
        <item x="513"/>
        <item x="444"/>
        <item x="220"/>
        <item x="352"/>
        <item x="54"/>
        <item x="44"/>
        <item x="55"/>
        <item x="151"/>
        <item x="539"/>
        <item x="29"/>
        <item x="200"/>
        <item x="339"/>
        <item x="255"/>
        <item x="347"/>
        <item x="529"/>
        <item x="75"/>
        <item x="525"/>
        <item x="537"/>
        <item x="270"/>
        <item x="242"/>
        <item x="524"/>
        <item x="53"/>
        <item x="415"/>
        <item x="50"/>
        <item x="519"/>
        <item x="450"/>
        <item x="140"/>
        <item x="490"/>
        <item x="295"/>
        <item x="205"/>
        <item x="440"/>
        <item x="312"/>
        <item x="331"/>
        <item x="273"/>
        <item x="223"/>
        <item x="518"/>
        <item x="493"/>
        <item x="179"/>
        <item x="142"/>
        <item x="404"/>
        <item x="344"/>
        <item x="560"/>
        <item x="317"/>
        <item x="573"/>
        <item x="216"/>
        <item x="459"/>
        <item x="154"/>
        <item x="381"/>
        <item x="59"/>
        <item x="269"/>
        <item x="224"/>
        <item x="48"/>
        <item x="416"/>
        <item x="554"/>
        <item x="199"/>
        <item x="509"/>
        <item x="178"/>
        <item x="109"/>
        <item x="286"/>
        <item x="328"/>
        <item x="410"/>
        <item x="23"/>
        <item x="236"/>
        <item x="91"/>
        <item x="94"/>
        <item x="218"/>
        <item x="133"/>
        <item x="11"/>
        <item x="95"/>
        <item x="190"/>
        <item x="504"/>
        <item x="287"/>
        <item x="173"/>
        <item x="58"/>
        <item x="362"/>
        <item x="125"/>
        <item x="203"/>
        <item x="510"/>
        <item x="1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40">
        <item x="27"/>
        <item x="15"/>
        <item x="1"/>
        <item x="38"/>
        <item x="6"/>
        <item x="2"/>
        <item x="0"/>
        <item x="13"/>
        <item x="22"/>
        <item x="4"/>
        <item x="3"/>
        <item x="24"/>
        <item x="8"/>
        <item x="31"/>
        <item x="12"/>
        <item x="19"/>
        <item x="36"/>
        <item x="17"/>
        <item x="28"/>
        <item x="16"/>
        <item x="20"/>
        <item x="21"/>
        <item x="11"/>
        <item x="25"/>
        <item x="37"/>
        <item x="18"/>
        <item x="9"/>
        <item x="34"/>
        <item x="29"/>
        <item x="23"/>
        <item x="10"/>
        <item x="14"/>
        <item x="26"/>
        <item x="32"/>
        <item x="30"/>
        <item x="33"/>
        <item x="35"/>
        <item x="7"/>
        <item x="5"/>
        <item t="default"/>
      </items>
    </pivotField>
    <pivotField showAll="0"/>
    <pivotField showAll="0"/>
    <pivotField showAll="0"/>
    <pivotField axis="axisCol" showAll="0">
      <items count="9">
        <item x="0"/>
        <item x="5"/>
        <item x="3"/>
        <item x="2"/>
        <item x="1"/>
        <item x="6"/>
        <item x="4"/>
        <item x="7"/>
        <item t="default"/>
      </items>
    </pivotField>
    <pivotField showAll="0"/>
    <pivotField showAll="0"/>
    <pivotField showAll="0"/>
  </pivotFields>
  <rowFields count="1">
    <field x="23"/>
  </rowFields>
  <rowItems count="4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 t="grand">
      <x/>
    </i>
  </rowItems>
  <colFields count="1">
    <field x="27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pageFields count="1">
    <pageField fld="3" hier="-1"/>
  </pageFields>
  <dataFields count="1">
    <dataField name="Sum of Actual Closed Business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1B09C8-71D0-4C8A-B42C-DA157828578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43" firstHeaderRow="1" firstDataRow="2" firstDataCol="1" rowPageCount="1" colPageCount="1"/>
  <pivotFields count="31">
    <pivotField showAll="0"/>
    <pivotField showAll="0"/>
    <pivotField showAll="0"/>
    <pivotField axis="axisPage" multipleItemSelectionAllowed="1" showAll="0">
      <items count="615">
        <item x="311"/>
        <item x="198"/>
        <item x="235"/>
        <item x="195"/>
        <item x="16"/>
        <item x="149"/>
        <item x="259"/>
        <item x="145"/>
        <item x="71"/>
        <item x="41"/>
        <item x="37"/>
        <item x="174"/>
        <item x="107"/>
        <item x="348"/>
        <item x="0"/>
        <item x="82"/>
        <item x="46"/>
        <item x="175"/>
        <item x="20"/>
        <item x="21"/>
        <item x="115"/>
        <item x="184"/>
        <item x="183"/>
        <item x="72"/>
        <item x="197"/>
        <item x="136"/>
        <item x="193"/>
        <item x="243"/>
        <item x="87"/>
        <item x="123"/>
        <item x="15"/>
        <item x="18"/>
        <item x="40"/>
        <item x="31"/>
        <item x="160"/>
        <item x="25"/>
        <item x="113"/>
        <item x="272"/>
        <item x="194"/>
        <item x="227"/>
        <item x="77"/>
        <item x="168"/>
        <item x="135"/>
        <item x="117"/>
        <item x="163"/>
        <item x="217"/>
        <item x="150"/>
        <item x="64"/>
        <item x="307"/>
        <item x="238"/>
        <item x="196"/>
        <item x="114"/>
        <item x="129"/>
        <item x="313"/>
        <item x="34"/>
        <item x="191"/>
        <item x="222"/>
        <item x="187"/>
        <item x="268"/>
        <item x="354"/>
        <item x="329"/>
        <item x="302"/>
        <item x="39"/>
        <item x="176"/>
        <item x="189"/>
        <item x="4"/>
        <item x="215"/>
        <item x="17"/>
        <item x="340"/>
        <item x="212"/>
        <item x="265"/>
        <item x="239"/>
        <item x="244"/>
        <item x="171"/>
        <item x="60"/>
        <item x="99"/>
        <item x="261"/>
        <item x="67"/>
        <item x="68"/>
        <item x="162"/>
        <item x="69"/>
        <item x="260"/>
        <item x="70"/>
        <item x="293"/>
        <item x="292"/>
        <item x="297"/>
        <item x="290"/>
        <item x="36"/>
        <item x="177"/>
        <item x="241"/>
        <item x="315"/>
        <item x="254"/>
        <item x="228"/>
        <item x="103"/>
        <item x="98"/>
        <item x="296"/>
        <item x="2"/>
        <item x="294"/>
        <item x="182"/>
        <item x="10"/>
        <item h="1" x="156"/>
        <item x="267"/>
        <item x="144"/>
        <item x="166"/>
        <item x="274"/>
        <item x="246"/>
        <item x="28"/>
        <item x="128"/>
        <item x="230"/>
        <item x="42"/>
        <item x="27"/>
        <item x="301"/>
        <item x="310"/>
        <item x="3"/>
        <item x="181"/>
        <item x="262"/>
        <item x="284"/>
        <item x="1"/>
        <item x="74"/>
        <item x="106"/>
        <item x="250"/>
        <item x="357"/>
        <item x="8"/>
        <item x="102"/>
        <item x="280"/>
        <item x="139"/>
        <item x="172"/>
        <item x="321"/>
        <item x="73"/>
        <item x="234"/>
        <item x="245"/>
        <item x="14"/>
        <item x="170"/>
        <item x="291"/>
        <item x="258"/>
        <item x="206"/>
        <item x="304"/>
        <item x="322"/>
        <item x="76"/>
        <item x="61"/>
        <item x="186"/>
        <item x="116"/>
        <item x="120"/>
        <item x="79"/>
        <item x="124"/>
        <item x="251"/>
        <item x="248"/>
        <item x="288"/>
        <item x="209"/>
        <item x="233"/>
        <item x="208"/>
        <item x="305"/>
        <item x="361"/>
        <item x="229"/>
        <item x="5"/>
        <item x="43"/>
        <item x="35"/>
        <item x="333"/>
        <item x="161"/>
        <item x="104"/>
        <item x="360"/>
        <item x="213"/>
        <item x="256"/>
        <item x="204"/>
        <item x="219"/>
        <item x="285"/>
        <item x="326"/>
        <item x="252"/>
        <item x="337"/>
        <item x="132"/>
        <item x="9"/>
        <item x="247"/>
        <item x="289"/>
        <item x="299"/>
        <item x="237"/>
        <item x="266"/>
        <item x="351"/>
        <item x="51"/>
        <item x="138"/>
        <item x="86"/>
        <item x="30"/>
        <item x="278"/>
        <item x="282"/>
        <item x="201"/>
        <item x="346"/>
        <item x="148"/>
        <item x="66"/>
        <item x="185"/>
        <item x="83"/>
        <item x="432"/>
        <item x="318"/>
        <item x="147"/>
        <item x="38"/>
        <item x="356"/>
        <item x="300"/>
        <item x="158"/>
        <item x="338"/>
        <item m="1" x="613"/>
        <item x="49"/>
        <item x="226"/>
        <item x="127"/>
        <item x="211"/>
        <item x="92"/>
        <item x="78"/>
        <item x="7"/>
        <item x="111"/>
        <item x="122"/>
        <item x="225"/>
        <item x="276"/>
        <item x="271"/>
        <item x="343"/>
        <item x="130"/>
        <item x="275"/>
        <item x="316"/>
        <item x="110"/>
        <item x="169"/>
        <item x="323"/>
        <item x="240"/>
        <item x="112"/>
        <item x="19"/>
        <item x="202"/>
        <item x="6"/>
        <item x="192"/>
        <item x="24"/>
        <item x="26"/>
        <item x="159"/>
        <item x="56"/>
        <item x="309"/>
        <item x="57"/>
        <item x="12"/>
        <item x="101"/>
        <item x="100"/>
        <item h="1" x="332"/>
        <item h="1" x="80"/>
        <item x="137"/>
        <item x="118"/>
        <item x="89"/>
        <item x="167"/>
        <item x="283"/>
        <item x="358"/>
        <item x="306"/>
        <item x="96"/>
        <item x="81"/>
        <item x="327"/>
        <item x="97"/>
        <item x="143"/>
        <item x="336"/>
        <item x="157"/>
        <item x="165"/>
        <item x="52"/>
        <item x="155"/>
        <item x="359"/>
        <item x="257"/>
        <item x="308"/>
        <item x="62"/>
        <item x="164"/>
        <item x="320"/>
        <item x="303"/>
        <item x="263"/>
        <item x="13"/>
        <item x="45"/>
        <item x="85"/>
        <item x="84"/>
        <item x="279"/>
        <item x="345"/>
        <item x="298"/>
        <item x="108"/>
        <item x="264"/>
        <item x="63"/>
        <item x="146"/>
        <item x="90"/>
        <item x="249"/>
        <item x="65"/>
        <item x="207"/>
        <item x="350"/>
        <item x="32"/>
        <item x="153"/>
        <item x="47"/>
        <item x="152"/>
        <item x="324"/>
        <item x="126"/>
        <item x="253"/>
        <item x="93"/>
        <item x="188"/>
        <item x="141"/>
        <item x="277"/>
        <item x="22"/>
        <item x="131"/>
        <item x="121"/>
        <item x="33"/>
        <item x="88"/>
        <item x="221"/>
        <item x="355"/>
        <item x="214"/>
        <item x="330"/>
        <item x="180"/>
        <item x="105"/>
        <item x="231"/>
        <item x="232"/>
        <item x="210"/>
        <item x="134"/>
        <item x="281"/>
        <item x="220"/>
        <item x="352"/>
        <item x="54"/>
        <item x="44"/>
        <item x="55"/>
        <item x="151"/>
        <item x="29"/>
        <item x="200"/>
        <item x="339"/>
        <item x="255"/>
        <item x="347"/>
        <item x="75"/>
        <item x="270"/>
        <item x="242"/>
        <item x="53"/>
        <item x="50"/>
        <item x="140"/>
        <item x="295"/>
        <item x="205"/>
        <item x="312"/>
        <item x="331"/>
        <item x="273"/>
        <item x="223"/>
        <item x="179"/>
        <item x="142"/>
        <item x="344"/>
        <item x="317"/>
        <item x="216"/>
        <item x="154"/>
        <item x="59"/>
        <item x="269"/>
        <item x="224"/>
        <item x="48"/>
        <item x="199"/>
        <item x="178"/>
        <item x="109"/>
        <item x="286"/>
        <item x="328"/>
        <item x="23"/>
        <item x="236"/>
        <item x="91"/>
        <item x="94"/>
        <item x="218"/>
        <item x="133"/>
        <item x="11"/>
        <item x="95"/>
        <item x="190"/>
        <item x="287"/>
        <item x="173"/>
        <item x="58"/>
        <item x="362"/>
        <item x="125"/>
        <item x="203"/>
        <item x="119"/>
        <item x="610"/>
        <item h="1" x="335"/>
        <item h="1" m="1" x="612"/>
        <item h="1" x="341"/>
        <item h="1" x="334"/>
        <item h="1" x="314"/>
        <item h="1" x="319"/>
        <item h="1" x="325"/>
        <item h="1" x="342"/>
        <item h="1" x="349"/>
        <item h="1" x="366"/>
        <item h="1" x="353"/>
        <item h="1" x="363"/>
        <item h="1" x="364"/>
        <item h="1" x="365"/>
        <item h="1" x="367"/>
        <item h="1" x="368"/>
        <item h="1" x="370"/>
        <item h="1" x="371"/>
        <item h="1" x="372"/>
        <item h="1" x="373"/>
        <item h="1" x="374"/>
        <item h="1" x="376"/>
        <item h="1" x="377"/>
        <item h="1" x="378"/>
        <item h="1" x="380"/>
        <item h="1" x="381"/>
        <item h="1" x="382"/>
        <item h="1" x="384"/>
        <item h="1" x="385"/>
        <item h="1" x="387"/>
        <item h="1" x="390"/>
        <item h="1" x="391"/>
        <item h="1" x="375"/>
        <item h="1" x="379"/>
        <item h="1" x="386"/>
        <item h="1" x="388"/>
        <item h="1" x="389"/>
        <item h="1" x="392"/>
        <item h="1" x="395"/>
        <item h="1" x="396"/>
        <item h="1" x="397"/>
        <item h="1" x="398"/>
        <item h="1" m="1" x="611"/>
        <item h="1" x="393"/>
        <item h="1" x="383"/>
        <item h="1" x="399"/>
        <item h="1" x="400"/>
        <item h="1" x="402"/>
        <item h="1" x="403"/>
        <item h="1" x="394"/>
        <item h="1" x="404"/>
        <item h="1" x="408"/>
        <item h="1" x="405"/>
        <item h="1" x="406"/>
        <item h="1" x="407"/>
        <item h="1" x="410"/>
        <item h="1" x="411"/>
        <item h="1" x="413"/>
        <item h="1" x="369"/>
        <item h="1" x="401"/>
        <item h="1" x="409"/>
        <item h="1" x="412"/>
        <item h="1" x="414"/>
        <item h="1" x="415"/>
        <item h="1" x="416"/>
        <item h="1" x="417"/>
        <item h="1" x="418"/>
        <item h="1" x="419"/>
        <item h="1" x="420"/>
        <item h="1" x="421"/>
        <item h="1" x="422"/>
        <item h="1" x="423"/>
        <item h="1" x="424"/>
        <item h="1" x="425"/>
        <item h="1" x="426"/>
        <item h="1" x="428"/>
        <item h="1" x="429"/>
        <item h="1" x="430"/>
        <item h="1" x="431"/>
        <item h="1" x="433"/>
        <item h="1" x="434"/>
        <item h="1" x="436"/>
        <item h="1" x="437"/>
        <item h="1" x="438"/>
        <item h="1" x="439"/>
        <item h="1" x="440"/>
        <item h="1" x="441"/>
        <item h="1" x="442"/>
        <item h="1" x="443"/>
        <item h="1" x="444"/>
        <item h="1" x="445"/>
        <item h="1" x="446"/>
        <item h="1" x="447"/>
        <item h="1" x="448"/>
        <item h="1" x="449"/>
        <item h="1" x="450"/>
        <item h="1" x="451"/>
        <item h="1" x="452"/>
        <item h="1" x="453"/>
        <item h="1" x="435"/>
        <item h="1" x="454"/>
        <item h="1" x="455"/>
        <item h="1" x="456"/>
        <item h="1" x="457"/>
        <item h="1" x="458"/>
        <item h="1" x="459"/>
        <item h="1" x="460"/>
        <item h="1" x="461"/>
        <item h="1" x="463"/>
        <item h="1" x="464"/>
        <item h="1" x="467"/>
        <item h="1" x="468"/>
        <item h="1" x="469"/>
        <item h="1" x="472"/>
        <item h="1" x="473"/>
        <item h="1" x="474"/>
        <item h="1" x="475"/>
        <item h="1" x="476"/>
        <item h="1" x="480"/>
        <item h="1" x="481"/>
        <item h="1" x="482"/>
        <item h="1" x="483"/>
        <item h="1" x="484"/>
        <item h="1" x="485"/>
        <item h="1" x="487"/>
        <item h="1" x="488"/>
        <item h="1" x="489"/>
        <item h="1" x="490"/>
        <item h="1" x="492"/>
        <item h="1" x="493"/>
        <item h="1" x="494"/>
        <item h="1" x="495"/>
        <item h="1" x="496"/>
        <item h="1" x="497"/>
        <item h="1" x="498"/>
        <item h="1" x="470"/>
        <item h="1" x="471"/>
        <item h="1" x="477"/>
        <item h="1" x="478"/>
        <item h="1" x="486"/>
        <item h="1" x="491"/>
        <item h="1" x="462"/>
        <item h="1" x="499"/>
        <item h="1" x="500"/>
        <item h="1" x="501"/>
        <item h="1" x="502"/>
        <item h="1" x="505"/>
        <item h="1" x="506"/>
        <item h="1" x="507"/>
        <item h="1" x="511"/>
        <item h="1" x="512"/>
        <item h="1" x="513"/>
        <item h="1" x="514"/>
        <item h="1" x="515"/>
        <item h="1" x="520"/>
        <item h="1" x="521"/>
        <item h="1" x="522"/>
        <item h="1" x="523"/>
        <item h="1" x="526"/>
        <item h="1" x="527"/>
        <item h="1" x="528"/>
        <item h="1" x="508"/>
        <item h="1" x="532"/>
        <item h="1" x="533"/>
        <item h="1" x="534"/>
        <item h="1" x="535"/>
        <item h="1" x="536"/>
        <item h="1" x="537"/>
        <item h="1" x="538"/>
        <item h="1" x="539"/>
        <item h="1" x="540"/>
        <item h="1" x="541"/>
        <item h="1" x="542"/>
        <item h="1" x="543"/>
        <item h="1" x="546"/>
        <item h="1" x="547"/>
        <item h="1" x="548"/>
        <item h="1" x="549"/>
        <item h="1" x="550"/>
        <item h="1" x="551"/>
        <item h="1" x="552"/>
        <item h="1" x="427"/>
        <item h="1" x="465"/>
        <item h="1" x="466"/>
        <item h="1" x="479"/>
        <item h="1" x="503"/>
        <item h="1" x="504"/>
        <item h="1" x="509"/>
        <item h="1" x="510"/>
        <item h="1" x="516"/>
        <item h="1" x="517"/>
        <item h="1" x="518"/>
        <item h="1" x="519"/>
        <item h="1" x="524"/>
        <item h="1" x="525"/>
        <item h="1" x="529"/>
        <item h="1" x="530"/>
        <item h="1" x="531"/>
        <item h="1" x="544"/>
        <item h="1" x="545"/>
        <item h="1" x="553"/>
        <item h="1" x="554"/>
        <item h="1" x="555"/>
        <item h="1" x="556"/>
        <item h="1" x="557"/>
        <item h="1" x="558"/>
        <item h="1" x="559"/>
        <item h="1" x="560"/>
        <item h="1" x="561"/>
        <item h="1" x="562"/>
        <item h="1" x="563"/>
        <item h="1" x="564"/>
        <item h="1" x="565"/>
        <item h="1" x="566"/>
        <item h="1" x="567"/>
        <item h="1" x="568"/>
        <item h="1" x="569"/>
        <item h="1" x="570"/>
        <item h="1" x="571"/>
        <item h="1" x="572"/>
        <item h="1" x="573"/>
        <item h="1" x="574"/>
        <item h="1" x="575"/>
        <item h="1" x="576"/>
        <item h="1" x="577"/>
        <item h="1" x="578"/>
        <item h="1" x="579"/>
        <item h="1" x="580"/>
        <item h="1" x="581"/>
        <item h="1" x="582"/>
        <item h="1" x="583"/>
        <item h="1" x="584"/>
        <item h="1" x="585"/>
        <item h="1" x="586"/>
        <item h="1" x="587"/>
        <item h="1" x="588"/>
        <item h="1" x="589"/>
        <item h="1" x="590"/>
        <item h="1" x="591"/>
        <item h="1" x="592"/>
        <item h="1" x="593"/>
        <item h="1" x="594"/>
        <item h="1" x="595"/>
        <item h="1" x="596"/>
        <item h="1" x="597"/>
        <item h="1" x="598"/>
        <item h="1" x="599"/>
        <item h="1" x="600"/>
        <item h="1" x="601"/>
        <item h="1" x="602"/>
        <item h="1" x="603"/>
        <item h="1" x="604"/>
        <item h="1" x="605"/>
        <item h="1" x="606"/>
        <item h="1" x="607"/>
        <item h="1" x="608"/>
        <item h="1" x="60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41">
        <item x="27"/>
        <item x="15"/>
        <item x="1"/>
        <item x="6"/>
        <item x="2"/>
        <item x="0"/>
        <item x="13"/>
        <item x="22"/>
        <item x="4"/>
        <item x="3"/>
        <item x="24"/>
        <item x="8"/>
        <item x="31"/>
        <item x="12"/>
        <item x="19"/>
        <item x="17"/>
        <item x="28"/>
        <item x="16"/>
        <item x="20"/>
        <item x="21"/>
        <item x="11"/>
        <item x="25"/>
        <item x="18"/>
        <item x="9"/>
        <item x="29"/>
        <item x="23"/>
        <item x="10"/>
        <item x="14"/>
        <item x="26"/>
        <item x="32"/>
        <item x="30"/>
        <item x="7"/>
        <item x="5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/>
    <pivotField axis="axisCol" showAll="0">
      <items count="16">
        <item x="0"/>
        <item h="1" m="1" x="9"/>
        <item x="1"/>
        <item x="2"/>
        <item x="3"/>
        <item h="1" x="7"/>
        <item x="5"/>
        <item h="1" m="1" x="13"/>
        <item h="1" m="1" x="14"/>
        <item h="1" m="1" x="10"/>
        <item x="6"/>
        <item h="1" m="1" x="11"/>
        <item h="1" m="1" x="12"/>
        <item h="1" x="4"/>
        <item h="1" x="8"/>
        <item t="default"/>
      </items>
    </pivotField>
    <pivotField showAll="0"/>
    <pivotField showAll="0"/>
    <pivotField showAll="0"/>
  </pivotFields>
  <rowFields count="1">
    <field x="23"/>
  </rowFields>
  <row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4"/>
    </i>
    <i>
      <x v="35"/>
    </i>
    <i>
      <x v="36"/>
    </i>
    <i>
      <x v="37"/>
    </i>
    <i>
      <x v="38"/>
    </i>
    <i t="grand">
      <x/>
    </i>
  </rowItems>
  <colFields count="1">
    <field x="27"/>
  </colFields>
  <colItems count="7">
    <i>
      <x/>
    </i>
    <i>
      <x v="2"/>
    </i>
    <i>
      <x v="3"/>
    </i>
    <i>
      <x v="4"/>
    </i>
    <i>
      <x v="6"/>
    </i>
    <i>
      <x v="10"/>
    </i>
    <i t="grand">
      <x/>
    </i>
  </colItems>
  <pageFields count="1">
    <pageField fld="3" hier="-1"/>
  </pageFields>
  <dataFields count="1">
    <dataField name="Sum of Actual Closed Business" fld="20" baseField="0" baseItem="0" numFmtId="165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B67BA3-9426-4D68-9A8B-863A630F400B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6:N21" firstHeaderRow="1" firstDataRow="2" firstDataCol="1" rowPageCount="1" colPageCount="1"/>
  <pivotFields count="31">
    <pivotField showAll="0"/>
    <pivotField showAll="0"/>
    <pivotField showAll="0"/>
    <pivotField axis="axisRow" multipleItemSelectionAllowed="1" showAll="0">
      <items count="615">
        <item h="1" x="311"/>
        <item h="1" x="198"/>
        <item h="1" x="235"/>
        <item h="1" x="195"/>
        <item h="1" x="16"/>
        <item h="1" x="149"/>
        <item h="1" x="259"/>
        <item h="1" x="145"/>
        <item h="1" x="71"/>
        <item h="1" x="41"/>
        <item h="1" x="37"/>
        <item h="1" x="174"/>
        <item h="1" x="107"/>
        <item h="1" x="348"/>
        <item h="1" x="0"/>
        <item h="1" x="82"/>
        <item h="1" x="46"/>
        <item h="1" x="175"/>
        <item h="1" x="20"/>
        <item h="1" x="21"/>
        <item h="1" x="115"/>
        <item h="1" x="184"/>
        <item h="1" x="183"/>
        <item h="1" x="72"/>
        <item h="1" x="197"/>
        <item h="1" x="136"/>
        <item h="1" x="193"/>
        <item h="1" x="243"/>
        <item h="1" x="87"/>
        <item h="1" x="123"/>
        <item h="1" x="15"/>
        <item h="1" x="18"/>
        <item h="1" x="40"/>
        <item h="1" x="31"/>
        <item h="1" x="160"/>
        <item h="1" x="25"/>
        <item h="1" x="113"/>
        <item h="1" x="272"/>
        <item h="1" x="194"/>
        <item h="1" x="227"/>
        <item h="1" x="77"/>
        <item h="1" x="168"/>
        <item h="1" x="135"/>
        <item h="1" x="117"/>
        <item h="1" x="163"/>
        <item h="1" x="217"/>
        <item h="1" x="150"/>
        <item h="1" x="64"/>
        <item h="1" x="307"/>
        <item h="1" x="238"/>
        <item h="1" x="196"/>
        <item h="1" x="114"/>
        <item h="1" x="129"/>
        <item h="1" x="313"/>
        <item h="1" x="34"/>
        <item h="1" x="191"/>
        <item h="1" x="222"/>
        <item h="1" x="187"/>
        <item h="1" x="268"/>
        <item h="1" x="354"/>
        <item h="1" x="329"/>
        <item h="1" x="302"/>
        <item h="1" x="39"/>
        <item h="1" x="176"/>
        <item h="1" x="189"/>
        <item h="1" x="4"/>
        <item h="1" x="215"/>
        <item h="1" x="17"/>
        <item h="1" x="340"/>
        <item h="1" x="212"/>
        <item h="1" x="265"/>
        <item h="1" x="239"/>
        <item h="1" x="244"/>
        <item h="1" x="171"/>
        <item h="1" x="60"/>
        <item h="1" x="99"/>
        <item h="1" x="261"/>
        <item h="1" x="67"/>
        <item h="1" x="68"/>
        <item h="1" x="162"/>
        <item h="1" x="69"/>
        <item h="1" x="260"/>
        <item h="1" x="70"/>
        <item h="1" x="293"/>
        <item h="1" x="292"/>
        <item h="1" x="297"/>
        <item h="1" x="290"/>
        <item h="1" x="36"/>
        <item h="1" x="177"/>
        <item h="1" x="241"/>
        <item h="1" x="315"/>
        <item h="1" x="254"/>
        <item h="1" x="228"/>
        <item h="1" x="103"/>
        <item h="1" x="98"/>
        <item h="1" x="296"/>
        <item h="1" x="2"/>
        <item h="1" x="294"/>
        <item h="1" x="182"/>
        <item h="1" x="10"/>
        <item x="156"/>
        <item h="1" x="267"/>
        <item h="1" x="144"/>
        <item h="1" x="166"/>
        <item h="1" x="274"/>
        <item h="1" x="246"/>
        <item h="1" x="28"/>
        <item h="1" x="128"/>
        <item h="1" x="230"/>
        <item h="1" x="42"/>
        <item h="1" x="27"/>
        <item h="1" x="301"/>
        <item h="1" x="310"/>
        <item h="1" x="3"/>
        <item h="1" x="181"/>
        <item h="1" x="262"/>
        <item h="1" x="284"/>
        <item h="1" x="1"/>
        <item h="1" x="74"/>
        <item h="1" x="106"/>
        <item h="1" x="250"/>
        <item h="1" x="357"/>
        <item h="1" x="8"/>
        <item h="1" x="102"/>
        <item h="1" x="280"/>
        <item h="1" x="139"/>
        <item h="1" x="172"/>
        <item h="1" x="321"/>
        <item h="1" x="73"/>
        <item h="1" x="234"/>
        <item h="1" x="245"/>
        <item h="1" x="14"/>
        <item h="1" x="170"/>
        <item h="1" x="291"/>
        <item h="1" x="258"/>
        <item h="1" x="206"/>
        <item h="1" x="304"/>
        <item h="1" x="322"/>
        <item h="1" x="76"/>
        <item h="1" x="61"/>
        <item h="1" x="186"/>
        <item h="1" x="116"/>
        <item h="1" x="120"/>
        <item h="1" x="79"/>
        <item h="1" x="124"/>
        <item h="1" x="251"/>
        <item h="1" x="248"/>
        <item h="1" x="288"/>
        <item h="1" x="209"/>
        <item h="1" x="233"/>
        <item h="1" x="208"/>
        <item h="1" x="305"/>
        <item h="1" x="361"/>
        <item h="1" x="229"/>
        <item h="1" x="5"/>
        <item h="1" x="43"/>
        <item h="1" x="35"/>
        <item h="1" x="333"/>
        <item h="1" x="161"/>
        <item h="1" x="104"/>
        <item h="1" x="360"/>
        <item h="1" x="213"/>
        <item h="1" x="256"/>
        <item h="1" x="204"/>
        <item h="1" x="219"/>
        <item h="1" x="285"/>
        <item h="1" x="326"/>
        <item h="1" x="252"/>
        <item h="1" x="337"/>
        <item h="1" x="132"/>
        <item h="1" x="9"/>
        <item h="1" x="247"/>
        <item h="1" x="289"/>
        <item h="1" x="299"/>
        <item h="1" x="237"/>
        <item h="1" x="266"/>
        <item h="1" x="351"/>
        <item h="1" x="51"/>
        <item h="1" x="138"/>
        <item h="1" x="86"/>
        <item h="1" x="30"/>
        <item h="1" x="278"/>
        <item h="1" x="282"/>
        <item h="1" x="201"/>
        <item h="1" x="346"/>
        <item h="1" x="148"/>
        <item h="1" x="66"/>
        <item h="1" x="185"/>
        <item h="1" x="83"/>
        <item h="1" x="432"/>
        <item h="1" x="318"/>
        <item h="1" x="147"/>
        <item h="1" x="38"/>
        <item h="1" x="356"/>
        <item h="1" x="300"/>
        <item h="1" x="158"/>
        <item h="1" x="338"/>
        <item h="1" m="1" x="613"/>
        <item h="1" x="49"/>
        <item h="1" x="226"/>
        <item h="1" x="127"/>
        <item h="1" x="211"/>
        <item h="1" x="92"/>
        <item h="1" x="78"/>
        <item h="1" x="7"/>
        <item h="1" x="111"/>
        <item h="1" x="122"/>
        <item h="1" x="225"/>
        <item h="1" x="276"/>
        <item h="1" x="271"/>
        <item h="1" x="343"/>
        <item h="1" x="130"/>
        <item h="1" x="275"/>
        <item h="1" x="316"/>
        <item h="1" x="110"/>
        <item h="1" x="169"/>
        <item h="1" x="323"/>
        <item h="1" x="240"/>
        <item h="1" x="112"/>
        <item h="1" x="19"/>
        <item h="1" x="202"/>
        <item h="1" x="6"/>
        <item h="1" x="192"/>
        <item h="1" x="24"/>
        <item h="1" x="26"/>
        <item h="1" x="159"/>
        <item h="1" x="56"/>
        <item h="1" x="309"/>
        <item h="1" x="57"/>
        <item h="1" x="12"/>
        <item h="1" x="101"/>
        <item h="1" x="100"/>
        <item x="332"/>
        <item x="80"/>
        <item h="1" x="137"/>
        <item h="1" x="118"/>
        <item h="1" x="89"/>
        <item h="1" x="167"/>
        <item h="1" x="283"/>
        <item h="1" x="358"/>
        <item h="1" x="306"/>
        <item h="1" x="96"/>
        <item h="1" x="81"/>
        <item h="1" x="327"/>
        <item h="1" x="97"/>
        <item h="1" x="143"/>
        <item h="1" x="336"/>
        <item h="1" x="157"/>
        <item h="1" x="165"/>
        <item h="1" x="52"/>
        <item h="1" x="155"/>
        <item h="1" x="359"/>
        <item h="1" x="257"/>
        <item h="1" x="308"/>
        <item h="1" x="62"/>
        <item h="1" x="164"/>
        <item h="1" x="320"/>
        <item h="1" x="303"/>
        <item h="1" x="263"/>
        <item h="1" x="13"/>
        <item h="1" x="45"/>
        <item h="1" x="85"/>
        <item h="1" x="84"/>
        <item h="1" x="279"/>
        <item h="1" x="345"/>
        <item h="1" x="298"/>
        <item h="1" x="108"/>
        <item h="1" x="264"/>
        <item h="1" x="63"/>
        <item h="1" x="146"/>
        <item h="1" x="90"/>
        <item h="1" x="249"/>
        <item h="1" x="65"/>
        <item h="1" x="207"/>
        <item h="1" x="350"/>
        <item h="1" x="32"/>
        <item h="1" x="153"/>
        <item h="1" x="47"/>
        <item h="1" x="152"/>
        <item h="1" x="324"/>
        <item h="1" x="126"/>
        <item h="1" x="253"/>
        <item h="1" x="93"/>
        <item h="1" x="188"/>
        <item h="1" x="141"/>
        <item h="1" x="277"/>
        <item h="1" x="22"/>
        <item h="1" x="131"/>
        <item h="1" x="121"/>
        <item h="1" x="33"/>
        <item h="1" x="88"/>
        <item h="1" x="221"/>
        <item h="1" x="355"/>
        <item h="1" x="214"/>
        <item h="1" x="330"/>
        <item h="1" x="180"/>
        <item h="1" x="105"/>
        <item h="1" x="231"/>
        <item h="1" x="232"/>
        <item h="1" x="210"/>
        <item h="1" x="134"/>
        <item h="1" x="281"/>
        <item h="1" x="220"/>
        <item h="1" x="352"/>
        <item h="1" x="54"/>
        <item h="1" x="44"/>
        <item h="1" x="55"/>
        <item h="1" x="151"/>
        <item h="1" x="29"/>
        <item h="1" x="200"/>
        <item h="1" x="339"/>
        <item h="1" x="255"/>
        <item h="1" x="347"/>
        <item h="1" x="75"/>
        <item h="1" x="270"/>
        <item h="1" x="242"/>
        <item h="1" x="53"/>
        <item h="1" x="50"/>
        <item h="1" x="140"/>
        <item h="1" x="295"/>
        <item h="1" x="205"/>
        <item h="1" x="312"/>
        <item h="1" x="331"/>
        <item h="1" x="273"/>
        <item h="1" x="223"/>
        <item h="1" x="179"/>
        <item h="1" x="142"/>
        <item h="1" x="344"/>
        <item h="1" x="317"/>
        <item h="1" x="216"/>
        <item h="1" x="154"/>
        <item h="1" x="59"/>
        <item h="1" x="269"/>
        <item h="1" x="224"/>
        <item h="1" x="48"/>
        <item h="1" x="199"/>
        <item h="1" x="178"/>
        <item h="1" x="109"/>
        <item h="1" x="286"/>
        <item h="1" x="328"/>
        <item h="1" x="23"/>
        <item h="1" x="236"/>
        <item h="1" x="91"/>
        <item h="1" x="94"/>
        <item h="1" x="218"/>
        <item h="1" x="133"/>
        <item h="1" x="11"/>
        <item h="1" x="95"/>
        <item h="1" x="190"/>
        <item h="1" x="287"/>
        <item h="1" x="173"/>
        <item h="1" x="58"/>
        <item h="1" x="362"/>
        <item h="1" x="125"/>
        <item h="1" x="203"/>
        <item h="1" x="119"/>
        <item h="1" x="610"/>
        <item h="1" x="335"/>
        <item h="1" m="1" x="612"/>
        <item h="1" x="341"/>
        <item h="1" x="334"/>
        <item h="1" x="314"/>
        <item h="1" x="319"/>
        <item h="1" x="325"/>
        <item h="1" x="342"/>
        <item h="1" x="349"/>
        <item h="1" x="366"/>
        <item h="1" x="353"/>
        <item h="1" x="363"/>
        <item h="1" x="364"/>
        <item h="1" x="365"/>
        <item h="1" x="367"/>
        <item h="1" x="368"/>
        <item h="1" x="370"/>
        <item h="1" x="371"/>
        <item h="1" x="372"/>
        <item h="1" x="373"/>
        <item h="1" x="374"/>
        <item h="1" x="376"/>
        <item h="1" x="377"/>
        <item h="1" x="378"/>
        <item h="1" x="380"/>
        <item h="1" x="381"/>
        <item h="1" x="382"/>
        <item h="1" x="384"/>
        <item h="1" x="385"/>
        <item h="1" x="387"/>
        <item h="1" x="390"/>
        <item h="1" x="391"/>
        <item h="1" x="375"/>
        <item h="1" x="379"/>
        <item h="1" x="386"/>
        <item h="1" x="388"/>
        <item h="1" x="389"/>
        <item h="1" x="392"/>
        <item h="1" x="395"/>
        <item h="1" x="396"/>
        <item h="1" x="397"/>
        <item h="1" x="398"/>
        <item h="1" m="1" x="611"/>
        <item h="1" x="393"/>
        <item h="1" x="383"/>
        <item h="1" x="399"/>
        <item h="1" x="400"/>
        <item h="1" x="402"/>
        <item h="1" x="403"/>
        <item h="1" x="394"/>
        <item h="1" x="404"/>
        <item h="1" x="408"/>
        <item h="1" x="405"/>
        <item h="1" x="406"/>
        <item h="1" x="407"/>
        <item h="1" x="410"/>
        <item h="1" x="411"/>
        <item h="1" x="413"/>
        <item h="1" x="369"/>
        <item h="1" x="401"/>
        <item h="1" x="409"/>
        <item h="1" x="412"/>
        <item h="1" x="414"/>
        <item h="1" x="415"/>
        <item h="1" x="416"/>
        <item h="1" x="417"/>
        <item h="1" x="418"/>
        <item h="1" x="419"/>
        <item h="1" x="420"/>
        <item h="1" x="421"/>
        <item h="1" x="422"/>
        <item h="1" x="423"/>
        <item h="1" x="424"/>
        <item h="1" x="425"/>
        <item h="1" x="426"/>
        <item h="1" x="428"/>
        <item h="1" x="429"/>
        <item h="1" x="430"/>
        <item h="1" x="431"/>
        <item h="1" x="433"/>
        <item h="1" x="434"/>
        <item h="1" x="436"/>
        <item h="1" x="437"/>
        <item h="1" x="438"/>
        <item h="1" x="439"/>
        <item h="1" x="440"/>
        <item h="1" x="441"/>
        <item h="1" x="442"/>
        <item h="1" x="443"/>
        <item h="1" x="444"/>
        <item h="1" x="445"/>
        <item h="1" x="446"/>
        <item h="1" x="447"/>
        <item h="1" x="448"/>
        <item h="1" x="449"/>
        <item h="1" x="450"/>
        <item h="1" x="451"/>
        <item h="1" x="452"/>
        <item h="1" x="453"/>
        <item h="1" x="435"/>
        <item h="1" x="454"/>
        <item h="1" x="455"/>
        <item h="1" x="456"/>
        <item h="1" x="457"/>
        <item h="1" x="458"/>
        <item h="1" x="459"/>
        <item h="1" x="460"/>
        <item h="1" x="461"/>
        <item h="1" x="463"/>
        <item h="1" x="464"/>
        <item h="1" x="467"/>
        <item h="1" x="468"/>
        <item h="1" x="469"/>
        <item h="1" x="472"/>
        <item h="1" x="473"/>
        <item h="1" x="474"/>
        <item h="1" x="475"/>
        <item h="1" x="476"/>
        <item h="1" x="480"/>
        <item h="1" x="481"/>
        <item h="1" x="482"/>
        <item h="1" x="483"/>
        <item h="1" x="484"/>
        <item h="1" x="485"/>
        <item h="1" x="487"/>
        <item h="1" x="488"/>
        <item h="1" x="489"/>
        <item h="1" x="490"/>
        <item h="1" x="492"/>
        <item h="1" x="493"/>
        <item h="1" x="494"/>
        <item h="1" x="495"/>
        <item h="1" x="496"/>
        <item h="1" x="497"/>
        <item h="1" x="498"/>
        <item h="1" x="470"/>
        <item h="1" x="471"/>
        <item h="1" x="477"/>
        <item h="1" x="478"/>
        <item h="1" x="486"/>
        <item h="1" x="491"/>
        <item h="1" x="462"/>
        <item h="1" x="499"/>
        <item h="1" x="500"/>
        <item h="1" x="501"/>
        <item h="1" x="502"/>
        <item h="1" x="505"/>
        <item h="1" x="506"/>
        <item h="1" x="507"/>
        <item h="1" x="511"/>
        <item h="1" x="512"/>
        <item h="1" x="513"/>
        <item h="1" x="514"/>
        <item h="1" x="515"/>
        <item h="1" x="520"/>
        <item h="1" x="521"/>
        <item h="1" x="522"/>
        <item h="1" x="523"/>
        <item h="1" x="526"/>
        <item h="1" x="527"/>
        <item h="1" x="528"/>
        <item h="1" x="508"/>
        <item h="1" x="532"/>
        <item h="1" x="533"/>
        <item h="1" x="534"/>
        <item h="1" x="535"/>
        <item h="1" x="536"/>
        <item h="1" x="537"/>
        <item h="1" x="538"/>
        <item h="1" x="539"/>
        <item h="1" x="540"/>
        <item h="1" x="541"/>
        <item h="1" x="542"/>
        <item h="1" x="543"/>
        <item h="1" x="546"/>
        <item h="1" x="547"/>
        <item h="1" x="548"/>
        <item h="1" x="549"/>
        <item h="1" x="550"/>
        <item h="1" x="551"/>
        <item h="1" x="552"/>
        <item h="1" x="427"/>
        <item h="1" x="465"/>
        <item h="1" x="466"/>
        <item h="1" x="479"/>
        <item h="1" x="503"/>
        <item h="1" x="504"/>
        <item h="1" x="509"/>
        <item h="1" x="510"/>
        <item h="1" x="516"/>
        <item h="1" x="517"/>
        <item h="1" x="518"/>
        <item h="1" x="519"/>
        <item h="1" x="524"/>
        <item h="1" x="525"/>
        <item h="1" x="529"/>
        <item h="1" x="530"/>
        <item h="1" x="531"/>
        <item h="1" x="544"/>
        <item h="1" x="545"/>
        <item h="1" x="553"/>
        <item h="1" x="554"/>
        <item h="1" x="555"/>
        <item h="1" x="556"/>
        <item h="1" x="557"/>
        <item h="1" x="558"/>
        <item h="1" x="559"/>
        <item h="1" x="560"/>
        <item h="1" x="561"/>
        <item h="1" x="562"/>
        <item h="1" x="563"/>
        <item h="1" x="564"/>
        <item h="1" x="565"/>
        <item h="1" x="566"/>
        <item h="1" x="567"/>
        <item h="1" x="568"/>
        <item h="1" x="569"/>
        <item h="1" x="570"/>
        <item h="1" x="571"/>
        <item h="1" x="572"/>
        <item h="1" x="573"/>
        <item h="1" x="574"/>
        <item h="1" x="575"/>
        <item h="1" x="576"/>
        <item h="1" x="577"/>
        <item h="1" x="578"/>
        <item h="1" x="579"/>
        <item h="1" x="580"/>
        <item h="1" x="581"/>
        <item h="1" x="582"/>
        <item h="1" x="583"/>
        <item h="1" x="584"/>
        <item h="1" x="585"/>
        <item h="1" x="586"/>
        <item h="1" x="587"/>
        <item h="1" x="588"/>
        <item h="1" x="589"/>
        <item h="1" x="590"/>
        <item h="1" x="591"/>
        <item h="1" x="592"/>
        <item h="1" x="593"/>
        <item h="1" x="594"/>
        <item h="1" x="595"/>
        <item h="1" x="596"/>
        <item h="1" x="597"/>
        <item h="1" x="598"/>
        <item h="1" x="599"/>
        <item h="1" x="600"/>
        <item h="1" x="601"/>
        <item h="1" x="602"/>
        <item h="1" x="603"/>
        <item h="1" x="604"/>
        <item h="1" x="605"/>
        <item h="1" x="606"/>
        <item h="1" x="607"/>
        <item h="1" x="608"/>
        <item h="1" x="609"/>
        <item t="default"/>
      </items>
    </pivotField>
    <pivotField showAll="0"/>
    <pivotField showAll="0"/>
    <pivotField axis="axisPage" showAll="0">
      <items count="8">
        <item x="2"/>
        <item x="3"/>
        <item x="0"/>
        <item x="4"/>
        <item x="6"/>
        <item x="1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Col" showAll="0">
      <items count="16">
        <item x="0"/>
        <item h="1" m="1" x="9"/>
        <item x="1"/>
        <item x="2"/>
        <item x="3"/>
        <item h="1" x="7"/>
        <item h="1" x="5"/>
        <item h="1" m="1" x="13"/>
        <item h="1" m="1" x="14"/>
        <item h="1" m="1" x="10"/>
        <item h="1" x="6"/>
        <item h="1" m="1" x="11"/>
        <item h="1" m="1" x="12"/>
        <item h="1" x="4"/>
        <item h="1" x="8"/>
        <item t="default"/>
      </items>
    </pivotField>
    <pivotField showAll="0"/>
    <pivotField showAll="0"/>
    <pivotField showAll="0"/>
  </pivotFields>
  <rowFields count="1">
    <field x="3"/>
  </rowFields>
  <rowItems count="4">
    <i>
      <x v="100"/>
    </i>
    <i>
      <x v="232"/>
    </i>
    <i>
      <x v="233"/>
    </i>
    <i t="grand">
      <x/>
    </i>
  </rowItems>
  <colFields count="1">
    <field x="27"/>
  </colFields>
  <colItems count="4">
    <i>
      <x v="2"/>
    </i>
    <i>
      <x v="3"/>
    </i>
    <i>
      <x v="4"/>
    </i>
    <i t="grand">
      <x/>
    </i>
  </colItems>
  <pageFields count="1">
    <pageField fld="6" hier="-1"/>
  </pageFields>
  <dataFields count="1">
    <dataField name="Sum of Actual Closed Business" fld="20" baseField="0" baseItem="0" numFmtId="165"/>
  </dataFields>
  <formats count="1"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823BC3-667E-441F-B1AC-F8169279ADE5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:O12" firstHeaderRow="1" firstDataRow="2" firstDataCol="1" rowPageCount="1" colPageCount="1"/>
  <pivotFields count="31">
    <pivotField showAll="0"/>
    <pivotField showAll="0"/>
    <pivotField showAll="0"/>
    <pivotField axis="axisPage" multipleItemSelectionAllowed="1" showAll="0">
      <items count="615">
        <item x="311"/>
        <item x="198"/>
        <item x="235"/>
        <item x="195"/>
        <item x="16"/>
        <item x="149"/>
        <item x="259"/>
        <item x="145"/>
        <item x="71"/>
        <item x="41"/>
        <item x="37"/>
        <item x="174"/>
        <item x="107"/>
        <item x="348"/>
        <item x="0"/>
        <item x="82"/>
        <item x="46"/>
        <item x="175"/>
        <item x="20"/>
        <item x="21"/>
        <item x="115"/>
        <item x="184"/>
        <item x="183"/>
        <item x="72"/>
        <item x="197"/>
        <item x="136"/>
        <item x="193"/>
        <item x="243"/>
        <item x="87"/>
        <item x="123"/>
        <item x="15"/>
        <item x="18"/>
        <item x="40"/>
        <item x="31"/>
        <item x="160"/>
        <item x="25"/>
        <item x="113"/>
        <item x="272"/>
        <item x="194"/>
        <item x="227"/>
        <item x="77"/>
        <item x="168"/>
        <item x="135"/>
        <item x="117"/>
        <item x="163"/>
        <item x="217"/>
        <item x="150"/>
        <item x="64"/>
        <item x="307"/>
        <item x="238"/>
        <item x="196"/>
        <item x="114"/>
        <item x="129"/>
        <item x="313"/>
        <item x="34"/>
        <item x="191"/>
        <item x="222"/>
        <item x="187"/>
        <item x="268"/>
        <item x="354"/>
        <item x="329"/>
        <item x="302"/>
        <item x="39"/>
        <item x="176"/>
        <item x="189"/>
        <item x="4"/>
        <item x="215"/>
        <item x="17"/>
        <item x="340"/>
        <item x="212"/>
        <item x="265"/>
        <item x="239"/>
        <item x="244"/>
        <item x="171"/>
        <item x="60"/>
        <item x="99"/>
        <item x="261"/>
        <item x="67"/>
        <item x="68"/>
        <item x="162"/>
        <item x="69"/>
        <item x="260"/>
        <item x="70"/>
        <item x="293"/>
        <item x="292"/>
        <item x="297"/>
        <item x="290"/>
        <item x="36"/>
        <item x="177"/>
        <item x="241"/>
        <item x="315"/>
        <item x="254"/>
        <item x="228"/>
        <item x="103"/>
        <item x="98"/>
        <item x="296"/>
        <item x="2"/>
        <item x="294"/>
        <item x="182"/>
        <item x="10"/>
        <item h="1" x="156"/>
        <item x="267"/>
        <item x="144"/>
        <item x="166"/>
        <item x="274"/>
        <item x="246"/>
        <item x="28"/>
        <item x="128"/>
        <item x="230"/>
        <item x="42"/>
        <item x="27"/>
        <item x="301"/>
        <item x="310"/>
        <item x="3"/>
        <item x="181"/>
        <item x="262"/>
        <item x="284"/>
        <item x="1"/>
        <item x="74"/>
        <item x="106"/>
        <item x="250"/>
        <item x="357"/>
        <item x="8"/>
        <item x="102"/>
        <item x="280"/>
        <item x="139"/>
        <item x="172"/>
        <item x="321"/>
        <item x="73"/>
        <item x="234"/>
        <item x="245"/>
        <item x="14"/>
        <item x="170"/>
        <item x="291"/>
        <item x="258"/>
        <item x="206"/>
        <item x="304"/>
        <item x="322"/>
        <item x="76"/>
        <item x="61"/>
        <item x="186"/>
        <item x="116"/>
        <item x="120"/>
        <item x="79"/>
        <item x="124"/>
        <item x="251"/>
        <item x="248"/>
        <item x="288"/>
        <item x="209"/>
        <item x="233"/>
        <item x="208"/>
        <item x="305"/>
        <item x="361"/>
        <item x="229"/>
        <item x="5"/>
        <item x="43"/>
        <item x="35"/>
        <item x="333"/>
        <item x="161"/>
        <item x="104"/>
        <item x="360"/>
        <item x="213"/>
        <item x="256"/>
        <item x="204"/>
        <item x="219"/>
        <item x="285"/>
        <item x="326"/>
        <item x="252"/>
        <item x="337"/>
        <item x="132"/>
        <item x="9"/>
        <item x="247"/>
        <item x="289"/>
        <item x="299"/>
        <item x="237"/>
        <item x="266"/>
        <item x="351"/>
        <item x="51"/>
        <item x="138"/>
        <item x="86"/>
        <item x="30"/>
        <item x="278"/>
        <item x="282"/>
        <item x="201"/>
        <item x="346"/>
        <item x="148"/>
        <item x="66"/>
        <item x="185"/>
        <item x="83"/>
        <item x="432"/>
        <item x="318"/>
        <item x="147"/>
        <item x="38"/>
        <item x="356"/>
        <item x="300"/>
        <item x="158"/>
        <item x="338"/>
        <item m="1" x="613"/>
        <item x="49"/>
        <item x="226"/>
        <item x="127"/>
        <item x="211"/>
        <item x="92"/>
        <item x="78"/>
        <item x="7"/>
        <item x="111"/>
        <item x="122"/>
        <item x="225"/>
        <item x="276"/>
        <item x="271"/>
        <item x="343"/>
        <item x="130"/>
        <item x="275"/>
        <item x="316"/>
        <item x="110"/>
        <item x="169"/>
        <item x="323"/>
        <item x="240"/>
        <item x="112"/>
        <item x="19"/>
        <item x="202"/>
        <item x="6"/>
        <item x="192"/>
        <item x="24"/>
        <item x="26"/>
        <item x="159"/>
        <item x="56"/>
        <item x="309"/>
        <item x="57"/>
        <item x="12"/>
        <item x="101"/>
        <item x="100"/>
        <item h="1" x="332"/>
        <item h="1" x="80"/>
        <item x="137"/>
        <item x="118"/>
        <item x="89"/>
        <item x="167"/>
        <item x="283"/>
        <item x="358"/>
        <item x="306"/>
        <item x="96"/>
        <item x="81"/>
        <item x="327"/>
        <item x="97"/>
        <item x="143"/>
        <item x="336"/>
        <item x="157"/>
        <item x="165"/>
        <item x="52"/>
        <item x="155"/>
        <item x="359"/>
        <item x="257"/>
        <item x="308"/>
        <item x="62"/>
        <item x="164"/>
        <item x="320"/>
        <item x="303"/>
        <item x="263"/>
        <item x="13"/>
        <item x="45"/>
        <item x="85"/>
        <item x="84"/>
        <item x="279"/>
        <item x="345"/>
        <item x="298"/>
        <item x="108"/>
        <item x="264"/>
        <item x="63"/>
        <item x="146"/>
        <item x="90"/>
        <item x="249"/>
        <item x="65"/>
        <item x="207"/>
        <item x="350"/>
        <item x="32"/>
        <item x="153"/>
        <item x="47"/>
        <item x="152"/>
        <item x="324"/>
        <item x="126"/>
        <item x="253"/>
        <item x="93"/>
        <item x="188"/>
        <item x="141"/>
        <item x="277"/>
        <item x="22"/>
        <item x="131"/>
        <item x="121"/>
        <item x="33"/>
        <item x="88"/>
        <item x="221"/>
        <item x="355"/>
        <item x="214"/>
        <item x="330"/>
        <item x="180"/>
        <item x="105"/>
        <item x="231"/>
        <item x="232"/>
        <item x="210"/>
        <item x="134"/>
        <item x="281"/>
        <item x="220"/>
        <item x="352"/>
        <item x="54"/>
        <item x="44"/>
        <item x="55"/>
        <item x="151"/>
        <item x="29"/>
        <item x="200"/>
        <item x="339"/>
        <item x="255"/>
        <item x="347"/>
        <item x="75"/>
        <item x="270"/>
        <item x="242"/>
        <item x="53"/>
        <item x="50"/>
        <item x="140"/>
        <item x="295"/>
        <item x="205"/>
        <item x="312"/>
        <item x="331"/>
        <item x="273"/>
        <item x="223"/>
        <item x="179"/>
        <item x="142"/>
        <item x="344"/>
        <item x="317"/>
        <item x="216"/>
        <item x="154"/>
        <item x="59"/>
        <item x="269"/>
        <item x="224"/>
        <item x="48"/>
        <item x="199"/>
        <item x="178"/>
        <item x="109"/>
        <item x="286"/>
        <item x="328"/>
        <item x="23"/>
        <item x="236"/>
        <item x="91"/>
        <item x="94"/>
        <item x="218"/>
        <item x="133"/>
        <item x="11"/>
        <item x="95"/>
        <item x="190"/>
        <item x="287"/>
        <item x="173"/>
        <item x="58"/>
        <item x="362"/>
        <item x="125"/>
        <item x="203"/>
        <item x="119"/>
        <item x="610"/>
        <item h="1" x="335"/>
        <item h="1" m="1" x="612"/>
        <item h="1" x="341"/>
        <item h="1" x="334"/>
        <item h="1" x="314"/>
        <item h="1" x="319"/>
        <item h="1" x="325"/>
        <item h="1" x="342"/>
        <item h="1" x="349"/>
        <item h="1" x="366"/>
        <item h="1" x="353"/>
        <item h="1" x="363"/>
        <item h="1" x="364"/>
        <item h="1" x="365"/>
        <item h="1" x="367"/>
        <item h="1" x="368"/>
        <item h="1" x="370"/>
        <item h="1" x="371"/>
        <item h="1" x="372"/>
        <item h="1" x="373"/>
        <item h="1" x="374"/>
        <item h="1" x="376"/>
        <item h="1" x="377"/>
        <item h="1" x="378"/>
        <item h="1" x="380"/>
        <item h="1" x="381"/>
        <item h="1" x="382"/>
        <item h="1" x="384"/>
        <item h="1" x="385"/>
        <item h="1" x="387"/>
        <item h="1" x="390"/>
        <item h="1" x="391"/>
        <item h="1" x="375"/>
        <item h="1" x="379"/>
        <item h="1" x="386"/>
        <item h="1" x="388"/>
        <item h="1" x="389"/>
        <item h="1" x="392"/>
        <item h="1" x="395"/>
        <item h="1" x="396"/>
        <item h="1" x="397"/>
        <item h="1" x="398"/>
        <item h="1" m="1" x="611"/>
        <item h="1" x="393"/>
        <item h="1" x="383"/>
        <item h="1" x="399"/>
        <item h="1" x="400"/>
        <item h="1" x="402"/>
        <item h="1" x="403"/>
        <item h="1" x="394"/>
        <item h="1" x="404"/>
        <item h="1" x="408"/>
        <item h="1" x="405"/>
        <item h="1" x="406"/>
        <item h="1" x="407"/>
        <item h="1" x="410"/>
        <item h="1" x="411"/>
        <item h="1" x="413"/>
        <item h="1" x="369"/>
        <item h="1" x="401"/>
        <item h="1" x="409"/>
        <item h="1" x="412"/>
        <item h="1" x="414"/>
        <item h="1" x="415"/>
        <item h="1" x="416"/>
        <item h="1" x="417"/>
        <item h="1" x="418"/>
        <item h="1" x="419"/>
        <item h="1" x="420"/>
        <item h="1" x="421"/>
        <item h="1" x="422"/>
        <item h="1" x="423"/>
        <item h="1" x="424"/>
        <item h="1" x="425"/>
        <item h="1" x="426"/>
        <item h="1" x="428"/>
        <item h="1" x="429"/>
        <item h="1" x="430"/>
        <item h="1" x="431"/>
        <item h="1" x="433"/>
        <item h="1" x="434"/>
        <item h="1" x="436"/>
        <item h="1" x="437"/>
        <item h="1" x="438"/>
        <item h="1" x="439"/>
        <item h="1" x="440"/>
        <item h="1" x="441"/>
        <item h="1" x="442"/>
        <item h="1" x="443"/>
        <item h="1" x="444"/>
        <item h="1" x="445"/>
        <item h="1" x="446"/>
        <item h="1" x="447"/>
        <item h="1" x="448"/>
        <item h="1" x="449"/>
        <item h="1" x="450"/>
        <item h="1" x="451"/>
        <item h="1" x="452"/>
        <item h="1" x="453"/>
        <item h="1" x="435"/>
        <item h="1" x="454"/>
        <item h="1" x="455"/>
        <item h="1" x="456"/>
        <item h="1" x="457"/>
        <item h="1" x="458"/>
        <item h="1" x="459"/>
        <item h="1" x="460"/>
        <item h="1" x="461"/>
        <item h="1" x="463"/>
        <item h="1" x="464"/>
        <item h="1" x="467"/>
        <item h="1" x="468"/>
        <item h="1" x="469"/>
        <item h="1" x="472"/>
        <item h="1" x="473"/>
        <item h="1" x="474"/>
        <item h="1" x="475"/>
        <item h="1" x="476"/>
        <item h="1" x="480"/>
        <item h="1" x="481"/>
        <item h="1" x="482"/>
        <item h="1" x="483"/>
        <item h="1" x="484"/>
        <item h="1" x="485"/>
        <item h="1" x="487"/>
        <item h="1" x="488"/>
        <item h="1" x="489"/>
        <item h="1" x="490"/>
        <item h="1" x="492"/>
        <item h="1" x="493"/>
        <item h="1" x="494"/>
        <item h="1" x="495"/>
        <item h="1" x="496"/>
        <item h="1" x="497"/>
        <item h="1" x="498"/>
        <item h="1" x="470"/>
        <item h="1" x="471"/>
        <item h="1" x="477"/>
        <item h="1" x="478"/>
        <item h="1" x="486"/>
        <item h="1" x="491"/>
        <item h="1" x="462"/>
        <item h="1" x="499"/>
        <item h="1" x="500"/>
        <item h="1" x="501"/>
        <item h="1" x="502"/>
        <item h="1" x="505"/>
        <item h="1" x="506"/>
        <item h="1" x="507"/>
        <item h="1" x="511"/>
        <item h="1" x="512"/>
        <item h="1" x="513"/>
        <item h="1" x="514"/>
        <item h="1" x="515"/>
        <item h="1" x="520"/>
        <item h="1" x="521"/>
        <item h="1" x="522"/>
        <item h="1" x="523"/>
        <item h="1" x="526"/>
        <item h="1" x="527"/>
        <item h="1" x="528"/>
        <item h="1" x="508"/>
        <item h="1" x="532"/>
        <item h="1" x="533"/>
        <item h="1" x="534"/>
        <item h="1" x="535"/>
        <item h="1" x="536"/>
        <item h="1" x="537"/>
        <item h="1" x="538"/>
        <item h="1" x="539"/>
        <item h="1" x="540"/>
        <item h="1" x="541"/>
        <item h="1" x="542"/>
        <item h="1" x="543"/>
        <item h="1" x="546"/>
        <item h="1" x="547"/>
        <item h="1" x="548"/>
        <item h="1" x="549"/>
        <item h="1" x="550"/>
        <item h="1" x="551"/>
        <item h="1" x="552"/>
        <item h="1" x="427"/>
        <item h="1" x="465"/>
        <item h="1" x="466"/>
        <item h="1" x="479"/>
        <item h="1" x="503"/>
        <item h="1" x="504"/>
        <item h="1" x="509"/>
        <item h="1" x="510"/>
        <item h="1" x="516"/>
        <item h="1" x="517"/>
        <item h="1" x="518"/>
        <item h="1" x="519"/>
        <item h="1" x="524"/>
        <item h="1" x="525"/>
        <item h="1" x="529"/>
        <item h="1" x="530"/>
        <item h="1" x="531"/>
        <item h="1" x="544"/>
        <item h="1" x="545"/>
        <item h="1" x="553"/>
        <item h="1" x="554"/>
        <item h="1" x="555"/>
        <item h="1" x="556"/>
        <item h="1" x="557"/>
        <item h="1" x="558"/>
        <item h="1" x="559"/>
        <item h="1" x="560"/>
        <item h="1" x="561"/>
        <item h="1" x="562"/>
        <item h="1" x="563"/>
        <item h="1" x="564"/>
        <item h="1" x="565"/>
        <item h="1" x="566"/>
        <item h="1" x="567"/>
        <item h="1" x="568"/>
        <item h="1" x="569"/>
        <item h="1" x="570"/>
        <item h="1" x="571"/>
        <item h="1" x="572"/>
        <item h="1" x="573"/>
        <item h="1" x="574"/>
        <item h="1" x="575"/>
        <item h="1" x="576"/>
        <item h="1" x="577"/>
        <item h="1" x="578"/>
        <item h="1" x="579"/>
        <item h="1" x="580"/>
        <item h="1" x="581"/>
        <item h="1" x="582"/>
        <item h="1" x="583"/>
        <item h="1" x="584"/>
        <item h="1" x="585"/>
        <item h="1" x="586"/>
        <item h="1" x="587"/>
        <item h="1" x="588"/>
        <item h="1" x="589"/>
        <item h="1" x="590"/>
        <item h="1" x="591"/>
        <item h="1" x="592"/>
        <item h="1" x="593"/>
        <item h="1" x="594"/>
        <item h="1" x="595"/>
        <item h="1" x="596"/>
        <item h="1" x="597"/>
        <item h="1" x="598"/>
        <item h="1" x="599"/>
        <item h="1" x="600"/>
        <item h="1" x="601"/>
        <item h="1" x="602"/>
        <item h="1" x="603"/>
        <item h="1" x="604"/>
        <item h="1" x="605"/>
        <item h="1" x="606"/>
        <item h="1" x="607"/>
        <item h="1" x="608"/>
        <item h="1" x="609"/>
        <item t="default"/>
      </items>
    </pivotField>
    <pivotField showAll="0"/>
    <pivotField showAll="0"/>
    <pivotField axis="axisRow" showAll="0">
      <items count="8">
        <item x="2"/>
        <item x="3"/>
        <item x="0"/>
        <item x="4"/>
        <item x="6"/>
        <item x="1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Col" showAll="0">
      <items count="16">
        <item x="0"/>
        <item h="1" m="1" x="9"/>
        <item x="1"/>
        <item x="2"/>
        <item x="3"/>
        <item h="1" x="7"/>
        <item h="1" x="5"/>
        <item h="1" m="1" x="13"/>
        <item h="1" m="1" x="14"/>
        <item h="1" m="1" x="10"/>
        <item h="1" x="6"/>
        <item h="1" m="1" x="11"/>
        <item h="1" m="1" x="12"/>
        <item h="1" x="4"/>
        <item h="1" x="8"/>
        <item t="default"/>
      </items>
    </pivotField>
    <pivotField showAll="0"/>
    <pivotField showAll="0"/>
    <pivotField showAll="0"/>
  </pivotFields>
  <rowFields count="1">
    <field x="6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7"/>
  </colFields>
  <colItems count="5">
    <i>
      <x/>
    </i>
    <i>
      <x v="2"/>
    </i>
    <i>
      <x v="3"/>
    </i>
    <i>
      <x v="4"/>
    </i>
    <i t="grand">
      <x/>
    </i>
  </colItems>
  <pageFields count="1">
    <pageField fld="3" hier="-1"/>
  </pageFields>
  <dataFields count="1">
    <dataField name="Sum of Actual Closed Business" fld="20" baseField="0" baseItem="0" numFmtId="165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60DB66-7811-4D13-B96B-0595275691E0}" name="PivotTable1" cacheId="5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G3:I16" firstHeaderRow="0" firstDataRow="1" firstDataCol="1" rowPageCount="1" colPageCount="1"/>
  <pivotFields count="4">
    <pivotField axis="axisPage" allDrilled="1" subtotalTop="0" showAll="0" dataSourceSort="1" defaultSubtotal="0" defaultAttributeDrillState="1">
      <items count="3">
        <item x="0"/>
        <item s="1" x="1"/>
        <item x="2"/>
      </items>
    </pivotField>
    <pivotField axis="axisRow" allDrilled="1" subtotalTop="0" showAll="0" sortType="descending" defaultSubtotal="0" defaultAttributeDrillState="1">
      <items count="20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subtotalTop="0" showAll="0" defaultSubtotal="0"/>
    <pivotField dataField="1" subtotalTop="0" showAll="0" defaultSubtotal="0"/>
  </pivotFields>
  <rowFields count="1">
    <field x="1"/>
  </rowFields>
  <rowItems count="13">
    <i>
      <x v="1"/>
    </i>
    <i>
      <x v="5"/>
    </i>
    <i>
      <x v="4"/>
    </i>
    <i>
      <x v="11"/>
    </i>
    <i>
      <x v="3"/>
    </i>
    <i>
      <x v="9"/>
    </i>
    <i>
      <x/>
    </i>
    <i>
      <x v="10"/>
    </i>
    <i>
      <x v="7"/>
    </i>
    <i>
      <x v="8"/>
    </i>
    <i>
      <x v="2"/>
    </i>
    <i>
      <x v="6"/>
    </i>
    <i t="grand">
      <x/>
    </i>
  </rowItems>
  <colFields count="1">
    <field x="-2"/>
  </colFields>
  <colItems count="2">
    <i>
      <x/>
    </i>
    <i i="1">
      <x v="1"/>
    </i>
  </colItems>
  <pageFields count="1">
    <pageField fld="0" hier="7" name="[Range].[Month].&amp;[May-26]" cap="May-26"/>
  </pageFields>
  <dataFields count="2">
    <dataField name="Sum of Actual Closed Business" fld="2" baseField="0" baseItem="0"/>
    <dataField name="Count of Month" fld="3" subtotal="count" baseField="0" baseItem="0"/>
  </dataFields>
  <pivotHierarchies count="1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CR!$Q:$W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7</v>
    <v>8</v>
    <v>40</v>
    <v>7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845B0AE-D539-41A5-91AA-3856D51A2C6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eff2e9-b4bb-4a92-a082-57aeb088b195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visaka.co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DF3A1-952F-41C1-84FE-4DC3F1D96183}">
  <dimension ref="A1:M21"/>
  <sheetViews>
    <sheetView workbookViewId="0"/>
  </sheetViews>
  <sheetFormatPr defaultRowHeight="14.5" x14ac:dyDescent="0.35"/>
  <cols>
    <col min="1" max="1" width="29" bestFit="1" customWidth="1"/>
    <col min="2" max="2" width="17.54296875" bestFit="1" customWidth="1"/>
    <col min="3" max="5" width="10.54296875" bestFit="1" customWidth="1"/>
    <col min="6" max="6" width="11.54296875" bestFit="1" customWidth="1"/>
    <col min="7" max="7" width="10.26953125" bestFit="1" customWidth="1"/>
    <col min="8" max="8" width="26.81640625" bestFit="1" customWidth="1"/>
    <col min="9" max="9" width="15.54296875" bestFit="1" customWidth="1"/>
    <col min="10" max="10" width="9.54296875" bestFit="1" customWidth="1"/>
    <col min="11" max="13" width="10.54296875" bestFit="1" customWidth="1"/>
  </cols>
  <sheetData>
    <row r="1" spans="1:13" x14ac:dyDescent="0.35">
      <c r="H1" s="81" t="s">
        <v>0</v>
      </c>
      <c r="I1" t="s">
        <v>1</v>
      </c>
    </row>
    <row r="3" spans="1:13" x14ac:dyDescent="0.35">
      <c r="A3" s="12" t="e" vm="2">
        <v>#VALUE!</v>
      </c>
      <c r="H3" s="81" t="s">
        <v>2</v>
      </c>
      <c r="I3" s="81" t="s">
        <v>3</v>
      </c>
    </row>
    <row r="4" spans="1:13" x14ac:dyDescent="0.35">
      <c r="H4" s="81" t="s">
        <v>4</v>
      </c>
      <c r="I4" t="s">
        <v>5</v>
      </c>
      <c r="J4" t="s">
        <v>6</v>
      </c>
      <c r="K4" t="s">
        <v>7</v>
      </c>
      <c r="L4" t="s">
        <v>8</v>
      </c>
      <c r="M4" t="s">
        <v>9</v>
      </c>
    </row>
    <row r="5" spans="1:13" x14ac:dyDescent="0.35">
      <c r="H5" s="82" t="s">
        <v>10</v>
      </c>
      <c r="I5" s="12">
        <v>332867</v>
      </c>
      <c r="J5" s="12">
        <v>269595</v>
      </c>
      <c r="K5" s="12">
        <v>110226</v>
      </c>
      <c r="L5" s="12">
        <v>358221</v>
      </c>
      <c r="M5" s="12">
        <v>1070909</v>
      </c>
    </row>
    <row r="6" spans="1:13" x14ac:dyDescent="0.35">
      <c r="H6" s="82" t="s">
        <v>11</v>
      </c>
      <c r="I6" s="12">
        <v>36920</v>
      </c>
      <c r="J6" s="12">
        <v>133998</v>
      </c>
      <c r="K6" s="12">
        <v>26444</v>
      </c>
      <c r="L6" s="12">
        <v>140174</v>
      </c>
      <c r="M6" s="12">
        <v>337536</v>
      </c>
    </row>
    <row r="7" spans="1:13" x14ac:dyDescent="0.35">
      <c r="H7" s="82" t="s">
        <v>12</v>
      </c>
      <c r="I7" s="12">
        <v>619897</v>
      </c>
      <c r="J7" s="12">
        <v>126654</v>
      </c>
      <c r="K7" s="12">
        <v>8250</v>
      </c>
      <c r="L7" s="12">
        <v>137996</v>
      </c>
      <c r="M7" s="12">
        <v>892797</v>
      </c>
    </row>
    <row r="8" spans="1:13" x14ac:dyDescent="0.35">
      <c r="H8" s="82" t="s">
        <v>13</v>
      </c>
      <c r="I8" s="12">
        <v>392400</v>
      </c>
      <c r="J8" s="12">
        <v>330700</v>
      </c>
      <c r="K8" s="12"/>
      <c r="L8" s="12"/>
      <c r="M8" s="12">
        <v>723100</v>
      </c>
    </row>
    <row r="9" spans="1:13" x14ac:dyDescent="0.35">
      <c r="H9" s="82" t="s">
        <v>14</v>
      </c>
      <c r="I9" s="12">
        <v>588246</v>
      </c>
      <c r="J9" s="12">
        <v>219650</v>
      </c>
      <c r="K9" s="12"/>
      <c r="L9" s="12">
        <v>211200</v>
      </c>
      <c r="M9" s="12">
        <v>1019096</v>
      </c>
    </row>
    <row r="10" spans="1:13" x14ac:dyDescent="0.35">
      <c r="H10" s="82" t="s">
        <v>15</v>
      </c>
      <c r="I10" s="12">
        <v>1813640</v>
      </c>
      <c r="J10" s="12">
        <v>1333556</v>
      </c>
      <c r="K10" s="12">
        <v>558798</v>
      </c>
      <c r="L10" s="12">
        <v>495126</v>
      </c>
      <c r="M10" s="12">
        <v>4201120</v>
      </c>
    </row>
    <row r="11" spans="1:13" x14ac:dyDescent="0.35">
      <c r="H11" s="82" t="s">
        <v>16</v>
      </c>
      <c r="I11" s="12">
        <v>658492</v>
      </c>
      <c r="J11" s="12">
        <v>656387</v>
      </c>
      <c r="K11" s="12">
        <v>877803</v>
      </c>
      <c r="L11" s="12">
        <v>981791</v>
      </c>
      <c r="M11" s="12">
        <v>3174473</v>
      </c>
    </row>
    <row r="12" spans="1:13" x14ac:dyDescent="0.35">
      <c r="H12" s="82" t="s">
        <v>9</v>
      </c>
      <c r="I12" s="12">
        <v>4442462</v>
      </c>
      <c r="J12" s="12">
        <v>3070540</v>
      </c>
      <c r="K12" s="12">
        <v>1581521</v>
      </c>
      <c r="L12" s="12">
        <v>2324508</v>
      </c>
      <c r="M12" s="12">
        <v>11419031</v>
      </c>
    </row>
    <row r="14" spans="1:13" x14ac:dyDescent="0.35">
      <c r="H14" s="81" t="s">
        <v>17</v>
      </c>
      <c r="I14" t="s">
        <v>18</v>
      </c>
    </row>
    <row r="16" spans="1:13" x14ac:dyDescent="0.35">
      <c r="H16" s="81" t="s">
        <v>2</v>
      </c>
      <c r="I16" s="81" t="s">
        <v>3</v>
      </c>
    </row>
    <row r="17" spans="8:12" x14ac:dyDescent="0.35">
      <c r="H17" s="81" t="s">
        <v>4</v>
      </c>
      <c r="I17" t="s">
        <v>6</v>
      </c>
      <c r="J17" t="s">
        <v>7</v>
      </c>
      <c r="K17" t="s">
        <v>8</v>
      </c>
      <c r="L17" t="s">
        <v>9</v>
      </c>
    </row>
    <row r="18" spans="8:12" x14ac:dyDescent="0.35">
      <c r="H18" s="82" t="s">
        <v>19</v>
      </c>
      <c r="I18" s="12">
        <v>1890000</v>
      </c>
      <c r="J18" s="12">
        <v>5300470</v>
      </c>
      <c r="K18" s="12">
        <v>4217640</v>
      </c>
      <c r="L18" s="12">
        <v>11408110</v>
      </c>
    </row>
    <row r="19" spans="8:12" x14ac:dyDescent="0.35">
      <c r="H19" s="82" t="s">
        <v>20</v>
      </c>
      <c r="I19" s="12"/>
      <c r="J19" s="12"/>
      <c r="K19" s="12">
        <v>8827875</v>
      </c>
      <c r="L19" s="12">
        <v>8827875</v>
      </c>
    </row>
    <row r="20" spans="8:12" x14ac:dyDescent="0.35">
      <c r="H20" s="82" t="s">
        <v>21</v>
      </c>
      <c r="I20" s="12"/>
      <c r="J20" s="12">
        <v>0</v>
      </c>
      <c r="K20" s="12"/>
      <c r="L20" s="12">
        <v>0</v>
      </c>
    </row>
    <row r="21" spans="8:12" x14ac:dyDescent="0.35">
      <c r="H21" s="82" t="s">
        <v>9</v>
      </c>
      <c r="I21" s="12">
        <v>1890000</v>
      </c>
      <c r="J21" s="12">
        <v>5300470</v>
      </c>
      <c r="K21" s="12">
        <v>13045515</v>
      </c>
      <c r="L21" s="12">
        <v>20235985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817A9-467B-4E8E-8BF4-B5BEF83EBBAB}">
  <dimension ref="A1:J44"/>
  <sheetViews>
    <sheetView workbookViewId="0">
      <pane xSplit="1" ySplit="4" topLeftCell="B37" activePane="bottomRight" state="frozen"/>
      <selection pane="topRight" activeCell="B1" sqref="B1"/>
      <selection pane="bottomLeft" activeCell="A5" sqref="A5"/>
      <selection pane="bottomRight" activeCell="B1" sqref="B1"/>
    </sheetView>
  </sheetViews>
  <sheetFormatPr defaultRowHeight="14.5" x14ac:dyDescent="0.35"/>
  <cols>
    <col min="1" max="1" width="26.81640625" bestFit="1" customWidth="1"/>
    <col min="2" max="2" width="15.54296875" bestFit="1" customWidth="1"/>
    <col min="3" max="3" width="7.81640625" bestFit="1" customWidth="1"/>
    <col min="4" max="4" width="11.81640625" bestFit="1" customWidth="1"/>
    <col min="5" max="7" width="7.81640625" bestFit="1" customWidth="1"/>
    <col min="8" max="8" width="6.453125" bestFit="1" customWidth="1"/>
    <col min="9" max="9" width="6.81640625" bestFit="1" customWidth="1"/>
    <col min="10" max="10" width="11.81640625" bestFit="1" customWidth="1"/>
  </cols>
  <sheetData>
    <row r="1" spans="1:10" x14ac:dyDescent="0.35">
      <c r="A1" s="81" t="s">
        <v>0</v>
      </c>
      <c r="B1" t="s">
        <v>18</v>
      </c>
    </row>
    <row r="3" spans="1:10" x14ac:dyDescent="0.35">
      <c r="A3" s="81" t="s">
        <v>2</v>
      </c>
      <c r="B3" s="81" t="s">
        <v>3</v>
      </c>
    </row>
    <row r="4" spans="1:10" x14ac:dyDescent="0.35">
      <c r="A4" s="81" t="s">
        <v>4</v>
      </c>
      <c r="B4" t="s">
        <v>5</v>
      </c>
      <c r="C4" t="s">
        <v>22</v>
      </c>
      <c r="D4" t="s">
        <v>8</v>
      </c>
      <c r="E4" t="s">
        <v>7</v>
      </c>
      <c r="F4" t="s">
        <v>6</v>
      </c>
      <c r="G4" t="s">
        <v>23</v>
      </c>
      <c r="H4" t="s">
        <v>24</v>
      </c>
      <c r="I4" t="s">
        <v>16</v>
      </c>
      <c r="J4" t="s">
        <v>9</v>
      </c>
    </row>
    <row r="5" spans="1:10" x14ac:dyDescent="0.35">
      <c r="A5" s="82" t="s">
        <v>25</v>
      </c>
      <c r="E5">
        <v>27235</v>
      </c>
      <c r="J5">
        <v>27235</v>
      </c>
    </row>
    <row r="6" spans="1:10" x14ac:dyDescent="0.35">
      <c r="A6" s="82" t="s">
        <v>26</v>
      </c>
      <c r="B6">
        <v>18088</v>
      </c>
      <c r="D6">
        <v>23849</v>
      </c>
      <c r="E6">
        <v>62003</v>
      </c>
      <c r="G6">
        <v>52704</v>
      </c>
      <c r="J6">
        <v>156644</v>
      </c>
    </row>
    <row r="7" spans="1:10" x14ac:dyDescent="0.35">
      <c r="A7" s="82" t="s">
        <v>27</v>
      </c>
      <c r="B7">
        <v>734527</v>
      </c>
      <c r="F7">
        <v>286497</v>
      </c>
      <c r="G7">
        <v>163555</v>
      </c>
      <c r="J7">
        <v>1184579</v>
      </c>
    </row>
    <row r="8" spans="1:10" x14ac:dyDescent="0.35">
      <c r="A8" s="82" t="s">
        <v>28</v>
      </c>
      <c r="G8">
        <v>7840</v>
      </c>
      <c r="J8">
        <v>7840</v>
      </c>
    </row>
    <row r="9" spans="1:10" x14ac:dyDescent="0.35">
      <c r="A9" s="82" t="s">
        <v>29</v>
      </c>
      <c r="B9">
        <v>36820</v>
      </c>
      <c r="E9">
        <v>14171</v>
      </c>
      <c r="J9">
        <v>50991</v>
      </c>
    </row>
    <row r="10" spans="1:10" x14ac:dyDescent="0.35">
      <c r="A10" s="82" t="s">
        <v>30</v>
      </c>
      <c r="B10">
        <v>1042835</v>
      </c>
      <c r="C10">
        <v>10120</v>
      </c>
      <c r="D10">
        <v>809717</v>
      </c>
      <c r="E10">
        <v>455641</v>
      </c>
      <c r="F10">
        <v>1108376</v>
      </c>
      <c r="J10">
        <v>3426689</v>
      </c>
    </row>
    <row r="11" spans="1:10" x14ac:dyDescent="0.35">
      <c r="A11" s="82" t="s">
        <v>31</v>
      </c>
      <c r="B11">
        <v>25900</v>
      </c>
      <c r="J11">
        <v>25900</v>
      </c>
    </row>
    <row r="12" spans="1:10" x14ac:dyDescent="0.35">
      <c r="A12" s="82" t="s">
        <v>32</v>
      </c>
      <c r="B12">
        <v>5375</v>
      </c>
      <c r="E12">
        <v>192100</v>
      </c>
      <c r="J12">
        <v>197475</v>
      </c>
    </row>
    <row r="13" spans="1:10" x14ac:dyDescent="0.35">
      <c r="A13" s="82" t="s">
        <v>33</v>
      </c>
      <c r="C13">
        <v>14000</v>
      </c>
      <c r="F13">
        <v>13776</v>
      </c>
      <c r="G13">
        <v>7055</v>
      </c>
      <c r="J13">
        <v>34831</v>
      </c>
    </row>
    <row r="14" spans="1:10" x14ac:dyDescent="0.35">
      <c r="A14" s="82" t="s">
        <v>34</v>
      </c>
      <c r="B14">
        <v>185040</v>
      </c>
      <c r="C14">
        <v>52185</v>
      </c>
      <c r="D14">
        <v>28780</v>
      </c>
      <c r="F14">
        <v>2790</v>
      </c>
      <c r="G14">
        <v>5441</v>
      </c>
      <c r="J14">
        <v>274236</v>
      </c>
    </row>
    <row r="15" spans="1:10" x14ac:dyDescent="0.35">
      <c r="A15" s="82" t="s">
        <v>35</v>
      </c>
      <c r="B15">
        <v>224120</v>
      </c>
      <c r="C15">
        <v>221830</v>
      </c>
      <c r="D15">
        <v>364990.75</v>
      </c>
      <c r="E15">
        <v>220452</v>
      </c>
      <c r="F15">
        <v>284946</v>
      </c>
      <c r="G15">
        <v>236954</v>
      </c>
      <c r="J15">
        <v>1553292.75</v>
      </c>
    </row>
    <row r="16" spans="1:10" x14ac:dyDescent="0.35">
      <c r="A16" s="82" t="s">
        <v>36</v>
      </c>
      <c r="F16">
        <v>62879</v>
      </c>
      <c r="J16">
        <v>62879</v>
      </c>
    </row>
    <row r="17" spans="1:10" x14ac:dyDescent="0.35">
      <c r="A17" s="82" t="s">
        <v>37</v>
      </c>
      <c r="B17">
        <v>612410</v>
      </c>
      <c r="D17">
        <v>163242</v>
      </c>
      <c r="E17">
        <v>14280</v>
      </c>
      <c r="F17">
        <v>500385</v>
      </c>
      <c r="G17">
        <v>1146169</v>
      </c>
      <c r="J17">
        <v>2436486</v>
      </c>
    </row>
    <row r="18" spans="1:10" x14ac:dyDescent="0.35">
      <c r="A18" s="82" t="s">
        <v>38</v>
      </c>
      <c r="C18">
        <v>7110</v>
      </c>
      <c r="D18">
        <v>10148</v>
      </c>
      <c r="J18">
        <v>17258</v>
      </c>
    </row>
    <row r="19" spans="1:10" x14ac:dyDescent="0.35">
      <c r="A19" s="82" t="s">
        <v>39</v>
      </c>
      <c r="B19">
        <v>137531</v>
      </c>
      <c r="C19">
        <v>51890</v>
      </c>
      <c r="D19">
        <v>166457</v>
      </c>
      <c r="E19">
        <v>123168</v>
      </c>
      <c r="F19">
        <v>149477</v>
      </c>
      <c r="G19">
        <v>60290</v>
      </c>
      <c r="J19">
        <v>688813</v>
      </c>
    </row>
    <row r="20" spans="1:10" x14ac:dyDescent="0.35">
      <c r="A20" s="82" t="s">
        <v>40</v>
      </c>
      <c r="B20">
        <v>192856</v>
      </c>
      <c r="J20">
        <v>192856</v>
      </c>
    </row>
    <row r="21" spans="1:10" x14ac:dyDescent="0.35">
      <c r="A21" s="82" t="s">
        <v>41</v>
      </c>
      <c r="C21">
        <v>76345</v>
      </c>
      <c r="J21">
        <v>76345</v>
      </c>
    </row>
    <row r="22" spans="1:10" x14ac:dyDescent="0.35">
      <c r="A22" s="82" t="s">
        <v>42</v>
      </c>
      <c r="B22">
        <v>86440</v>
      </c>
      <c r="C22">
        <v>2925218</v>
      </c>
      <c r="D22">
        <v>2637746</v>
      </c>
      <c r="E22">
        <v>5370307</v>
      </c>
      <c r="F22">
        <v>12780</v>
      </c>
      <c r="G22">
        <v>757260</v>
      </c>
      <c r="J22">
        <v>11789751</v>
      </c>
    </row>
    <row r="23" spans="1:10" x14ac:dyDescent="0.35">
      <c r="A23" s="82" t="s">
        <v>43</v>
      </c>
      <c r="E23">
        <v>105592</v>
      </c>
      <c r="J23">
        <v>105592</v>
      </c>
    </row>
    <row r="24" spans="1:10" x14ac:dyDescent="0.35">
      <c r="A24" s="82" t="s">
        <v>44</v>
      </c>
      <c r="B24">
        <v>128589</v>
      </c>
      <c r="F24">
        <v>47810</v>
      </c>
      <c r="J24">
        <v>176399</v>
      </c>
    </row>
    <row r="25" spans="1:10" x14ac:dyDescent="0.35">
      <c r="A25" s="82" t="s">
        <v>45</v>
      </c>
      <c r="E25">
        <v>5553</v>
      </c>
      <c r="F25">
        <v>9808</v>
      </c>
      <c r="J25">
        <v>15361</v>
      </c>
    </row>
    <row r="26" spans="1:10" x14ac:dyDescent="0.35">
      <c r="A26" s="82" t="s">
        <v>46</v>
      </c>
      <c r="C26">
        <v>9907</v>
      </c>
      <c r="D26">
        <v>25830</v>
      </c>
      <c r="F26">
        <v>71770</v>
      </c>
      <c r="G26">
        <v>46903</v>
      </c>
      <c r="J26">
        <v>154410</v>
      </c>
    </row>
    <row r="27" spans="1:10" x14ac:dyDescent="0.35">
      <c r="A27" s="82" t="s">
        <v>47</v>
      </c>
      <c r="B27">
        <v>48577</v>
      </c>
      <c r="C27">
        <v>27263</v>
      </c>
      <c r="D27">
        <v>41756</v>
      </c>
      <c r="F27">
        <v>198708</v>
      </c>
      <c r="G27">
        <v>154746</v>
      </c>
      <c r="J27">
        <v>471050</v>
      </c>
    </row>
    <row r="28" spans="1:10" x14ac:dyDescent="0.35">
      <c r="A28" s="82" t="s">
        <v>48</v>
      </c>
      <c r="D28">
        <v>12760</v>
      </c>
      <c r="F28">
        <v>2880</v>
      </c>
      <c r="J28">
        <v>15640</v>
      </c>
    </row>
    <row r="29" spans="1:10" x14ac:dyDescent="0.35">
      <c r="A29" s="82" t="s">
        <v>49</v>
      </c>
      <c r="G29">
        <v>24061</v>
      </c>
      <c r="J29">
        <v>24061</v>
      </c>
    </row>
    <row r="30" spans="1:10" x14ac:dyDescent="0.35">
      <c r="A30" s="82" t="s">
        <v>50</v>
      </c>
      <c r="B30">
        <v>318280</v>
      </c>
      <c r="G30">
        <v>64310</v>
      </c>
      <c r="I30">
        <v>13830</v>
      </c>
      <c r="J30">
        <v>396420</v>
      </c>
    </row>
    <row r="31" spans="1:10" x14ac:dyDescent="0.35">
      <c r="A31" s="82" t="s">
        <v>51</v>
      </c>
      <c r="B31">
        <v>100240</v>
      </c>
      <c r="J31">
        <v>100240</v>
      </c>
    </row>
    <row r="32" spans="1:10" x14ac:dyDescent="0.35">
      <c r="A32" s="82" t="s">
        <v>52</v>
      </c>
      <c r="C32">
        <v>31512</v>
      </c>
      <c r="G32">
        <v>11130</v>
      </c>
      <c r="J32">
        <v>42642</v>
      </c>
    </row>
    <row r="33" spans="1:10" x14ac:dyDescent="0.35">
      <c r="A33" s="82" t="s">
        <v>53</v>
      </c>
      <c r="D33">
        <v>247423</v>
      </c>
      <c r="E33">
        <v>28000</v>
      </c>
      <c r="G33">
        <v>91038</v>
      </c>
      <c r="J33">
        <v>366461</v>
      </c>
    </row>
    <row r="34" spans="1:10" x14ac:dyDescent="0.35">
      <c r="A34" s="82" t="s">
        <v>54</v>
      </c>
      <c r="F34">
        <v>5348</v>
      </c>
      <c r="J34">
        <v>5348</v>
      </c>
    </row>
    <row r="35" spans="1:10" x14ac:dyDescent="0.35">
      <c r="A35" s="82" t="s">
        <v>55</v>
      </c>
      <c r="B35">
        <v>156170</v>
      </c>
      <c r="J35">
        <v>156170</v>
      </c>
    </row>
    <row r="36" spans="1:10" x14ac:dyDescent="0.35">
      <c r="A36" s="82" t="s">
        <v>56</v>
      </c>
      <c r="B36">
        <v>63281</v>
      </c>
      <c r="C36">
        <v>13517</v>
      </c>
      <c r="D36">
        <v>8912998</v>
      </c>
      <c r="E36">
        <v>47426</v>
      </c>
      <c r="F36">
        <v>24283</v>
      </c>
      <c r="G36">
        <v>4147</v>
      </c>
      <c r="J36">
        <v>9065652</v>
      </c>
    </row>
    <row r="37" spans="1:10" x14ac:dyDescent="0.35">
      <c r="A37" s="82" t="s">
        <v>57</v>
      </c>
      <c r="D37">
        <v>1727318</v>
      </c>
      <c r="F37">
        <v>2029998</v>
      </c>
      <c r="G37">
        <v>9000</v>
      </c>
      <c r="J37">
        <v>3766316</v>
      </c>
    </row>
    <row r="38" spans="1:10" x14ac:dyDescent="0.35">
      <c r="A38" s="82" t="s">
        <v>58</v>
      </c>
      <c r="D38">
        <v>21828</v>
      </c>
      <c r="J38">
        <v>21828</v>
      </c>
    </row>
    <row r="39" spans="1:10" x14ac:dyDescent="0.35">
      <c r="A39" s="82" t="s">
        <v>59</v>
      </c>
      <c r="D39">
        <v>84176</v>
      </c>
      <c r="J39">
        <v>84176</v>
      </c>
    </row>
    <row r="40" spans="1:10" x14ac:dyDescent="0.35">
      <c r="A40" s="82" t="s">
        <v>60</v>
      </c>
      <c r="C40">
        <v>9760</v>
      </c>
      <c r="J40">
        <v>9760</v>
      </c>
    </row>
    <row r="41" spans="1:10" x14ac:dyDescent="0.35">
      <c r="A41" s="82" t="s">
        <v>61</v>
      </c>
      <c r="C41">
        <v>22790</v>
      </c>
      <c r="J41">
        <v>22790</v>
      </c>
    </row>
    <row r="42" spans="1:10" x14ac:dyDescent="0.35">
      <c r="A42" s="82" t="s">
        <v>62</v>
      </c>
      <c r="B42">
        <v>211763</v>
      </c>
      <c r="C42">
        <v>62165</v>
      </c>
      <c r="D42">
        <v>106845</v>
      </c>
      <c r="E42">
        <v>176317</v>
      </c>
      <c r="F42">
        <v>109559</v>
      </c>
      <c r="G42">
        <v>62137</v>
      </c>
      <c r="J42">
        <v>728786</v>
      </c>
    </row>
    <row r="43" spans="1:10" x14ac:dyDescent="0.35">
      <c r="A43" s="82" t="s">
        <v>16</v>
      </c>
      <c r="B43">
        <v>113620</v>
      </c>
      <c r="C43">
        <v>568600</v>
      </c>
      <c r="D43">
        <v>354666</v>
      </c>
      <c r="E43">
        <v>39746</v>
      </c>
      <c r="F43">
        <v>38470</v>
      </c>
      <c r="G43">
        <v>998433</v>
      </c>
      <c r="J43">
        <v>2113535</v>
      </c>
    </row>
    <row r="44" spans="1:10" x14ac:dyDescent="0.35">
      <c r="A44" s="82" t="s">
        <v>9</v>
      </c>
      <c r="B44">
        <v>4442462</v>
      </c>
      <c r="C44">
        <v>4104212</v>
      </c>
      <c r="D44">
        <v>15740529.75</v>
      </c>
      <c r="E44">
        <v>6881991</v>
      </c>
      <c r="F44">
        <v>4960540</v>
      </c>
      <c r="G44">
        <v>3903173</v>
      </c>
      <c r="I44">
        <v>13830</v>
      </c>
      <c r="J44">
        <v>40046737.75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CFADE-7FD3-48D9-BA79-7609134CC628}">
  <dimension ref="A1:O43"/>
  <sheetViews>
    <sheetView workbookViewId="0">
      <pane xSplit="1" ySplit="4" topLeftCell="I9" activePane="bottomRight" state="frozen"/>
      <selection pane="topRight" activeCell="B1" sqref="B1"/>
      <selection pane="bottomLeft" activeCell="A5" sqref="A5"/>
      <selection pane="bottomRight" activeCell="B1" sqref="B1"/>
    </sheetView>
  </sheetViews>
  <sheetFormatPr defaultRowHeight="14.5" x14ac:dyDescent="0.35"/>
  <cols>
    <col min="1" max="1" width="26.81640625" bestFit="1" customWidth="1"/>
    <col min="2" max="2" width="15.81640625" bestFit="1" customWidth="1"/>
    <col min="3" max="5" width="9.54296875" bestFit="1" customWidth="1"/>
    <col min="6" max="7" width="8.1796875" bestFit="1" customWidth="1"/>
    <col min="8" max="8" width="10.54296875" bestFit="1" customWidth="1"/>
    <col min="9" max="9" width="11.453125" customWidth="1"/>
    <col min="10" max="10" width="26.81640625" bestFit="1" customWidth="1"/>
    <col min="11" max="11" width="15.54296875" bestFit="1" customWidth="1"/>
    <col min="12" max="12" width="9.54296875" bestFit="1" customWidth="1"/>
    <col min="13" max="15" width="10.54296875" bestFit="1" customWidth="1"/>
  </cols>
  <sheetData>
    <row r="1" spans="1:15" x14ac:dyDescent="0.35">
      <c r="A1" s="81" t="s">
        <v>0</v>
      </c>
      <c r="B1" t="s">
        <v>1</v>
      </c>
      <c r="J1" s="81" t="s">
        <v>0</v>
      </c>
      <c r="K1" t="s">
        <v>1</v>
      </c>
    </row>
    <row r="3" spans="1:15" x14ac:dyDescent="0.35">
      <c r="A3" s="81" t="s">
        <v>2</v>
      </c>
      <c r="B3" s="81" t="s">
        <v>3</v>
      </c>
      <c r="J3" s="81" t="s">
        <v>2</v>
      </c>
      <c r="K3" s="81" t="s">
        <v>3</v>
      </c>
    </row>
    <row r="4" spans="1:15" x14ac:dyDescent="0.35">
      <c r="A4" s="81" t="s">
        <v>4</v>
      </c>
      <c r="B4" t="s">
        <v>5</v>
      </c>
      <c r="C4" t="s">
        <v>6</v>
      </c>
      <c r="D4" t="s">
        <v>7</v>
      </c>
      <c r="E4" t="s">
        <v>8</v>
      </c>
      <c r="F4" t="s">
        <v>22</v>
      </c>
      <c r="G4" t="s">
        <v>23</v>
      </c>
      <c r="H4" t="s">
        <v>9</v>
      </c>
      <c r="J4" s="81" t="s">
        <v>4</v>
      </c>
      <c r="K4" t="s">
        <v>5</v>
      </c>
      <c r="L4" t="s">
        <v>6</v>
      </c>
      <c r="M4" t="s">
        <v>7</v>
      </c>
      <c r="N4" t="s">
        <v>8</v>
      </c>
      <c r="O4" t="s">
        <v>9</v>
      </c>
    </row>
    <row r="5" spans="1:15" x14ac:dyDescent="0.35">
      <c r="A5" s="82" t="s">
        <v>25</v>
      </c>
      <c r="B5" s="12"/>
      <c r="C5" s="12"/>
      <c r="D5" s="12">
        <v>27235</v>
      </c>
      <c r="E5" s="12"/>
      <c r="F5" s="12"/>
      <c r="G5" s="12"/>
      <c r="H5" s="12">
        <v>27235</v>
      </c>
      <c r="I5" s="12"/>
      <c r="J5" s="82" t="s">
        <v>10</v>
      </c>
      <c r="K5" s="12">
        <v>332867</v>
      </c>
      <c r="L5" s="12">
        <v>269595</v>
      </c>
      <c r="M5" s="12">
        <v>110226</v>
      </c>
      <c r="N5" s="12">
        <v>358221</v>
      </c>
      <c r="O5" s="12">
        <v>1070909</v>
      </c>
    </row>
    <row r="6" spans="1:15" x14ac:dyDescent="0.35">
      <c r="A6" s="82" t="s">
        <v>26</v>
      </c>
      <c r="B6" s="12">
        <v>18088</v>
      </c>
      <c r="C6" s="12"/>
      <c r="D6" s="12">
        <v>62003</v>
      </c>
      <c r="E6" s="12">
        <v>23849</v>
      </c>
      <c r="F6" s="12"/>
      <c r="G6" s="12"/>
      <c r="H6" s="12">
        <v>103940</v>
      </c>
      <c r="I6" s="12"/>
      <c r="J6" s="82" t="s">
        <v>11</v>
      </c>
      <c r="K6" s="12">
        <v>36920</v>
      </c>
      <c r="L6" s="12">
        <v>133998</v>
      </c>
      <c r="M6" s="12">
        <v>26444</v>
      </c>
      <c r="N6" s="12">
        <v>140174</v>
      </c>
      <c r="O6" s="12">
        <v>337536</v>
      </c>
    </row>
    <row r="7" spans="1:15" x14ac:dyDescent="0.35">
      <c r="A7" s="82" t="s">
        <v>27</v>
      </c>
      <c r="B7" s="12">
        <v>734527</v>
      </c>
      <c r="C7" s="12">
        <v>286497</v>
      </c>
      <c r="D7" s="12"/>
      <c r="E7" s="12"/>
      <c r="F7" s="12"/>
      <c r="G7" s="12">
        <v>163555</v>
      </c>
      <c r="H7" s="12">
        <v>1184579</v>
      </c>
      <c r="I7" s="12"/>
      <c r="J7" s="82" t="s">
        <v>12</v>
      </c>
      <c r="K7" s="12">
        <v>619897</v>
      </c>
      <c r="L7" s="12">
        <v>126654</v>
      </c>
      <c r="M7" s="12">
        <v>8250</v>
      </c>
      <c r="N7" s="12">
        <v>137996</v>
      </c>
      <c r="O7" s="12">
        <v>892797</v>
      </c>
    </row>
    <row r="8" spans="1:15" x14ac:dyDescent="0.35">
      <c r="A8" s="82" t="s">
        <v>29</v>
      </c>
      <c r="B8" s="12">
        <v>36820</v>
      </c>
      <c r="C8" s="12"/>
      <c r="D8" s="12">
        <v>14171</v>
      </c>
      <c r="E8" s="12"/>
      <c r="F8" s="12"/>
      <c r="G8" s="12"/>
      <c r="H8" s="12">
        <v>50991</v>
      </c>
      <c r="I8" s="12"/>
      <c r="J8" s="82" t="s">
        <v>13</v>
      </c>
      <c r="K8" s="12">
        <v>392400</v>
      </c>
      <c r="L8" s="12">
        <v>330700</v>
      </c>
      <c r="M8" s="12"/>
      <c r="N8" s="12"/>
      <c r="O8" s="12">
        <v>723100</v>
      </c>
    </row>
    <row r="9" spans="1:15" x14ac:dyDescent="0.35">
      <c r="A9" s="82" t="s">
        <v>30</v>
      </c>
      <c r="B9" s="12">
        <v>1042835</v>
      </c>
      <c r="C9" s="12">
        <v>1108376</v>
      </c>
      <c r="D9" s="12">
        <v>455641</v>
      </c>
      <c r="E9" s="12">
        <v>809717</v>
      </c>
      <c r="F9" s="12"/>
      <c r="G9" s="12"/>
      <c r="H9" s="12">
        <v>3416569</v>
      </c>
      <c r="I9" s="12"/>
      <c r="J9" s="82" t="s">
        <v>14</v>
      </c>
      <c r="K9" s="12">
        <v>588246</v>
      </c>
      <c r="L9" s="12">
        <v>219650</v>
      </c>
      <c r="M9" s="12"/>
      <c r="N9" s="12">
        <v>211200</v>
      </c>
      <c r="O9" s="12">
        <v>1019096</v>
      </c>
    </row>
    <row r="10" spans="1:15" x14ac:dyDescent="0.35">
      <c r="A10" s="82" t="s">
        <v>31</v>
      </c>
      <c r="B10" s="12">
        <v>25900</v>
      </c>
      <c r="C10" s="12"/>
      <c r="D10" s="12"/>
      <c r="E10" s="12"/>
      <c r="F10" s="12"/>
      <c r="G10" s="12"/>
      <c r="H10" s="12">
        <v>25900</v>
      </c>
      <c r="I10" s="12"/>
      <c r="J10" s="82" t="s">
        <v>15</v>
      </c>
      <c r="K10" s="12">
        <v>1813640</v>
      </c>
      <c r="L10" s="12">
        <v>1333556</v>
      </c>
      <c r="M10" s="12">
        <v>558798</v>
      </c>
      <c r="N10" s="12">
        <v>495126</v>
      </c>
      <c r="O10" s="12">
        <v>4201120</v>
      </c>
    </row>
    <row r="11" spans="1:15" x14ac:dyDescent="0.35">
      <c r="A11" s="82" t="s">
        <v>32</v>
      </c>
      <c r="B11" s="12">
        <v>5375</v>
      </c>
      <c r="C11" s="12"/>
      <c r="D11" s="12">
        <v>192100</v>
      </c>
      <c r="E11" s="12"/>
      <c r="F11" s="12"/>
      <c r="G11" s="12"/>
      <c r="H11" s="12">
        <v>197475</v>
      </c>
      <c r="I11" s="12"/>
      <c r="J11" s="82" t="s">
        <v>16</v>
      </c>
      <c r="K11" s="12">
        <v>658492</v>
      </c>
      <c r="L11" s="12">
        <v>656387</v>
      </c>
      <c r="M11" s="12">
        <v>877803</v>
      </c>
      <c r="N11" s="12">
        <v>981791</v>
      </c>
      <c r="O11" s="12">
        <v>3174473</v>
      </c>
    </row>
    <row r="12" spans="1:15" x14ac:dyDescent="0.35">
      <c r="A12" s="82" t="s">
        <v>33</v>
      </c>
      <c r="B12" s="12"/>
      <c r="C12" s="12">
        <v>13776</v>
      </c>
      <c r="D12" s="12"/>
      <c r="E12" s="12"/>
      <c r="F12" s="12"/>
      <c r="G12" s="12"/>
      <c r="H12" s="12">
        <v>13776</v>
      </c>
      <c r="I12" s="12"/>
      <c r="J12" s="82" t="s">
        <v>9</v>
      </c>
      <c r="K12" s="12">
        <v>4442462</v>
      </c>
      <c r="L12" s="12">
        <v>3070540</v>
      </c>
      <c r="M12" s="12">
        <v>1581521</v>
      </c>
      <c r="N12" s="12">
        <v>2324508</v>
      </c>
      <c r="O12" s="12">
        <v>11419031</v>
      </c>
    </row>
    <row r="13" spans="1:15" x14ac:dyDescent="0.35">
      <c r="A13" s="82" t="s">
        <v>34</v>
      </c>
      <c r="B13" s="12">
        <v>185040</v>
      </c>
      <c r="C13" s="12">
        <v>2790</v>
      </c>
      <c r="D13" s="12"/>
      <c r="E13" s="12">
        <v>28780</v>
      </c>
      <c r="F13" s="12"/>
      <c r="G13" s="12">
        <v>5441</v>
      </c>
      <c r="H13" s="12">
        <v>222051</v>
      </c>
      <c r="I13" s="12"/>
    </row>
    <row r="14" spans="1:15" x14ac:dyDescent="0.35">
      <c r="A14" s="82" t="s">
        <v>35</v>
      </c>
      <c r="B14" s="12">
        <v>224120</v>
      </c>
      <c r="C14" s="12">
        <v>284946</v>
      </c>
      <c r="D14" s="12">
        <v>220452</v>
      </c>
      <c r="E14" s="12">
        <v>307120</v>
      </c>
      <c r="F14" s="12">
        <v>221830</v>
      </c>
      <c r="G14" s="12">
        <v>290578</v>
      </c>
      <c r="H14" s="12">
        <v>1549046</v>
      </c>
      <c r="I14" s="12"/>
      <c r="J14" s="81" t="s">
        <v>17</v>
      </c>
      <c r="K14" t="s">
        <v>18</v>
      </c>
    </row>
    <row r="15" spans="1:15" x14ac:dyDescent="0.35">
      <c r="A15" s="82" t="s">
        <v>36</v>
      </c>
      <c r="B15" s="12"/>
      <c r="C15" s="12">
        <v>62879</v>
      </c>
      <c r="D15" s="12"/>
      <c r="E15" s="12"/>
      <c r="F15" s="12"/>
      <c r="G15" s="12"/>
      <c r="H15" s="12">
        <v>62879</v>
      </c>
      <c r="I15" s="12"/>
    </row>
    <row r="16" spans="1:15" x14ac:dyDescent="0.35">
      <c r="A16" s="82" t="s">
        <v>37</v>
      </c>
      <c r="B16" s="12">
        <v>612410</v>
      </c>
      <c r="C16" s="12">
        <v>500385</v>
      </c>
      <c r="D16" s="12">
        <v>14280</v>
      </c>
      <c r="E16" s="12">
        <v>145370</v>
      </c>
      <c r="F16" s="12"/>
      <c r="G16" s="12">
        <v>41801</v>
      </c>
      <c r="H16" s="12">
        <v>1314246</v>
      </c>
      <c r="I16" s="12"/>
      <c r="J16" s="81" t="s">
        <v>2</v>
      </c>
      <c r="K16" s="81" t="s">
        <v>3</v>
      </c>
    </row>
    <row r="17" spans="1:14" x14ac:dyDescent="0.35">
      <c r="A17" s="82" t="s">
        <v>38</v>
      </c>
      <c r="B17" s="12"/>
      <c r="C17" s="12"/>
      <c r="D17" s="12"/>
      <c r="E17" s="12">
        <v>10148</v>
      </c>
      <c r="F17" s="12">
        <v>7110</v>
      </c>
      <c r="G17" s="12"/>
      <c r="H17" s="12">
        <v>17258</v>
      </c>
      <c r="I17" s="12"/>
      <c r="J17" s="81" t="s">
        <v>4</v>
      </c>
      <c r="K17" t="s">
        <v>6</v>
      </c>
      <c r="L17" t="s">
        <v>7</v>
      </c>
      <c r="M17" t="s">
        <v>8</v>
      </c>
      <c r="N17" t="s">
        <v>9</v>
      </c>
    </row>
    <row r="18" spans="1:14" x14ac:dyDescent="0.35">
      <c r="A18" s="82" t="s">
        <v>39</v>
      </c>
      <c r="B18" s="12">
        <v>137531</v>
      </c>
      <c r="C18" s="12">
        <v>149477</v>
      </c>
      <c r="D18" s="12">
        <v>123168</v>
      </c>
      <c r="E18" s="12">
        <v>166457</v>
      </c>
      <c r="F18" s="12">
        <v>51890</v>
      </c>
      <c r="G18" s="12">
        <v>60290</v>
      </c>
      <c r="H18" s="12">
        <v>688813</v>
      </c>
      <c r="I18" s="12"/>
      <c r="J18" s="82" t="s">
        <v>19</v>
      </c>
      <c r="K18" s="12">
        <v>1890000</v>
      </c>
      <c r="L18" s="12">
        <v>5300470</v>
      </c>
      <c r="M18" s="12">
        <v>4217640</v>
      </c>
      <c r="N18" s="12">
        <v>11408110</v>
      </c>
    </row>
    <row r="19" spans="1:14" x14ac:dyDescent="0.35">
      <c r="A19" s="82" t="s">
        <v>40</v>
      </c>
      <c r="B19" s="12">
        <v>192856</v>
      </c>
      <c r="C19" s="12"/>
      <c r="D19" s="12"/>
      <c r="E19" s="12"/>
      <c r="F19" s="12"/>
      <c r="G19" s="12"/>
      <c r="H19" s="12">
        <v>192856</v>
      </c>
      <c r="I19" s="12"/>
      <c r="J19" s="82" t="s">
        <v>20</v>
      </c>
      <c r="K19" s="12"/>
      <c r="L19" s="12"/>
      <c r="M19" s="12">
        <v>8827875</v>
      </c>
      <c r="N19" s="12">
        <v>8827875</v>
      </c>
    </row>
    <row r="20" spans="1:14" x14ac:dyDescent="0.35">
      <c r="A20" s="82" t="s">
        <v>42</v>
      </c>
      <c r="B20" s="12">
        <v>86440</v>
      </c>
      <c r="C20" s="12">
        <v>12780</v>
      </c>
      <c r="D20" s="12">
        <v>69837</v>
      </c>
      <c r="E20" s="12">
        <v>106406</v>
      </c>
      <c r="F20" s="12">
        <v>47718</v>
      </c>
      <c r="G20" s="12"/>
      <c r="H20" s="12">
        <v>323181</v>
      </c>
      <c r="I20" s="12"/>
      <c r="J20" s="82" t="s">
        <v>21</v>
      </c>
      <c r="K20" s="12"/>
      <c r="L20" s="12">
        <v>0</v>
      </c>
      <c r="M20" s="12"/>
      <c r="N20" s="12">
        <v>0</v>
      </c>
    </row>
    <row r="21" spans="1:14" x14ac:dyDescent="0.35">
      <c r="A21" s="82" t="s">
        <v>43</v>
      </c>
      <c r="B21" s="12"/>
      <c r="C21" s="12"/>
      <c r="D21" s="12">
        <v>105592</v>
      </c>
      <c r="E21" s="12"/>
      <c r="F21" s="12"/>
      <c r="G21" s="12"/>
      <c r="H21" s="12">
        <v>105592</v>
      </c>
      <c r="I21" s="12"/>
      <c r="J21" s="82" t="s">
        <v>9</v>
      </c>
      <c r="K21" s="12">
        <v>1890000</v>
      </c>
      <c r="L21" s="12">
        <v>5300470</v>
      </c>
      <c r="M21" s="12">
        <v>13045515</v>
      </c>
      <c r="N21" s="12">
        <v>20235985</v>
      </c>
    </row>
    <row r="22" spans="1:14" x14ac:dyDescent="0.35">
      <c r="A22" s="82" t="s">
        <v>44</v>
      </c>
      <c r="B22" s="12">
        <v>128589</v>
      </c>
      <c r="C22" s="12">
        <v>47810</v>
      </c>
      <c r="D22" s="12"/>
      <c r="E22" s="12"/>
      <c r="F22" s="12"/>
      <c r="G22" s="12"/>
      <c r="H22" s="12">
        <v>176399</v>
      </c>
      <c r="I22" s="12"/>
    </row>
    <row r="23" spans="1:14" x14ac:dyDescent="0.35">
      <c r="A23" s="82" t="s">
        <v>45</v>
      </c>
      <c r="B23" s="12"/>
      <c r="C23" s="12">
        <v>9808</v>
      </c>
      <c r="D23" s="12">
        <v>5553</v>
      </c>
      <c r="E23" s="12"/>
      <c r="F23" s="12"/>
      <c r="G23" s="12"/>
      <c r="H23" s="12">
        <v>15361</v>
      </c>
      <c r="I23" s="12"/>
    </row>
    <row r="24" spans="1:14" x14ac:dyDescent="0.35">
      <c r="A24" s="82" t="s">
        <v>46</v>
      </c>
      <c r="B24" s="12"/>
      <c r="C24" s="12">
        <v>71770</v>
      </c>
      <c r="D24" s="12"/>
      <c r="E24" s="12">
        <v>25830</v>
      </c>
      <c r="F24" s="12">
        <v>9907</v>
      </c>
      <c r="G24" s="12">
        <v>24170</v>
      </c>
      <c r="H24" s="12">
        <v>131677</v>
      </c>
      <c r="I24" s="12"/>
    </row>
    <row r="25" spans="1:14" x14ac:dyDescent="0.35">
      <c r="A25" s="82" t="s">
        <v>47</v>
      </c>
      <c r="B25" s="12">
        <v>48577</v>
      </c>
      <c r="C25" s="12">
        <v>198708</v>
      </c>
      <c r="D25" s="12"/>
      <c r="E25" s="12">
        <v>41756</v>
      </c>
      <c r="F25" s="12">
        <v>27263</v>
      </c>
      <c r="G25" s="12">
        <v>23443</v>
      </c>
      <c r="H25" s="12">
        <v>339747</v>
      </c>
      <c r="I25" s="12"/>
    </row>
    <row r="26" spans="1:14" x14ac:dyDescent="0.35">
      <c r="A26" s="82" t="s">
        <v>48</v>
      </c>
      <c r="B26" s="12"/>
      <c r="C26" s="12">
        <v>2880</v>
      </c>
      <c r="D26" s="12"/>
      <c r="E26" s="12">
        <v>12760</v>
      </c>
      <c r="F26" s="12"/>
      <c r="G26" s="12"/>
      <c r="H26" s="12">
        <v>15640</v>
      </c>
      <c r="I26" s="12"/>
    </row>
    <row r="27" spans="1:14" x14ac:dyDescent="0.35">
      <c r="A27" s="82" t="s">
        <v>50</v>
      </c>
      <c r="B27" s="12">
        <v>318280</v>
      </c>
      <c r="C27" s="12"/>
      <c r="D27" s="12"/>
      <c r="E27" s="12"/>
      <c r="F27" s="12"/>
      <c r="G27" s="12">
        <v>81090</v>
      </c>
      <c r="H27" s="12">
        <v>399370</v>
      </c>
      <c r="I27" s="12"/>
    </row>
    <row r="28" spans="1:14" x14ac:dyDescent="0.35">
      <c r="A28" s="82" t="s">
        <v>51</v>
      </c>
      <c r="B28" s="12">
        <v>100240</v>
      </c>
      <c r="C28" s="12"/>
      <c r="D28" s="12"/>
      <c r="E28" s="12"/>
      <c r="F28" s="12"/>
      <c r="G28" s="12"/>
      <c r="H28" s="12">
        <v>100240</v>
      </c>
      <c r="I28" s="12"/>
    </row>
    <row r="29" spans="1:14" x14ac:dyDescent="0.35">
      <c r="A29" s="82" t="s">
        <v>53</v>
      </c>
      <c r="B29" s="12"/>
      <c r="C29" s="12"/>
      <c r="D29" s="12">
        <v>28000</v>
      </c>
      <c r="E29" s="12">
        <v>77248</v>
      </c>
      <c r="F29" s="12"/>
      <c r="G29" s="12">
        <v>13195</v>
      </c>
      <c r="H29" s="12">
        <v>118443</v>
      </c>
      <c r="I29" s="12"/>
    </row>
    <row r="30" spans="1:14" x14ac:dyDescent="0.35">
      <c r="A30" s="82" t="s">
        <v>54</v>
      </c>
      <c r="B30" s="12"/>
      <c r="C30" s="12">
        <v>5348</v>
      </c>
      <c r="D30" s="12"/>
      <c r="E30" s="12"/>
      <c r="F30" s="12"/>
      <c r="G30" s="12"/>
      <c r="H30" s="12">
        <v>5348</v>
      </c>
      <c r="I30" s="12"/>
    </row>
    <row r="31" spans="1:14" x14ac:dyDescent="0.35">
      <c r="A31" s="82" t="s">
        <v>55</v>
      </c>
      <c r="B31" s="12">
        <v>156170</v>
      </c>
      <c r="C31" s="12"/>
      <c r="D31" s="12"/>
      <c r="E31" s="12"/>
      <c r="F31" s="12"/>
      <c r="G31" s="12"/>
      <c r="H31" s="12">
        <v>156170</v>
      </c>
      <c r="I31" s="12"/>
    </row>
    <row r="32" spans="1:14" x14ac:dyDescent="0.35">
      <c r="A32" s="82" t="s">
        <v>56</v>
      </c>
      <c r="B32" s="12">
        <v>63281</v>
      </c>
      <c r="C32" s="12">
        <v>24283</v>
      </c>
      <c r="D32" s="12">
        <v>47426</v>
      </c>
      <c r="E32" s="12">
        <v>80975</v>
      </c>
      <c r="F32" s="12">
        <v>5417</v>
      </c>
      <c r="G32" s="12">
        <v>4147</v>
      </c>
      <c r="H32" s="12">
        <v>225529</v>
      </c>
      <c r="I32" s="12"/>
    </row>
    <row r="33" spans="1:9" x14ac:dyDescent="0.35">
      <c r="A33" s="82" t="s">
        <v>57</v>
      </c>
      <c r="B33" s="12"/>
      <c r="C33" s="12">
        <v>139998</v>
      </c>
      <c r="D33" s="12"/>
      <c r="E33" s="12">
        <v>41018</v>
      </c>
      <c r="F33" s="12"/>
      <c r="G33" s="12">
        <v>9000</v>
      </c>
      <c r="H33" s="12">
        <v>190016</v>
      </c>
      <c r="I33" s="12"/>
    </row>
    <row r="34" spans="1:9" x14ac:dyDescent="0.35">
      <c r="A34" s="82" t="s">
        <v>58</v>
      </c>
      <c r="B34" s="12"/>
      <c r="C34" s="12"/>
      <c r="D34" s="12"/>
      <c r="E34" s="12">
        <v>21828</v>
      </c>
      <c r="F34" s="12"/>
      <c r="G34" s="12"/>
      <c r="H34" s="12">
        <v>21828</v>
      </c>
      <c r="I34" s="12"/>
    </row>
    <row r="35" spans="1:9" x14ac:dyDescent="0.35">
      <c r="A35" s="82" t="s">
        <v>59</v>
      </c>
      <c r="B35" s="12"/>
      <c r="C35" s="12"/>
      <c r="D35" s="12"/>
      <c r="E35" s="12">
        <v>84176</v>
      </c>
      <c r="F35" s="12"/>
      <c r="G35" s="12"/>
      <c r="H35" s="12">
        <v>84176</v>
      </c>
      <c r="I35" s="12"/>
    </row>
    <row r="36" spans="1:9" x14ac:dyDescent="0.35">
      <c r="A36" s="82" t="s">
        <v>62</v>
      </c>
      <c r="B36" s="12">
        <v>211763</v>
      </c>
      <c r="C36" s="12">
        <v>109559</v>
      </c>
      <c r="D36" s="12">
        <v>176317</v>
      </c>
      <c r="E36" s="12">
        <v>106845</v>
      </c>
      <c r="F36" s="12">
        <v>62165</v>
      </c>
      <c r="G36" s="12"/>
      <c r="H36" s="12">
        <v>666649</v>
      </c>
      <c r="I36" s="12"/>
    </row>
    <row r="37" spans="1:9" x14ac:dyDescent="0.35">
      <c r="A37" s="82" t="s">
        <v>16</v>
      </c>
      <c r="B37" s="12">
        <v>113620</v>
      </c>
      <c r="C37" s="12">
        <v>38470</v>
      </c>
      <c r="D37" s="12">
        <v>39746</v>
      </c>
      <c r="E37" s="12">
        <v>234225</v>
      </c>
      <c r="F37" s="12">
        <v>13300</v>
      </c>
      <c r="G37" s="12"/>
      <c r="H37" s="12">
        <v>439361</v>
      </c>
      <c r="I37" s="12"/>
    </row>
    <row r="38" spans="1:9" x14ac:dyDescent="0.35">
      <c r="A38" s="82" t="s">
        <v>52</v>
      </c>
      <c r="B38" s="12"/>
      <c r="C38" s="12"/>
      <c r="D38" s="12"/>
      <c r="E38" s="12"/>
      <c r="F38" s="12"/>
      <c r="G38" s="12">
        <v>11130</v>
      </c>
      <c r="H38" s="12">
        <v>11130</v>
      </c>
      <c r="I38" s="12"/>
    </row>
    <row r="39" spans="1:9" x14ac:dyDescent="0.35">
      <c r="A39" s="82" t="s">
        <v>61</v>
      </c>
      <c r="B39" s="12"/>
      <c r="C39" s="12"/>
      <c r="D39" s="12"/>
      <c r="E39" s="12"/>
      <c r="F39" s="12">
        <v>11790</v>
      </c>
      <c r="G39" s="12"/>
      <c r="H39" s="12">
        <v>11790</v>
      </c>
      <c r="I39" s="12"/>
    </row>
    <row r="40" spans="1:9" x14ac:dyDescent="0.35">
      <c r="A40" s="82" t="s">
        <v>41</v>
      </c>
      <c r="B40" s="12"/>
      <c r="C40" s="12"/>
      <c r="D40" s="12"/>
      <c r="E40" s="12"/>
      <c r="F40" s="12">
        <v>76345</v>
      </c>
      <c r="G40" s="12"/>
      <c r="H40" s="12">
        <v>76345</v>
      </c>
      <c r="I40" s="12"/>
    </row>
    <row r="41" spans="1:9" x14ac:dyDescent="0.35">
      <c r="A41" s="82" t="s">
        <v>49</v>
      </c>
      <c r="B41" s="12"/>
      <c r="C41" s="12"/>
      <c r="D41" s="12"/>
      <c r="E41" s="12"/>
      <c r="F41" s="12"/>
      <c r="G41" s="12">
        <v>24061</v>
      </c>
      <c r="H41" s="12">
        <v>24061</v>
      </c>
    </row>
    <row r="42" spans="1:9" x14ac:dyDescent="0.35">
      <c r="A42" s="82" t="s">
        <v>28</v>
      </c>
      <c r="B42" s="12"/>
      <c r="C42" s="12"/>
      <c r="D42" s="12"/>
      <c r="E42" s="12"/>
      <c r="F42" s="12"/>
      <c r="G42" s="12">
        <v>7840</v>
      </c>
      <c r="H42" s="12">
        <v>7840</v>
      </c>
    </row>
    <row r="43" spans="1:9" x14ac:dyDescent="0.35">
      <c r="A43" s="82" t="s">
        <v>9</v>
      </c>
      <c r="B43" s="12">
        <v>4442462</v>
      </c>
      <c r="C43" s="12">
        <v>3070540</v>
      </c>
      <c r="D43" s="12">
        <v>1581521</v>
      </c>
      <c r="E43" s="12">
        <v>2324508</v>
      </c>
      <c r="F43" s="12">
        <v>534735</v>
      </c>
      <c r="G43" s="12">
        <v>759741</v>
      </c>
      <c r="H43" s="12">
        <v>12713507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C560A-6A96-4408-BDF3-133FE6647FE3}">
  <sheetPr codeName="Sheet1"/>
  <dimension ref="A1:AM2313"/>
  <sheetViews>
    <sheetView tabSelected="1" workbookViewId="0">
      <pane xSplit="4" ySplit="2" topLeftCell="U1191" activePane="bottomRight" state="frozen"/>
      <selection pane="topRight" activeCell="E1" sqref="E1"/>
      <selection pane="bottomLeft" activeCell="A2" sqref="A2"/>
      <selection pane="bottomRight" activeCell="AC1197" sqref="AC1197"/>
    </sheetView>
  </sheetViews>
  <sheetFormatPr defaultColWidth="9.1796875" defaultRowHeight="14.5" x14ac:dyDescent="0.35"/>
  <cols>
    <col min="1" max="1" width="13.453125" style="167" customWidth="1"/>
    <col min="2" max="3" width="13.453125" style="171" customWidth="1"/>
    <col min="4" max="4" width="27.1796875" style="171" customWidth="1"/>
    <col min="5" max="5" width="8.54296875" style="171" customWidth="1"/>
    <col min="6" max="6" width="10.26953125" style="171" customWidth="1"/>
    <col min="7" max="7" width="12.54296875" style="171" customWidth="1"/>
    <col min="8" max="8" width="15.54296875" style="171" customWidth="1"/>
    <col min="9" max="9" width="19.453125" style="171" customWidth="1"/>
    <col min="10" max="10" width="20.453125" style="171" customWidth="1"/>
    <col min="11" max="11" width="21.453125" style="171" customWidth="1"/>
    <col min="12" max="12" width="11" style="171" customWidth="1"/>
    <col min="13" max="13" width="52.54296875" style="171" customWidth="1"/>
    <col min="14" max="18" width="16.453125" style="171" customWidth="1"/>
    <col min="19" max="19" width="8.54296875" style="171" customWidth="1"/>
    <col min="20" max="20" width="12.453125" style="174" customWidth="1"/>
    <col min="21" max="21" width="13.81640625" style="174" bestFit="1" customWidth="1"/>
    <col min="22" max="22" width="12.54296875" style="171" bestFit="1" customWidth="1"/>
    <col min="23" max="23" width="22.453125" style="171" bestFit="1" customWidth="1"/>
    <col min="24" max="24" width="13.81640625" style="171" bestFit="1" customWidth="1"/>
    <col min="25" max="25" width="20" style="171" customWidth="1"/>
    <col min="26" max="26" width="17" style="171" customWidth="1"/>
    <col min="27" max="27" width="15.81640625" style="171" customWidth="1"/>
    <col min="28" max="28" width="10.26953125" style="196" bestFit="1" customWidth="1"/>
    <col min="29" max="30" width="9.1796875" style="171"/>
    <col min="31" max="31" width="20" style="171" customWidth="1"/>
    <col min="32" max="16384" width="9.1796875" style="161"/>
  </cols>
  <sheetData>
    <row r="1" spans="1:31" ht="43.5" customHeight="1" x14ac:dyDescent="0.35">
      <c r="A1" s="192" t="s">
        <v>63</v>
      </c>
      <c r="B1" s="192" t="s">
        <v>64</v>
      </c>
      <c r="C1" s="192" t="s">
        <v>65</v>
      </c>
      <c r="D1" s="192" t="s">
        <v>0</v>
      </c>
      <c r="E1" s="192" t="s">
        <v>66</v>
      </c>
      <c r="F1" s="192" t="s">
        <v>67</v>
      </c>
      <c r="G1" s="192" t="s">
        <v>17</v>
      </c>
      <c r="H1" s="192" t="s">
        <v>68</v>
      </c>
      <c r="I1" s="192" t="s">
        <v>69</v>
      </c>
      <c r="J1" s="192" t="s">
        <v>70</v>
      </c>
      <c r="K1" s="192" t="s">
        <v>71</v>
      </c>
      <c r="L1" s="192" t="s">
        <v>72</v>
      </c>
      <c r="M1" s="192" t="s">
        <v>73</v>
      </c>
      <c r="N1" s="192" t="s">
        <v>74</v>
      </c>
      <c r="O1" s="192" t="s">
        <v>75</v>
      </c>
      <c r="P1" s="192" t="s">
        <v>76</v>
      </c>
      <c r="Q1" s="192" t="s">
        <v>77</v>
      </c>
      <c r="R1" s="192" t="s">
        <v>78</v>
      </c>
      <c r="S1" s="192" t="s">
        <v>79</v>
      </c>
      <c r="T1" s="193" t="s">
        <v>80</v>
      </c>
      <c r="U1" s="193" t="s">
        <v>81</v>
      </c>
      <c r="V1" s="192" t="s">
        <v>82</v>
      </c>
      <c r="W1" s="194" t="s">
        <v>83</v>
      </c>
      <c r="X1" s="194" t="s">
        <v>84</v>
      </c>
      <c r="Y1" s="194" t="s">
        <v>85</v>
      </c>
      <c r="Z1" s="194" t="s">
        <v>86</v>
      </c>
      <c r="AA1" s="194" t="s">
        <v>87</v>
      </c>
      <c r="AB1" s="192" t="s">
        <v>88</v>
      </c>
      <c r="AC1" s="192" t="s">
        <v>89</v>
      </c>
      <c r="AD1" s="192" t="s">
        <v>90</v>
      </c>
      <c r="AE1" s="192" t="s">
        <v>91</v>
      </c>
    </row>
    <row r="2" spans="1:31" x14ac:dyDescent="0.35">
      <c r="A2" s="162">
        <v>46113</v>
      </c>
      <c r="B2" s="163" t="s">
        <v>92</v>
      </c>
      <c r="C2" s="163" t="s">
        <v>93</v>
      </c>
      <c r="D2" s="163" t="s">
        <v>94</v>
      </c>
      <c r="E2" s="163" t="s">
        <v>95</v>
      </c>
      <c r="F2" s="163" t="s">
        <v>96</v>
      </c>
      <c r="G2" s="163" t="s">
        <v>12</v>
      </c>
      <c r="H2" s="163" t="s">
        <v>97</v>
      </c>
      <c r="I2" s="163" t="s">
        <v>98</v>
      </c>
      <c r="J2" s="163" t="s">
        <v>99</v>
      </c>
      <c r="K2" s="163" t="s">
        <v>100</v>
      </c>
      <c r="L2" s="163"/>
      <c r="M2" s="163" t="s">
        <v>101</v>
      </c>
      <c r="N2" s="163" t="s">
        <v>102</v>
      </c>
      <c r="O2" s="163"/>
      <c r="P2" s="163"/>
      <c r="Q2" s="163" t="str">
        <f t="shared" ref="Q2:Q16" ca="1" si="0">IF(N2="Closed(C4)","",IF(N2="","",TODAY()-A2))</f>
        <v/>
      </c>
      <c r="R2" s="163" t="str">
        <f t="shared" ref="R2:R33" ca="1" si="1">IF(OR(N2="Closed( C4 )",N2="Cancelled"),"",IF(AND(O2&lt;&gt;"",O2&lt;TODAY()),"Yes",""))</f>
        <v/>
      </c>
      <c r="S2" s="163" t="s">
        <v>103</v>
      </c>
      <c r="T2" s="164">
        <v>7200</v>
      </c>
      <c r="U2" s="164">
        <v>7200</v>
      </c>
      <c r="V2" s="165">
        <v>46113</v>
      </c>
      <c r="W2" s="163"/>
      <c r="X2" s="163" t="s">
        <v>31</v>
      </c>
      <c r="Y2" s="163" t="s">
        <v>85</v>
      </c>
      <c r="Z2" s="163"/>
      <c r="AA2" s="162">
        <v>46142</v>
      </c>
      <c r="AB2" s="195" t="str">
        <f t="shared" ref="AB2:AB65" si="2">IF($V2="",TEXT($A2,"MMM-YY"),TEXT($V2,"MMM-YY"))</f>
        <v>Apr-26</v>
      </c>
      <c r="AC2" s="163" t="s">
        <v>104</v>
      </c>
      <c r="AD2" s="163">
        <f t="shared" ref="AD2:AD33" si="3">IF(AC2="Yes",U2*2%,"")</f>
        <v>144</v>
      </c>
      <c r="AE2" s="163"/>
    </row>
    <row r="3" spans="1:31" x14ac:dyDescent="0.35">
      <c r="A3" s="162">
        <v>46113</v>
      </c>
      <c r="B3" s="163" t="s">
        <v>92</v>
      </c>
      <c r="C3" s="163" t="s">
        <v>93</v>
      </c>
      <c r="D3" s="163" t="s">
        <v>105</v>
      </c>
      <c r="E3" s="163" t="s">
        <v>106</v>
      </c>
      <c r="F3" s="163" t="s">
        <v>96</v>
      </c>
      <c r="G3" s="163" t="s">
        <v>12</v>
      </c>
      <c r="H3" s="163" t="s">
        <v>97</v>
      </c>
      <c r="I3" s="163" t="s">
        <v>98</v>
      </c>
      <c r="J3" s="163" t="s">
        <v>99</v>
      </c>
      <c r="K3" s="163" t="s">
        <v>107</v>
      </c>
      <c r="L3" s="163"/>
      <c r="M3" s="163" t="s">
        <v>108</v>
      </c>
      <c r="N3" s="163" t="s">
        <v>102</v>
      </c>
      <c r="O3" s="163"/>
      <c r="P3" s="163"/>
      <c r="Q3" s="163" t="str">
        <f t="shared" ca="1" si="0"/>
        <v/>
      </c>
      <c r="R3" s="163" t="str">
        <f t="shared" ca="1" si="1"/>
        <v/>
      </c>
      <c r="S3" s="163" t="s">
        <v>103</v>
      </c>
      <c r="T3" s="164">
        <v>72790</v>
      </c>
      <c r="U3" s="164">
        <v>72790</v>
      </c>
      <c r="V3" s="165">
        <v>46113</v>
      </c>
      <c r="W3" s="163"/>
      <c r="X3" s="163" t="s">
        <v>27</v>
      </c>
      <c r="Y3" s="163" t="s">
        <v>85</v>
      </c>
      <c r="Z3" s="163"/>
      <c r="AA3" s="162">
        <v>46142</v>
      </c>
      <c r="AB3" s="195" t="str">
        <f t="shared" si="2"/>
        <v>Apr-26</v>
      </c>
      <c r="AC3" s="163"/>
      <c r="AD3" s="163" t="str">
        <f t="shared" si="3"/>
        <v/>
      </c>
      <c r="AE3" s="163"/>
    </row>
    <row r="4" spans="1:31" x14ac:dyDescent="0.35">
      <c r="A4" s="162">
        <v>46113</v>
      </c>
      <c r="B4" s="163" t="s">
        <v>92</v>
      </c>
      <c r="C4" s="163" t="s">
        <v>93</v>
      </c>
      <c r="D4" s="163" t="s">
        <v>109</v>
      </c>
      <c r="E4" s="163" t="s">
        <v>106</v>
      </c>
      <c r="F4" s="163" t="s">
        <v>96</v>
      </c>
      <c r="G4" s="163" t="s">
        <v>15</v>
      </c>
      <c r="H4" s="163" t="s">
        <v>97</v>
      </c>
      <c r="I4" s="163" t="s">
        <v>98</v>
      </c>
      <c r="J4" s="163" t="s">
        <v>99</v>
      </c>
      <c r="K4" s="163" t="s">
        <v>110</v>
      </c>
      <c r="L4" s="163"/>
      <c r="M4" s="163" t="s">
        <v>111</v>
      </c>
      <c r="N4" s="163" t="s">
        <v>102</v>
      </c>
      <c r="O4" s="163"/>
      <c r="P4" s="163"/>
      <c r="Q4" s="163" t="str">
        <f t="shared" ca="1" si="0"/>
        <v/>
      </c>
      <c r="R4" s="163" t="str">
        <f t="shared" ca="1" si="1"/>
        <v/>
      </c>
      <c r="S4" s="163" t="s">
        <v>103</v>
      </c>
      <c r="T4" s="164">
        <v>38810</v>
      </c>
      <c r="U4" s="164">
        <v>38810</v>
      </c>
      <c r="V4" s="165">
        <v>46113</v>
      </c>
      <c r="W4" s="163" t="s">
        <v>112</v>
      </c>
      <c r="X4" s="163" t="s">
        <v>30</v>
      </c>
      <c r="Y4" s="163" t="s">
        <v>85</v>
      </c>
      <c r="Z4" s="163"/>
      <c r="AA4" s="162">
        <v>46142</v>
      </c>
      <c r="AB4" s="195" t="str">
        <f t="shared" si="2"/>
        <v>Apr-26</v>
      </c>
      <c r="AC4" s="163"/>
      <c r="AD4" s="163" t="str">
        <f t="shared" si="3"/>
        <v/>
      </c>
      <c r="AE4" s="163"/>
    </row>
    <row r="5" spans="1:31" x14ac:dyDescent="0.35">
      <c r="A5" s="162">
        <v>46113</v>
      </c>
      <c r="B5" s="163" t="s">
        <v>92</v>
      </c>
      <c r="C5" s="163" t="s">
        <v>113</v>
      </c>
      <c r="D5" s="163" t="s">
        <v>114</v>
      </c>
      <c r="E5" s="163" t="s">
        <v>95</v>
      </c>
      <c r="F5" s="163" t="s">
        <v>96</v>
      </c>
      <c r="G5" s="163" t="s">
        <v>10</v>
      </c>
      <c r="H5" s="163" t="s">
        <v>115</v>
      </c>
      <c r="I5" s="163" t="s">
        <v>98</v>
      </c>
      <c r="J5" s="163" t="s">
        <v>116</v>
      </c>
      <c r="K5" s="163" t="s">
        <v>117</v>
      </c>
      <c r="L5" s="163"/>
      <c r="M5" s="163" t="s">
        <v>118</v>
      </c>
      <c r="N5" s="163" t="s">
        <v>102</v>
      </c>
      <c r="O5" s="163"/>
      <c r="P5" s="163"/>
      <c r="Q5" s="163" t="str">
        <f t="shared" ca="1" si="0"/>
        <v/>
      </c>
      <c r="R5" s="163" t="str">
        <f t="shared" ca="1" si="1"/>
        <v/>
      </c>
      <c r="S5" s="163" t="s">
        <v>103</v>
      </c>
      <c r="T5" s="164">
        <v>22456</v>
      </c>
      <c r="U5" s="164">
        <v>20166</v>
      </c>
      <c r="V5" s="165">
        <v>46113</v>
      </c>
      <c r="W5" s="163" t="s">
        <v>119</v>
      </c>
      <c r="X5" s="163" t="s">
        <v>35</v>
      </c>
      <c r="Y5" s="163" t="s">
        <v>85</v>
      </c>
      <c r="Z5" s="163"/>
      <c r="AA5" s="162">
        <v>46172</v>
      </c>
      <c r="AB5" s="195" t="str">
        <f t="shared" si="2"/>
        <v>Apr-26</v>
      </c>
      <c r="AC5" s="163"/>
      <c r="AD5" s="163" t="str">
        <f t="shared" si="3"/>
        <v/>
      </c>
      <c r="AE5" s="163"/>
    </row>
    <row r="6" spans="1:31" x14ac:dyDescent="0.35">
      <c r="A6" s="162">
        <v>46113</v>
      </c>
      <c r="B6" s="163" t="s">
        <v>92</v>
      </c>
      <c r="C6" s="163" t="s">
        <v>93</v>
      </c>
      <c r="D6" s="163" t="s">
        <v>120</v>
      </c>
      <c r="E6" s="163" t="s">
        <v>95</v>
      </c>
      <c r="F6" s="163" t="s">
        <v>96</v>
      </c>
      <c r="G6" s="163" t="s">
        <v>10</v>
      </c>
      <c r="H6" s="163" t="s">
        <v>115</v>
      </c>
      <c r="I6" s="163" t="s">
        <v>121</v>
      </c>
      <c r="J6" s="163" t="s">
        <v>116</v>
      </c>
      <c r="K6" s="163" t="s">
        <v>122</v>
      </c>
      <c r="L6" s="163"/>
      <c r="M6" s="163" t="s">
        <v>123</v>
      </c>
      <c r="N6" s="163" t="s">
        <v>102</v>
      </c>
      <c r="O6" s="163"/>
      <c r="P6" s="163"/>
      <c r="Q6" s="163" t="str">
        <f t="shared" ca="1" si="0"/>
        <v/>
      </c>
      <c r="R6" s="163" t="str">
        <f t="shared" ca="1" si="1"/>
        <v/>
      </c>
      <c r="S6" s="163" t="s">
        <v>103</v>
      </c>
      <c r="T6" s="164">
        <v>54200</v>
      </c>
      <c r="U6" s="164">
        <v>54200</v>
      </c>
      <c r="V6" s="165">
        <v>46113</v>
      </c>
      <c r="W6" s="163" t="s">
        <v>124</v>
      </c>
      <c r="X6" s="163" t="s">
        <v>34</v>
      </c>
      <c r="Y6" s="163" t="s">
        <v>85</v>
      </c>
      <c r="Z6" s="163"/>
      <c r="AA6" s="162">
        <v>46172</v>
      </c>
      <c r="AB6" s="195" t="str">
        <f t="shared" si="2"/>
        <v>Apr-26</v>
      </c>
      <c r="AC6" s="163"/>
      <c r="AD6" s="163" t="str">
        <f t="shared" si="3"/>
        <v/>
      </c>
      <c r="AE6" s="163"/>
    </row>
    <row r="7" spans="1:31" x14ac:dyDescent="0.35">
      <c r="A7" s="162">
        <v>46113</v>
      </c>
      <c r="B7" s="163" t="s">
        <v>125</v>
      </c>
      <c r="C7" s="163" t="s">
        <v>113</v>
      </c>
      <c r="D7" s="163" t="s">
        <v>11</v>
      </c>
      <c r="E7" s="163" t="s">
        <v>95</v>
      </c>
      <c r="F7" s="163" t="s">
        <v>96</v>
      </c>
      <c r="G7" s="163" t="s">
        <v>11</v>
      </c>
      <c r="H7" s="163"/>
      <c r="I7" s="163"/>
      <c r="J7" s="163" t="s">
        <v>99</v>
      </c>
      <c r="K7" s="163" t="s">
        <v>126</v>
      </c>
      <c r="L7" s="163"/>
      <c r="M7" s="163" t="s">
        <v>127</v>
      </c>
      <c r="N7" s="163" t="s">
        <v>128</v>
      </c>
      <c r="O7" s="163"/>
      <c r="P7" s="163"/>
      <c r="Q7" s="163">
        <f t="shared" ca="1" si="0"/>
        <v>212</v>
      </c>
      <c r="R7" s="163" t="str">
        <f t="shared" ca="1" si="1"/>
        <v/>
      </c>
      <c r="S7" s="163" t="s">
        <v>129</v>
      </c>
      <c r="T7" s="164"/>
      <c r="U7" s="164"/>
      <c r="V7" s="165"/>
      <c r="W7" s="163"/>
      <c r="X7" s="163"/>
      <c r="Y7" s="163"/>
      <c r="Z7" s="163"/>
      <c r="AA7" s="163"/>
      <c r="AB7" s="195" t="str">
        <f t="shared" si="2"/>
        <v>Apr-26</v>
      </c>
      <c r="AC7" s="163"/>
      <c r="AD7" s="163" t="str">
        <f t="shared" si="3"/>
        <v/>
      </c>
      <c r="AE7" s="163"/>
    </row>
    <row r="8" spans="1:31" x14ac:dyDescent="0.35">
      <c r="A8" s="162">
        <v>46113</v>
      </c>
      <c r="B8" s="163" t="s">
        <v>125</v>
      </c>
      <c r="C8" s="163" t="s">
        <v>93</v>
      </c>
      <c r="D8" s="163" t="s">
        <v>11</v>
      </c>
      <c r="E8" s="163" t="s">
        <v>95</v>
      </c>
      <c r="F8" s="163" t="s">
        <v>96</v>
      </c>
      <c r="G8" s="163" t="s">
        <v>11</v>
      </c>
      <c r="H8" s="163"/>
      <c r="I8" s="163"/>
      <c r="J8" s="163" t="s">
        <v>99</v>
      </c>
      <c r="K8" s="163" t="s">
        <v>126</v>
      </c>
      <c r="L8" s="163"/>
      <c r="M8" s="163" t="s">
        <v>127</v>
      </c>
      <c r="N8" s="163" t="s">
        <v>130</v>
      </c>
      <c r="O8" s="162">
        <v>46284</v>
      </c>
      <c r="P8" s="163" t="s">
        <v>106</v>
      </c>
      <c r="Q8" s="163">
        <f t="shared" ca="1" si="0"/>
        <v>212</v>
      </c>
      <c r="R8" s="163" t="str">
        <f t="shared" ca="1" si="1"/>
        <v>Yes</v>
      </c>
      <c r="S8" s="163" t="s">
        <v>129</v>
      </c>
      <c r="T8" s="164"/>
      <c r="U8" s="164"/>
      <c r="V8" s="165"/>
      <c r="W8" s="163"/>
      <c r="X8" s="163"/>
      <c r="Y8" s="163"/>
      <c r="Z8" s="163"/>
      <c r="AA8" s="163"/>
      <c r="AB8" s="195" t="str">
        <f t="shared" si="2"/>
        <v>Apr-26</v>
      </c>
      <c r="AC8" s="163"/>
      <c r="AD8" s="163" t="str">
        <f t="shared" si="3"/>
        <v/>
      </c>
      <c r="AE8" s="163"/>
    </row>
    <row r="9" spans="1:31" x14ac:dyDescent="0.35">
      <c r="A9" s="162">
        <v>46113</v>
      </c>
      <c r="B9" s="163" t="s">
        <v>125</v>
      </c>
      <c r="C9" s="163" t="s">
        <v>113</v>
      </c>
      <c r="D9" s="163" t="s">
        <v>13</v>
      </c>
      <c r="E9" s="163" t="s">
        <v>95</v>
      </c>
      <c r="F9" s="163" t="s">
        <v>96</v>
      </c>
      <c r="G9" s="163" t="s">
        <v>13</v>
      </c>
      <c r="H9" s="163"/>
      <c r="I9" s="163"/>
      <c r="J9" s="163" t="s">
        <v>99</v>
      </c>
      <c r="K9" s="163" t="s">
        <v>131</v>
      </c>
      <c r="L9" s="163"/>
      <c r="M9" s="163" t="s">
        <v>132</v>
      </c>
      <c r="N9" s="163" t="s">
        <v>130</v>
      </c>
      <c r="O9" s="162">
        <v>46290</v>
      </c>
      <c r="P9" s="163" t="s">
        <v>95</v>
      </c>
      <c r="Q9" s="163">
        <f t="shared" ca="1" si="0"/>
        <v>212</v>
      </c>
      <c r="R9" s="163" t="str">
        <f t="shared" ca="1" si="1"/>
        <v>Yes</v>
      </c>
      <c r="S9" s="163" t="s">
        <v>133</v>
      </c>
      <c r="T9" s="164"/>
      <c r="U9" s="164"/>
      <c r="V9" s="165"/>
      <c r="W9" s="163"/>
      <c r="X9" s="163"/>
      <c r="Y9" s="163"/>
      <c r="Z9" s="163"/>
      <c r="AA9" s="163"/>
      <c r="AB9" s="195" t="str">
        <f t="shared" si="2"/>
        <v>Apr-26</v>
      </c>
      <c r="AC9" s="163"/>
      <c r="AD9" s="163" t="str">
        <f t="shared" si="3"/>
        <v/>
      </c>
      <c r="AE9" s="163"/>
    </row>
    <row r="10" spans="1:31" x14ac:dyDescent="0.35">
      <c r="A10" s="162">
        <v>46113</v>
      </c>
      <c r="B10" s="163" t="s">
        <v>125</v>
      </c>
      <c r="C10" s="163" t="s">
        <v>113</v>
      </c>
      <c r="D10" s="163" t="s">
        <v>134</v>
      </c>
      <c r="E10" s="163" t="s">
        <v>106</v>
      </c>
      <c r="F10" s="163" t="s">
        <v>135</v>
      </c>
      <c r="G10" s="163"/>
      <c r="H10" s="163"/>
      <c r="I10" s="163"/>
      <c r="J10" s="163" t="s">
        <v>136</v>
      </c>
      <c r="K10" s="163" t="s">
        <v>137</v>
      </c>
      <c r="L10" s="163"/>
      <c r="M10" s="163" t="s">
        <v>138</v>
      </c>
      <c r="N10" s="163" t="s">
        <v>130</v>
      </c>
      <c r="O10" s="163"/>
      <c r="P10" s="163"/>
      <c r="Q10" s="163">
        <f t="shared" ca="1" si="0"/>
        <v>212</v>
      </c>
      <c r="R10" s="163" t="str">
        <f t="shared" ca="1" si="1"/>
        <v/>
      </c>
      <c r="S10" s="163" t="s">
        <v>129</v>
      </c>
      <c r="T10" s="164"/>
      <c r="U10" s="164"/>
      <c r="V10" s="165"/>
      <c r="W10" s="163"/>
      <c r="X10" s="163"/>
      <c r="Y10" s="163"/>
      <c r="Z10" s="163"/>
      <c r="AA10" s="163"/>
      <c r="AB10" s="195" t="str">
        <f t="shared" si="2"/>
        <v>Apr-26</v>
      </c>
      <c r="AC10" s="163"/>
      <c r="AD10" s="163" t="str">
        <f t="shared" si="3"/>
        <v/>
      </c>
      <c r="AE10" s="163"/>
    </row>
    <row r="11" spans="1:31" x14ac:dyDescent="0.35">
      <c r="A11" s="162">
        <v>46113</v>
      </c>
      <c r="B11" s="163" t="s">
        <v>125</v>
      </c>
      <c r="C11" s="163" t="s">
        <v>113</v>
      </c>
      <c r="D11" s="163" t="s">
        <v>139</v>
      </c>
      <c r="E11" s="163" t="s">
        <v>106</v>
      </c>
      <c r="F11" s="163" t="s">
        <v>135</v>
      </c>
      <c r="G11" s="163"/>
      <c r="H11" s="163"/>
      <c r="I11" s="163"/>
      <c r="J11" s="163"/>
      <c r="K11" s="163" t="s">
        <v>140</v>
      </c>
      <c r="L11" s="163"/>
      <c r="M11" s="163" t="s">
        <v>138</v>
      </c>
      <c r="N11" s="163" t="s">
        <v>130</v>
      </c>
      <c r="O11" s="162">
        <v>46290</v>
      </c>
      <c r="P11" s="163" t="s">
        <v>106</v>
      </c>
      <c r="Q11" s="163">
        <f t="shared" ca="1" si="0"/>
        <v>212</v>
      </c>
      <c r="R11" s="163" t="str">
        <f t="shared" ca="1" si="1"/>
        <v>Yes</v>
      </c>
      <c r="S11" s="163" t="s">
        <v>103</v>
      </c>
      <c r="T11" s="164"/>
      <c r="U11" s="164"/>
      <c r="V11" s="165"/>
      <c r="W11" s="163"/>
      <c r="X11" s="163"/>
      <c r="Y11" s="163"/>
      <c r="Z11" s="163"/>
      <c r="AA11" s="163"/>
      <c r="AB11" s="195" t="str">
        <f t="shared" si="2"/>
        <v>Apr-26</v>
      </c>
      <c r="AC11" s="163"/>
      <c r="AD11" s="163" t="str">
        <f t="shared" si="3"/>
        <v/>
      </c>
      <c r="AE11" s="163"/>
    </row>
    <row r="12" spans="1:31" x14ac:dyDescent="0.35">
      <c r="A12" s="162">
        <v>46113</v>
      </c>
      <c r="B12" s="163" t="s">
        <v>125</v>
      </c>
      <c r="C12" s="163" t="s">
        <v>113</v>
      </c>
      <c r="D12" s="163" t="s">
        <v>141</v>
      </c>
      <c r="E12" s="163" t="s">
        <v>95</v>
      </c>
      <c r="F12" s="163" t="s">
        <v>96</v>
      </c>
      <c r="G12" s="163" t="s">
        <v>12</v>
      </c>
      <c r="H12" s="163"/>
      <c r="I12" s="163"/>
      <c r="J12" s="163" t="s">
        <v>99</v>
      </c>
      <c r="K12" s="163" t="s">
        <v>142</v>
      </c>
      <c r="L12" s="163"/>
      <c r="M12" s="163" t="s">
        <v>138</v>
      </c>
      <c r="N12" s="163" t="s">
        <v>130</v>
      </c>
      <c r="O12" s="162">
        <v>46283</v>
      </c>
      <c r="P12" s="163" t="s">
        <v>106</v>
      </c>
      <c r="Q12" s="163">
        <f t="shared" ca="1" si="0"/>
        <v>212</v>
      </c>
      <c r="R12" s="163" t="str">
        <f t="shared" ca="1" si="1"/>
        <v>Yes</v>
      </c>
      <c r="S12" s="163" t="s">
        <v>103</v>
      </c>
      <c r="T12" s="164"/>
      <c r="U12" s="164"/>
      <c r="V12" s="165"/>
      <c r="W12" s="163"/>
      <c r="X12" s="163"/>
      <c r="Y12" s="163"/>
      <c r="Z12" s="163"/>
      <c r="AA12" s="163"/>
      <c r="AB12" s="195" t="str">
        <f t="shared" si="2"/>
        <v>Apr-26</v>
      </c>
      <c r="AC12" s="163"/>
      <c r="AD12" s="163" t="str">
        <f t="shared" si="3"/>
        <v/>
      </c>
      <c r="AE12" s="163"/>
    </row>
    <row r="13" spans="1:31" x14ac:dyDescent="0.35">
      <c r="A13" s="162">
        <v>46113</v>
      </c>
      <c r="B13" s="163" t="s">
        <v>125</v>
      </c>
      <c r="C13" s="163" t="s">
        <v>143</v>
      </c>
      <c r="D13" s="163" t="s">
        <v>141</v>
      </c>
      <c r="E13" s="163" t="s">
        <v>95</v>
      </c>
      <c r="F13" s="163" t="s">
        <v>96</v>
      </c>
      <c r="G13" s="163" t="s">
        <v>12</v>
      </c>
      <c r="H13" s="163"/>
      <c r="I13" s="163"/>
      <c r="J13" s="163" t="s">
        <v>99</v>
      </c>
      <c r="K13" s="163" t="s">
        <v>142</v>
      </c>
      <c r="L13" s="163"/>
      <c r="M13" s="163" t="s">
        <v>138</v>
      </c>
      <c r="N13" s="163" t="s">
        <v>130</v>
      </c>
      <c r="O13" s="162">
        <v>46283</v>
      </c>
      <c r="P13" s="163" t="s">
        <v>95</v>
      </c>
      <c r="Q13" s="163">
        <f t="shared" ca="1" si="0"/>
        <v>212</v>
      </c>
      <c r="R13" s="163" t="str">
        <f t="shared" ca="1" si="1"/>
        <v>Yes</v>
      </c>
      <c r="S13" s="163" t="s">
        <v>103</v>
      </c>
      <c r="T13" s="164"/>
      <c r="U13" s="164"/>
      <c r="V13" s="165"/>
      <c r="W13" s="163"/>
      <c r="X13" s="163"/>
      <c r="Y13" s="163"/>
      <c r="Z13" s="163"/>
      <c r="AA13" s="163"/>
      <c r="AB13" s="195" t="str">
        <f t="shared" si="2"/>
        <v>Apr-26</v>
      </c>
      <c r="AC13" s="163"/>
      <c r="AD13" s="163" t="str">
        <f t="shared" si="3"/>
        <v/>
      </c>
      <c r="AE13" s="163"/>
    </row>
    <row r="14" spans="1:31" x14ac:dyDescent="0.35">
      <c r="A14" s="162">
        <v>46113</v>
      </c>
      <c r="B14" s="163" t="s">
        <v>125</v>
      </c>
      <c r="C14" s="163" t="s">
        <v>113</v>
      </c>
      <c r="D14" s="163" t="s">
        <v>10</v>
      </c>
      <c r="E14" s="163" t="s">
        <v>95</v>
      </c>
      <c r="F14" s="163" t="s">
        <v>96</v>
      </c>
      <c r="G14" s="163" t="s">
        <v>10</v>
      </c>
      <c r="H14" s="163"/>
      <c r="I14" s="163"/>
      <c r="J14" s="163" t="s">
        <v>99</v>
      </c>
      <c r="K14" s="163" t="s">
        <v>144</v>
      </c>
      <c r="L14" s="163"/>
      <c r="M14" s="163" t="s">
        <v>145</v>
      </c>
      <c r="N14" s="163" t="s">
        <v>102</v>
      </c>
      <c r="O14" s="163"/>
      <c r="P14" s="163"/>
      <c r="Q14" s="163" t="str">
        <f t="shared" ca="1" si="0"/>
        <v/>
      </c>
      <c r="R14" s="163" t="str">
        <f t="shared" ca="1" si="1"/>
        <v/>
      </c>
      <c r="S14" s="163" t="s">
        <v>129</v>
      </c>
      <c r="T14" s="164"/>
      <c r="U14" s="164"/>
      <c r="V14" s="165"/>
      <c r="W14" s="163"/>
      <c r="X14" s="163"/>
      <c r="Y14" s="163"/>
      <c r="Z14" s="163"/>
      <c r="AA14" s="163"/>
      <c r="AB14" s="195" t="str">
        <f t="shared" si="2"/>
        <v>Apr-26</v>
      </c>
      <c r="AC14" s="163"/>
      <c r="AD14" s="163" t="str">
        <f t="shared" si="3"/>
        <v/>
      </c>
      <c r="AE14" s="163"/>
    </row>
    <row r="15" spans="1:31" x14ac:dyDescent="0.35">
      <c r="A15" s="162">
        <v>46113</v>
      </c>
      <c r="B15" s="163" t="s">
        <v>125</v>
      </c>
      <c r="C15" s="163" t="s">
        <v>113</v>
      </c>
      <c r="D15" s="163" t="s">
        <v>146</v>
      </c>
      <c r="E15" s="163" t="s">
        <v>106</v>
      </c>
      <c r="F15" s="163" t="s">
        <v>135</v>
      </c>
      <c r="G15" s="163"/>
      <c r="H15" s="163"/>
      <c r="I15" s="163"/>
      <c r="J15" s="163" t="s">
        <v>147</v>
      </c>
      <c r="K15" s="163" t="s">
        <v>148</v>
      </c>
      <c r="L15" s="163"/>
      <c r="M15" s="163" t="s">
        <v>149</v>
      </c>
      <c r="N15" s="163" t="s">
        <v>130</v>
      </c>
      <c r="O15" s="163"/>
      <c r="P15" s="163"/>
      <c r="Q15" s="163">
        <f t="shared" ca="1" si="0"/>
        <v>212</v>
      </c>
      <c r="R15" s="163" t="str">
        <f t="shared" ca="1" si="1"/>
        <v/>
      </c>
      <c r="S15" s="163" t="s">
        <v>129</v>
      </c>
      <c r="T15" s="164"/>
      <c r="U15" s="164"/>
      <c r="V15" s="165"/>
      <c r="W15" s="163"/>
      <c r="X15" s="163"/>
      <c r="Y15" s="163"/>
      <c r="Z15" s="163"/>
      <c r="AA15" s="163"/>
      <c r="AB15" s="195" t="str">
        <f t="shared" si="2"/>
        <v>Apr-26</v>
      </c>
      <c r="AC15" s="163"/>
      <c r="AD15" s="163" t="str">
        <f t="shared" si="3"/>
        <v/>
      </c>
      <c r="AE15" s="163"/>
    </row>
    <row r="16" spans="1:31" x14ac:dyDescent="0.35">
      <c r="A16" s="162">
        <v>46113</v>
      </c>
      <c r="B16" s="163" t="s">
        <v>125</v>
      </c>
      <c r="C16" s="163" t="s">
        <v>113</v>
      </c>
      <c r="D16" s="163" t="s">
        <v>150</v>
      </c>
      <c r="E16" s="163" t="s">
        <v>106</v>
      </c>
      <c r="F16" s="163" t="s">
        <v>135</v>
      </c>
      <c r="G16" s="163"/>
      <c r="H16" s="163"/>
      <c r="I16" s="163"/>
      <c r="J16" s="163" t="s">
        <v>136</v>
      </c>
      <c r="K16" s="163" t="s">
        <v>151</v>
      </c>
      <c r="L16" s="163"/>
      <c r="M16" s="163" t="s">
        <v>152</v>
      </c>
      <c r="N16" s="163" t="s">
        <v>130</v>
      </c>
      <c r="O16" s="162">
        <v>46290</v>
      </c>
      <c r="P16" s="163" t="s">
        <v>106</v>
      </c>
      <c r="Q16" s="163">
        <f t="shared" ca="1" si="0"/>
        <v>212</v>
      </c>
      <c r="R16" s="163" t="str">
        <f t="shared" ca="1" si="1"/>
        <v>Yes</v>
      </c>
      <c r="S16" s="163" t="s">
        <v>129</v>
      </c>
      <c r="T16" s="164"/>
      <c r="U16" s="164"/>
      <c r="V16" s="165"/>
      <c r="W16" s="163"/>
      <c r="X16" s="163"/>
      <c r="Y16" s="163"/>
      <c r="Z16" s="163"/>
      <c r="AA16" s="163"/>
      <c r="AB16" s="195" t="str">
        <f t="shared" si="2"/>
        <v>Apr-26</v>
      </c>
      <c r="AC16" s="163"/>
      <c r="AD16" s="163" t="str">
        <f t="shared" si="3"/>
        <v/>
      </c>
      <c r="AE16" s="163"/>
    </row>
    <row r="17" spans="1:31" x14ac:dyDescent="0.35">
      <c r="A17" s="162">
        <v>46113</v>
      </c>
      <c r="B17" s="163" t="s">
        <v>125</v>
      </c>
      <c r="C17" s="163" t="s">
        <v>93</v>
      </c>
      <c r="D17" s="163" t="s">
        <v>14</v>
      </c>
      <c r="E17" s="163" t="s">
        <v>95</v>
      </c>
      <c r="F17" s="163" t="s">
        <v>96</v>
      </c>
      <c r="G17" s="163"/>
      <c r="H17" s="163"/>
      <c r="I17" s="163"/>
      <c r="J17" s="163" t="s">
        <v>153</v>
      </c>
      <c r="K17" s="163" t="s">
        <v>154</v>
      </c>
      <c r="L17" s="163"/>
      <c r="M17" s="163" t="s">
        <v>155</v>
      </c>
      <c r="N17" s="163" t="s">
        <v>156</v>
      </c>
      <c r="O17" s="163"/>
      <c r="P17" s="163"/>
      <c r="Q17" s="163"/>
      <c r="R17" s="163" t="str">
        <f t="shared" ca="1" si="1"/>
        <v/>
      </c>
      <c r="S17" s="163" t="s">
        <v>103</v>
      </c>
      <c r="T17" s="164"/>
      <c r="U17" s="164"/>
      <c r="V17" s="165"/>
      <c r="W17" s="163"/>
      <c r="X17" s="163"/>
      <c r="Y17" s="163"/>
      <c r="Z17" s="163"/>
      <c r="AA17" s="163"/>
      <c r="AB17" s="195" t="str">
        <f t="shared" si="2"/>
        <v>Apr-26</v>
      </c>
      <c r="AC17" s="163"/>
      <c r="AD17" s="163" t="str">
        <f t="shared" si="3"/>
        <v/>
      </c>
      <c r="AE17" s="163"/>
    </row>
    <row r="18" spans="1:31" x14ac:dyDescent="0.35">
      <c r="A18" s="162">
        <v>46113</v>
      </c>
      <c r="B18" s="163" t="s">
        <v>125</v>
      </c>
      <c r="C18" s="163" t="s">
        <v>113</v>
      </c>
      <c r="D18" s="163" t="s">
        <v>157</v>
      </c>
      <c r="E18" s="163" t="s">
        <v>106</v>
      </c>
      <c r="F18" s="163" t="s">
        <v>135</v>
      </c>
      <c r="G18" s="163"/>
      <c r="H18" s="163" t="s">
        <v>115</v>
      </c>
      <c r="I18" s="163" t="s">
        <v>98</v>
      </c>
      <c r="J18" s="163" t="s">
        <v>147</v>
      </c>
      <c r="K18" s="163" t="s">
        <v>158</v>
      </c>
      <c r="L18" s="163"/>
      <c r="M18" s="163" t="s">
        <v>159</v>
      </c>
      <c r="N18" s="163" t="s">
        <v>102</v>
      </c>
      <c r="O18" s="163"/>
      <c r="P18" s="163"/>
      <c r="Q18" s="163" t="str">
        <f t="shared" ref="Q18:Q48" ca="1" si="4">IF(N18="Closed(C4)","",IF(N18="","",TODAY()-A18))</f>
        <v/>
      </c>
      <c r="R18" s="163" t="str">
        <f t="shared" ca="1" si="1"/>
        <v/>
      </c>
      <c r="S18" s="163" t="s">
        <v>103</v>
      </c>
      <c r="T18" s="164">
        <v>10095</v>
      </c>
      <c r="U18" s="164">
        <v>10095</v>
      </c>
      <c r="V18" s="162">
        <v>46113</v>
      </c>
      <c r="W18" s="163" t="s">
        <v>160</v>
      </c>
      <c r="X18" s="163" t="s">
        <v>29</v>
      </c>
      <c r="Y18" s="163" t="s">
        <v>161</v>
      </c>
      <c r="Z18" s="163"/>
      <c r="AA18" s="163"/>
      <c r="AB18" s="195" t="str">
        <f t="shared" si="2"/>
        <v>Apr-26</v>
      </c>
      <c r="AC18" s="163"/>
      <c r="AD18" s="163" t="str">
        <f t="shared" si="3"/>
        <v/>
      </c>
      <c r="AE18" s="163"/>
    </row>
    <row r="19" spans="1:31" x14ac:dyDescent="0.35">
      <c r="A19" s="162">
        <v>46113</v>
      </c>
      <c r="B19" s="163" t="s">
        <v>125</v>
      </c>
      <c r="C19" s="163" t="s">
        <v>113</v>
      </c>
      <c r="D19" s="163" t="s">
        <v>162</v>
      </c>
      <c r="E19" s="163" t="s">
        <v>95</v>
      </c>
      <c r="F19" s="163" t="s">
        <v>135</v>
      </c>
      <c r="G19" s="163"/>
      <c r="H19" s="163" t="s">
        <v>163</v>
      </c>
      <c r="I19" s="163" t="s">
        <v>98</v>
      </c>
      <c r="J19" s="163"/>
      <c r="K19" s="163" t="s">
        <v>164</v>
      </c>
      <c r="L19" s="163"/>
      <c r="M19" s="163" t="s">
        <v>159</v>
      </c>
      <c r="N19" s="163" t="s">
        <v>102</v>
      </c>
      <c r="O19" s="163"/>
      <c r="P19" s="163"/>
      <c r="Q19" s="163" t="str">
        <f t="shared" ca="1" si="4"/>
        <v/>
      </c>
      <c r="R19" s="163" t="str">
        <f t="shared" ca="1" si="1"/>
        <v/>
      </c>
      <c r="S19" s="163" t="s">
        <v>103</v>
      </c>
      <c r="T19" s="164">
        <v>7200</v>
      </c>
      <c r="U19" s="164">
        <v>7200</v>
      </c>
      <c r="V19" s="162">
        <v>46113</v>
      </c>
      <c r="W19" s="163"/>
      <c r="X19" s="163" t="s">
        <v>62</v>
      </c>
      <c r="Y19" s="163" t="s">
        <v>161</v>
      </c>
      <c r="Z19" s="163"/>
      <c r="AA19" s="163"/>
      <c r="AB19" s="195" t="str">
        <f t="shared" si="2"/>
        <v>Apr-26</v>
      </c>
      <c r="AC19" s="163"/>
      <c r="AD19" s="163" t="str">
        <f t="shared" si="3"/>
        <v/>
      </c>
      <c r="AE19" s="163"/>
    </row>
    <row r="20" spans="1:31" x14ac:dyDescent="0.35">
      <c r="A20" s="162">
        <v>46113</v>
      </c>
      <c r="B20" s="163" t="s">
        <v>125</v>
      </c>
      <c r="C20" s="163" t="s">
        <v>113</v>
      </c>
      <c r="D20" s="163" t="s">
        <v>165</v>
      </c>
      <c r="E20" s="163" t="s">
        <v>95</v>
      </c>
      <c r="F20" s="163" t="s">
        <v>135</v>
      </c>
      <c r="G20" s="163"/>
      <c r="H20" s="163" t="s">
        <v>115</v>
      </c>
      <c r="I20" s="163" t="s">
        <v>98</v>
      </c>
      <c r="J20" s="163" t="s">
        <v>166</v>
      </c>
      <c r="K20" s="163" t="s">
        <v>167</v>
      </c>
      <c r="L20" s="163"/>
      <c r="M20" s="163" t="s">
        <v>159</v>
      </c>
      <c r="N20" s="163" t="s">
        <v>102</v>
      </c>
      <c r="O20" s="163"/>
      <c r="P20" s="163"/>
      <c r="Q20" s="163" t="str">
        <f t="shared" ca="1" si="4"/>
        <v/>
      </c>
      <c r="R20" s="163" t="str">
        <f t="shared" ca="1" si="1"/>
        <v/>
      </c>
      <c r="S20" s="163" t="s">
        <v>103</v>
      </c>
      <c r="T20" s="164">
        <v>22456</v>
      </c>
      <c r="U20" s="164">
        <v>20166</v>
      </c>
      <c r="V20" s="162">
        <v>46113</v>
      </c>
      <c r="W20" s="163" t="s">
        <v>119</v>
      </c>
      <c r="X20" s="163" t="s">
        <v>35</v>
      </c>
      <c r="Y20" s="163" t="s">
        <v>85</v>
      </c>
      <c r="Z20" s="163"/>
      <c r="AA20" s="162"/>
      <c r="AB20" s="195" t="str">
        <f t="shared" si="2"/>
        <v>Apr-26</v>
      </c>
      <c r="AC20" s="163"/>
      <c r="AD20" s="163" t="str">
        <f t="shared" si="3"/>
        <v/>
      </c>
      <c r="AE20" s="163"/>
    </row>
    <row r="21" spans="1:31" x14ac:dyDescent="0.35">
      <c r="A21" s="162">
        <v>46114</v>
      </c>
      <c r="B21" s="163" t="s">
        <v>92</v>
      </c>
      <c r="C21" s="163" t="s">
        <v>93</v>
      </c>
      <c r="D21" s="163" t="s">
        <v>105</v>
      </c>
      <c r="E21" s="163" t="s">
        <v>106</v>
      </c>
      <c r="F21" s="163" t="s">
        <v>96</v>
      </c>
      <c r="G21" s="163" t="s">
        <v>12</v>
      </c>
      <c r="H21" s="163" t="s">
        <v>97</v>
      </c>
      <c r="I21" s="163" t="s">
        <v>98</v>
      </c>
      <c r="J21" s="163" t="s">
        <v>116</v>
      </c>
      <c r="K21" s="163" t="s">
        <v>107</v>
      </c>
      <c r="L21" s="163"/>
      <c r="M21" s="163" t="s">
        <v>168</v>
      </c>
      <c r="N21" s="163" t="s">
        <v>102</v>
      </c>
      <c r="O21" s="163"/>
      <c r="P21" s="163"/>
      <c r="Q21" s="163" t="str">
        <f t="shared" ca="1" si="4"/>
        <v/>
      </c>
      <c r="R21" s="163" t="str">
        <f t="shared" ca="1" si="1"/>
        <v/>
      </c>
      <c r="S21" s="163" t="s">
        <v>103</v>
      </c>
      <c r="T21" s="164">
        <v>48640</v>
      </c>
      <c r="U21" s="164">
        <v>48640</v>
      </c>
      <c r="V21" s="165">
        <v>46114</v>
      </c>
      <c r="W21" s="163"/>
      <c r="X21" s="163" t="s">
        <v>27</v>
      </c>
      <c r="Y21" s="163" t="s">
        <v>85</v>
      </c>
      <c r="Z21" s="163"/>
      <c r="AA21" s="162">
        <v>46142</v>
      </c>
      <c r="AB21" s="195" t="str">
        <f t="shared" si="2"/>
        <v>Apr-26</v>
      </c>
      <c r="AC21" s="163"/>
      <c r="AD21" s="163" t="str">
        <f t="shared" si="3"/>
        <v/>
      </c>
      <c r="AE21" s="163"/>
    </row>
    <row r="22" spans="1:31" x14ac:dyDescent="0.35">
      <c r="A22" s="162">
        <v>46114</v>
      </c>
      <c r="B22" s="163" t="s">
        <v>92</v>
      </c>
      <c r="C22" s="163" t="s">
        <v>93</v>
      </c>
      <c r="D22" s="163" t="s">
        <v>109</v>
      </c>
      <c r="E22" s="163" t="s">
        <v>106</v>
      </c>
      <c r="F22" s="163" t="s">
        <v>96</v>
      </c>
      <c r="G22" s="163" t="s">
        <v>15</v>
      </c>
      <c r="H22" s="163" t="s">
        <v>97</v>
      </c>
      <c r="I22" s="163" t="s">
        <v>98</v>
      </c>
      <c r="J22" s="163" t="s">
        <v>116</v>
      </c>
      <c r="K22" s="163" t="s">
        <v>110</v>
      </c>
      <c r="L22" s="163"/>
      <c r="M22" s="163" t="s">
        <v>169</v>
      </c>
      <c r="N22" s="163" t="s">
        <v>102</v>
      </c>
      <c r="O22" s="163"/>
      <c r="P22" s="163"/>
      <c r="Q22" s="163" t="str">
        <f t="shared" ca="1" si="4"/>
        <v/>
      </c>
      <c r="R22" s="163" t="str">
        <f t="shared" ca="1" si="1"/>
        <v/>
      </c>
      <c r="S22" s="163" t="s">
        <v>103</v>
      </c>
      <c r="T22" s="164">
        <v>42480</v>
      </c>
      <c r="U22" s="164">
        <v>42480</v>
      </c>
      <c r="V22" s="165">
        <v>46114</v>
      </c>
      <c r="W22" s="163" t="s">
        <v>170</v>
      </c>
      <c r="X22" s="163" t="s">
        <v>30</v>
      </c>
      <c r="Y22" s="163" t="s">
        <v>85</v>
      </c>
      <c r="Z22" s="163"/>
      <c r="AA22" s="162">
        <v>46142</v>
      </c>
      <c r="AB22" s="195" t="str">
        <f t="shared" si="2"/>
        <v>Apr-26</v>
      </c>
      <c r="AC22" s="163"/>
      <c r="AD22" s="163" t="str">
        <f t="shared" si="3"/>
        <v/>
      </c>
      <c r="AE22" s="163"/>
    </row>
    <row r="23" spans="1:31" x14ac:dyDescent="0.35">
      <c r="A23" s="162">
        <v>46114</v>
      </c>
      <c r="B23" s="163" t="s">
        <v>92</v>
      </c>
      <c r="C23" s="163" t="s">
        <v>93</v>
      </c>
      <c r="D23" s="163" t="s">
        <v>94</v>
      </c>
      <c r="E23" s="163" t="s">
        <v>95</v>
      </c>
      <c r="F23" s="163" t="s">
        <v>96</v>
      </c>
      <c r="G23" s="163" t="s">
        <v>12</v>
      </c>
      <c r="H23" s="163" t="s">
        <v>97</v>
      </c>
      <c r="I23" s="163" t="s">
        <v>98</v>
      </c>
      <c r="J23" s="163" t="s">
        <v>116</v>
      </c>
      <c r="K23" s="163" t="s">
        <v>100</v>
      </c>
      <c r="L23" s="163"/>
      <c r="M23" s="163" t="s">
        <v>171</v>
      </c>
      <c r="N23" s="163" t="s">
        <v>102</v>
      </c>
      <c r="O23" s="163"/>
      <c r="P23" s="163"/>
      <c r="Q23" s="163" t="str">
        <f t="shared" ca="1" si="4"/>
        <v/>
      </c>
      <c r="R23" s="163" t="str">
        <f t="shared" ca="1" si="1"/>
        <v/>
      </c>
      <c r="S23" s="163" t="s">
        <v>103</v>
      </c>
      <c r="T23" s="164">
        <v>8500</v>
      </c>
      <c r="U23" s="164">
        <v>8500</v>
      </c>
      <c r="V23" s="165">
        <v>46114</v>
      </c>
      <c r="W23" s="163"/>
      <c r="X23" s="163" t="s">
        <v>31</v>
      </c>
      <c r="Y23" s="163" t="s">
        <v>85</v>
      </c>
      <c r="Z23" s="163"/>
      <c r="AA23" s="162">
        <v>46142</v>
      </c>
      <c r="AB23" s="195" t="str">
        <f t="shared" si="2"/>
        <v>Apr-26</v>
      </c>
      <c r="AC23" s="163"/>
      <c r="AD23" s="163" t="str">
        <f t="shared" si="3"/>
        <v/>
      </c>
      <c r="AE23" s="163"/>
    </row>
    <row r="24" spans="1:31" x14ac:dyDescent="0.35">
      <c r="A24" s="162">
        <v>46114</v>
      </c>
      <c r="B24" s="163" t="s">
        <v>125</v>
      </c>
      <c r="C24" s="163" t="s">
        <v>113</v>
      </c>
      <c r="D24" s="163" t="s">
        <v>172</v>
      </c>
      <c r="E24" s="163" t="s">
        <v>106</v>
      </c>
      <c r="F24" s="163" t="s">
        <v>135</v>
      </c>
      <c r="G24" s="163"/>
      <c r="H24" s="163" t="s">
        <v>115</v>
      </c>
      <c r="I24" s="163" t="s">
        <v>98</v>
      </c>
      <c r="J24" s="163" t="s">
        <v>147</v>
      </c>
      <c r="K24" s="163" t="s">
        <v>173</v>
      </c>
      <c r="L24" s="163"/>
      <c r="M24" s="163" t="s">
        <v>159</v>
      </c>
      <c r="N24" s="163" t="s">
        <v>102</v>
      </c>
      <c r="O24" s="163"/>
      <c r="P24" s="163"/>
      <c r="Q24" s="163" t="str">
        <f t="shared" ca="1" si="4"/>
        <v/>
      </c>
      <c r="R24" s="163" t="str">
        <f t="shared" ca="1" si="1"/>
        <v/>
      </c>
      <c r="S24" s="163" t="s">
        <v>103</v>
      </c>
      <c r="T24" s="164">
        <v>8850</v>
      </c>
      <c r="U24" s="164">
        <v>8850</v>
      </c>
      <c r="V24" s="162">
        <v>46114</v>
      </c>
      <c r="W24" s="163" t="s">
        <v>174</v>
      </c>
      <c r="X24" s="163" t="s">
        <v>37</v>
      </c>
      <c r="Y24" s="163" t="s">
        <v>161</v>
      </c>
      <c r="Z24" s="163"/>
      <c r="AA24" s="163"/>
      <c r="AB24" s="195" t="str">
        <f t="shared" si="2"/>
        <v>Apr-26</v>
      </c>
      <c r="AC24" s="163"/>
      <c r="AD24" s="163" t="str">
        <f t="shared" si="3"/>
        <v/>
      </c>
      <c r="AE24" s="163"/>
    </row>
    <row r="25" spans="1:31" x14ac:dyDescent="0.35">
      <c r="A25" s="162">
        <v>46114</v>
      </c>
      <c r="B25" s="163" t="s">
        <v>125</v>
      </c>
      <c r="C25" s="163" t="s">
        <v>113</v>
      </c>
      <c r="D25" s="163" t="s">
        <v>175</v>
      </c>
      <c r="E25" s="163" t="s">
        <v>95</v>
      </c>
      <c r="F25" s="163" t="s">
        <v>135</v>
      </c>
      <c r="G25" s="163"/>
      <c r="H25" s="163" t="s">
        <v>163</v>
      </c>
      <c r="I25" s="163" t="s">
        <v>98</v>
      </c>
      <c r="J25" s="163"/>
      <c r="K25" s="163" t="s">
        <v>176</v>
      </c>
      <c r="L25" s="163"/>
      <c r="M25" s="163" t="s">
        <v>159</v>
      </c>
      <c r="N25" s="163" t="s">
        <v>102</v>
      </c>
      <c r="O25" s="163"/>
      <c r="P25" s="163"/>
      <c r="Q25" s="163" t="str">
        <f t="shared" ca="1" si="4"/>
        <v/>
      </c>
      <c r="R25" s="163" t="str">
        <f t="shared" ca="1" si="1"/>
        <v/>
      </c>
      <c r="S25" s="163" t="s">
        <v>103</v>
      </c>
      <c r="T25" s="164">
        <v>14678</v>
      </c>
      <c r="U25" s="164">
        <v>14678</v>
      </c>
      <c r="V25" s="162">
        <v>46114</v>
      </c>
      <c r="W25" s="163"/>
      <c r="X25" s="163" t="s">
        <v>62</v>
      </c>
      <c r="Y25" s="163" t="s">
        <v>161</v>
      </c>
      <c r="Z25" s="163"/>
      <c r="AA25" s="163"/>
      <c r="AB25" s="195" t="str">
        <f t="shared" si="2"/>
        <v>Apr-26</v>
      </c>
      <c r="AC25" s="163"/>
      <c r="AD25" s="163" t="str">
        <f t="shared" si="3"/>
        <v/>
      </c>
      <c r="AE25" s="163"/>
    </row>
    <row r="26" spans="1:31" x14ac:dyDescent="0.35">
      <c r="A26" s="162">
        <v>46115</v>
      </c>
      <c r="B26" s="163" t="s">
        <v>92</v>
      </c>
      <c r="C26" s="163" t="s">
        <v>93</v>
      </c>
      <c r="D26" s="163" t="s">
        <v>177</v>
      </c>
      <c r="E26" s="163" t="s">
        <v>106</v>
      </c>
      <c r="F26" s="163" t="s">
        <v>135</v>
      </c>
      <c r="G26" s="163"/>
      <c r="H26" s="163" t="s">
        <v>115</v>
      </c>
      <c r="I26" s="163" t="s">
        <v>121</v>
      </c>
      <c r="J26" s="163" t="s">
        <v>178</v>
      </c>
      <c r="K26" s="163" t="s">
        <v>179</v>
      </c>
      <c r="L26" s="163"/>
      <c r="M26" s="163" t="s">
        <v>180</v>
      </c>
      <c r="N26" s="163" t="s">
        <v>181</v>
      </c>
      <c r="O26" s="163"/>
      <c r="P26" s="163"/>
      <c r="Q26" s="163">
        <f t="shared" ca="1" si="4"/>
        <v>210</v>
      </c>
      <c r="R26" s="163" t="str">
        <f t="shared" ca="1" si="1"/>
        <v/>
      </c>
      <c r="S26" s="163" t="s">
        <v>133</v>
      </c>
      <c r="T26" s="164">
        <v>30000</v>
      </c>
      <c r="U26" s="164"/>
      <c r="V26" s="165">
        <v>46136</v>
      </c>
      <c r="W26" s="166"/>
      <c r="X26" s="163" t="s">
        <v>51</v>
      </c>
      <c r="Y26" s="163"/>
      <c r="Z26" s="163"/>
      <c r="AA26" s="163"/>
      <c r="AB26" s="195" t="str">
        <f t="shared" si="2"/>
        <v>Apr-26</v>
      </c>
      <c r="AC26" s="163"/>
      <c r="AD26" s="163" t="str">
        <f t="shared" si="3"/>
        <v/>
      </c>
      <c r="AE26" s="163"/>
    </row>
    <row r="27" spans="1:31" x14ac:dyDescent="0.35">
      <c r="A27" s="162">
        <v>46115</v>
      </c>
      <c r="B27" s="163" t="s">
        <v>92</v>
      </c>
      <c r="C27" s="163" t="s">
        <v>93</v>
      </c>
      <c r="D27" s="163" t="s">
        <v>182</v>
      </c>
      <c r="E27" s="163" t="s">
        <v>95</v>
      </c>
      <c r="F27" s="163" t="s">
        <v>96</v>
      </c>
      <c r="G27" s="163" t="s">
        <v>15</v>
      </c>
      <c r="H27" s="163" t="s">
        <v>97</v>
      </c>
      <c r="I27" s="163" t="s">
        <v>98</v>
      </c>
      <c r="J27" s="163" t="s">
        <v>116</v>
      </c>
      <c r="K27" s="163" t="s">
        <v>183</v>
      </c>
      <c r="L27" s="163"/>
      <c r="M27" s="163" t="s">
        <v>184</v>
      </c>
      <c r="N27" s="163" t="s">
        <v>102</v>
      </c>
      <c r="O27" s="163"/>
      <c r="P27" s="163"/>
      <c r="Q27" s="163" t="str">
        <f t="shared" ca="1" si="4"/>
        <v/>
      </c>
      <c r="R27" s="163" t="str">
        <f t="shared" ca="1" si="1"/>
        <v/>
      </c>
      <c r="S27" s="163" t="s">
        <v>103</v>
      </c>
      <c r="T27" s="164">
        <v>72210</v>
      </c>
      <c r="U27" s="164">
        <v>72210</v>
      </c>
      <c r="V27" s="165">
        <v>46115</v>
      </c>
      <c r="W27" s="163" t="s">
        <v>185</v>
      </c>
      <c r="X27" s="163" t="s">
        <v>30</v>
      </c>
      <c r="Y27" s="163" t="s">
        <v>85</v>
      </c>
      <c r="Z27" s="163"/>
      <c r="AA27" s="162">
        <v>46142</v>
      </c>
      <c r="AB27" s="195" t="str">
        <f t="shared" si="2"/>
        <v>Apr-26</v>
      </c>
      <c r="AC27" s="163"/>
      <c r="AD27" s="163" t="str">
        <f t="shared" si="3"/>
        <v/>
      </c>
      <c r="AE27" s="163"/>
    </row>
    <row r="28" spans="1:31" x14ac:dyDescent="0.35">
      <c r="A28" s="162">
        <v>46115</v>
      </c>
      <c r="B28" s="163" t="s">
        <v>92</v>
      </c>
      <c r="C28" s="163" t="s">
        <v>93</v>
      </c>
      <c r="D28" s="163" t="s">
        <v>186</v>
      </c>
      <c r="E28" s="163" t="s">
        <v>95</v>
      </c>
      <c r="F28" s="163" t="s">
        <v>96</v>
      </c>
      <c r="G28" s="163" t="s">
        <v>15</v>
      </c>
      <c r="H28" s="163" t="s">
        <v>97</v>
      </c>
      <c r="I28" s="163" t="s">
        <v>98</v>
      </c>
      <c r="J28" s="163" t="s">
        <v>116</v>
      </c>
      <c r="K28" s="163" t="s">
        <v>183</v>
      </c>
      <c r="L28" s="163"/>
      <c r="M28" s="163" t="s">
        <v>187</v>
      </c>
      <c r="N28" s="163" t="s">
        <v>102</v>
      </c>
      <c r="O28" s="163"/>
      <c r="P28" s="163"/>
      <c r="Q28" s="163" t="str">
        <f t="shared" ca="1" si="4"/>
        <v/>
      </c>
      <c r="R28" s="163" t="str">
        <f t="shared" ca="1" si="1"/>
        <v/>
      </c>
      <c r="S28" s="163" t="s">
        <v>103</v>
      </c>
      <c r="T28" s="164">
        <v>19250</v>
      </c>
      <c r="U28" s="164">
        <v>19250</v>
      </c>
      <c r="V28" s="165">
        <v>46115</v>
      </c>
      <c r="W28" s="163"/>
      <c r="X28" s="163" t="s">
        <v>55</v>
      </c>
      <c r="Y28" s="163" t="s">
        <v>85</v>
      </c>
      <c r="Z28" s="163"/>
      <c r="AA28" s="162">
        <v>46142</v>
      </c>
      <c r="AB28" s="195" t="str">
        <f t="shared" si="2"/>
        <v>Apr-26</v>
      </c>
      <c r="AC28" s="163"/>
      <c r="AD28" s="163" t="str">
        <f t="shared" si="3"/>
        <v/>
      </c>
      <c r="AE28" s="163"/>
    </row>
    <row r="29" spans="1:31" x14ac:dyDescent="0.35">
      <c r="A29" s="162">
        <v>46115</v>
      </c>
      <c r="B29" s="163" t="s">
        <v>92</v>
      </c>
      <c r="C29" s="163" t="s">
        <v>93</v>
      </c>
      <c r="D29" s="163" t="s">
        <v>105</v>
      </c>
      <c r="E29" s="163" t="s">
        <v>106</v>
      </c>
      <c r="F29" s="163" t="s">
        <v>96</v>
      </c>
      <c r="G29" s="163" t="s">
        <v>12</v>
      </c>
      <c r="H29" s="163" t="s">
        <v>97</v>
      </c>
      <c r="I29" s="163" t="s">
        <v>121</v>
      </c>
      <c r="J29" s="163" t="s">
        <v>116</v>
      </c>
      <c r="K29" s="163" t="s">
        <v>107</v>
      </c>
      <c r="L29" s="163"/>
      <c r="M29" s="163" t="s">
        <v>188</v>
      </c>
      <c r="N29" s="163" t="s">
        <v>102</v>
      </c>
      <c r="O29" s="163"/>
      <c r="P29" s="163"/>
      <c r="Q29" s="163" t="str">
        <f t="shared" ca="1" si="4"/>
        <v/>
      </c>
      <c r="R29" s="163" t="str">
        <f t="shared" ca="1" si="1"/>
        <v/>
      </c>
      <c r="S29" s="163" t="s">
        <v>103</v>
      </c>
      <c r="T29" s="164">
        <v>50320</v>
      </c>
      <c r="U29" s="164">
        <v>50320</v>
      </c>
      <c r="V29" s="165">
        <v>46115</v>
      </c>
      <c r="W29" s="163"/>
      <c r="X29" s="163" t="s">
        <v>27</v>
      </c>
      <c r="Y29" s="163" t="s">
        <v>85</v>
      </c>
      <c r="Z29" s="163"/>
      <c r="AA29" s="162">
        <v>46142</v>
      </c>
      <c r="AB29" s="195" t="str">
        <f t="shared" si="2"/>
        <v>Apr-26</v>
      </c>
      <c r="AC29" s="163"/>
      <c r="AD29" s="163" t="str">
        <f t="shared" si="3"/>
        <v/>
      </c>
      <c r="AE29" s="163"/>
    </row>
    <row r="30" spans="1:31" x14ac:dyDescent="0.35">
      <c r="A30" s="162">
        <v>46115</v>
      </c>
      <c r="B30" s="163" t="s">
        <v>92</v>
      </c>
      <c r="C30" s="163" t="s">
        <v>93</v>
      </c>
      <c r="D30" s="163" t="s">
        <v>94</v>
      </c>
      <c r="E30" s="163" t="s">
        <v>95</v>
      </c>
      <c r="F30" s="163" t="s">
        <v>96</v>
      </c>
      <c r="G30" s="163" t="s">
        <v>12</v>
      </c>
      <c r="H30" s="163" t="s">
        <v>97</v>
      </c>
      <c r="I30" s="163" t="s">
        <v>98</v>
      </c>
      <c r="J30" s="163" t="s">
        <v>116</v>
      </c>
      <c r="K30" s="163" t="s">
        <v>100</v>
      </c>
      <c r="L30" s="163"/>
      <c r="M30" s="163" t="s">
        <v>189</v>
      </c>
      <c r="N30" s="163" t="s">
        <v>102</v>
      </c>
      <c r="O30" s="163"/>
      <c r="P30" s="163"/>
      <c r="Q30" s="163" t="str">
        <f t="shared" ca="1" si="4"/>
        <v/>
      </c>
      <c r="R30" s="163" t="str">
        <f t="shared" ca="1" si="1"/>
        <v/>
      </c>
      <c r="S30" s="163" t="s">
        <v>103</v>
      </c>
      <c r="T30" s="164">
        <v>10200</v>
      </c>
      <c r="U30" s="164">
        <v>10200</v>
      </c>
      <c r="V30" s="165">
        <v>46115</v>
      </c>
      <c r="W30" s="163"/>
      <c r="X30" s="163" t="s">
        <v>31</v>
      </c>
      <c r="Y30" s="163" t="s">
        <v>85</v>
      </c>
      <c r="Z30" s="163"/>
      <c r="AA30" s="162">
        <v>46142</v>
      </c>
      <c r="AB30" s="195" t="str">
        <f t="shared" si="2"/>
        <v>Apr-26</v>
      </c>
      <c r="AC30" s="163"/>
      <c r="AD30" s="163" t="str">
        <f t="shared" si="3"/>
        <v/>
      </c>
      <c r="AE30" s="163"/>
    </row>
    <row r="31" spans="1:31" x14ac:dyDescent="0.35">
      <c r="A31" s="162">
        <v>46115</v>
      </c>
      <c r="B31" s="163" t="s">
        <v>125</v>
      </c>
      <c r="C31" s="163" t="s">
        <v>113</v>
      </c>
      <c r="D31" s="163" t="s">
        <v>190</v>
      </c>
      <c r="E31" s="163" t="s">
        <v>106</v>
      </c>
      <c r="F31" s="163" t="s">
        <v>135</v>
      </c>
      <c r="G31" s="163"/>
      <c r="H31" s="163" t="s">
        <v>115</v>
      </c>
      <c r="I31" s="163" t="s">
        <v>98</v>
      </c>
      <c r="J31" s="163" t="s">
        <v>147</v>
      </c>
      <c r="K31" s="163" t="s">
        <v>191</v>
      </c>
      <c r="L31" s="163"/>
      <c r="M31" s="163" t="s">
        <v>159</v>
      </c>
      <c r="N31" s="163" t="s">
        <v>102</v>
      </c>
      <c r="O31" s="163"/>
      <c r="P31" s="163"/>
      <c r="Q31" s="163" t="str">
        <f t="shared" ca="1" si="4"/>
        <v/>
      </c>
      <c r="R31" s="163" t="str">
        <f t="shared" ca="1" si="1"/>
        <v/>
      </c>
      <c r="S31" s="163" t="s">
        <v>103</v>
      </c>
      <c r="T31" s="164">
        <v>6090</v>
      </c>
      <c r="U31" s="164">
        <v>6090</v>
      </c>
      <c r="V31" s="162">
        <v>46115</v>
      </c>
      <c r="W31" s="163" t="s">
        <v>192</v>
      </c>
      <c r="X31" s="163" t="s">
        <v>37</v>
      </c>
      <c r="Y31" s="163" t="s">
        <v>161</v>
      </c>
      <c r="Z31" s="163"/>
      <c r="AA31" s="163"/>
      <c r="AB31" s="195" t="str">
        <f t="shared" si="2"/>
        <v>Apr-26</v>
      </c>
      <c r="AC31" s="163"/>
      <c r="AD31" s="163" t="str">
        <f t="shared" si="3"/>
        <v/>
      </c>
      <c r="AE31" s="163"/>
    </row>
    <row r="32" spans="1:31" x14ac:dyDescent="0.35">
      <c r="A32" s="162">
        <v>46115</v>
      </c>
      <c r="B32" s="163" t="s">
        <v>125</v>
      </c>
      <c r="C32" s="163" t="s">
        <v>113</v>
      </c>
      <c r="D32" s="163" t="s">
        <v>193</v>
      </c>
      <c r="E32" s="163" t="s">
        <v>106</v>
      </c>
      <c r="F32" s="163" t="s">
        <v>135</v>
      </c>
      <c r="G32" s="163"/>
      <c r="H32" s="163" t="s">
        <v>115</v>
      </c>
      <c r="I32" s="163" t="s">
        <v>98</v>
      </c>
      <c r="J32" s="163" t="s">
        <v>147</v>
      </c>
      <c r="K32" s="163" t="s">
        <v>194</v>
      </c>
      <c r="L32" s="163"/>
      <c r="M32" s="163" t="s">
        <v>159</v>
      </c>
      <c r="N32" s="163" t="s">
        <v>102</v>
      </c>
      <c r="O32" s="163"/>
      <c r="P32" s="163"/>
      <c r="Q32" s="163" t="str">
        <f t="shared" ca="1" si="4"/>
        <v/>
      </c>
      <c r="R32" s="163" t="str">
        <f t="shared" ca="1" si="1"/>
        <v/>
      </c>
      <c r="S32" s="163" t="s">
        <v>103</v>
      </c>
      <c r="T32" s="164">
        <v>6070</v>
      </c>
      <c r="U32" s="164">
        <v>6070</v>
      </c>
      <c r="V32" s="162">
        <v>46115</v>
      </c>
      <c r="W32" s="163" t="s">
        <v>195</v>
      </c>
      <c r="X32" s="163" t="s">
        <v>62</v>
      </c>
      <c r="Y32" s="163" t="s">
        <v>161</v>
      </c>
      <c r="Z32" s="163"/>
      <c r="AA32" s="163"/>
      <c r="AB32" s="195" t="str">
        <f t="shared" si="2"/>
        <v>Apr-26</v>
      </c>
      <c r="AC32" s="163"/>
      <c r="AD32" s="163" t="str">
        <f t="shared" si="3"/>
        <v/>
      </c>
      <c r="AE32" s="163"/>
    </row>
    <row r="33" spans="1:31" x14ac:dyDescent="0.35">
      <c r="A33" s="162">
        <v>46116</v>
      </c>
      <c r="B33" s="163" t="s">
        <v>92</v>
      </c>
      <c r="C33" s="163" t="s">
        <v>93</v>
      </c>
      <c r="D33" s="163" t="s">
        <v>196</v>
      </c>
      <c r="E33" s="163" t="s">
        <v>106</v>
      </c>
      <c r="F33" s="163" t="s">
        <v>96</v>
      </c>
      <c r="G33" s="163" t="s">
        <v>14</v>
      </c>
      <c r="H33" s="163" t="s">
        <v>97</v>
      </c>
      <c r="I33" s="163" t="s">
        <v>121</v>
      </c>
      <c r="J33" s="163" t="s">
        <v>197</v>
      </c>
      <c r="K33" s="163" t="s">
        <v>198</v>
      </c>
      <c r="L33" s="163"/>
      <c r="M33" s="163" t="s">
        <v>199</v>
      </c>
      <c r="N33" s="163" t="s">
        <v>102</v>
      </c>
      <c r="O33" s="163"/>
      <c r="P33" s="163"/>
      <c r="Q33" s="163" t="str">
        <f t="shared" ca="1" si="4"/>
        <v/>
      </c>
      <c r="R33" s="163" t="str">
        <f t="shared" ca="1" si="1"/>
        <v/>
      </c>
      <c r="S33" s="163" t="s">
        <v>103</v>
      </c>
      <c r="T33" s="164">
        <v>34120</v>
      </c>
      <c r="U33" s="164">
        <v>34120</v>
      </c>
      <c r="V33" s="165">
        <v>46116</v>
      </c>
      <c r="W33" s="163"/>
      <c r="X33" s="163" t="s">
        <v>34</v>
      </c>
      <c r="Y33" s="163" t="s">
        <v>85</v>
      </c>
      <c r="Z33" s="163"/>
      <c r="AA33" s="162">
        <v>46142</v>
      </c>
      <c r="AB33" s="195" t="str">
        <f t="shared" si="2"/>
        <v>Apr-26</v>
      </c>
      <c r="AC33" s="163"/>
      <c r="AD33" s="163" t="str">
        <f t="shared" si="3"/>
        <v/>
      </c>
      <c r="AE33" s="163"/>
    </row>
    <row r="34" spans="1:31" x14ac:dyDescent="0.35">
      <c r="A34" s="162">
        <v>46116</v>
      </c>
      <c r="B34" s="163" t="s">
        <v>92</v>
      </c>
      <c r="C34" s="163" t="s">
        <v>93</v>
      </c>
      <c r="D34" s="163" t="s">
        <v>200</v>
      </c>
      <c r="E34" s="163" t="s">
        <v>95</v>
      </c>
      <c r="F34" s="163" t="s">
        <v>96</v>
      </c>
      <c r="G34" s="163" t="s">
        <v>10</v>
      </c>
      <c r="H34" s="163" t="s">
        <v>97</v>
      </c>
      <c r="I34" s="163" t="s">
        <v>121</v>
      </c>
      <c r="J34" s="163" t="s">
        <v>197</v>
      </c>
      <c r="K34" s="163" t="s">
        <v>201</v>
      </c>
      <c r="L34" s="163"/>
      <c r="M34" s="163" t="s">
        <v>202</v>
      </c>
      <c r="N34" s="163" t="s">
        <v>102</v>
      </c>
      <c r="O34" s="163"/>
      <c r="P34" s="163"/>
      <c r="Q34" s="163" t="str">
        <f t="shared" ca="1" si="4"/>
        <v/>
      </c>
      <c r="R34" s="163" t="str">
        <f t="shared" ref="R34:R65" ca="1" si="5">IF(OR(N34="Closed( C4 )",N34="Cancelled"),"",IF(AND(O34&lt;&gt;"",O34&lt;TODAY()),"Yes",""))</f>
        <v/>
      </c>
      <c r="S34" s="163" t="s">
        <v>103</v>
      </c>
      <c r="T34" s="164">
        <v>24800</v>
      </c>
      <c r="U34" s="164">
        <v>24800</v>
      </c>
      <c r="V34" s="165">
        <v>46116</v>
      </c>
      <c r="W34" s="163" t="s">
        <v>203</v>
      </c>
      <c r="X34" s="163" t="s">
        <v>30</v>
      </c>
      <c r="Y34" s="163" t="s">
        <v>85</v>
      </c>
      <c r="Z34" s="163"/>
      <c r="AA34" s="162">
        <v>46172</v>
      </c>
      <c r="AB34" s="195" t="str">
        <f t="shared" si="2"/>
        <v>Apr-26</v>
      </c>
      <c r="AC34" s="163"/>
      <c r="AD34" s="163" t="str">
        <f t="shared" ref="AD34:AD65" si="6">IF(AC34="Yes",U34*2%,"")</f>
        <v/>
      </c>
      <c r="AE34" s="163"/>
    </row>
    <row r="35" spans="1:31" x14ac:dyDescent="0.35">
      <c r="A35" s="162">
        <v>46116</v>
      </c>
      <c r="B35" s="163" t="s">
        <v>125</v>
      </c>
      <c r="C35" s="163" t="s">
        <v>93</v>
      </c>
      <c r="D35" s="163" t="s">
        <v>204</v>
      </c>
      <c r="E35" s="163" t="s">
        <v>95</v>
      </c>
      <c r="F35" s="163" t="s">
        <v>96</v>
      </c>
      <c r="G35" s="163" t="s">
        <v>14</v>
      </c>
      <c r="H35" s="163" t="s">
        <v>97</v>
      </c>
      <c r="I35" s="163" t="s">
        <v>121</v>
      </c>
      <c r="J35" s="163" t="s">
        <v>197</v>
      </c>
      <c r="K35" s="163" t="s">
        <v>154</v>
      </c>
      <c r="L35" s="163"/>
      <c r="M35" s="163" t="s">
        <v>159</v>
      </c>
      <c r="N35" s="163" t="s">
        <v>102</v>
      </c>
      <c r="O35" s="163"/>
      <c r="P35" s="163"/>
      <c r="Q35" s="163" t="str">
        <f t="shared" ca="1" si="4"/>
        <v/>
      </c>
      <c r="R35" s="163" t="str">
        <f t="shared" ca="1" si="5"/>
        <v/>
      </c>
      <c r="S35" s="163" t="s">
        <v>103</v>
      </c>
      <c r="T35" s="164">
        <v>34120</v>
      </c>
      <c r="U35" s="164">
        <v>34120</v>
      </c>
      <c r="V35" s="162">
        <v>46116</v>
      </c>
      <c r="W35" s="163"/>
      <c r="X35" s="163"/>
      <c r="Y35" s="163" t="s">
        <v>85</v>
      </c>
      <c r="Z35" s="163"/>
      <c r="AA35" s="163"/>
      <c r="AB35" s="195" t="str">
        <f t="shared" si="2"/>
        <v>Apr-26</v>
      </c>
      <c r="AC35" s="163"/>
      <c r="AD35" s="163" t="str">
        <f t="shared" si="6"/>
        <v/>
      </c>
      <c r="AE35" s="163"/>
    </row>
    <row r="36" spans="1:31" x14ac:dyDescent="0.35">
      <c r="A36" s="162">
        <v>46117</v>
      </c>
      <c r="B36" s="163" t="s">
        <v>92</v>
      </c>
      <c r="C36" s="163" t="s">
        <v>93</v>
      </c>
      <c r="D36" s="163" t="s">
        <v>205</v>
      </c>
      <c r="E36" s="163" t="s">
        <v>95</v>
      </c>
      <c r="F36" s="163" t="s">
        <v>115</v>
      </c>
      <c r="G36" s="163"/>
      <c r="H36" s="163" t="s">
        <v>97</v>
      </c>
      <c r="I36" s="163" t="s">
        <v>121</v>
      </c>
      <c r="J36" s="163" t="s">
        <v>197</v>
      </c>
      <c r="K36" s="163" t="s">
        <v>206</v>
      </c>
      <c r="L36" s="163"/>
      <c r="M36" s="163" t="s">
        <v>207</v>
      </c>
      <c r="N36" s="163" t="s">
        <v>102</v>
      </c>
      <c r="O36" s="163"/>
      <c r="P36" s="163"/>
      <c r="Q36" s="163" t="str">
        <f t="shared" ca="1" si="4"/>
        <v/>
      </c>
      <c r="R36" s="163" t="str">
        <f t="shared" ca="1" si="5"/>
        <v/>
      </c>
      <c r="S36" s="163" t="s">
        <v>103</v>
      </c>
      <c r="T36" s="164">
        <v>8800</v>
      </c>
      <c r="U36" s="164">
        <v>8800</v>
      </c>
      <c r="V36" s="165">
        <v>46116</v>
      </c>
      <c r="W36" s="163"/>
      <c r="X36" s="163" t="s">
        <v>30</v>
      </c>
      <c r="Y36" s="163" t="s">
        <v>161</v>
      </c>
      <c r="Z36" s="163"/>
      <c r="AA36" s="162">
        <v>46117</v>
      </c>
      <c r="AB36" s="195" t="str">
        <f t="shared" si="2"/>
        <v>Apr-26</v>
      </c>
      <c r="AC36" s="163"/>
      <c r="AD36" s="163" t="str">
        <f t="shared" si="6"/>
        <v/>
      </c>
      <c r="AE36" s="163"/>
    </row>
    <row r="37" spans="1:31" x14ac:dyDescent="0.35">
      <c r="A37" s="162">
        <v>46117</v>
      </c>
      <c r="B37" s="163" t="s">
        <v>92</v>
      </c>
      <c r="C37" s="163" t="s">
        <v>93</v>
      </c>
      <c r="D37" s="163" t="s">
        <v>196</v>
      </c>
      <c r="E37" s="163" t="s">
        <v>95</v>
      </c>
      <c r="F37" s="163" t="s">
        <v>96</v>
      </c>
      <c r="G37" s="163" t="s">
        <v>14</v>
      </c>
      <c r="H37" s="163" t="s">
        <v>97</v>
      </c>
      <c r="I37" s="163" t="s">
        <v>121</v>
      </c>
      <c r="J37" s="163" t="s">
        <v>197</v>
      </c>
      <c r="K37" s="163" t="s">
        <v>198</v>
      </c>
      <c r="L37" s="163"/>
      <c r="M37" s="163" t="s">
        <v>208</v>
      </c>
      <c r="N37" s="163" t="s">
        <v>102</v>
      </c>
      <c r="O37" s="163"/>
      <c r="P37" s="163"/>
      <c r="Q37" s="163" t="str">
        <f t="shared" ca="1" si="4"/>
        <v/>
      </c>
      <c r="R37" s="163" t="str">
        <f t="shared" ca="1" si="5"/>
        <v/>
      </c>
      <c r="S37" s="163" t="s">
        <v>103</v>
      </c>
      <c r="T37" s="164">
        <v>52350</v>
      </c>
      <c r="U37" s="164">
        <v>52350</v>
      </c>
      <c r="V37" s="165">
        <v>46117</v>
      </c>
      <c r="W37" s="163" t="s">
        <v>124</v>
      </c>
      <c r="X37" s="163" t="s">
        <v>34</v>
      </c>
      <c r="Y37" s="163" t="s">
        <v>85</v>
      </c>
      <c r="Z37" s="163"/>
      <c r="AA37" s="162">
        <v>46142</v>
      </c>
      <c r="AB37" s="195" t="str">
        <f t="shared" si="2"/>
        <v>Apr-26</v>
      </c>
      <c r="AC37" s="163"/>
      <c r="AD37" s="163" t="str">
        <f t="shared" si="6"/>
        <v/>
      </c>
      <c r="AE37" s="163"/>
    </row>
    <row r="38" spans="1:31" x14ac:dyDescent="0.35">
      <c r="A38" s="162">
        <v>46117</v>
      </c>
      <c r="B38" s="163" t="s">
        <v>125</v>
      </c>
      <c r="C38" s="163" t="s">
        <v>113</v>
      </c>
      <c r="D38" s="163" t="s">
        <v>209</v>
      </c>
      <c r="E38" s="163" t="s">
        <v>106</v>
      </c>
      <c r="F38" s="163" t="s">
        <v>96</v>
      </c>
      <c r="G38" s="163" t="s">
        <v>11</v>
      </c>
      <c r="H38" s="163" t="s">
        <v>115</v>
      </c>
      <c r="I38" s="163" t="s">
        <v>98</v>
      </c>
      <c r="J38" s="163" t="s">
        <v>147</v>
      </c>
      <c r="K38" s="163" t="s">
        <v>210</v>
      </c>
      <c r="L38" s="163"/>
      <c r="M38" s="163" t="s">
        <v>159</v>
      </c>
      <c r="N38" s="163" t="s">
        <v>102</v>
      </c>
      <c r="O38" s="163"/>
      <c r="P38" s="163"/>
      <c r="Q38" s="163" t="str">
        <f t="shared" ca="1" si="4"/>
        <v/>
      </c>
      <c r="R38" s="163" t="str">
        <f t="shared" ca="1" si="5"/>
        <v/>
      </c>
      <c r="S38" s="163" t="s">
        <v>103</v>
      </c>
      <c r="T38" s="164">
        <v>36920</v>
      </c>
      <c r="U38" s="164">
        <v>36920</v>
      </c>
      <c r="V38" s="162">
        <v>46117</v>
      </c>
      <c r="W38" s="163"/>
      <c r="X38" s="163" t="s">
        <v>37</v>
      </c>
      <c r="Y38" s="163" t="s">
        <v>85</v>
      </c>
      <c r="Z38" s="163"/>
      <c r="AA38" s="163"/>
      <c r="AB38" s="195" t="str">
        <f t="shared" si="2"/>
        <v>Apr-26</v>
      </c>
      <c r="AC38" s="163"/>
      <c r="AD38" s="163" t="str">
        <f t="shared" si="6"/>
        <v/>
      </c>
      <c r="AE38" s="163"/>
    </row>
    <row r="39" spans="1:31" x14ac:dyDescent="0.35">
      <c r="A39" s="162">
        <v>46117</v>
      </c>
      <c r="B39" s="163" t="s">
        <v>125</v>
      </c>
      <c r="C39" s="163" t="s">
        <v>93</v>
      </c>
      <c r="D39" s="163" t="s">
        <v>204</v>
      </c>
      <c r="E39" s="163" t="s">
        <v>95</v>
      </c>
      <c r="F39" s="163" t="s">
        <v>96</v>
      </c>
      <c r="G39" s="163" t="s">
        <v>14</v>
      </c>
      <c r="H39" s="163" t="s">
        <v>97</v>
      </c>
      <c r="I39" s="163" t="s">
        <v>121</v>
      </c>
      <c r="J39" s="163" t="s">
        <v>197</v>
      </c>
      <c r="K39" s="163" t="s">
        <v>154</v>
      </c>
      <c r="L39" s="163"/>
      <c r="M39" s="163" t="s">
        <v>159</v>
      </c>
      <c r="N39" s="163" t="s">
        <v>102</v>
      </c>
      <c r="O39" s="163"/>
      <c r="P39" s="163"/>
      <c r="Q39" s="163" t="str">
        <f t="shared" ca="1" si="4"/>
        <v/>
      </c>
      <c r="R39" s="163" t="str">
        <f t="shared" ca="1" si="5"/>
        <v/>
      </c>
      <c r="S39" s="163" t="s">
        <v>103</v>
      </c>
      <c r="T39" s="164">
        <v>52350</v>
      </c>
      <c r="U39" s="164">
        <v>52350</v>
      </c>
      <c r="V39" s="162">
        <v>46117</v>
      </c>
      <c r="W39" s="163"/>
      <c r="X39" s="163"/>
      <c r="Y39" s="163" t="s">
        <v>85</v>
      </c>
      <c r="Z39" s="163"/>
      <c r="AA39" s="163"/>
      <c r="AB39" s="195" t="str">
        <f t="shared" si="2"/>
        <v>Apr-26</v>
      </c>
      <c r="AC39" s="163"/>
      <c r="AD39" s="163" t="str">
        <f t="shared" si="6"/>
        <v/>
      </c>
      <c r="AE39" s="163"/>
    </row>
    <row r="40" spans="1:31" x14ac:dyDescent="0.35">
      <c r="A40" s="162">
        <v>46118</v>
      </c>
      <c r="B40" s="163" t="s">
        <v>92</v>
      </c>
      <c r="C40" s="163" t="s">
        <v>93</v>
      </c>
      <c r="D40" s="163" t="s">
        <v>196</v>
      </c>
      <c r="E40" s="163" t="s">
        <v>106</v>
      </c>
      <c r="F40" s="163" t="s">
        <v>96</v>
      </c>
      <c r="G40" s="163" t="s">
        <v>14</v>
      </c>
      <c r="H40" s="163" t="s">
        <v>97</v>
      </c>
      <c r="I40" s="163" t="s">
        <v>121</v>
      </c>
      <c r="J40" s="163" t="s">
        <v>197</v>
      </c>
      <c r="K40" s="163" t="s">
        <v>198</v>
      </c>
      <c r="L40" s="163"/>
      <c r="M40" s="163" t="s">
        <v>211</v>
      </c>
      <c r="N40" s="163" t="s">
        <v>102</v>
      </c>
      <c r="O40" s="163"/>
      <c r="P40" s="163"/>
      <c r="Q40" s="163" t="str">
        <f t="shared" ca="1" si="4"/>
        <v/>
      </c>
      <c r="R40" s="163" t="str">
        <f t="shared" ca="1" si="5"/>
        <v/>
      </c>
      <c r="S40" s="163" t="s">
        <v>103</v>
      </c>
      <c r="T40" s="164">
        <v>27150</v>
      </c>
      <c r="U40" s="164">
        <v>27150</v>
      </c>
      <c r="V40" s="165">
        <v>46118</v>
      </c>
      <c r="W40" s="163"/>
      <c r="X40" s="163" t="s">
        <v>34</v>
      </c>
      <c r="Y40" s="163" t="s">
        <v>85</v>
      </c>
      <c r="Z40" s="163"/>
      <c r="AA40" s="162">
        <v>46142</v>
      </c>
      <c r="AB40" s="195" t="str">
        <f t="shared" si="2"/>
        <v>Apr-26</v>
      </c>
      <c r="AC40" s="163"/>
      <c r="AD40" s="163" t="str">
        <f t="shared" si="6"/>
        <v/>
      </c>
      <c r="AE40" s="163"/>
    </row>
    <row r="41" spans="1:31" x14ac:dyDescent="0.35">
      <c r="A41" s="162">
        <v>46118</v>
      </c>
      <c r="B41" s="163" t="s">
        <v>92</v>
      </c>
      <c r="C41" s="163" t="s">
        <v>93</v>
      </c>
      <c r="D41" s="163" t="s">
        <v>105</v>
      </c>
      <c r="E41" s="163" t="s">
        <v>106</v>
      </c>
      <c r="F41" s="163" t="s">
        <v>96</v>
      </c>
      <c r="G41" s="163" t="s">
        <v>12</v>
      </c>
      <c r="H41" s="163" t="s">
        <v>97</v>
      </c>
      <c r="I41" s="163" t="s">
        <v>121</v>
      </c>
      <c r="J41" s="163" t="s">
        <v>116</v>
      </c>
      <c r="K41" s="163" t="s">
        <v>107</v>
      </c>
      <c r="L41" s="163"/>
      <c r="M41" s="163" t="s">
        <v>212</v>
      </c>
      <c r="N41" s="163" t="s">
        <v>102</v>
      </c>
      <c r="O41" s="163"/>
      <c r="P41" s="163"/>
      <c r="Q41" s="163" t="str">
        <f t="shared" ca="1" si="4"/>
        <v/>
      </c>
      <c r="R41" s="163" t="str">
        <f t="shared" ca="1" si="5"/>
        <v/>
      </c>
      <c r="S41" s="163" t="s">
        <v>103</v>
      </c>
      <c r="T41" s="164">
        <v>33665</v>
      </c>
      <c r="U41" s="164">
        <v>33665</v>
      </c>
      <c r="V41" s="165">
        <v>46118</v>
      </c>
      <c r="W41" s="163"/>
      <c r="X41" s="163" t="s">
        <v>27</v>
      </c>
      <c r="Y41" s="163" t="s">
        <v>85</v>
      </c>
      <c r="Z41" s="163"/>
      <c r="AA41" s="162">
        <v>46142</v>
      </c>
      <c r="AB41" s="195" t="str">
        <f t="shared" si="2"/>
        <v>Apr-26</v>
      </c>
      <c r="AC41" s="163"/>
      <c r="AD41" s="163" t="str">
        <f t="shared" si="6"/>
        <v/>
      </c>
      <c r="AE41" s="163"/>
    </row>
    <row r="42" spans="1:31" x14ac:dyDescent="0.35">
      <c r="A42" s="162">
        <v>46118</v>
      </c>
      <c r="B42" s="163" t="s">
        <v>125</v>
      </c>
      <c r="C42" s="163" t="s">
        <v>93</v>
      </c>
      <c r="D42" s="163" t="s">
        <v>204</v>
      </c>
      <c r="E42" s="163" t="s">
        <v>95</v>
      </c>
      <c r="F42" s="163" t="s">
        <v>96</v>
      </c>
      <c r="G42" s="163" t="s">
        <v>14</v>
      </c>
      <c r="H42" s="163" t="s">
        <v>97</v>
      </c>
      <c r="I42" s="163" t="s">
        <v>121</v>
      </c>
      <c r="J42" s="163" t="s">
        <v>197</v>
      </c>
      <c r="K42" s="163" t="s">
        <v>154</v>
      </c>
      <c r="L42" s="163"/>
      <c r="M42" s="163" t="s">
        <v>159</v>
      </c>
      <c r="N42" s="163" t="s">
        <v>102</v>
      </c>
      <c r="O42" s="163"/>
      <c r="P42" s="163"/>
      <c r="Q42" s="163" t="str">
        <f t="shared" ca="1" si="4"/>
        <v/>
      </c>
      <c r="R42" s="163" t="str">
        <f t="shared" ca="1" si="5"/>
        <v/>
      </c>
      <c r="S42" s="163" t="s">
        <v>103</v>
      </c>
      <c r="T42" s="164">
        <v>27150</v>
      </c>
      <c r="U42" s="164">
        <v>27150</v>
      </c>
      <c r="V42" s="162">
        <v>46118</v>
      </c>
      <c r="W42" s="163"/>
      <c r="X42" s="163"/>
      <c r="Y42" s="163" t="s">
        <v>85</v>
      </c>
      <c r="Z42" s="163"/>
      <c r="AA42" s="163"/>
      <c r="AB42" s="195" t="str">
        <f t="shared" si="2"/>
        <v>Apr-26</v>
      </c>
      <c r="AC42" s="163"/>
      <c r="AD42" s="163" t="str">
        <f t="shared" si="6"/>
        <v/>
      </c>
      <c r="AE42" s="163"/>
    </row>
    <row r="43" spans="1:31" x14ac:dyDescent="0.35">
      <c r="A43" s="162">
        <v>46118</v>
      </c>
      <c r="B43" s="163" t="s">
        <v>125</v>
      </c>
      <c r="C43" s="163" t="s">
        <v>113</v>
      </c>
      <c r="D43" s="163" t="s">
        <v>213</v>
      </c>
      <c r="E43" s="163" t="s">
        <v>106</v>
      </c>
      <c r="F43" s="163" t="s">
        <v>135</v>
      </c>
      <c r="G43" s="163"/>
      <c r="H43" s="163" t="s">
        <v>115</v>
      </c>
      <c r="I43" s="163" t="s">
        <v>98</v>
      </c>
      <c r="J43" s="163" t="s">
        <v>147</v>
      </c>
      <c r="K43" s="163" t="s">
        <v>214</v>
      </c>
      <c r="L43" s="163"/>
      <c r="M43" s="163" t="s">
        <v>159</v>
      </c>
      <c r="N43" s="163" t="s">
        <v>102</v>
      </c>
      <c r="O43" s="163"/>
      <c r="P43" s="163"/>
      <c r="Q43" s="163" t="str">
        <f t="shared" ca="1" si="4"/>
        <v/>
      </c>
      <c r="R43" s="163" t="str">
        <f t="shared" ca="1" si="5"/>
        <v/>
      </c>
      <c r="S43" s="163" t="s">
        <v>103</v>
      </c>
      <c r="T43" s="164">
        <v>5315</v>
      </c>
      <c r="U43" s="164">
        <v>5315</v>
      </c>
      <c r="V43" s="162">
        <v>46118</v>
      </c>
      <c r="W43" s="163" t="s">
        <v>215</v>
      </c>
      <c r="X43" s="163" t="s">
        <v>29</v>
      </c>
      <c r="Y43" s="163" t="s">
        <v>161</v>
      </c>
      <c r="Z43" s="163"/>
      <c r="AA43" s="163"/>
      <c r="AB43" s="195" t="str">
        <f t="shared" si="2"/>
        <v>Apr-26</v>
      </c>
      <c r="AC43" s="163"/>
      <c r="AD43" s="163" t="str">
        <f t="shared" si="6"/>
        <v/>
      </c>
      <c r="AE43" s="163"/>
    </row>
    <row r="44" spans="1:31" x14ac:dyDescent="0.35">
      <c r="A44" s="162">
        <v>46118</v>
      </c>
      <c r="B44" s="163" t="s">
        <v>125</v>
      </c>
      <c r="C44" s="163" t="s">
        <v>113</v>
      </c>
      <c r="D44" s="163" t="s">
        <v>216</v>
      </c>
      <c r="E44" s="163" t="s">
        <v>106</v>
      </c>
      <c r="F44" s="163" t="s">
        <v>135</v>
      </c>
      <c r="G44" s="163"/>
      <c r="H44" s="163" t="s">
        <v>115</v>
      </c>
      <c r="I44" s="163" t="s">
        <v>98</v>
      </c>
      <c r="J44" s="163" t="s">
        <v>147</v>
      </c>
      <c r="K44" s="163" t="s">
        <v>217</v>
      </c>
      <c r="L44" s="163"/>
      <c r="M44" s="163" t="s">
        <v>159</v>
      </c>
      <c r="N44" s="163" t="s">
        <v>102</v>
      </c>
      <c r="O44" s="163"/>
      <c r="P44" s="163"/>
      <c r="Q44" s="163" t="str">
        <f t="shared" ca="1" si="4"/>
        <v/>
      </c>
      <c r="R44" s="163" t="str">
        <f t="shared" ca="1" si="5"/>
        <v/>
      </c>
      <c r="S44" s="163" t="s">
        <v>103</v>
      </c>
      <c r="T44" s="164">
        <v>7290</v>
      </c>
      <c r="U44" s="164">
        <v>7290</v>
      </c>
      <c r="V44" s="162">
        <v>46118</v>
      </c>
      <c r="W44" s="163" t="s">
        <v>218</v>
      </c>
      <c r="X44" s="163" t="s">
        <v>29</v>
      </c>
      <c r="Y44" s="163" t="s">
        <v>161</v>
      </c>
      <c r="Z44" s="163"/>
      <c r="AA44" s="163"/>
      <c r="AB44" s="195" t="str">
        <f t="shared" si="2"/>
        <v>Apr-26</v>
      </c>
      <c r="AC44" s="163"/>
      <c r="AD44" s="163" t="str">
        <f t="shared" si="6"/>
        <v/>
      </c>
      <c r="AE44" s="163"/>
    </row>
    <row r="45" spans="1:31" x14ac:dyDescent="0.35">
      <c r="A45" s="162">
        <v>46119</v>
      </c>
      <c r="B45" s="163" t="s">
        <v>92</v>
      </c>
      <c r="C45" s="163" t="s">
        <v>93</v>
      </c>
      <c r="D45" s="163" t="s">
        <v>182</v>
      </c>
      <c r="E45" s="163" t="s">
        <v>95</v>
      </c>
      <c r="F45" s="163" t="s">
        <v>96</v>
      </c>
      <c r="G45" s="163" t="s">
        <v>15</v>
      </c>
      <c r="H45" s="163" t="s">
        <v>97</v>
      </c>
      <c r="I45" s="163" t="s">
        <v>121</v>
      </c>
      <c r="J45" s="163" t="s">
        <v>116</v>
      </c>
      <c r="K45" s="163" t="s">
        <v>183</v>
      </c>
      <c r="L45" s="163"/>
      <c r="M45" s="163" t="s">
        <v>219</v>
      </c>
      <c r="N45" s="163" t="s">
        <v>102</v>
      </c>
      <c r="O45" s="163"/>
      <c r="P45" s="163"/>
      <c r="Q45" s="163" t="str">
        <f t="shared" ca="1" si="4"/>
        <v/>
      </c>
      <c r="R45" s="163" t="str">
        <f t="shared" ca="1" si="5"/>
        <v/>
      </c>
      <c r="S45" s="163" t="s">
        <v>103</v>
      </c>
      <c r="T45" s="164">
        <v>57290</v>
      </c>
      <c r="U45" s="164">
        <v>57290</v>
      </c>
      <c r="V45" s="165">
        <v>46119</v>
      </c>
      <c r="W45" s="163" t="s">
        <v>220</v>
      </c>
      <c r="X45" s="163" t="s">
        <v>30</v>
      </c>
      <c r="Y45" s="163" t="s">
        <v>85</v>
      </c>
      <c r="Z45" s="163"/>
      <c r="AA45" s="162">
        <v>46142</v>
      </c>
      <c r="AB45" s="195" t="str">
        <f t="shared" si="2"/>
        <v>Apr-26</v>
      </c>
      <c r="AC45" s="163"/>
      <c r="AD45" s="163" t="str">
        <f t="shared" si="6"/>
        <v/>
      </c>
      <c r="AE45" s="163"/>
    </row>
    <row r="46" spans="1:31" x14ac:dyDescent="0.35">
      <c r="A46" s="162">
        <v>46119</v>
      </c>
      <c r="B46" s="163" t="s">
        <v>92</v>
      </c>
      <c r="C46" s="163" t="s">
        <v>93</v>
      </c>
      <c r="D46" s="163" t="s">
        <v>186</v>
      </c>
      <c r="E46" s="163" t="s">
        <v>95</v>
      </c>
      <c r="F46" s="163" t="s">
        <v>96</v>
      </c>
      <c r="G46" s="163" t="s">
        <v>15</v>
      </c>
      <c r="H46" s="163" t="s">
        <v>97</v>
      </c>
      <c r="I46" s="163" t="s">
        <v>121</v>
      </c>
      <c r="J46" s="163" t="s">
        <v>116</v>
      </c>
      <c r="K46" s="163" t="s">
        <v>183</v>
      </c>
      <c r="L46" s="163"/>
      <c r="M46" s="163" t="s">
        <v>221</v>
      </c>
      <c r="N46" s="163" t="s">
        <v>102</v>
      </c>
      <c r="O46" s="163"/>
      <c r="P46" s="163"/>
      <c r="Q46" s="163" t="str">
        <f t="shared" ca="1" si="4"/>
        <v/>
      </c>
      <c r="R46" s="163" t="str">
        <f t="shared" ca="1" si="5"/>
        <v/>
      </c>
      <c r="S46" s="163" t="s">
        <v>103</v>
      </c>
      <c r="T46" s="164">
        <v>21980</v>
      </c>
      <c r="U46" s="164">
        <v>21980</v>
      </c>
      <c r="V46" s="165">
        <v>46119</v>
      </c>
      <c r="W46" s="163"/>
      <c r="X46" s="163" t="s">
        <v>55</v>
      </c>
      <c r="Y46" s="163" t="s">
        <v>85</v>
      </c>
      <c r="Z46" s="163"/>
      <c r="AA46" s="162">
        <v>46142</v>
      </c>
      <c r="AB46" s="195" t="str">
        <f t="shared" si="2"/>
        <v>Apr-26</v>
      </c>
      <c r="AC46" s="163"/>
      <c r="AD46" s="163" t="str">
        <f t="shared" si="6"/>
        <v/>
      </c>
      <c r="AE46" s="163"/>
    </row>
    <row r="47" spans="1:31" x14ac:dyDescent="0.35">
      <c r="A47" s="162">
        <v>46119</v>
      </c>
      <c r="B47" s="163" t="s">
        <v>92</v>
      </c>
      <c r="C47" s="163" t="s">
        <v>93</v>
      </c>
      <c r="D47" s="163" t="s">
        <v>105</v>
      </c>
      <c r="E47" s="163" t="s">
        <v>106</v>
      </c>
      <c r="F47" s="163" t="s">
        <v>96</v>
      </c>
      <c r="G47" s="163" t="s">
        <v>12</v>
      </c>
      <c r="H47" s="163" t="s">
        <v>97</v>
      </c>
      <c r="I47" s="163" t="s">
        <v>121</v>
      </c>
      <c r="J47" s="163" t="s">
        <v>116</v>
      </c>
      <c r="K47" s="163" t="s">
        <v>107</v>
      </c>
      <c r="L47" s="163"/>
      <c r="M47" s="163" t="s">
        <v>222</v>
      </c>
      <c r="N47" s="163" t="s">
        <v>102</v>
      </c>
      <c r="O47" s="163"/>
      <c r="P47" s="163"/>
      <c r="Q47" s="163" t="str">
        <f t="shared" ca="1" si="4"/>
        <v/>
      </c>
      <c r="R47" s="163" t="str">
        <f t="shared" ca="1" si="5"/>
        <v/>
      </c>
      <c r="S47" s="163" t="s">
        <v>103</v>
      </c>
      <c r="T47" s="164">
        <v>57406</v>
      </c>
      <c r="U47" s="164">
        <v>57406</v>
      </c>
      <c r="V47" s="165">
        <v>46119</v>
      </c>
      <c r="W47" s="163"/>
      <c r="X47" s="163" t="s">
        <v>27</v>
      </c>
      <c r="Y47" s="163" t="s">
        <v>85</v>
      </c>
      <c r="Z47" s="163"/>
      <c r="AA47" s="162">
        <v>46142</v>
      </c>
      <c r="AB47" s="195" t="str">
        <f t="shared" si="2"/>
        <v>Apr-26</v>
      </c>
      <c r="AC47" s="163"/>
      <c r="AD47" s="163" t="str">
        <f t="shared" si="6"/>
        <v/>
      </c>
      <c r="AE47" s="163"/>
    </row>
    <row r="48" spans="1:31" x14ac:dyDescent="0.35">
      <c r="A48" s="162">
        <v>46119</v>
      </c>
      <c r="B48" s="163" t="s">
        <v>125</v>
      </c>
      <c r="C48" s="163" t="s">
        <v>113</v>
      </c>
      <c r="D48" s="163" t="s">
        <v>223</v>
      </c>
      <c r="E48" s="163" t="s">
        <v>95</v>
      </c>
      <c r="F48" s="163" t="s">
        <v>135</v>
      </c>
      <c r="G48" s="163"/>
      <c r="H48" s="163" t="s">
        <v>163</v>
      </c>
      <c r="I48" s="163" t="s">
        <v>98</v>
      </c>
      <c r="J48" s="163"/>
      <c r="K48" s="163" t="s">
        <v>224</v>
      </c>
      <c r="L48" s="163"/>
      <c r="M48" s="163" t="s">
        <v>159</v>
      </c>
      <c r="N48" s="163" t="s">
        <v>102</v>
      </c>
      <c r="O48" s="163"/>
      <c r="P48" s="163"/>
      <c r="Q48" s="163" t="str">
        <f t="shared" ca="1" si="4"/>
        <v/>
      </c>
      <c r="R48" s="163" t="str">
        <f t="shared" ca="1" si="5"/>
        <v/>
      </c>
      <c r="S48" s="163" t="s">
        <v>103</v>
      </c>
      <c r="T48" s="164">
        <v>15731</v>
      </c>
      <c r="U48" s="164">
        <v>15731</v>
      </c>
      <c r="V48" s="162">
        <v>46119</v>
      </c>
      <c r="W48" s="163"/>
      <c r="X48" s="163" t="s">
        <v>62</v>
      </c>
      <c r="Y48" s="163" t="s">
        <v>161</v>
      </c>
      <c r="Z48" s="163"/>
      <c r="AA48" s="163"/>
      <c r="AB48" s="195" t="str">
        <f t="shared" si="2"/>
        <v>Apr-26</v>
      </c>
      <c r="AC48" s="163"/>
      <c r="AD48" s="163" t="str">
        <f t="shared" si="6"/>
        <v/>
      </c>
      <c r="AE48" s="163"/>
    </row>
    <row r="49" spans="1:31" x14ac:dyDescent="0.35">
      <c r="A49" s="162">
        <v>46119</v>
      </c>
      <c r="B49" s="163" t="s">
        <v>125</v>
      </c>
      <c r="C49" s="163" t="s">
        <v>143</v>
      </c>
      <c r="D49" s="163" t="s">
        <v>225</v>
      </c>
      <c r="E49" s="163" t="s">
        <v>95</v>
      </c>
      <c r="F49" s="163" t="s">
        <v>96</v>
      </c>
      <c r="G49" s="163" t="s">
        <v>14</v>
      </c>
      <c r="H49" s="163" t="s">
        <v>226</v>
      </c>
      <c r="I49" s="163" t="s">
        <v>121</v>
      </c>
      <c r="J49" s="163" t="s">
        <v>153</v>
      </c>
      <c r="K49" s="163" t="s">
        <v>227</v>
      </c>
      <c r="L49" s="163"/>
      <c r="M49" s="163" t="s">
        <v>228</v>
      </c>
      <c r="N49" s="163" t="s">
        <v>156</v>
      </c>
      <c r="O49" s="163"/>
      <c r="P49" s="163"/>
      <c r="Q49" s="163"/>
      <c r="R49" s="163" t="str">
        <f t="shared" ca="1" si="5"/>
        <v/>
      </c>
      <c r="S49" s="163" t="s">
        <v>103</v>
      </c>
      <c r="T49" s="164"/>
      <c r="U49" s="164"/>
      <c r="V49" s="165"/>
      <c r="W49" s="163"/>
      <c r="X49" s="163"/>
      <c r="Y49" s="163"/>
      <c r="Z49" s="163"/>
      <c r="AA49" s="163"/>
      <c r="AB49" s="195" t="str">
        <f t="shared" si="2"/>
        <v>Apr-26</v>
      </c>
      <c r="AC49" s="163"/>
      <c r="AD49" s="163" t="str">
        <f t="shared" si="6"/>
        <v/>
      </c>
      <c r="AE49" s="163"/>
    </row>
    <row r="50" spans="1:31" x14ac:dyDescent="0.35">
      <c r="A50" s="162">
        <v>46119</v>
      </c>
      <c r="B50" s="163" t="s">
        <v>125</v>
      </c>
      <c r="C50" s="163" t="s">
        <v>113</v>
      </c>
      <c r="D50" s="163" t="s">
        <v>10</v>
      </c>
      <c r="E50" s="163" t="s">
        <v>106</v>
      </c>
      <c r="F50" s="163" t="s">
        <v>96</v>
      </c>
      <c r="G50" s="163" t="s">
        <v>10</v>
      </c>
      <c r="H50" s="163"/>
      <c r="I50" s="163"/>
      <c r="J50" s="163" t="s">
        <v>99</v>
      </c>
      <c r="K50" s="163" t="s">
        <v>229</v>
      </c>
      <c r="L50" s="163"/>
      <c r="M50" s="163" t="s">
        <v>228</v>
      </c>
      <c r="N50" s="163" t="s">
        <v>156</v>
      </c>
      <c r="O50" s="163"/>
      <c r="P50" s="163"/>
      <c r="Q50" s="163"/>
      <c r="R50" s="163" t="str">
        <f t="shared" ca="1" si="5"/>
        <v/>
      </c>
      <c r="S50" s="163" t="s">
        <v>103</v>
      </c>
      <c r="T50" s="164"/>
      <c r="U50" s="164"/>
      <c r="V50" s="165"/>
      <c r="W50" s="163"/>
      <c r="X50" s="163"/>
      <c r="Y50" s="163"/>
      <c r="Z50" s="163"/>
      <c r="AA50" s="163"/>
      <c r="AB50" s="195" t="str">
        <f t="shared" si="2"/>
        <v>Apr-26</v>
      </c>
      <c r="AC50" s="163"/>
      <c r="AD50" s="163" t="str">
        <f t="shared" si="6"/>
        <v/>
      </c>
      <c r="AE50" s="163"/>
    </row>
    <row r="51" spans="1:31" x14ac:dyDescent="0.35">
      <c r="A51" s="162">
        <v>46119</v>
      </c>
      <c r="B51" s="163" t="s">
        <v>125</v>
      </c>
      <c r="C51" s="163" t="s">
        <v>113</v>
      </c>
      <c r="D51" s="163" t="s">
        <v>230</v>
      </c>
      <c r="E51" s="163" t="s">
        <v>95</v>
      </c>
      <c r="F51" s="163" t="s">
        <v>96</v>
      </c>
      <c r="G51" s="163" t="s">
        <v>15</v>
      </c>
      <c r="H51" s="163" t="s">
        <v>163</v>
      </c>
      <c r="I51" s="163"/>
      <c r="J51" s="163" t="s">
        <v>99</v>
      </c>
      <c r="K51" s="163" t="s">
        <v>231</v>
      </c>
      <c r="L51" s="163"/>
      <c r="M51" s="163" t="s">
        <v>228</v>
      </c>
      <c r="N51" s="163" t="s">
        <v>156</v>
      </c>
      <c r="O51" s="163"/>
      <c r="P51" s="163"/>
      <c r="Q51" s="163"/>
      <c r="R51" s="163" t="str">
        <f t="shared" ca="1" si="5"/>
        <v/>
      </c>
      <c r="S51" s="163" t="s">
        <v>103</v>
      </c>
      <c r="T51" s="164"/>
      <c r="U51" s="164"/>
      <c r="V51" s="165"/>
      <c r="W51" s="163"/>
      <c r="X51" s="163"/>
      <c r="Y51" s="163"/>
      <c r="Z51" s="163"/>
      <c r="AA51" s="163"/>
      <c r="AB51" s="195" t="str">
        <f t="shared" si="2"/>
        <v>Apr-26</v>
      </c>
      <c r="AC51" s="163"/>
      <c r="AD51" s="163" t="str">
        <f t="shared" si="6"/>
        <v/>
      </c>
      <c r="AE51" s="163"/>
    </row>
    <row r="52" spans="1:31" x14ac:dyDescent="0.35">
      <c r="A52" s="162">
        <v>46119</v>
      </c>
      <c r="B52" s="163" t="s">
        <v>125</v>
      </c>
      <c r="C52" s="163" t="s">
        <v>113</v>
      </c>
      <c r="D52" s="163" t="s">
        <v>27</v>
      </c>
      <c r="E52" s="163" t="s">
        <v>106</v>
      </c>
      <c r="F52" s="163" t="s">
        <v>135</v>
      </c>
      <c r="G52" s="163"/>
      <c r="H52" s="163" t="s">
        <v>115</v>
      </c>
      <c r="I52" s="163"/>
      <c r="J52" s="163" t="s">
        <v>147</v>
      </c>
      <c r="K52" s="163" t="s">
        <v>232</v>
      </c>
      <c r="L52" s="163"/>
      <c r="M52" s="163" t="s">
        <v>159</v>
      </c>
      <c r="N52" s="163" t="s">
        <v>102</v>
      </c>
      <c r="O52" s="163"/>
      <c r="P52" s="163"/>
      <c r="Q52" s="163" t="str">
        <f t="shared" ref="Q52:Q71" ca="1" si="7">IF(N52="Closed(C4)","",IF(N52="","",TODAY()-A52))</f>
        <v/>
      </c>
      <c r="R52" s="163" t="str">
        <f t="shared" ca="1" si="5"/>
        <v/>
      </c>
      <c r="S52" s="163" t="s">
        <v>103</v>
      </c>
      <c r="T52" s="164">
        <v>6500</v>
      </c>
      <c r="U52" s="164">
        <v>6500</v>
      </c>
      <c r="V52" s="162">
        <v>46119</v>
      </c>
      <c r="W52" s="163" t="s">
        <v>233</v>
      </c>
      <c r="X52" s="163" t="s">
        <v>29</v>
      </c>
      <c r="Y52" s="163" t="s">
        <v>161</v>
      </c>
      <c r="Z52" s="163"/>
      <c r="AA52" s="163"/>
      <c r="AB52" s="195" t="str">
        <f t="shared" si="2"/>
        <v>Apr-26</v>
      </c>
      <c r="AC52" s="163"/>
      <c r="AD52" s="163" t="str">
        <f t="shared" si="6"/>
        <v/>
      </c>
      <c r="AE52" s="163"/>
    </row>
    <row r="53" spans="1:31" x14ac:dyDescent="0.35">
      <c r="A53" s="162">
        <v>46119</v>
      </c>
      <c r="B53" s="163" t="s">
        <v>125</v>
      </c>
      <c r="C53" s="163" t="s">
        <v>113</v>
      </c>
      <c r="D53" s="163" t="s">
        <v>234</v>
      </c>
      <c r="E53" s="163" t="s">
        <v>106</v>
      </c>
      <c r="F53" s="163" t="s">
        <v>135</v>
      </c>
      <c r="G53" s="163"/>
      <c r="H53" s="163" t="s">
        <v>115</v>
      </c>
      <c r="I53" s="163"/>
      <c r="J53" s="163" t="s">
        <v>147</v>
      </c>
      <c r="K53" s="163" t="s">
        <v>235</v>
      </c>
      <c r="L53" s="163"/>
      <c r="M53" s="163" t="s">
        <v>159</v>
      </c>
      <c r="N53" s="163" t="s">
        <v>102</v>
      </c>
      <c r="O53" s="163"/>
      <c r="P53" s="163"/>
      <c r="Q53" s="163" t="str">
        <f t="shared" ca="1" si="7"/>
        <v/>
      </c>
      <c r="R53" s="163" t="str">
        <f t="shared" ca="1" si="5"/>
        <v/>
      </c>
      <c r="S53" s="163" t="s">
        <v>103</v>
      </c>
      <c r="T53" s="164">
        <v>6040</v>
      </c>
      <c r="U53" s="164">
        <v>6040</v>
      </c>
      <c r="V53" s="162">
        <v>46119</v>
      </c>
      <c r="W53" s="163" t="s">
        <v>236</v>
      </c>
      <c r="X53" s="163" t="s">
        <v>62</v>
      </c>
      <c r="Y53" s="163" t="s">
        <v>161</v>
      </c>
      <c r="Z53" s="163"/>
      <c r="AA53" s="163"/>
      <c r="AB53" s="195" t="str">
        <f t="shared" si="2"/>
        <v>Apr-26</v>
      </c>
      <c r="AC53" s="163"/>
      <c r="AD53" s="163" t="str">
        <f t="shared" si="6"/>
        <v/>
      </c>
      <c r="AE53" s="163"/>
    </row>
    <row r="54" spans="1:31" x14ac:dyDescent="0.35">
      <c r="A54" s="162">
        <v>46120</v>
      </c>
      <c r="B54" s="163" t="s">
        <v>125</v>
      </c>
      <c r="C54" s="163" t="s">
        <v>113</v>
      </c>
      <c r="D54" s="163" t="s">
        <v>165</v>
      </c>
      <c r="E54" s="163" t="s">
        <v>95</v>
      </c>
      <c r="F54" s="163" t="s">
        <v>135</v>
      </c>
      <c r="G54" s="163"/>
      <c r="H54" s="163" t="s">
        <v>115</v>
      </c>
      <c r="I54" s="163" t="s">
        <v>98</v>
      </c>
      <c r="J54" s="163" t="s">
        <v>166</v>
      </c>
      <c r="K54" s="163" t="s">
        <v>167</v>
      </c>
      <c r="L54" s="163"/>
      <c r="M54" s="163" t="s">
        <v>159</v>
      </c>
      <c r="N54" s="163" t="s">
        <v>102</v>
      </c>
      <c r="O54" s="163"/>
      <c r="P54" s="163"/>
      <c r="Q54" s="163" t="str">
        <f t="shared" ca="1" si="7"/>
        <v/>
      </c>
      <c r="R54" s="163" t="str">
        <f t="shared" ca="1" si="5"/>
        <v/>
      </c>
      <c r="S54" s="163" t="s">
        <v>103</v>
      </c>
      <c r="T54" s="164">
        <v>22456</v>
      </c>
      <c r="U54" s="164">
        <v>22458</v>
      </c>
      <c r="V54" s="162">
        <v>46120</v>
      </c>
      <c r="W54" s="163" t="s">
        <v>237</v>
      </c>
      <c r="X54" s="163" t="s">
        <v>35</v>
      </c>
      <c r="Y54" s="163" t="s">
        <v>85</v>
      </c>
      <c r="Z54" s="163"/>
      <c r="AA54" s="163"/>
      <c r="AB54" s="195" t="str">
        <f t="shared" si="2"/>
        <v>Apr-26</v>
      </c>
      <c r="AC54" s="163"/>
      <c r="AD54" s="163" t="str">
        <f t="shared" si="6"/>
        <v/>
      </c>
      <c r="AE54" s="163"/>
    </row>
    <row r="55" spans="1:31" x14ac:dyDescent="0.35">
      <c r="A55" s="162">
        <v>46120</v>
      </c>
      <c r="B55" s="163" t="s">
        <v>92</v>
      </c>
      <c r="C55" s="163" t="s">
        <v>93</v>
      </c>
      <c r="D55" s="163" t="s">
        <v>182</v>
      </c>
      <c r="E55" s="163" t="s">
        <v>95</v>
      </c>
      <c r="F55" s="163" t="s">
        <v>96</v>
      </c>
      <c r="G55" s="163" t="s">
        <v>15</v>
      </c>
      <c r="H55" s="163" t="s">
        <v>97</v>
      </c>
      <c r="I55" s="163" t="s">
        <v>121</v>
      </c>
      <c r="J55" s="163" t="s">
        <v>116</v>
      </c>
      <c r="K55" s="163" t="s">
        <v>183</v>
      </c>
      <c r="L55" s="163"/>
      <c r="M55" s="163" t="s">
        <v>238</v>
      </c>
      <c r="N55" s="163" t="s">
        <v>102</v>
      </c>
      <c r="O55" s="163"/>
      <c r="P55" s="163"/>
      <c r="Q55" s="163" t="str">
        <f t="shared" ca="1" si="7"/>
        <v/>
      </c>
      <c r="R55" s="163" t="str">
        <f t="shared" ca="1" si="5"/>
        <v/>
      </c>
      <c r="S55" s="163" t="s">
        <v>103</v>
      </c>
      <c r="T55" s="164">
        <v>58360</v>
      </c>
      <c r="U55" s="164">
        <v>58360</v>
      </c>
      <c r="V55" s="165">
        <v>46120</v>
      </c>
      <c r="W55" s="163" t="s">
        <v>239</v>
      </c>
      <c r="X55" s="163" t="s">
        <v>30</v>
      </c>
      <c r="Y55" s="163" t="s">
        <v>85</v>
      </c>
      <c r="Z55" s="163"/>
      <c r="AA55" s="162">
        <v>46142</v>
      </c>
      <c r="AB55" s="195" t="str">
        <f t="shared" si="2"/>
        <v>Apr-26</v>
      </c>
      <c r="AC55" s="163"/>
      <c r="AD55" s="163" t="str">
        <f t="shared" si="6"/>
        <v/>
      </c>
      <c r="AE55" s="163"/>
    </row>
    <row r="56" spans="1:31" x14ac:dyDescent="0.35">
      <c r="A56" s="162">
        <v>46120</v>
      </c>
      <c r="B56" s="163" t="s">
        <v>92</v>
      </c>
      <c r="C56" s="163" t="s">
        <v>93</v>
      </c>
      <c r="D56" s="163" t="s">
        <v>186</v>
      </c>
      <c r="E56" s="163" t="s">
        <v>95</v>
      </c>
      <c r="F56" s="163" t="s">
        <v>96</v>
      </c>
      <c r="G56" s="163" t="s">
        <v>15</v>
      </c>
      <c r="H56" s="163" t="s">
        <v>97</v>
      </c>
      <c r="I56" s="163" t="s">
        <v>121</v>
      </c>
      <c r="J56" s="163" t="s">
        <v>116</v>
      </c>
      <c r="K56" s="163" t="s">
        <v>183</v>
      </c>
      <c r="L56" s="163"/>
      <c r="M56" s="163" t="s">
        <v>240</v>
      </c>
      <c r="N56" s="163" t="s">
        <v>102</v>
      </c>
      <c r="O56" s="163"/>
      <c r="P56" s="163"/>
      <c r="Q56" s="163" t="str">
        <f t="shared" ca="1" si="7"/>
        <v/>
      </c>
      <c r="R56" s="163" t="str">
        <f t="shared" ca="1" si="5"/>
        <v/>
      </c>
      <c r="S56" s="163" t="s">
        <v>103</v>
      </c>
      <c r="T56" s="164">
        <v>16140</v>
      </c>
      <c r="U56" s="164">
        <v>16140</v>
      </c>
      <c r="V56" s="165">
        <v>46120</v>
      </c>
      <c r="W56" s="163"/>
      <c r="X56" s="163" t="s">
        <v>55</v>
      </c>
      <c r="Y56" s="163" t="s">
        <v>85</v>
      </c>
      <c r="Z56" s="163"/>
      <c r="AA56" s="162">
        <v>46142</v>
      </c>
      <c r="AB56" s="195" t="str">
        <f t="shared" si="2"/>
        <v>Apr-26</v>
      </c>
      <c r="AC56" s="163"/>
      <c r="AD56" s="163" t="str">
        <f t="shared" si="6"/>
        <v/>
      </c>
      <c r="AE56" s="163"/>
    </row>
    <row r="57" spans="1:31" x14ac:dyDescent="0.35">
      <c r="A57" s="162">
        <v>46120</v>
      </c>
      <c r="B57" s="163" t="s">
        <v>92</v>
      </c>
      <c r="C57" s="163" t="s">
        <v>93</v>
      </c>
      <c r="D57" s="163" t="s">
        <v>105</v>
      </c>
      <c r="E57" s="163" t="s">
        <v>106</v>
      </c>
      <c r="F57" s="163" t="s">
        <v>96</v>
      </c>
      <c r="G57" s="163" t="s">
        <v>12</v>
      </c>
      <c r="H57" s="163" t="s">
        <v>97</v>
      </c>
      <c r="I57" s="163" t="s">
        <v>121</v>
      </c>
      <c r="J57" s="163" t="s">
        <v>116</v>
      </c>
      <c r="K57" s="163" t="s">
        <v>107</v>
      </c>
      <c r="L57" s="163"/>
      <c r="M57" s="163" t="s">
        <v>241</v>
      </c>
      <c r="N57" s="163" t="s">
        <v>102</v>
      </c>
      <c r="O57" s="163"/>
      <c r="P57" s="163"/>
      <c r="Q57" s="163" t="str">
        <f t="shared" ca="1" si="7"/>
        <v/>
      </c>
      <c r="R57" s="163" t="str">
        <f t="shared" ca="1" si="5"/>
        <v/>
      </c>
      <c r="S57" s="163" t="s">
        <v>103</v>
      </c>
      <c r="T57" s="164">
        <v>61550</v>
      </c>
      <c r="U57" s="164">
        <v>61550</v>
      </c>
      <c r="V57" s="165">
        <v>46120</v>
      </c>
      <c r="W57" s="163"/>
      <c r="X57" s="163" t="s">
        <v>27</v>
      </c>
      <c r="Y57" s="163" t="s">
        <v>85</v>
      </c>
      <c r="Z57" s="163"/>
      <c r="AA57" s="162">
        <v>46142</v>
      </c>
      <c r="AB57" s="195" t="str">
        <f t="shared" si="2"/>
        <v>Apr-26</v>
      </c>
      <c r="AC57" s="163"/>
      <c r="AD57" s="163" t="str">
        <f t="shared" si="6"/>
        <v/>
      </c>
      <c r="AE57" s="163"/>
    </row>
    <row r="58" spans="1:31" x14ac:dyDescent="0.35">
      <c r="A58" s="162">
        <v>46120</v>
      </c>
      <c r="B58" s="163" t="s">
        <v>92</v>
      </c>
      <c r="C58" s="163" t="s">
        <v>113</v>
      </c>
      <c r="D58" s="163" t="s">
        <v>114</v>
      </c>
      <c r="E58" s="163" t="s">
        <v>95</v>
      </c>
      <c r="F58" s="163" t="s">
        <v>96</v>
      </c>
      <c r="G58" s="163" t="s">
        <v>10</v>
      </c>
      <c r="H58" s="163" t="s">
        <v>115</v>
      </c>
      <c r="I58" s="163" t="s">
        <v>121</v>
      </c>
      <c r="J58" s="163" t="s">
        <v>116</v>
      </c>
      <c r="K58" s="163" t="s">
        <v>117</v>
      </c>
      <c r="L58" s="163"/>
      <c r="M58" s="163" t="s">
        <v>242</v>
      </c>
      <c r="N58" s="163" t="s">
        <v>102</v>
      </c>
      <c r="O58" s="163"/>
      <c r="P58" s="163"/>
      <c r="Q58" s="163" t="str">
        <f t="shared" ca="1" si="7"/>
        <v/>
      </c>
      <c r="R58" s="163" t="str">
        <f t="shared" ca="1" si="5"/>
        <v/>
      </c>
      <c r="S58" s="163" t="s">
        <v>103</v>
      </c>
      <c r="T58" s="164">
        <v>22456</v>
      </c>
      <c r="U58" s="164">
        <v>22458</v>
      </c>
      <c r="V58" s="162">
        <v>46120</v>
      </c>
      <c r="W58" s="163" t="s">
        <v>237</v>
      </c>
      <c r="X58" s="163" t="s">
        <v>35</v>
      </c>
      <c r="Y58" s="163" t="s">
        <v>85</v>
      </c>
      <c r="Z58" s="163"/>
      <c r="AA58" s="162">
        <v>46172</v>
      </c>
      <c r="AB58" s="195" t="str">
        <f t="shared" si="2"/>
        <v>Apr-26</v>
      </c>
      <c r="AC58" s="163"/>
      <c r="AD58" s="163" t="str">
        <f t="shared" si="6"/>
        <v/>
      </c>
      <c r="AE58" s="163"/>
    </row>
    <row r="59" spans="1:31" x14ac:dyDescent="0.35">
      <c r="A59" s="162">
        <v>46120</v>
      </c>
      <c r="B59" s="163" t="s">
        <v>125</v>
      </c>
      <c r="C59" s="163" t="s">
        <v>113</v>
      </c>
      <c r="D59" s="163" t="s">
        <v>243</v>
      </c>
      <c r="E59" s="163" t="s">
        <v>106</v>
      </c>
      <c r="F59" s="163" t="s">
        <v>135</v>
      </c>
      <c r="G59" s="163"/>
      <c r="H59" s="163" t="s">
        <v>115</v>
      </c>
      <c r="I59" s="163"/>
      <c r="J59" s="163" t="s">
        <v>147</v>
      </c>
      <c r="K59" s="163" t="s">
        <v>244</v>
      </c>
      <c r="L59" s="163"/>
      <c r="M59" s="163" t="s">
        <v>159</v>
      </c>
      <c r="N59" s="163" t="s">
        <v>102</v>
      </c>
      <c r="O59" s="163"/>
      <c r="P59" s="163"/>
      <c r="Q59" s="163" t="str">
        <f t="shared" ca="1" si="7"/>
        <v/>
      </c>
      <c r="R59" s="163" t="str">
        <f t="shared" ca="1" si="5"/>
        <v/>
      </c>
      <c r="S59" s="163" t="s">
        <v>103</v>
      </c>
      <c r="T59" s="164">
        <v>5850</v>
      </c>
      <c r="U59" s="164">
        <v>5850</v>
      </c>
      <c r="V59" s="162">
        <v>46120</v>
      </c>
      <c r="W59" s="163" t="s">
        <v>245</v>
      </c>
      <c r="X59" s="163" t="s">
        <v>47</v>
      </c>
      <c r="Y59" s="163" t="s">
        <v>161</v>
      </c>
      <c r="Z59" s="163"/>
      <c r="AA59" s="163"/>
      <c r="AB59" s="195" t="str">
        <f t="shared" si="2"/>
        <v>Apr-26</v>
      </c>
      <c r="AC59" s="163"/>
      <c r="AD59" s="163" t="str">
        <f t="shared" si="6"/>
        <v/>
      </c>
      <c r="AE59" s="163"/>
    </row>
    <row r="60" spans="1:31" x14ac:dyDescent="0.35">
      <c r="A60" s="162">
        <v>46120</v>
      </c>
      <c r="B60" s="163" t="s">
        <v>125</v>
      </c>
      <c r="C60" s="163" t="s">
        <v>113</v>
      </c>
      <c r="D60" s="163" t="s">
        <v>246</v>
      </c>
      <c r="E60" s="163" t="s">
        <v>95</v>
      </c>
      <c r="F60" s="163" t="s">
        <v>96</v>
      </c>
      <c r="G60" s="163" t="s">
        <v>15</v>
      </c>
      <c r="H60" s="163" t="s">
        <v>97</v>
      </c>
      <c r="I60" s="163"/>
      <c r="J60" s="163" t="s">
        <v>116</v>
      </c>
      <c r="K60" s="163" t="s">
        <v>231</v>
      </c>
      <c r="L60" s="163"/>
      <c r="M60" s="163" t="s">
        <v>159</v>
      </c>
      <c r="N60" s="163" t="s">
        <v>102</v>
      </c>
      <c r="O60" s="163"/>
      <c r="P60" s="163"/>
      <c r="Q60" s="163" t="str">
        <f t="shared" ca="1" si="7"/>
        <v/>
      </c>
      <c r="R60" s="163" t="str">
        <f t="shared" ca="1" si="5"/>
        <v/>
      </c>
      <c r="S60" s="163" t="s">
        <v>103</v>
      </c>
      <c r="T60" s="164">
        <v>20616</v>
      </c>
      <c r="U60" s="164">
        <v>20616</v>
      </c>
      <c r="V60" s="162">
        <v>46120</v>
      </c>
      <c r="W60" s="163"/>
      <c r="X60" s="163" t="s">
        <v>39</v>
      </c>
      <c r="Y60" s="163" t="s">
        <v>85</v>
      </c>
      <c r="Z60" s="163"/>
      <c r="AA60" s="163"/>
      <c r="AB60" s="195" t="str">
        <f t="shared" si="2"/>
        <v>Apr-26</v>
      </c>
      <c r="AC60" s="163"/>
      <c r="AD60" s="163" t="str">
        <f t="shared" si="6"/>
        <v/>
      </c>
      <c r="AE60" s="163"/>
    </row>
    <row r="61" spans="1:31" x14ac:dyDescent="0.35">
      <c r="A61" s="162">
        <v>46121</v>
      </c>
      <c r="B61" s="163" t="s">
        <v>92</v>
      </c>
      <c r="C61" s="163" t="s">
        <v>93</v>
      </c>
      <c r="D61" s="163" t="s">
        <v>182</v>
      </c>
      <c r="E61" s="163" t="s">
        <v>95</v>
      </c>
      <c r="F61" s="163" t="s">
        <v>96</v>
      </c>
      <c r="G61" s="163" t="s">
        <v>15</v>
      </c>
      <c r="H61" s="163" t="s">
        <v>97</v>
      </c>
      <c r="I61" s="163" t="s">
        <v>121</v>
      </c>
      <c r="J61" s="163" t="s">
        <v>116</v>
      </c>
      <c r="K61" s="163" t="s">
        <v>183</v>
      </c>
      <c r="L61" s="163"/>
      <c r="M61" s="163" t="s">
        <v>247</v>
      </c>
      <c r="N61" s="163" t="s">
        <v>102</v>
      </c>
      <c r="O61" s="163"/>
      <c r="P61" s="163"/>
      <c r="Q61" s="163" t="str">
        <f t="shared" ca="1" si="7"/>
        <v/>
      </c>
      <c r="R61" s="163" t="str">
        <f t="shared" ca="1" si="5"/>
        <v/>
      </c>
      <c r="S61" s="163" t="s">
        <v>103</v>
      </c>
      <c r="T61" s="164">
        <v>70450</v>
      </c>
      <c r="U61" s="164">
        <v>70450</v>
      </c>
      <c r="V61" s="165">
        <v>46121</v>
      </c>
      <c r="W61" s="163"/>
      <c r="X61" s="163" t="s">
        <v>30</v>
      </c>
      <c r="Y61" s="163" t="s">
        <v>85</v>
      </c>
      <c r="Z61" s="163"/>
      <c r="AA61" s="162">
        <v>46142</v>
      </c>
      <c r="AB61" s="195" t="str">
        <f t="shared" si="2"/>
        <v>Apr-26</v>
      </c>
      <c r="AC61" s="163"/>
      <c r="AD61" s="163" t="str">
        <f t="shared" si="6"/>
        <v/>
      </c>
      <c r="AE61" s="163"/>
    </row>
    <row r="62" spans="1:31" x14ac:dyDescent="0.35">
      <c r="A62" s="162">
        <v>46121</v>
      </c>
      <c r="B62" s="163" t="s">
        <v>92</v>
      </c>
      <c r="C62" s="163" t="s">
        <v>93</v>
      </c>
      <c r="D62" s="163" t="s">
        <v>186</v>
      </c>
      <c r="E62" s="163" t="s">
        <v>95</v>
      </c>
      <c r="F62" s="163" t="s">
        <v>96</v>
      </c>
      <c r="G62" s="163" t="s">
        <v>15</v>
      </c>
      <c r="H62" s="163" t="s">
        <v>97</v>
      </c>
      <c r="I62" s="163" t="s">
        <v>121</v>
      </c>
      <c r="J62" s="163" t="s">
        <v>116</v>
      </c>
      <c r="K62" s="163" t="s">
        <v>183</v>
      </c>
      <c r="L62" s="163"/>
      <c r="M62" s="163" t="s">
        <v>248</v>
      </c>
      <c r="N62" s="163" t="s">
        <v>102</v>
      </c>
      <c r="O62" s="163"/>
      <c r="P62" s="163"/>
      <c r="Q62" s="163" t="str">
        <f t="shared" ca="1" si="7"/>
        <v/>
      </c>
      <c r="R62" s="163" t="str">
        <f t="shared" ca="1" si="5"/>
        <v/>
      </c>
      <c r="S62" s="163" t="s">
        <v>103</v>
      </c>
      <c r="T62" s="164">
        <v>17320</v>
      </c>
      <c r="U62" s="164">
        <v>17320</v>
      </c>
      <c r="V62" s="165">
        <v>46121</v>
      </c>
      <c r="W62" s="163"/>
      <c r="X62" s="163" t="s">
        <v>55</v>
      </c>
      <c r="Y62" s="163" t="s">
        <v>85</v>
      </c>
      <c r="Z62" s="163"/>
      <c r="AA62" s="162">
        <v>46142</v>
      </c>
      <c r="AB62" s="195" t="str">
        <f t="shared" si="2"/>
        <v>Apr-26</v>
      </c>
      <c r="AC62" s="163"/>
      <c r="AD62" s="163" t="str">
        <f t="shared" si="6"/>
        <v/>
      </c>
      <c r="AE62" s="163"/>
    </row>
    <row r="63" spans="1:31" x14ac:dyDescent="0.35">
      <c r="A63" s="162">
        <v>46121</v>
      </c>
      <c r="B63" s="163" t="s">
        <v>92</v>
      </c>
      <c r="C63" s="163" t="s">
        <v>93</v>
      </c>
      <c r="D63" s="163" t="s">
        <v>105</v>
      </c>
      <c r="E63" s="163" t="s">
        <v>106</v>
      </c>
      <c r="F63" s="163" t="s">
        <v>96</v>
      </c>
      <c r="G63" s="163" t="s">
        <v>12</v>
      </c>
      <c r="H63" s="163" t="s">
        <v>97</v>
      </c>
      <c r="I63" s="163" t="s">
        <v>121</v>
      </c>
      <c r="J63" s="163" t="s">
        <v>116</v>
      </c>
      <c r="K63" s="163" t="s">
        <v>107</v>
      </c>
      <c r="L63" s="163"/>
      <c r="M63" s="163" t="s">
        <v>249</v>
      </c>
      <c r="N63" s="163" t="s">
        <v>102</v>
      </c>
      <c r="O63" s="163"/>
      <c r="P63" s="163"/>
      <c r="Q63" s="163" t="str">
        <f t="shared" ca="1" si="7"/>
        <v/>
      </c>
      <c r="R63" s="163" t="str">
        <f t="shared" ca="1" si="5"/>
        <v/>
      </c>
      <c r="S63" s="163" t="s">
        <v>103</v>
      </c>
      <c r="T63" s="164">
        <v>63812</v>
      </c>
      <c r="U63" s="164">
        <v>63812</v>
      </c>
      <c r="V63" s="165">
        <v>46121</v>
      </c>
      <c r="W63" s="163"/>
      <c r="X63" s="163" t="s">
        <v>27</v>
      </c>
      <c r="Y63" s="163" t="s">
        <v>85</v>
      </c>
      <c r="Z63" s="163"/>
      <c r="AA63" s="162">
        <v>46142</v>
      </c>
      <c r="AB63" s="195" t="str">
        <f t="shared" si="2"/>
        <v>Apr-26</v>
      </c>
      <c r="AC63" s="163"/>
      <c r="AD63" s="163" t="str">
        <f t="shared" si="6"/>
        <v/>
      </c>
      <c r="AE63" s="163"/>
    </row>
    <row r="64" spans="1:31" x14ac:dyDescent="0.35">
      <c r="A64" s="162">
        <v>46121</v>
      </c>
      <c r="B64" s="163" t="s">
        <v>125</v>
      </c>
      <c r="C64" s="163" t="s">
        <v>113</v>
      </c>
      <c r="D64" s="163" t="s">
        <v>250</v>
      </c>
      <c r="E64" s="163" t="s">
        <v>106</v>
      </c>
      <c r="F64" s="163" t="s">
        <v>135</v>
      </c>
      <c r="G64" s="163"/>
      <c r="H64" s="163" t="s">
        <v>115</v>
      </c>
      <c r="I64" s="163"/>
      <c r="J64" s="163" t="s">
        <v>136</v>
      </c>
      <c r="K64" s="163" t="s">
        <v>251</v>
      </c>
      <c r="L64" s="163"/>
      <c r="M64" s="163" t="s">
        <v>159</v>
      </c>
      <c r="N64" s="163" t="s">
        <v>102</v>
      </c>
      <c r="O64" s="163"/>
      <c r="P64" s="163"/>
      <c r="Q64" s="163" t="str">
        <f t="shared" ca="1" si="7"/>
        <v/>
      </c>
      <c r="R64" s="163" t="str">
        <f t="shared" ca="1" si="5"/>
        <v/>
      </c>
      <c r="S64" s="163" t="s">
        <v>103</v>
      </c>
      <c r="T64" s="164">
        <v>5375</v>
      </c>
      <c r="U64" s="164">
        <v>5375</v>
      </c>
      <c r="V64" s="162">
        <v>46121</v>
      </c>
      <c r="W64" s="163" t="s">
        <v>252</v>
      </c>
      <c r="X64" s="163" t="s">
        <v>32</v>
      </c>
      <c r="Y64" s="163" t="s">
        <v>161</v>
      </c>
      <c r="Z64" s="163"/>
      <c r="AA64" s="163"/>
      <c r="AB64" s="195" t="str">
        <f t="shared" si="2"/>
        <v>Apr-26</v>
      </c>
      <c r="AC64" s="163"/>
      <c r="AD64" s="163" t="str">
        <f t="shared" si="6"/>
        <v/>
      </c>
      <c r="AE64" s="163"/>
    </row>
    <row r="65" spans="1:31" x14ac:dyDescent="0.35">
      <c r="A65" s="162">
        <v>46121</v>
      </c>
      <c r="B65" s="163" t="s">
        <v>125</v>
      </c>
      <c r="C65" s="163" t="s">
        <v>113</v>
      </c>
      <c r="D65" s="163" t="s">
        <v>253</v>
      </c>
      <c r="E65" s="163" t="s">
        <v>106</v>
      </c>
      <c r="F65" s="163" t="s">
        <v>96</v>
      </c>
      <c r="G65" s="163" t="s">
        <v>10</v>
      </c>
      <c r="H65" s="163" t="s">
        <v>115</v>
      </c>
      <c r="I65" s="163"/>
      <c r="J65" s="163" t="s">
        <v>147</v>
      </c>
      <c r="K65" s="163" t="s">
        <v>254</v>
      </c>
      <c r="L65" s="163"/>
      <c r="M65" s="163" t="s">
        <v>159</v>
      </c>
      <c r="N65" s="163" t="s">
        <v>102</v>
      </c>
      <c r="O65" s="163"/>
      <c r="P65" s="163"/>
      <c r="Q65" s="163" t="str">
        <f t="shared" ca="1" si="7"/>
        <v/>
      </c>
      <c r="R65" s="163" t="str">
        <f t="shared" ca="1" si="5"/>
        <v/>
      </c>
      <c r="S65" s="163" t="s">
        <v>103</v>
      </c>
      <c r="T65" s="164">
        <v>17655</v>
      </c>
      <c r="U65" s="164">
        <v>17655</v>
      </c>
      <c r="V65" s="162">
        <v>46121</v>
      </c>
      <c r="W65" s="163"/>
      <c r="X65" s="163" t="s">
        <v>47</v>
      </c>
      <c r="Y65" s="163" t="s">
        <v>85</v>
      </c>
      <c r="Z65" s="163"/>
      <c r="AA65" s="163"/>
      <c r="AB65" s="195" t="str">
        <f t="shared" si="2"/>
        <v>Apr-26</v>
      </c>
      <c r="AC65" s="163"/>
      <c r="AD65" s="163" t="str">
        <f t="shared" si="6"/>
        <v/>
      </c>
      <c r="AE65" s="163"/>
    </row>
    <row r="66" spans="1:31" x14ac:dyDescent="0.35">
      <c r="A66" s="162">
        <v>46121</v>
      </c>
      <c r="B66" s="163" t="s">
        <v>125</v>
      </c>
      <c r="C66" s="163" t="s">
        <v>113</v>
      </c>
      <c r="D66" s="163" t="s">
        <v>255</v>
      </c>
      <c r="E66" s="163" t="s">
        <v>95</v>
      </c>
      <c r="F66" s="163" t="s">
        <v>135</v>
      </c>
      <c r="G66" s="163"/>
      <c r="H66" s="163" t="s">
        <v>163</v>
      </c>
      <c r="I66" s="163"/>
      <c r="J66" s="163"/>
      <c r="K66" s="163" t="s">
        <v>256</v>
      </c>
      <c r="L66" s="163"/>
      <c r="M66" s="163" t="s">
        <v>159</v>
      </c>
      <c r="N66" s="163" t="s">
        <v>102</v>
      </c>
      <c r="O66" s="163"/>
      <c r="P66" s="163"/>
      <c r="Q66" s="163" t="str">
        <f t="shared" ca="1" si="7"/>
        <v/>
      </c>
      <c r="R66" s="163" t="str">
        <f t="shared" ref="R66:R71" ca="1" si="8">IF(OR(N66="Closed( C4 )",N66="Cancelled"),"",IF(AND(O66&lt;&gt;"",O66&lt;TODAY()),"Yes",""))</f>
        <v/>
      </c>
      <c r="S66" s="163" t="s">
        <v>103</v>
      </c>
      <c r="T66" s="164">
        <v>21840</v>
      </c>
      <c r="U66" s="164">
        <v>21840</v>
      </c>
      <c r="V66" s="162">
        <v>46121</v>
      </c>
      <c r="W66" s="163"/>
      <c r="X66" s="163" t="s">
        <v>62</v>
      </c>
      <c r="Y66" s="163" t="s">
        <v>161</v>
      </c>
      <c r="Z66" s="163"/>
      <c r="AA66" s="163"/>
      <c r="AB66" s="195" t="str">
        <f t="shared" ref="AB66:AB129" si="9">IF($V66="",TEXT($A66,"MMM-YY"),TEXT($V66,"MMM-YY"))</f>
        <v>Apr-26</v>
      </c>
      <c r="AC66" s="163"/>
      <c r="AD66" s="163" t="str">
        <f t="shared" ref="AD66:AD71" si="10">IF(AC66="Yes",U66*2%,"")</f>
        <v/>
      </c>
      <c r="AE66" s="163"/>
    </row>
    <row r="67" spans="1:31" x14ac:dyDescent="0.35">
      <c r="A67" s="162">
        <v>46122</v>
      </c>
      <c r="B67" s="163" t="s">
        <v>92</v>
      </c>
      <c r="C67" s="163" t="s">
        <v>93</v>
      </c>
      <c r="D67" s="163" t="s">
        <v>182</v>
      </c>
      <c r="E67" s="163" t="s">
        <v>95</v>
      </c>
      <c r="F67" s="163" t="s">
        <v>96</v>
      </c>
      <c r="G67" s="163" t="s">
        <v>15</v>
      </c>
      <c r="H67" s="163" t="s">
        <v>97</v>
      </c>
      <c r="I67" s="163" t="s">
        <v>121</v>
      </c>
      <c r="J67" s="163" t="s">
        <v>116</v>
      </c>
      <c r="K67" s="163" t="s">
        <v>183</v>
      </c>
      <c r="L67" s="163"/>
      <c r="M67" s="163" t="s">
        <v>257</v>
      </c>
      <c r="N67" s="163" t="s">
        <v>102</v>
      </c>
      <c r="O67" s="163"/>
      <c r="P67" s="163"/>
      <c r="Q67" s="163" t="str">
        <f t="shared" ca="1" si="7"/>
        <v/>
      </c>
      <c r="R67" s="163" t="str">
        <f t="shared" ca="1" si="8"/>
        <v/>
      </c>
      <c r="S67" s="163" t="s">
        <v>103</v>
      </c>
      <c r="T67" s="164">
        <v>83720</v>
      </c>
      <c r="U67" s="164">
        <v>83720</v>
      </c>
      <c r="V67" s="165">
        <v>46122</v>
      </c>
      <c r="W67" s="163"/>
      <c r="X67" s="163" t="s">
        <v>30</v>
      </c>
      <c r="Y67" s="163" t="s">
        <v>85</v>
      </c>
      <c r="Z67" s="163"/>
      <c r="AA67" s="162">
        <v>46142</v>
      </c>
      <c r="AB67" s="195" t="str">
        <f t="shared" si="9"/>
        <v>Apr-26</v>
      </c>
      <c r="AC67" s="163"/>
      <c r="AD67" s="163" t="str">
        <f t="shared" si="10"/>
        <v/>
      </c>
      <c r="AE67" s="163"/>
    </row>
    <row r="68" spans="1:31" x14ac:dyDescent="0.35">
      <c r="A68" s="162">
        <v>46122</v>
      </c>
      <c r="B68" s="163" t="s">
        <v>92</v>
      </c>
      <c r="C68" s="163" t="s">
        <v>93</v>
      </c>
      <c r="D68" s="163" t="s">
        <v>186</v>
      </c>
      <c r="E68" s="163" t="s">
        <v>95</v>
      </c>
      <c r="F68" s="163" t="s">
        <v>96</v>
      </c>
      <c r="G68" s="163" t="s">
        <v>15</v>
      </c>
      <c r="H68" s="163" t="s">
        <v>97</v>
      </c>
      <c r="I68" s="163" t="s">
        <v>121</v>
      </c>
      <c r="J68" s="163" t="s">
        <v>116</v>
      </c>
      <c r="K68" s="163" t="s">
        <v>183</v>
      </c>
      <c r="L68" s="163"/>
      <c r="M68" s="163" t="s">
        <v>258</v>
      </c>
      <c r="N68" s="163" t="s">
        <v>102</v>
      </c>
      <c r="O68" s="163"/>
      <c r="P68" s="163"/>
      <c r="Q68" s="163" t="str">
        <f t="shared" ca="1" si="7"/>
        <v/>
      </c>
      <c r="R68" s="163" t="str">
        <f t="shared" ca="1" si="8"/>
        <v/>
      </c>
      <c r="S68" s="163" t="s">
        <v>103</v>
      </c>
      <c r="T68" s="164">
        <v>19120</v>
      </c>
      <c r="U68" s="164">
        <v>19120</v>
      </c>
      <c r="V68" s="165">
        <v>46122</v>
      </c>
      <c r="W68" s="163"/>
      <c r="X68" s="163" t="s">
        <v>55</v>
      </c>
      <c r="Y68" s="163" t="s">
        <v>85</v>
      </c>
      <c r="Z68" s="163"/>
      <c r="AA68" s="162">
        <v>46142</v>
      </c>
      <c r="AB68" s="195" t="str">
        <f t="shared" si="9"/>
        <v>Apr-26</v>
      </c>
      <c r="AC68" s="163"/>
      <c r="AD68" s="163" t="str">
        <f t="shared" si="10"/>
        <v/>
      </c>
      <c r="AE68" s="163"/>
    </row>
    <row r="69" spans="1:31" x14ac:dyDescent="0.35">
      <c r="A69" s="162">
        <v>46122</v>
      </c>
      <c r="B69" s="163" t="s">
        <v>92</v>
      </c>
      <c r="C69" s="163" t="s">
        <v>93</v>
      </c>
      <c r="D69" s="163" t="s">
        <v>105</v>
      </c>
      <c r="E69" s="163" t="s">
        <v>106</v>
      </c>
      <c r="F69" s="163" t="s">
        <v>96</v>
      </c>
      <c r="G69" s="163" t="s">
        <v>12</v>
      </c>
      <c r="H69" s="163" t="s">
        <v>97</v>
      </c>
      <c r="I69" s="163" t="s">
        <v>121</v>
      </c>
      <c r="J69" s="163" t="s">
        <v>116</v>
      </c>
      <c r="K69" s="163" t="s">
        <v>107</v>
      </c>
      <c r="L69" s="163"/>
      <c r="M69" s="163" t="s">
        <v>259</v>
      </c>
      <c r="N69" s="163" t="s">
        <v>102</v>
      </c>
      <c r="O69" s="163"/>
      <c r="P69" s="163"/>
      <c r="Q69" s="163" t="str">
        <f t="shared" ca="1" si="7"/>
        <v/>
      </c>
      <c r="R69" s="163" t="str">
        <f t="shared" ca="1" si="8"/>
        <v/>
      </c>
      <c r="S69" s="163" t="s">
        <v>103</v>
      </c>
      <c r="T69" s="164">
        <v>49754</v>
      </c>
      <c r="U69" s="164">
        <v>49754</v>
      </c>
      <c r="V69" s="165">
        <v>46122</v>
      </c>
      <c r="W69" s="163"/>
      <c r="X69" s="163" t="s">
        <v>27</v>
      </c>
      <c r="Y69" s="163" t="s">
        <v>85</v>
      </c>
      <c r="Z69" s="163"/>
      <c r="AA69" s="162">
        <v>46142</v>
      </c>
      <c r="AB69" s="195" t="str">
        <f t="shared" si="9"/>
        <v>Apr-26</v>
      </c>
      <c r="AC69" s="163"/>
      <c r="AD69" s="163" t="str">
        <f t="shared" si="10"/>
        <v/>
      </c>
      <c r="AE69" s="163"/>
    </row>
    <row r="70" spans="1:31" x14ac:dyDescent="0.35">
      <c r="A70" s="162">
        <v>46122</v>
      </c>
      <c r="B70" s="163" t="s">
        <v>125</v>
      </c>
      <c r="C70" s="163" t="s">
        <v>113</v>
      </c>
      <c r="D70" s="163" t="s">
        <v>260</v>
      </c>
      <c r="E70" s="163" t="s">
        <v>95</v>
      </c>
      <c r="F70" s="163" t="s">
        <v>96</v>
      </c>
      <c r="G70" s="163" t="s">
        <v>15</v>
      </c>
      <c r="H70" s="163" t="s">
        <v>97</v>
      </c>
      <c r="I70" s="163"/>
      <c r="J70" s="163" t="s">
        <v>116</v>
      </c>
      <c r="K70" s="163" t="s">
        <v>231</v>
      </c>
      <c r="L70" s="163"/>
      <c r="M70" s="163" t="s">
        <v>159</v>
      </c>
      <c r="N70" s="163" t="s">
        <v>102</v>
      </c>
      <c r="O70" s="163"/>
      <c r="P70" s="163"/>
      <c r="Q70" s="163" t="str">
        <f t="shared" ca="1" si="7"/>
        <v/>
      </c>
      <c r="R70" s="163" t="str">
        <f t="shared" ca="1" si="8"/>
        <v/>
      </c>
      <c r="S70" s="163" t="s">
        <v>103</v>
      </c>
      <c r="T70" s="164">
        <v>23705</v>
      </c>
      <c r="U70" s="164">
        <v>23705</v>
      </c>
      <c r="V70" s="162">
        <v>46122</v>
      </c>
      <c r="W70" s="163"/>
      <c r="X70" s="163" t="s">
        <v>39</v>
      </c>
      <c r="Y70" s="163" t="s">
        <v>85</v>
      </c>
      <c r="Z70" s="163"/>
      <c r="AA70" s="163"/>
      <c r="AB70" s="195" t="str">
        <f t="shared" si="9"/>
        <v>Apr-26</v>
      </c>
      <c r="AC70" s="163"/>
      <c r="AD70" s="163" t="str">
        <f t="shared" si="10"/>
        <v/>
      </c>
      <c r="AE70" s="163"/>
    </row>
    <row r="71" spans="1:31" x14ac:dyDescent="0.35">
      <c r="A71" s="162">
        <v>46123</v>
      </c>
      <c r="B71" s="163" t="s">
        <v>92</v>
      </c>
      <c r="C71" s="163" t="s">
        <v>93</v>
      </c>
      <c r="D71" s="163" t="s">
        <v>261</v>
      </c>
      <c r="E71" s="163" t="s">
        <v>95</v>
      </c>
      <c r="F71" s="163" t="s">
        <v>115</v>
      </c>
      <c r="G71" s="163"/>
      <c r="H71" s="163" t="s">
        <v>115</v>
      </c>
      <c r="I71" s="163" t="s">
        <v>121</v>
      </c>
      <c r="J71" s="163" t="s">
        <v>262</v>
      </c>
      <c r="K71" s="163" t="s">
        <v>263</v>
      </c>
      <c r="L71" s="163"/>
      <c r="M71" s="163" t="s">
        <v>264</v>
      </c>
      <c r="N71" s="163" t="s">
        <v>102</v>
      </c>
      <c r="O71" s="163"/>
      <c r="P71" s="163"/>
      <c r="Q71" s="163" t="str">
        <f t="shared" ca="1" si="7"/>
        <v/>
      </c>
      <c r="R71" s="163" t="str">
        <f t="shared" ca="1" si="8"/>
        <v/>
      </c>
      <c r="S71" s="163" t="s">
        <v>103</v>
      </c>
      <c r="T71" s="164">
        <v>6500</v>
      </c>
      <c r="U71" s="164">
        <v>6500</v>
      </c>
      <c r="V71" s="165">
        <v>46124</v>
      </c>
      <c r="W71" s="163"/>
      <c r="X71" s="163" t="s">
        <v>27</v>
      </c>
      <c r="Y71" s="163" t="s">
        <v>161</v>
      </c>
      <c r="Z71" s="163"/>
      <c r="AA71" s="162">
        <v>46123</v>
      </c>
      <c r="AB71" s="195" t="str">
        <f t="shared" si="9"/>
        <v>Apr-26</v>
      </c>
      <c r="AC71" s="163"/>
      <c r="AD71" s="163" t="str">
        <f t="shared" si="10"/>
        <v/>
      </c>
      <c r="AE71" s="163"/>
    </row>
    <row r="72" spans="1:31" x14ac:dyDescent="0.35">
      <c r="A72" s="162">
        <v>46124</v>
      </c>
      <c r="B72" s="163" t="s">
        <v>92</v>
      </c>
      <c r="C72" s="163" t="s">
        <v>93</v>
      </c>
      <c r="D72" s="163" t="s">
        <v>265</v>
      </c>
      <c r="E72" s="163" t="s">
        <v>95</v>
      </c>
      <c r="F72" s="163" t="s">
        <v>135</v>
      </c>
      <c r="G72" s="163"/>
      <c r="H72" s="163" t="s">
        <v>115</v>
      </c>
      <c r="I72" s="163" t="s">
        <v>121</v>
      </c>
      <c r="J72" s="163" t="s">
        <v>266</v>
      </c>
      <c r="K72" s="163" t="s">
        <v>267</v>
      </c>
      <c r="L72" s="163"/>
      <c r="M72" s="163" t="s">
        <v>268</v>
      </c>
      <c r="N72" s="163" t="s">
        <v>102</v>
      </c>
      <c r="O72" s="163"/>
      <c r="P72" s="163"/>
      <c r="Q72" s="163"/>
      <c r="R72" s="163"/>
      <c r="S72" s="163" t="s">
        <v>103</v>
      </c>
      <c r="T72" s="164">
        <v>30000</v>
      </c>
      <c r="U72" s="164">
        <v>16150</v>
      </c>
      <c r="V72" s="165">
        <v>46124</v>
      </c>
      <c r="W72" s="163" t="s">
        <v>269</v>
      </c>
      <c r="X72" s="163" t="s">
        <v>56</v>
      </c>
      <c r="Y72" s="163" t="s">
        <v>161</v>
      </c>
      <c r="Z72" s="163"/>
      <c r="AA72" s="162">
        <v>46124</v>
      </c>
      <c r="AB72" s="195" t="str">
        <f t="shared" si="9"/>
        <v>Apr-26</v>
      </c>
      <c r="AC72" s="163"/>
      <c r="AD72" s="163"/>
      <c r="AE72" s="163" t="s">
        <v>270</v>
      </c>
    </row>
    <row r="73" spans="1:31" x14ac:dyDescent="0.35">
      <c r="A73" s="162">
        <v>46125</v>
      </c>
      <c r="B73" s="163" t="s">
        <v>92</v>
      </c>
      <c r="C73" s="163" t="s">
        <v>93</v>
      </c>
      <c r="D73" s="163" t="s">
        <v>271</v>
      </c>
      <c r="E73" s="163" t="s">
        <v>95</v>
      </c>
      <c r="F73" s="163" t="s">
        <v>115</v>
      </c>
      <c r="G73" s="163"/>
      <c r="H73" s="163" t="s">
        <v>115</v>
      </c>
      <c r="I73" s="163" t="s">
        <v>121</v>
      </c>
      <c r="J73" s="163" t="s">
        <v>262</v>
      </c>
      <c r="K73" s="163" t="s">
        <v>272</v>
      </c>
      <c r="L73" s="163"/>
      <c r="M73" s="163" t="s">
        <v>273</v>
      </c>
      <c r="N73" s="163" t="s">
        <v>102</v>
      </c>
      <c r="O73" s="163"/>
      <c r="P73" s="163"/>
      <c r="Q73" s="163" t="str">
        <f ca="1">IF(N73="Closed(C4)","",IF(N73="","",TODAY()-A73))</f>
        <v/>
      </c>
      <c r="R73" s="163" t="str">
        <f t="shared" ref="R73:R100" ca="1" si="11">IF(OR(N73="Closed( C4 )",N73="Cancelled"),"",IF(AND(O73&lt;&gt;"",O73&lt;TODAY()),"Yes",""))</f>
        <v/>
      </c>
      <c r="S73" s="163" t="s">
        <v>103</v>
      </c>
      <c r="T73" s="164">
        <v>16500</v>
      </c>
      <c r="U73" s="164">
        <v>16500</v>
      </c>
      <c r="V73" s="165">
        <v>46125</v>
      </c>
      <c r="W73" s="163"/>
      <c r="X73" s="163" t="s">
        <v>30</v>
      </c>
      <c r="Y73" s="163" t="s">
        <v>161</v>
      </c>
      <c r="Z73" s="163"/>
      <c r="AA73" s="162">
        <v>46125</v>
      </c>
      <c r="AB73" s="195" t="str">
        <f t="shared" si="9"/>
        <v>Apr-26</v>
      </c>
      <c r="AC73" s="163"/>
      <c r="AD73" s="163" t="str">
        <f t="shared" ref="AD73:AD100" si="12">IF(AC73="Yes",U73*2%,"")</f>
        <v/>
      </c>
      <c r="AE73" s="163"/>
    </row>
    <row r="74" spans="1:31" x14ac:dyDescent="0.35">
      <c r="A74" s="162">
        <v>46125</v>
      </c>
      <c r="B74" s="163" t="s">
        <v>92</v>
      </c>
      <c r="C74" s="163" t="s">
        <v>93</v>
      </c>
      <c r="D74" s="163" t="s">
        <v>182</v>
      </c>
      <c r="E74" s="163" t="s">
        <v>95</v>
      </c>
      <c r="F74" s="163" t="s">
        <v>96</v>
      </c>
      <c r="G74" s="163" t="s">
        <v>15</v>
      </c>
      <c r="H74" s="163" t="s">
        <v>97</v>
      </c>
      <c r="I74" s="163" t="s">
        <v>98</v>
      </c>
      <c r="J74" s="163" t="s">
        <v>116</v>
      </c>
      <c r="K74" s="163" t="s">
        <v>183</v>
      </c>
      <c r="L74" s="163"/>
      <c r="M74" s="163" t="s">
        <v>274</v>
      </c>
      <c r="N74" s="163" t="s">
        <v>102</v>
      </c>
      <c r="O74" s="163"/>
      <c r="P74" s="163"/>
      <c r="Q74" s="163" t="str">
        <f ca="1">IF(N74="Closed(C4)","",IF(N74="","",TODAY()-A74))</f>
        <v/>
      </c>
      <c r="R74" s="163" t="str">
        <f t="shared" ca="1" si="11"/>
        <v/>
      </c>
      <c r="S74" s="163" t="s">
        <v>103</v>
      </c>
      <c r="T74" s="164">
        <v>40960</v>
      </c>
      <c r="U74" s="164">
        <v>40960</v>
      </c>
      <c r="V74" s="165">
        <v>46125</v>
      </c>
      <c r="W74" s="163"/>
      <c r="X74" s="163" t="s">
        <v>30</v>
      </c>
      <c r="Y74" s="163" t="s">
        <v>85</v>
      </c>
      <c r="Z74" s="163"/>
      <c r="AA74" s="162">
        <v>46142</v>
      </c>
      <c r="AB74" s="195" t="str">
        <f t="shared" si="9"/>
        <v>Apr-26</v>
      </c>
      <c r="AC74" s="163"/>
      <c r="AD74" s="163" t="str">
        <f t="shared" si="12"/>
        <v/>
      </c>
      <c r="AE74" s="163"/>
    </row>
    <row r="75" spans="1:31" x14ac:dyDescent="0.35">
      <c r="A75" s="162">
        <v>46125</v>
      </c>
      <c r="B75" s="163" t="s">
        <v>92</v>
      </c>
      <c r="C75" s="163" t="s">
        <v>93</v>
      </c>
      <c r="D75" s="163" t="s">
        <v>186</v>
      </c>
      <c r="E75" s="163" t="s">
        <v>95</v>
      </c>
      <c r="F75" s="163" t="s">
        <v>96</v>
      </c>
      <c r="G75" s="163" t="s">
        <v>15</v>
      </c>
      <c r="H75" s="163" t="s">
        <v>97</v>
      </c>
      <c r="I75" s="163" t="s">
        <v>98</v>
      </c>
      <c r="J75" s="163" t="s">
        <v>116</v>
      </c>
      <c r="K75" s="163" t="s">
        <v>183</v>
      </c>
      <c r="L75" s="163"/>
      <c r="M75" s="163" t="s">
        <v>275</v>
      </c>
      <c r="N75" s="163" t="s">
        <v>102</v>
      </c>
      <c r="O75" s="163"/>
      <c r="P75" s="163"/>
      <c r="Q75" s="163" t="str">
        <f ca="1">IF(N75="Closed(C4)","",IF(N75="","",TODAY()-A75))</f>
        <v/>
      </c>
      <c r="R75" s="163" t="str">
        <f t="shared" ca="1" si="11"/>
        <v/>
      </c>
      <c r="S75" s="163" t="s">
        <v>103</v>
      </c>
      <c r="T75" s="164">
        <v>9440</v>
      </c>
      <c r="U75" s="164">
        <v>9440</v>
      </c>
      <c r="V75" s="165">
        <v>46125</v>
      </c>
      <c r="W75" s="163"/>
      <c r="X75" s="163" t="s">
        <v>55</v>
      </c>
      <c r="Y75" s="163" t="s">
        <v>85</v>
      </c>
      <c r="Z75" s="163"/>
      <c r="AA75" s="162">
        <v>46142</v>
      </c>
      <c r="AB75" s="195" t="str">
        <f t="shared" si="9"/>
        <v>Apr-26</v>
      </c>
      <c r="AC75" s="163"/>
      <c r="AD75" s="163" t="str">
        <f t="shared" si="12"/>
        <v/>
      </c>
      <c r="AE75" s="163"/>
    </row>
    <row r="76" spans="1:31" x14ac:dyDescent="0.35">
      <c r="A76" s="162">
        <v>46125</v>
      </c>
      <c r="B76" s="163" t="s">
        <v>125</v>
      </c>
      <c r="C76" s="163" t="s">
        <v>113</v>
      </c>
      <c r="D76" s="163" t="s">
        <v>190</v>
      </c>
      <c r="E76" s="163" t="s">
        <v>106</v>
      </c>
      <c r="F76" s="163" t="s">
        <v>135</v>
      </c>
      <c r="G76" s="163"/>
      <c r="H76" s="163" t="s">
        <v>115</v>
      </c>
      <c r="I76" s="163"/>
      <c r="J76" s="163" t="s">
        <v>147</v>
      </c>
      <c r="K76" s="163" t="s">
        <v>276</v>
      </c>
      <c r="L76" s="163"/>
      <c r="M76" s="163" t="s">
        <v>159</v>
      </c>
      <c r="N76" s="163" t="s">
        <v>102</v>
      </c>
      <c r="O76" s="163"/>
      <c r="P76" s="163"/>
      <c r="Q76" s="163" t="str">
        <f ca="1">IF(N76="Closed(C4)","",IF(N76="","",TODAY()-A76))</f>
        <v/>
      </c>
      <c r="R76" s="163" t="str">
        <f t="shared" ca="1" si="11"/>
        <v/>
      </c>
      <c r="S76" s="163" t="s">
        <v>103</v>
      </c>
      <c r="T76" s="164">
        <v>16910</v>
      </c>
      <c r="U76" s="164">
        <v>16910</v>
      </c>
      <c r="V76" s="162">
        <v>46125</v>
      </c>
      <c r="W76" s="163"/>
      <c r="X76" s="163" t="s">
        <v>62</v>
      </c>
      <c r="Y76" s="163" t="s">
        <v>161</v>
      </c>
      <c r="Z76" s="163"/>
      <c r="AA76" s="163"/>
      <c r="AB76" s="195" t="str">
        <f t="shared" si="9"/>
        <v>Apr-26</v>
      </c>
      <c r="AC76" s="163"/>
      <c r="AD76" s="163" t="str">
        <f t="shared" si="12"/>
        <v/>
      </c>
      <c r="AE76" s="163"/>
    </row>
    <row r="77" spans="1:31" x14ac:dyDescent="0.35">
      <c r="A77" s="162">
        <v>46125</v>
      </c>
      <c r="B77" s="163" t="s">
        <v>125</v>
      </c>
      <c r="C77" s="163" t="s">
        <v>113</v>
      </c>
      <c r="D77" s="163" t="s">
        <v>277</v>
      </c>
      <c r="E77" s="163" t="s">
        <v>95</v>
      </c>
      <c r="F77" s="163" t="s">
        <v>96</v>
      </c>
      <c r="G77" s="163" t="s">
        <v>13</v>
      </c>
      <c r="H77" s="163" t="s">
        <v>226</v>
      </c>
      <c r="I77" s="163"/>
      <c r="J77" s="163" t="s">
        <v>153</v>
      </c>
      <c r="K77" s="163" t="s">
        <v>131</v>
      </c>
      <c r="L77" s="163"/>
      <c r="M77" s="163" t="s">
        <v>228</v>
      </c>
      <c r="N77" s="163" t="s">
        <v>156</v>
      </c>
      <c r="O77" s="163"/>
      <c r="P77" s="163"/>
      <c r="Q77" s="163"/>
      <c r="R77" s="163" t="str">
        <f t="shared" ca="1" si="11"/>
        <v/>
      </c>
      <c r="S77" s="163" t="s">
        <v>103</v>
      </c>
      <c r="T77" s="164"/>
      <c r="U77" s="164"/>
      <c r="V77" s="165"/>
      <c r="W77" s="163"/>
      <c r="X77" s="163"/>
      <c r="Y77" s="163"/>
      <c r="Z77" s="163"/>
      <c r="AA77" s="163"/>
      <c r="AB77" s="195" t="str">
        <f t="shared" si="9"/>
        <v>Apr-26</v>
      </c>
      <c r="AC77" s="163"/>
      <c r="AD77" s="163" t="str">
        <f t="shared" si="12"/>
        <v/>
      </c>
      <c r="AE77" s="163"/>
    </row>
    <row r="78" spans="1:31" x14ac:dyDescent="0.35">
      <c r="A78" s="162">
        <v>46126</v>
      </c>
      <c r="B78" s="163" t="s">
        <v>92</v>
      </c>
      <c r="C78" s="163" t="s">
        <v>93</v>
      </c>
      <c r="D78" s="163" t="s">
        <v>182</v>
      </c>
      <c r="E78" s="163" t="s">
        <v>95</v>
      </c>
      <c r="F78" s="163" t="s">
        <v>96</v>
      </c>
      <c r="G78" s="163" t="s">
        <v>15</v>
      </c>
      <c r="H78" s="163" t="s">
        <v>97</v>
      </c>
      <c r="I78" s="163" t="s">
        <v>98</v>
      </c>
      <c r="J78" s="163" t="s">
        <v>116</v>
      </c>
      <c r="K78" s="163" t="s">
        <v>183</v>
      </c>
      <c r="L78" s="163"/>
      <c r="M78" s="163" t="s">
        <v>278</v>
      </c>
      <c r="N78" s="163" t="s">
        <v>102</v>
      </c>
      <c r="O78" s="163"/>
      <c r="P78" s="163"/>
      <c r="Q78" s="163" t="str">
        <f t="shared" ref="Q78:Q88" ca="1" si="13">IF(N78="Closed(C4)","",IF(N78="","",TODAY()-A78))</f>
        <v/>
      </c>
      <c r="R78" s="163" t="str">
        <f t="shared" ca="1" si="11"/>
        <v/>
      </c>
      <c r="S78" s="163" t="s">
        <v>103</v>
      </c>
      <c r="T78" s="164">
        <v>45220</v>
      </c>
      <c r="U78" s="164">
        <v>45220</v>
      </c>
      <c r="V78" s="165">
        <v>46126</v>
      </c>
      <c r="W78" s="163"/>
      <c r="X78" s="163" t="s">
        <v>30</v>
      </c>
      <c r="Y78" s="163" t="s">
        <v>85</v>
      </c>
      <c r="Z78" s="163"/>
      <c r="AA78" s="162">
        <v>46142</v>
      </c>
      <c r="AB78" s="195" t="str">
        <f t="shared" si="9"/>
        <v>Apr-26</v>
      </c>
      <c r="AC78" s="163"/>
      <c r="AD78" s="163" t="str">
        <f t="shared" si="12"/>
        <v/>
      </c>
      <c r="AE78" s="163"/>
    </row>
    <row r="79" spans="1:31" x14ac:dyDescent="0.35">
      <c r="A79" s="162">
        <v>46126</v>
      </c>
      <c r="B79" s="163" t="s">
        <v>92</v>
      </c>
      <c r="C79" s="163" t="s">
        <v>93</v>
      </c>
      <c r="D79" s="163" t="s">
        <v>186</v>
      </c>
      <c r="E79" s="163" t="s">
        <v>95</v>
      </c>
      <c r="F79" s="163" t="s">
        <v>96</v>
      </c>
      <c r="G79" s="163" t="s">
        <v>15</v>
      </c>
      <c r="H79" s="163" t="s">
        <v>97</v>
      </c>
      <c r="I79" s="163" t="s">
        <v>98</v>
      </c>
      <c r="J79" s="163" t="s">
        <v>116</v>
      </c>
      <c r="K79" s="163" t="s">
        <v>183</v>
      </c>
      <c r="L79" s="163"/>
      <c r="M79" s="163" t="s">
        <v>279</v>
      </c>
      <c r="N79" s="163" t="s">
        <v>102</v>
      </c>
      <c r="O79" s="163"/>
      <c r="P79" s="163"/>
      <c r="Q79" s="163" t="str">
        <f t="shared" ca="1" si="13"/>
        <v/>
      </c>
      <c r="R79" s="163" t="str">
        <f t="shared" ca="1" si="11"/>
        <v/>
      </c>
      <c r="S79" s="163" t="s">
        <v>103</v>
      </c>
      <c r="T79" s="164">
        <v>17180</v>
      </c>
      <c r="U79" s="164">
        <v>17180</v>
      </c>
      <c r="V79" s="165">
        <v>46126</v>
      </c>
      <c r="W79" s="163"/>
      <c r="X79" s="163" t="s">
        <v>55</v>
      </c>
      <c r="Y79" s="163" t="s">
        <v>85</v>
      </c>
      <c r="Z79" s="163"/>
      <c r="AA79" s="162">
        <v>46142</v>
      </c>
      <c r="AB79" s="195" t="str">
        <f t="shared" si="9"/>
        <v>Apr-26</v>
      </c>
      <c r="AC79" s="163"/>
      <c r="AD79" s="163" t="str">
        <f t="shared" si="12"/>
        <v/>
      </c>
      <c r="AE79" s="163"/>
    </row>
    <row r="80" spans="1:31" x14ac:dyDescent="0.35">
      <c r="A80" s="162">
        <v>46126</v>
      </c>
      <c r="B80" s="163" t="s">
        <v>125</v>
      </c>
      <c r="C80" s="163" t="s">
        <v>113</v>
      </c>
      <c r="D80" s="163" t="s">
        <v>27</v>
      </c>
      <c r="E80" s="163" t="s">
        <v>106</v>
      </c>
      <c r="F80" s="163" t="s">
        <v>135</v>
      </c>
      <c r="G80" s="163"/>
      <c r="H80" s="163" t="s">
        <v>115</v>
      </c>
      <c r="I80" s="163"/>
      <c r="J80" s="163" t="s">
        <v>147</v>
      </c>
      <c r="K80" s="163" t="s">
        <v>280</v>
      </c>
      <c r="L80" s="163"/>
      <c r="M80" s="163" t="s">
        <v>159</v>
      </c>
      <c r="N80" s="163" t="s">
        <v>102</v>
      </c>
      <c r="O80" s="163"/>
      <c r="P80" s="163"/>
      <c r="Q80" s="163" t="str">
        <f t="shared" ca="1" si="13"/>
        <v/>
      </c>
      <c r="R80" s="163" t="str">
        <f t="shared" ca="1" si="11"/>
        <v/>
      </c>
      <c r="S80" s="163" t="s">
        <v>103</v>
      </c>
      <c r="T80" s="164">
        <v>7620</v>
      </c>
      <c r="U80" s="164">
        <v>7620</v>
      </c>
      <c r="V80" s="162">
        <v>46126</v>
      </c>
      <c r="W80" s="163"/>
      <c r="X80" s="163" t="s">
        <v>29</v>
      </c>
      <c r="Y80" s="163" t="s">
        <v>161</v>
      </c>
      <c r="Z80" s="163"/>
      <c r="AA80" s="163"/>
      <c r="AB80" s="195" t="str">
        <f t="shared" si="9"/>
        <v>Apr-26</v>
      </c>
      <c r="AC80" s="163"/>
      <c r="AD80" s="163" t="str">
        <f t="shared" si="12"/>
        <v/>
      </c>
      <c r="AE80" s="163"/>
    </row>
    <row r="81" spans="1:31" x14ac:dyDescent="0.35">
      <c r="A81" s="162">
        <v>46126</v>
      </c>
      <c r="B81" s="163" t="s">
        <v>125</v>
      </c>
      <c r="C81" s="163" t="s">
        <v>113</v>
      </c>
      <c r="D81" s="163" t="s">
        <v>243</v>
      </c>
      <c r="E81" s="163" t="s">
        <v>106</v>
      </c>
      <c r="F81" s="163" t="s">
        <v>135</v>
      </c>
      <c r="G81" s="163"/>
      <c r="H81" s="163" t="s">
        <v>115</v>
      </c>
      <c r="I81" s="163"/>
      <c r="J81" s="163" t="s">
        <v>147</v>
      </c>
      <c r="K81" s="163" t="s">
        <v>281</v>
      </c>
      <c r="L81" s="163"/>
      <c r="M81" s="163" t="s">
        <v>159</v>
      </c>
      <c r="N81" s="163" t="s">
        <v>102</v>
      </c>
      <c r="O81" s="163"/>
      <c r="P81" s="163"/>
      <c r="Q81" s="163" t="str">
        <f t="shared" ca="1" si="13"/>
        <v/>
      </c>
      <c r="R81" s="163" t="str">
        <f t="shared" ca="1" si="11"/>
        <v/>
      </c>
      <c r="S81" s="163" t="s">
        <v>103</v>
      </c>
      <c r="T81" s="164">
        <v>5560</v>
      </c>
      <c r="U81" s="164">
        <v>5560</v>
      </c>
      <c r="V81" s="162">
        <v>46126</v>
      </c>
      <c r="W81" s="163" t="s">
        <v>282</v>
      </c>
      <c r="X81" s="163" t="s">
        <v>47</v>
      </c>
      <c r="Y81" s="163" t="s">
        <v>161</v>
      </c>
      <c r="Z81" s="163"/>
      <c r="AA81" s="163"/>
      <c r="AB81" s="195" t="str">
        <f t="shared" si="9"/>
        <v>Apr-26</v>
      </c>
      <c r="AC81" s="163"/>
      <c r="AD81" s="163" t="str">
        <f t="shared" si="12"/>
        <v/>
      </c>
      <c r="AE81" s="163"/>
    </row>
    <row r="82" spans="1:31" x14ac:dyDescent="0.35">
      <c r="A82" s="162">
        <v>46126</v>
      </c>
      <c r="B82" s="163" t="s">
        <v>125</v>
      </c>
      <c r="C82" s="163" t="s">
        <v>113</v>
      </c>
      <c r="D82" s="163" t="s">
        <v>162</v>
      </c>
      <c r="E82" s="163" t="s">
        <v>95</v>
      </c>
      <c r="F82" s="163" t="s">
        <v>135</v>
      </c>
      <c r="G82" s="163"/>
      <c r="H82" s="163" t="s">
        <v>97</v>
      </c>
      <c r="I82" s="163"/>
      <c r="J82" s="163" t="s">
        <v>166</v>
      </c>
      <c r="K82" s="163" t="s">
        <v>164</v>
      </c>
      <c r="L82" s="163"/>
      <c r="M82" s="163" t="s">
        <v>159</v>
      </c>
      <c r="N82" s="163" t="s">
        <v>102</v>
      </c>
      <c r="O82" s="163"/>
      <c r="P82" s="163"/>
      <c r="Q82" s="163" t="str">
        <f t="shared" ca="1" si="13"/>
        <v/>
      </c>
      <c r="R82" s="163" t="str">
        <f t="shared" ca="1" si="11"/>
        <v/>
      </c>
      <c r="S82" s="163" t="s">
        <v>103</v>
      </c>
      <c r="T82" s="164">
        <v>10962</v>
      </c>
      <c r="U82" s="164">
        <v>10962</v>
      </c>
      <c r="V82" s="162">
        <v>46126</v>
      </c>
      <c r="W82" s="163"/>
      <c r="X82" s="163" t="s">
        <v>62</v>
      </c>
      <c r="Y82" s="163" t="s">
        <v>161</v>
      </c>
      <c r="Z82" s="163"/>
      <c r="AA82" s="163"/>
      <c r="AB82" s="195" t="str">
        <f t="shared" si="9"/>
        <v>Apr-26</v>
      </c>
      <c r="AC82" s="163"/>
      <c r="AD82" s="163" t="str">
        <f t="shared" si="12"/>
        <v/>
      </c>
      <c r="AE82" s="163"/>
    </row>
    <row r="83" spans="1:31" x14ac:dyDescent="0.35">
      <c r="A83" s="162">
        <v>46127</v>
      </c>
      <c r="B83" s="163" t="s">
        <v>92</v>
      </c>
      <c r="C83" s="163" t="s">
        <v>93</v>
      </c>
      <c r="D83" s="163" t="s">
        <v>283</v>
      </c>
      <c r="E83" s="163" t="s">
        <v>95</v>
      </c>
      <c r="F83" s="163" t="s">
        <v>96</v>
      </c>
      <c r="G83" s="163" t="s">
        <v>12</v>
      </c>
      <c r="H83" s="163" t="s">
        <v>97</v>
      </c>
      <c r="I83" s="163" t="s">
        <v>98</v>
      </c>
      <c r="J83" s="163" t="s">
        <v>99</v>
      </c>
      <c r="K83" s="163" t="s">
        <v>284</v>
      </c>
      <c r="L83" s="163"/>
      <c r="M83" s="163" t="s">
        <v>285</v>
      </c>
      <c r="N83" s="163" t="s">
        <v>102</v>
      </c>
      <c r="O83" s="163"/>
      <c r="P83" s="163"/>
      <c r="Q83" s="163" t="str">
        <f t="shared" ca="1" si="13"/>
        <v/>
      </c>
      <c r="R83" s="163" t="str">
        <f t="shared" ca="1" si="11"/>
        <v/>
      </c>
      <c r="S83" s="163" t="s">
        <v>103</v>
      </c>
      <c r="T83" s="164">
        <v>19150</v>
      </c>
      <c r="U83" s="164">
        <v>19150</v>
      </c>
      <c r="V83" s="165">
        <v>46127</v>
      </c>
      <c r="W83" s="163"/>
      <c r="X83" s="163" t="s">
        <v>27</v>
      </c>
      <c r="Y83" s="163" t="s">
        <v>85</v>
      </c>
      <c r="Z83" s="163"/>
      <c r="AA83" s="162">
        <v>46142</v>
      </c>
      <c r="AB83" s="195" t="str">
        <f t="shared" si="9"/>
        <v>Apr-26</v>
      </c>
      <c r="AC83" s="163"/>
      <c r="AD83" s="163" t="str">
        <f t="shared" si="12"/>
        <v/>
      </c>
      <c r="AE83" s="163"/>
    </row>
    <row r="84" spans="1:31" x14ac:dyDescent="0.35">
      <c r="A84" s="162">
        <v>46127</v>
      </c>
      <c r="B84" s="163" t="s">
        <v>92</v>
      </c>
      <c r="C84" s="163" t="s">
        <v>93</v>
      </c>
      <c r="D84" s="163" t="s">
        <v>182</v>
      </c>
      <c r="E84" s="163" t="s">
        <v>95</v>
      </c>
      <c r="F84" s="163" t="s">
        <v>96</v>
      </c>
      <c r="G84" s="163" t="s">
        <v>15</v>
      </c>
      <c r="H84" s="163" t="s">
        <v>97</v>
      </c>
      <c r="I84" s="163" t="s">
        <v>98</v>
      </c>
      <c r="J84" s="163" t="s">
        <v>116</v>
      </c>
      <c r="K84" s="163" t="s">
        <v>183</v>
      </c>
      <c r="L84" s="163"/>
      <c r="M84" s="163" t="s">
        <v>286</v>
      </c>
      <c r="N84" s="163" t="s">
        <v>102</v>
      </c>
      <c r="O84" s="163"/>
      <c r="P84" s="163"/>
      <c r="Q84" s="163" t="str">
        <f t="shared" ca="1" si="13"/>
        <v/>
      </c>
      <c r="R84" s="163" t="str">
        <f t="shared" ca="1" si="11"/>
        <v/>
      </c>
      <c r="S84" s="163" t="s">
        <v>103</v>
      </c>
      <c r="T84" s="164">
        <v>54120</v>
      </c>
      <c r="U84" s="164">
        <v>54120</v>
      </c>
      <c r="V84" s="165">
        <v>46127</v>
      </c>
      <c r="W84" s="163"/>
      <c r="X84" s="163" t="s">
        <v>30</v>
      </c>
      <c r="Y84" s="163" t="s">
        <v>85</v>
      </c>
      <c r="Z84" s="163"/>
      <c r="AA84" s="162">
        <v>46142</v>
      </c>
      <c r="AB84" s="195" t="str">
        <f t="shared" si="9"/>
        <v>Apr-26</v>
      </c>
      <c r="AC84" s="163"/>
      <c r="AD84" s="163" t="str">
        <f t="shared" si="12"/>
        <v/>
      </c>
      <c r="AE84" s="163"/>
    </row>
    <row r="85" spans="1:31" x14ac:dyDescent="0.35">
      <c r="A85" s="162">
        <v>46127</v>
      </c>
      <c r="B85" s="163" t="s">
        <v>92</v>
      </c>
      <c r="C85" s="163" t="s">
        <v>93</v>
      </c>
      <c r="D85" s="163" t="s">
        <v>186</v>
      </c>
      <c r="E85" s="163" t="s">
        <v>95</v>
      </c>
      <c r="F85" s="163" t="s">
        <v>96</v>
      </c>
      <c r="G85" s="163" t="s">
        <v>15</v>
      </c>
      <c r="H85" s="163" t="s">
        <v>97</v>
      </c>
      <c r="I85" s="163" t="s">
        <v>98</v>
      </c>
      <c r="J85" s="163" t="s">
        <v>116</v>
      </c>
      <c r="K85" s="163" t="s">
        <v>183</v>
      </c>
      <c r="L85" s="163"/>
      <c r="M85" s="163" t="s">
        <v>287</v>
      </c>
      <c r="N85" s="163" t="s">
        <v>102</v>
      </c>
      <c r="O85" s="163"/>
      <c r="P85" s="163"/>
      <c r="Q85" s="163" t="str">
        <f t="shared" ca="1" si="13"/>
        <v/>
      </c>
      <c r="R85" s="163" t="str">
        <f t="shared" ca="1" si="11"/>
        <v/>
      </c>
      <c r="S85" s="163" t="s">
        <v>103</v>
      </c>
      <c r="T85" s="164">
        <v>18500</v>
      </c>
      <c r="U85" s="164">
        <v>18500</v>
      </c>
      <c r="V85" s="165">
        <v>46127</v>
      </c>
      <c r="W85" s="163"/>
      <c r="X85" s="163" t="s">
        <v>55</v>
      </c>
      <c r="Y85" s="163" t="s">
        <v>85</v>
      </c>
      <c r="Z85" s="163"/>
      <c r="AA85" s="162">
        <v>46142</v>
      </c>
      <c r="AB85" s="195" t="str">
        <f t="shared" si="9"/>
        <v>Apr-26</v>
      </c>
      <c r="AC85" s="163"/>
      <c r="AD85" s="163" t="str">
        <f t="shared" si="12"/>
        <v/>
      </c>
      <c r="AE85" s="163"/>
    </row>
    <row r="86" spans="1:31" x14ac:dyDescent="0.35">
      <c r="A86" s="162">
        <v>46127</v>
      </c>
      <c r="B86" s="163" t="s">
        <v>92</v>
      </c>
      <c r="C86" s="163" t="s">
        <v>113</v>
      </c>
      <c r="D86" s="163" t="s">
        <v>114</v>
      </c>
      <c r="E86" s="163" t="s">
        <v>95</v>
      </c>
      <c r="F86" s="163" t="s">
        <v>96</v>
      </c>
      <c r="G86" s="163" t="s">
        <v>10</v>
      </c>
      <c r="H86" s="163" t="s">
        <v>115</v>
      </c>
      <c r="I86" s="163" t="s">
        <v>98</v>
      </c>
      <c r="J86" s="163" t="s">
        <v>116</v>
      </c>
      <c r="K86" s="163" t="s">
        <v>117</v>
      </c>
      <c r="L86" s="163"/>
      <c r="M86" s="163" t="s">
        <v>288</v>
      </c>
      <c r="N86" s="163" t="s">
        <v>102</v>
      </c>
      <c r="O86" s="163"/>
      <c r="P86" s="163"/>
      <c r="Q86" s="163" t="str">
        <f t="shared" ca="1" si="13"/>
        <v/>
      </c>
      <c r="R86" s="163" t="str">
        <f t="shared" ca="1" si="11"/>
        <v/>
      </c>
      <c r="S86" s="163" t="s">
        <v>103</v>
      </c>
      <c r="T86" s="164">
        <v>25208</v>
      </c>
      <c r="U86" s="164">
        <v>25208</v>
      </c>
      <c r="V86" s="162">
        <v>46127</v>
      </c>
      <c r="W86" s="163" t="s">
        <v>289</v>
      </c>
      <c r="X86" s="163" t="s">
        <v>35</v>
      </c>
      <c r="Y86" s="163" t="s">
        <v>85</v>
      </c>
      <c r="Z86" s="163"/>
      <c r="AA86" s="162">
        <v>46172</v>
      </c>
      <c r="AB86" s="195" t="str">
        <f t="shared" si="9"/>
        <v>Apr-26</v>
      </c>
      <c r="AC86" s="163"/>
      <c r="AD86" s="163" t="str">
        <f t="shared" si="12"/>
        <v/>
      </c>
      <c r="AE86" s="163"/>
    </row>
    <row r="87" spans="1:31" x14ac:dyDescent="0.35">
      <c r="A87" s="162">
        <v>46127</v>
      </c>
      <c r="B87" s="163" t="s">
        <v>125</v>
      </c>
      <c r="C87" s="163" t="s">
        <v>113</v>
      </c>
      <c r="D87" s="163" t="s">
        <v>260</v>
      </c>
      <c r="E87" s="163" t="s">
        <v>95</v>
      </c>
      <c r="F87" s="163" t="s">
        <v>96</v>
      </c>
      <c r="G87" s="163" t="s">
        <v>15</v>
      </c>
      <c r="H87" s="163" t="s">
        <v>97</v>
      </c>
      <c r="I87" s="163"/>
      <c r="J87" s="163" t="s">
        <v>116</v>
      </c>
      <c r="K87" s="163" t="s">
        <v>231</v>
      </c>
      <c r="L87" s="163"/>
      <c r="M87" s="163" t="s">
        <v>159</v>
      </c>
      <c r="N87" s="163" t="s">
        <v>102</v>
      </c>
      <c r="O87" s="163"/>
      <c r="P87" s="163"/>
      <c r="Q87" s="163" t="str">
        <f t="shared" ca="1" si="13"/>
        <v/>
      </c>
      <c r="R87" s="163" t="str">
        <f t="shared" ca="1" si="11"/>
        <v/>
      </c>
      <c r="S87" s="163" t="s">
        <v>103</v>
      </c>
      <c r="T87" s="164">
        <v>20440</v>
      </c>
      <c r="U87" s="164">
        <v>20440</v>
      </c>
      <c r="V87" s="162">
        <v>46127</v>
      </c>
      <c r="W87" s="163"/>
      <c r="X87" s="163" t="s">
        <v>39</v>
      </c>
      <c r="Y87" s="163" t="s">
        <v>85</v>
      </c>
      <c r="Z87" s="163"/>
      <c r="AA87" s="163"/>
      <c r="AB87" s="195" t="str">
        <f t="shared" si="9"/>
        <v>Apr-26</v>
      </c>
      <c r="AC87" s="163"/>
      <c r="AD87" s="163" t="str">
        <f t="shared" si="12"/>
        <v/>
      </c>
      <c r="AE87" s="163"/>
    </row>
    <row r="88" spans="1:31" x14ac:dyDescent="0.35">
      <c r="A88" s="162">
        <v>46127</v>
      </c>
      <c r="B88" s="163" t="s">
        <v>125</v>
      </c>
      <c r="C88" s="163" t="s">
        <v>113</v>
      </c>
      <c r="D88" s="163" t="s">
        <v>165</v>
      </c>
      <c r="E88" s="163" t="s">
        <v>95</v>
      </c>
      <c r="F88" s="163" t="s">
        <v>135</v>
      </c>
      <c r="G88" s="163"/>
      <c r="H88" s="163" t="s">
        <v>115</v>
      </c>
      <c r="I88" s="163" t="s">
        <v>98</v>
      </c>
      <c r="J88" s="163" t="s">
        <v>166</v>
      </c>
      <c r="K88" s="163" t="s">
        <v>167</v>
      </c>
      <c r="L88" s="163"/>
      <c r="M88" s="163" t="s">
        <v>159</v>
      </c>
      <c r="N88" s="163" t="s">
        <v>102</v>
      </c>
      <c r="O88" s="163"/>
      <c r="P88" s="163"/>
      <c r="Q88" s="163" t="str">
        <f t="shared" ca="1" si="13"/>
        <v/>
      </c>
      <c r="R88" s="163" t="str">
        <f t="shared" ca="1" si="11"/>
        <v/>
      </c>
      <c r="S88" s="163" t="s">
        <v>103</v>
      </c>
      <c r="T88" s="164">
        <v>25208</v>
      </c>
      <c r="U88" s="164">
        <v>25208</v>
      </c>
      <c r="V88" s="162">
        <v>46127</v>
      </c>
      <c r="W88" s="163" t="s">
        <v>289</v>
      </c>
      <c r="X88" s="163" t="s">
        <v>35</v>
      </c>
      <c r="Y88" s="163" t="s">
        <v>85</v>
      </c>
      <c r="Z88" s="163"/>
      <c r="AA88" s="163"/>
      <c r="AB88" s="195" t="str">
        <f t="shared" si="9"/>
        <v>Apr-26</v>
      </c>
      <c r="AC88" s="163"/>
      <c r="AD88" s="163" t="str">
        <f t="shared" si="12"/>
        <v/>
      </c>
      <c r="AE88" s="163"/>
    </row>
    <row r="89" spans="1:31" x14ac:dyDescent="0.35">
      <c r="A89" s="162">
        <v>46127</v>
      </c>
      <c r="B89" s="163" t="s">
        <v>125</v>
      </c>
      <c r="C89" s="163" t="s">
        <v>113</v>
      </c>
      <c r="D89" s="163" t="s">
        <v>290</v>
      </c>
      <c r="E89" s="163" t="s">
        <v>95</v>
      </c>
      <c r="F89" s="163" t="s">
        <v>96</v>
      </c>
      <c r="G89" s="163" t="s">
        <v>14</v>
      </c>
      <c r="H89" s="163" t="s">
        <v>226</v>
      </c>
      <c r="I89" s="163"/>
      <c r="J89" s="163" t="s">
        <v>153</v>
      </c>
      <c r="K89" s="163" t="s">
        <v>227</v>
      </c>
      <c r="L89" s="163"/>
      <c r="M89" s="163" t="s">
        <v>228</v>
      </c>
      <c r="N89" s="163" t="s">
        <v>156</v>
      </c>
      <c r="O89" s="163"/>
      <c r="P89" s="163"/>
      <c r="Q89" s="163"/>
      <c r="R89" s="163" t="str">
        <f t="shared" ca="1" si="11"/>
        <v/>
      </c>
      <c r="S89" s="163" t="s">
        <v>103</v>
      </c>
      <c r="T89" s="164"/>
      <c r="U89" s="164"/>
      <c r="V89" s="165"/>
      <c r="W89" s="163"/>
      <c r="X89" s="163"/>
      <c r="Y89" s="163"/>
      <c r="Z89" s="163"/>
      <c r="AA89" s="163"/>
      <c r="AB89" s="195" t="str">
        <f t="shared" si="9"/>
        <v>Apr-26</v>
      </c>
      <c r="AC89" s="163"/>
      <c r="AD89" s="163" t="str">
        <f t="shared" si="12"/>
        <v/>
      </c>
      <c r="AE89" s="163"/>
    </row>
    <row r="90" spans="1:31" x14ac:dyDescent="0.35">
      <c r="A90" s="162">
        <v>46127</v>
      </c>
      <c r="B90" s="163" t="s">
        <v>125</v>
      </c>
      <c r="C90" s="163" t="s">
        <v>113</v>
      </c>
      <c r="D90" s="163" t="s">
        <v>255</v>
      </c>
      <c r="E90" s="163" t="s">
        <v>95</v>
      </c>
      <c r="F90" s="163" t="s">
        <v>135</v>
      </c>
      <c r="G90" s="163"/>
      <c r="H90" s="163" t="s">
        <v>97</v>
      </c>
      <c r="I90" s="163"/>
      <c r="J90" s="163" t="s">
        <v>166</v>
      </c>
      <c r="K90" s="163" t="s">
        <v>256</v>
      </c>
      <c r="L90" s="163"/>
      <c r="M90" s="163" t="s">
        <v>159</v>
      </c>
      <c r="N90" s="163" t="s">
        <v>102</v>
      </c>
      <c r="O90" s="163"/>
      <c r="P90" s="163"/>
      <c r="Q90" s="163" t="str">
        <f t="shared" ref="Q90:Q100" ca="1" si="14">IF(N90="Closed(C4)","",IF(N90="","",TODAY()-A90))</f>
        <v/>
      </c>
      <c r="R90" s="163" t="str">
        <f t="shared" ca="1" si="11"/>
        <v/>
      </c>
      <c r="S90" s="163" t="s">
        <v>103</v>
      </c>
      <c r="T90" s="164">
        <v>22503</v>
      </c>
      <c r="U90" s="164">
        <v>22503</v>
      </c>
      <c r="V90" s="162">
        <v>46127</v>
      </c>
      <c r="W90" s="163"/>
      <c r="X90" s="163" t="s">
        <v>62</v>
      </c>
      <c r="Y90" s="163" t="s">
        <v>161</v>
      </c>
      <c r="Z90" s="163"/>
      <c r="AA90" s="163"/>
      <c r="AB90" s="195" t="str">
        <f t="shared" si="9"/>
        <v>Apr-26</v>
      </c>
      <c r="AC90" s="163"/>
      <c r="AD90" s="163" t="str">
        <f t="shared" si="12"/>
        <v/>
      </c>
      <c r="AE90" s="163"/>
    </row>
    <row r="91" spans="1:31" x14ac:dyDescent="0.35">
      <c r="A91" s="162">
        <v>46128</v>
      </c>
      <c r="B91" s="163" t="s">
        <v>92</v>
      </c>
      <c r="C91" s="163" t="s">
        <v>93</v>
      </c>
      <c r="D91" s="163" t="s">
        <v>283</v>
      </c>
      <c r="E91" s="163" t="s">
        <v>95</v>
      </c>
      <c r="F91" s="163" t="s">
        <v>96</v>
      </c>
      <c r="G91" s="163" t="s">
        <v>12</v>
      </c>
      <c r="H91" s="163" t="s">
        <v>97</v>
      </c>
      <c r="I91" s="163" t="s">
        <v>121</v>
      </c>
      <c r="J91" s="163" t="s">
        <v>99</v>
      </c>
      <c r="K91" s="163" t="s">
        <v>284</v>
      </c>
      <c r="L91" s="163"/>
      <c r="M91" s="163" t="s">
        <v>291</v>
      </c>
      <c r="N91" s="163" t="s">
        <v>102</v>
      </c>
      <c r="O91" s="163"/>
      <c r="P91" s="163"/>
      <c r="Q91" s="163" t="str">
        <f t="shared" ca="1" si="14"/>
        <v/>
      </c>
      <c r="R91" s="163" t="str">
        <f t="shared" ca="1" si="11"/>
        <v/>
      </c>
      <c r="S91" s="163" t="s">
        <v>103</v>
      </c>
      <c r="T91" s="164">
        <v>65980</v>
      </c>
      <c r="U91" s="164">
        <v>65980</v>
      </c>
      <c r="V91" s="165">
        <v>46128</v>
      </c>
      <c r="W91" s="163"/>
      <c r="X91" s="163" t="s">
        <v>27</v>
      </c>
      <c r="Y91" s="163" t="s">
        <v>85</v>
      </c>
      <c r="Z91" s="163"/>
      <c r="AA91" s="162">
        <v>46142</v>
      </c>
      <c r="AB91" s="195" t="str">
        <f t="shared" si="9"/>
        <v>Apr-26</v>
      </c>
      <c r="AC91" s="163"/>
      <c r="AD91" s="163" t="str">
        <f t="shared" si="12"/>
        <v/>
      </c>
      <c r="AE91" s="163"/>
    </row>
    <row r="92" spans="1:31" x14ac:dyDescent="0.35">
      <c r="A92" s="162">
        <v>46128</v>
      </c>
      <c r="B92" s="163" t="s">
        <v>92</v>
      </c>
      <c r="C92" s="163" t="s">
        <v>93</v>
      </c>
      <c r="D92" s="163" t="s">
        <v>182</v>
      </c>
      <c r="E92" s="163" t="s">
        <v>95</v>
      </c>
      <c r="F92" s="163" t="s">
        <v>96</v>
      </c>
      <c r="G92" s="163" t="s">
        <v>15</v>
      </c>
      <c r="H92" s="163" t="s">
        <v>97</v>
      </c>
      <c r="I92" s="163" t="s">
        <v>98</v>
      </c>
      <c r="J92" s="163" t="s">
        <v>116</v>
      </c>
      <c r="K92" s="163" t="s">
        <v>183</v>
      </c>
      <c r="L92" s="163"/>
      <c r="M92" s="163" t="s">
        <v>292</v>
      </c>
      <c r="N92" s="163" t="s">
        <v>102</v>
      </c>
      <c r="O92" s="163"/>
      <c r="P92" s="163"/>
      <c r="Q92" s="163" t="str">
        <f t="shared" ca="1" si="14"/>
        <v/>
      </c>
      <c r="R92" s="163" t="str">
        <f t="shared" ca="1" si="11"/>
        <v/>
      </c>
      <c r="S92" s="163" t="s">
        <v>103</v>
      </c>
      <c r="T92" s="164">
        <v>64620</v>
      </c>
      <c r="U92" s="164">
        <v>64620</v>
      </c>
      <c r="V92" s="165">
        <v>46128</v>
      </c>
      <c r="W92" s="163"/>
      <c r="X92" s="163" t="s">
        <v>30</v>
      </c>
      <c r="Y92" s="163" t="s">
        <v>85</v>
      </c>
      <c r="Z92" s="163"/>
      <c r="AA92" s="162">
        <v>46142</v>
      </c>
      <c r="AB92" s="195" t="str">
        <f t="shared" si="9"/>
        <v>Apr-26</v>
      </c>
      <c r="AC92" s="163"/>
      <c r="AD92" s="163" t="str">
        <f t="shared" si="12"/>
        <v/>
      </c>
      <c r="AE92" s="163"/>
    </row>
    <row r="93" spans="1:31" x14ac:dyDescent="0.35">
      <c r="A93" s="162">
        <v>46128</v>
      </c>
      <c r="B93" s="163" t="s">
        <v>92</v>
      </c>
      <c r="C93" s="163" t="s">
        <v>93</v>
      </c>
      <c r="D93" s="163" t="s">
        <v>186</v>
      </c>
      <c r="E93" s="163" t="s">
        <v>95</v>
      </c>
      <c r="F93" s="163" t="s">
        <v>96</v>
      </c>
      <c r="G93" s="163" t="s">
        <v>15</v>
      </c>
      <c r="H93" s="163" t="s">
        <v>97</v>
      </c>
      <c r="I93" s="163" t="s">
        <v>98</v>
      </c>
      <c r="J93" s="163" t="s">
        <v>116</v>
      </c>
      <c r="K93" s="163" t="s">
        <v>183</v>
      </c>
      <c r="L93" s="163"/>
      <c r="M93" s="163" t="s">
        <v>293</v>
      </c>
      <c r="N93" s="163" t="s">
        <v>102</v>
      </c>
      <c r="O93" s="163"/>
      <c r="P93" s="163"/>
      <c r="Q93" s="163" t="str">
        <f t="shared" ca="1" si="14"/>
        <v/>
      </c>
      <c r="R93" s="163" t="str">
        <f t="shared" ca="1" si="11"/>
        <v/>
      </c>
      <c r="S93" s="163" t="s">
        <v>103</v>
      </c>
      <c r="T93" s="164">
        <v>17240</v>
      </c>
      <c r="U93" s="164">
        <v>17240</v>
      </c>
      <c r="V93" s="165">
        <v>46128</v>
      </c>
      <c r="W93" s="163"/>
      <c r="X93" s="163" t="s">
        <v>55</v>
      </c>
      <c r="Y93" s="163" t="s">
        <v>85</v>
      </c>
      <c r="Z93" s="163"/>
      <c r="AA93" s="162">
        <v>46142</v>
      </c>
      <c r="AB93" s="195" t="str">
        <f t="shared" si="9"/>
        <v>Apr-26</v>
      </c>
      <c r="AC93" s="163"/>
      <c r="AD93" s="163" t="str">
        <f t="shared" si="12"/>
        <v/>
      </c>
      <c r="AE93" s="163"/>
    </row>
    <row r="94" spans="1:31" x14ac:dyDescent="0.35">
      <c r="A94" s="162">
        <v>46128</v>
      </c>
      <c r="B94" s="163" t="s">
        <v>125</v>
      </c>
      <c r="C94" s="163" t="s">
        <v>113</v>
      </c>
      <c r="D94" s="163" t="s">
        <v>175</v>
      </c>
      <c r="E94" s="163" t="s">
        <v>95</v>
      </c>
      <c r="F94" s="163" t="s">
        <v>135</v>
      </c>
      <c r="G94" s="163"/>
      <c r="H94" s="163" t="s">
        <v>97</v>
      </c>
      <c r="I94" s="163"/>
      <c r="J94" s="163" t="s">
        <v>166</v>
      </c>
      <c r="K94" s="163" t="s">
        <v>176</v>
      </c>
      <c r="L94" s="163"/>
      <c r="M94" s="163" t="s">
        <v>159</v>
      </c>
      <c r="N94" s="163" t="s">
        <v>102</v>
      </c>
      <c r="O94" s="163"/>
      <c r="P94" s="163"/>
      <c r="Q94" s="163" t="str">
        <f t="shared" ca="1" si="14"/>
        <v/>
      </c>
      <c r="R94" s="163" t="str">
        <f t="shared" ca="1" si="11"/>
        <v/>
      </c>
      <c r="S94" s="163" t="s">
        <v>103</v>
      </c>
      <c r="T94" s="164">
        <v>14230</v>
      </c>
      <c r="U94" s="164">
        <v>14230</v>
      </c>
      <c r="V94" s="162">
        <v>46128</v>
      </c>
      <c r="W94" s="163"/>
      <c r="X94" s="163" t="s">
        <v>62</v>
      </c>
      <c r="Y94" s="163" t="s">
        <v>161</v>
      </c>
      <c r="Z94" s="163"/>
      <c r="AA94" s="163"/>
      <c r="AB94" s="195" t="str">
        <f t="shared" si="9"/>
        <v>Apr-26</v>
      </c>
      <c r="AC94" s="163"/>
      <c r="AD94" s="163" t="str">
        <f t="shared" si="12"/>
        <v/>
      </c>
      <c r="AE94" s="163"/>
    </row>
    <row r="95" spans="1:31" x14ac:dyDescent="0.35">
      <c r="A95" s="162">
        <v>46129</v>
      </c>
      <c r="B95" s="163" t="s">
        <v>92</v>
      </c>
      <c r="C95" s="163" t="s">
        <v>93</v>
      </c>
      <c r="D95" s="163" t="s">
        <v>294</v>
      </c>
      <c r="E95" s="163" t="s">
        <v>106</v>
      </c>
      <c r="F95" s="163" t="s">
        <v>135</v>
      </c>
      <c r="G95" s="163"/>
      <c r="H95" s="163" t="s">
        <v>115</v>
      </c>
      <c r="I95" s="163" t="s">
        <v>121</v>
      </c>
      <c r="J95" s="163" t="s">
        <v>166</v>
      </c>
      <c r="K95" s="163" t="s">
        <v>295</v>
      </c>
      <c r="L95" s="163"/>
      <c r="M95" s="163" t="s">
        <v>296</v>
      </c>
      <c r="N95" s="163" t="s">
        <v>102</v>
      </c>
      <c r="O95" s="163"/>
      <c r="P95" s="163"/>
      <c r="Q95" s="163" t="str">
        <f t="shared" ca="1" si="14"/>
        <v/>
      </c>
      <c r="R95" s="163" t="str">
        <f t="shared" ca="1" si="11"/>
        <v/>
      </c>
      <c r="S95" s="163" t="s">
        <v>103</v>
      </c>
      <c r="T95" s="164">
        <v>100240</v>
      </c>
      <c r="U95" s="164">
        <v>100240</v>
      </c>
      <c r="V95" s="165">
        <v>46129</v>
      </c>
      <c r="W95" s="163"/>
      <c r="X95" s="163" t="s">
        <v>51</v>
      </c>
      <c r="Y95" s="163" t="s">
        <v>85</v>
      </c>
      <c r="Z95" s="163"/>
      <c r="AA95" s="162">
        <v>46124</v>
      </c>
      <c r="AB95" s="195" t="str">
        <f t="shared" si="9"/>
        <v>Apr-26</v>
      </c>
      <c r="AC95" s="163" t="s">
        <v>104</v>
      </c>
      <c r="AD95" s="163">
        <f t="shared" si="12"/>
        <v>2004.8</v>
      </c>
      <c r="AE95" s="163"/>
    </row>
    <row r="96" spans="1:31" x14ac:dyDescent="0.35">
      <c r="A96" s="162">
        <v>46129</v>
      </c>
      <c r="B96" s="163" t="s">
        <v>92</v>
      </c>
      <c r="C96" s="163" t="s">
        <v>93</v>
      </c>
      <c r="D96" s="163" t="s">
        <v>297</v>
      </c>
      <c r="E96" s="163" t="s">
        <v>106</v>
      </c>
      <c r="F96" s="163" t="s">
        <v>135</v>
      </c>
      <c r="G96" s="163"/>
      <c r="H96" s="163" t="s">
        <v>115</v>
      </c>
      <c r="I96" s="163" t="s">
        <v>121</v>
      </c>
      <c r="J96" s="163" t="s">
        <v>153</v>
      </c>
      <c r="K96" s="163" t="s">
        <v>298</v>
      </c>
      <c r="L96" s="163"/>
      <c r="M96" s="163" t="s">
        <v>299</v>
      </c>
      <c r="N96" s="163" t="s">
        <v>102</v>
      </c>
      <c r="O96" s="163"/>
      <c r="P96" s="163"/>
      <c r="Q96" s="163" t="str">
        <f t="shared" ca="1" si="14"/>
        <v/>
      </c>
      <c r="R96" s="163" t="str">
        <f t="shared" ca="1" si="11"/>
        <v/>
      </c>
      <c r="S96" s="163" t="s">
        <v>103</v>
      </c>
      <c r="T96" s="164">
        <v>15000</v>
      </c>
      <c r="U96" s="213">
        <v>12524</v>
      </c>
      <c r="V96" s="165">
        <v>46129</v>
      </c>
      <c r="W96" s="163"/>
      <c r="X96" s="163" t="s">
        <v>26</v>
      </c>
      <c r="Y96" s="163" t="s">
        <v>85</v>
      </c>
      <c r="Z96" s="163"/>
      <c r="AA96" s="162">
        <v>46129</v>
      </c>
      <c r="AB96" s="195" t="str">
        <f t="shared" si="9"/>
        <v>Apr-26</v>
      </c>
      <c r="AC96" s="163" t="s">
        <v>104</v>
      </c>
      <c r="AD96" s="163">
        <f t="shared" si="12"/>
        <v>250.48000000000002</v>
      </c>
      <c r="AE96" s="163"/>
    </row>
    <row r="97" spans="1:31" x14ac:dyDescent="0.35">
      <c r="A97" s="162">
        <v>46129</v>
      </c>
      <c r="B97" s="163" t="s">
        <v>92</v>
      </c>
      <c r="C97" s="163" t="s">
        <v>93</v>
      </c>
      <c r="D97" s="163" t="s">
        <v>283</v>
      </c>
      <c r="E97" s="163" t="s">
        <v>95</v>
      </c>
      <c r="F97" s="163" t="s">
        <v>96</v>
      </c>
      <c r="G97" s="163" t="s">
        <v>12</v>
      </c>
      <c r="H97" s="163" t="s">
        <v>97</v>
      </c>
      <c r="I97" s="163" t="s">
        <v>98</v>
      </c>
      <c r="J97" s="163" t="s">
        <v>99</v>
      </c>
      <c r="K97" s="163" t="s">
        <v>284</v>
      </c>
      <c r="L97" s="163"/>
      <c r="M97" s="163" t="s">
        <v>300</v>
      </c>
      <c r="N97" s="163" t="s">
        <v>102</v>
      </c>
      <c r="O97" s="163"/>
      <c r="P97" s="163"/>
      <c r="Q97" s="163" t="str">
        <f t="shared" ca="1" si="14"/>
        <v/>
      </c>
      <c r="R97" s="163" t="str">
        <f t="shared" ca="1" si="11"/>
        <v/>
      </c>
      <c r="S97" s="163" t="s">
        <v>103</v>
      </c>
      <c r="T97" s="164">
        <v>70930</v>
      </c>
      <c r="U97" s="164">
        <v>70930</v>
      </c>
      <c r="V97" s="165">
        <v>46129</v>
      </c>
      <c r="W97" s="163"/>
      <c r="X97" s="163" t="s">
        <v>27</v>
      </c>
      <c r="Y97" s="163" t="s">
        <v>85</v>
      </c>
      <c r="Z97" s="163"/>
      <c r="AA97" s="162">
        <v>46142</v>
      </c>
      <c r="AB97" s="195" t="str">
        <f t="shared" si="9"/>
        <v>Apr-26</v>
      </c>
      <c r="AC97" s="163"/>
      <c r="AD97" s="163" t="str">
        <f t="shared" si="12"/>
        <v/>
      </c>
      <c r="AE97" s="163"/>
    </row>
    <row r="98" spans="1:31" x14ac:dyDescent="0.35">
      <c r="A98" s="162">
        <v>46129</v>
      </c>
      <c r="B98" s="163" t="s">
        <v>92</v>
      </c>
      <c r="C98" s="163" t="s">
        <v>93</v>
      </c>
      <c r="D98" s="163" t="s">
        <v>182</v>
      </c>
      <c r="E98" s="163" t="s">
        <v>95</v>
      </c>
      <c r="F98" s="163" t="s">
        <v>96</v>
      </c>
      <c r="G98" s="163" t="s">
        <v>15</v>
      </c>
      <c r="H98" s="163" t="s">
        <v>97</v>
      </c>
      <c r="I98" s="163" t="s">
        <v>98</v>
      </c>
      <c r="J98" s="163" t="s">
        <v>116</v>
      </c>
      <c r="K98" s="163" t="s">
        <v>183</v>
      </c>
      <c r="L98" s="163"/>
      <c r="M98" s="163" t="s">
        <v>301</v>
      </c>
      <c r="N98" s="163" t="s">
        <v>102</v>
      </c>
      <c r="O98" s="163"/>
      <c r="P98" s="163"/>
      <c r="Q98" s="163" t="str">
        <f t="shared" ca="1" si="14"/>
        <v/>
      </c>
      <c r="R98" s="163" t="str">
        <f t="shared" ca="1" si="11"/>
        <v/>
      </c>
      <c r="S98" s="163" t="s">
        <v>103</v>
      </c>
      <c r="T98" s="164">
        <v>86350</v>
      </c>
      <c r="U98" s="164">
        <v>86350</v>
      </c>
      <c r="V98" s="165">
        <v>46129</v>
      </c>
      <c r="W98" s="163"/>
      <c r="X98" s="163" t="s">
        <v>30</v>
      </c>
      <c r="Y98" s="163" t="s">
        <v>85</v>
      </c>
      <c r="Z98" s="163"/>
      <c r="AA98" s="162">
        <v>46142</v>
      </c>
      <c r="AB98" s="195" t="str">
        <f t="shared" si="9"/>
        <v>Apr-26</v>
      </c>
      <c r="AC98" s="163"/>
      <c r="AD98" s="163" t="str">
        <f t="shared" si="12"/>
        <v/>
      </c>
      <c r="AE98" s="163"/>
    </row>
    <row r="99" spans="1:31" x14ac:dyDescent="0.35">
      <c r="A99" s="162">
        <v>46129</v>
      </c>
      <c r="B99" s="163" t="s">
        <v>92</v>
      </c>
      <c r="C99" s="163" t="s">
        <v>93</v>
      </c>
      <c r="D99" s="163" t="s">
        <v>186</v>
      </c>
      <c r="E99" s="163" t="s">
        <v>95</v>
      </c>
      <c r="F99" s="163" t="s">
        <v>96</v>
      </c>
      <c r="G99" s="163" t="s">
        <v>15</v>
      </c>
      <c r="H99" s="163" t="s">
        <v>97</v>
      </c>
      <c r="I99" s="163" t="s">
        <v>98</v>
      </c>
      <c r="J99" s="163" t="s">
        <v>116</v>
      </c>
      <c r="K99" s="163" t="s">
        <v>183</v>
      </c>
      <c r="L99" s="163"/>
      <c r="M99" s="163" t="s">
        <v>302</v>
      </c>
      <c r="N99" s="163" t="s">
        <v>102</v>
      </c>
      <c r="O99" s="163"/>
      <c r="P99" s="163"/>
      <c r="Q99" s="163" t="str">
        <f t="shared" ca="1" si="14"/>
        <v/>
      </c>
      <c r="R99" s="163" t="str">
        <f t="shared" ca="1" si="11"/>
        <v/>
      </c>
      <c r="S99" s="163" t="s">
        <v>103</v>
      </c>
      <c r="T99" s="164">
        <v>19180</v>
      </c>
      <c r="U99" s="164">
        <v>19180</v>
      </c>
      <c r="V99" s="165">
        <v>46129</v>
      </c>
      <c r="W99" s="163"/>
      <c r="X99" s="163" t="s">
        <v>44</v>
      </c>
      <c r="Y99" s="163" t="s">
        <v>85</v>
      </c>
      <c r="Z99" s="163"/>
      <c r="AA99" s="162">
        <v>46142</v>
      </c>
      <c r="AB99" s="195" t="str">
        <f t="shared" si="9"/>
        <v>Apr-26</v>
      </c>
      <c r="AC99" s="163"/>
      <c r="AD99" s="163" t="str">
        <f t="shared" si="12"/>
        <v/>
      </c>
      <c r="AE99" s="163"/>
    </row>
    <row r="100" spans="1:31" x14ac:dyDescent="0.35">
      <c r="A100" s="162">
        <v>46129</v>
      </c>
      <c r="B100" s="163" t="s">
        <v>125</v>
      </c>
      <c r="C100" s="163" t="s">
        <v>113</v>
      </c>
      <c r="D100" s="163" t="s">
        <v>246</v>
      </c>
      <c r="E100" s="163" t="s">
        <v>95</v>
      </c>
      <c r="F100" s="163" t="s">
        <v>96</v>
      </c>
      <c r="G100" s="163" t="s">
        <v>15</v>
      </c>
      <c r="H100" s="163" t="s">
        <v>97</v>
      </c>
      <c r="I100" s="163"/>
      <c r="J100" s="163" t="s">
        <v>116</v>
      </c>
      <c r="K100" s="163" t="s">
        <v>231</v>
      </c>
      <c r="L100" s="163"/>
      <c r="M100" s="163" t="s">
        <v>159</v>
      </c>
      <c r="N100" s="163" t="s">
        <v>102</v>
      </c>
      <c r="O100" s="163"/>
      <c r="P100" s="163"/>
      <c r="Q100" s="163" t="str">
        <f t="shared" ca="1" si="14"/>
        <v/>
      </c>
      <c r="R100" s="163" t="str">
        <f t="shared" ca="1" si="11"/>
        <v/>
      </c>
      <c r="S100" s="163" t="s">
        <v>103</v>
      </c>
      <c r="T100" s="164">
        <v>18650</v>
      </c>
      <c r="U100" s="164">
        <v>18650</v>
      </c>
      <c r="V100" s="162">
        <v>46129</v>
      </c>
      <c r="W100" s="163"/>
      <c r="X100" s="163" t="s">
        <v>39</v>
      </c>
      <c r="Y100" s="163" t="s">
        <v>85</v>
      </c>
      <c r="Z100" s="163"/>
      <c r="AA100" s="163"/>
      <c r="AB100" s="195" t="str">
        <f t="shared" si="9"/>
        <v>Apr-26</v>
      </c>
      <c r="AC100" s="163"/>
      <c r="AD100" s="163" t="str">
        <f t="shared" si="12"/>
        <v/>
      </c>
      <c r="AE100" s="163"/>
    </row>
    <row r="101" spans="1:31" x14ac:dyDescent="0.35">
      <c r="A101" s="162">
        <v>46130</v>
      </c>
      <c r="B101" s="163" t="s">
        <v>92</v>
      </c>
      <c r="C101" s="163" t="s">
        <v>93</v>
      </c>
      <c r="D101" s="163" t="s">
        <v>265</v>
      </c>
      <c r="E101" s="163" t="s">
        <v>95</v>
      </c>
      <c r="F101" s="163" t="s">
        <v>135</v>
      </c>
      <c r="G101" s="163"/>
      <c r="H101" s="163" t="s">
        <v>115</v>
      </c>
      <c r="I101" s="163" t="s">
        <v>121</v>
      </c>
      <c r="J101" s="163" t="s">
        <v>266</v>
      </c>
      <c r="K101" s="163" t="s">
        <v>267</v>
      </c>
      <c r="L101" s="163"/>
      <c r="M101" s="163" t="s">
        <v>159</v>
      </c>
      <c r="N101" s="163" t="s">
        <v>102</v>
      </c>
      <c r="O101" s="163"/>
      <c r="P101" s="163"/>
      <c r="Q101" s="163"/>
      <c r="R101" s="163"/>
      <c r="S101" s="163" t="s">
        <v>103</v>
      </c>
      <c r="T101" s="164">
        <v>25000</v>
      </c>
      <c r="U101" s="164">
        <v>11702</v>
      </c>
      <c r="V101" s="162">
        <v>46130</v>
      </c>
      <c r="W101" s="163" t="s">
        <v>303</v>
      </c>
      <c r="X101" s="163" t="s">
        <v>56</v>
      </c>
      <c r="Y101" s="163" t="s">
        <v>161</v>
      </c>
      <c r="Z101" s="163"/>
      <c r="AA101" s="162">
        <v>46130</v>
      </c>
      <c r="AB101" s="195" t="str">
        <f t="shared" si="9"/>
        <v>Apr-26</v>
      </c>
      <c r="AC101" s="163"/>
      <c r="AD101" s="163"/>
      <c r="AE101" s="163" t="s">
        <v>270</v>
      </c>
    </row>
    <row r="102" spans="1:31" x14ac:dyDescent="0.35">
      <c r="A102" s="162">
        <v>46130</v>
      </c>
      <c r="B102" s="163" t="s">
        <v>92</v>
      </c>
      <c r="C102" s="163" t="s">
        <v>93</v>
      </c>
      <c r="D102" s="163" t="s">
        <v>304</v>
      </c>
      <c r="E102" s="163" t="s">
        <v>106</v>
      </c>
      <c r="F102" s="163" t="s">
        <v>115</v>
      </c>
      <c r="G102" s="163"/>
      <c r="H102" s="163" t="s">
        <v>115</v>
      </c>
      <c r="I102" s="163" t="s">
        <v>121</v>
      </c>
      <c r="J102" s="163" t="s">
        <v>266</v>
      </c>
      <c r="K102" s="163" t="s">
        <v>305</v>
      </c>
      <c r="L102" s="163"/>
      <c r="M102" s="163" t="s">
        <v>306</v>
      </c>
      <c r="N102" s="163" t="s">
        <v>102</v>
      </c>
      <c r="O102" s="163"/>
      <c r="P102" s="163"/>
      <c r="Q102" s="163" t="str">
        <f ca="1">IF(N102="Closed(C4)","",IF(N102="","",TODAY()-A102))</f>
        <v/>
      </c>
      <c r="R102" s="163" t="str">
        <f ca="1">IF(OR(N102="Closed( C4 )",N102="Cancelled"),"",IF(AND(O102&lt;&gt;"",O102&lt;TODAY()),"Yes",""))</f>
        <v/>
      </c>
      <c r="S102" s="163" t="s">
        <v>103</v>
      </c>
      <c r="T102" s="164">
        <v>35495</v>
      </c>
      <c r="U102" s="164">
        <v>35495</v>
      </c>
      <c r="V102" s="165">
        <v>46130</v>
      </c>
      <c r="W102" s="163"/>
      <c r="X102" s="163" t="s">
        <v>30</v>
      </c>
      <c r="Y102" s="163" t="s">
        <v>161</v>
      </c>
      <c r="Z102" s="163"/>
      <c r="AA102" s="162">
        <v>46130</v>
      </c>
      <c r="AB102" s="195" t="str">
        <f t="shared" si="9"/>
        <v>Apr-26</v>
      </c>
      <c r="AC102" s="163"/>
      <c r="AD102" s="163" t="str">
        <f>IF(AC102="Yes",U102*2%,"")</f>
        <v/>
      </c>
      <c r="AE102" s="163"/>
    </row>
    <row r="103" spans="1:31" x14ac:dyDescent="0.35">
      <c r="A103" s="162">
        <v>46130</v>
      </c>
      <c r="B103" s="163" t="s">
        <v>125</v>
      </c>
      <c r="C103" s="163" t="s">
        <v>113</v>
      </c>
      <c r="D103" s="163" t="s">
        <v>277</v>
      </c>
      <c r="E103" s="163" t="s">
        <v>95</v>
      </c>
      <c r="F103" s="163" t="s">
        <v>96</v>
      </c>
      <c r="G103" s="163" t="s">
        <v>13</v>
      </c>
      <c r="H103" s="163" t="s">
        <v>226</v>
      </c>
      <c r="I103" s="163"/>
      <c r="J103" s="163" t="s">
        <v>153</v>
      </c>
      <c r="K103" s="163" t="s">
        <v>131</v>
      </c>
      <c r="L103" s="163"/>
      <c r="M103" s="163" t="s">
        <v>159</v>
      </c>
      <c r="N103" s="163" t="s">
        <v>102</v>
      </c>
      <c r="O103" s="163"/>
      <c r="P103" s="163"/>
      <c r="Q103" s="163" t="str">
        <f ca="1">IF(N103="Closed(C4)","",IF(N103="","",TODAY()-A103))</f>
        <v/>
      </c>
      <c r="R103" s="163" t="str">
        <f ca="1">IF(OR(N103="Closed( C4 )",N103="Cancelled"),"",IF(AND(O103&lt;&gt;"",O103&lt;TODAY()),"Yes",""))</f>
        <v/>
      </c>
      <c r="S103" s="163" t="s">
        <v>103</v>
      </c>
      <c r="T103" s="164">
        <v>218650</v>
      </c>
      <c r="U103" s="164">
        <v>218650</v>
      </c>
      <c r="V103" s="162">
        <v>46141</v>
      </c>
      <c r="W103" s="163"/>
      <c r="X103" s="163" t="s">
        <v>37</v>
      </c>
      <c r="Y103" s="163" t="s">
        <v>85</v>
      </c>
      <c r="Z103" s="163"/>
      <c r="AA103" s="162">
        <v>46172</v>
      </c>
      <c r="AB103" s="195" t="str">
        <f t="shared" si="9"/>
        <v>Apr-26</v>
      </c>
      <c r="AC103" s="163"/>
      <c r="AD103" s="163" t="str">
        <f>IF(AC103="Yes",U103*2%,"")</f>
        <v/>
      </c>
      <c r="AE103" s="163"/>
    </row>
    <row r="104" spans="1:31" x14ac:dyDescent="0.35">
      <c r="A104" s="162">
        <v>46132</v>
      </c>
      <c r="B104" s="163" t="s">
        <v>92</v>
      </c>
      <c r="C104" s="163" t="s">
        <v>93</v>
      </c>
      <c r="D104" s="163" t="s">
        <v>182</v>
      </c>
      <c r="E104" s="163" t="s">
        <v>95</v>
      </c>
      <c r="F104" s="163" t="s">
        <v>96</v>
      </c>
      <c r="G104" s="163" t="s">
        <v>15</v>
      </c>
      <c r="H104" s="163" t="s">
        <v>97</v>
      </c>
      <c r="I104" s="163" t="s">
        <v>98</v>
      </c>
      <c r="J104" s="163" t="s">
        <v>116</v>
      </c>
      <c r="K104" s="163" t="s">
        <v>183</v>
      </c>
      <c r="L104" s="163"/>
      <c r="M104" s="163" t="s">
        <v>307</v>
      </c>
      <c r="N104" s="163" t="s">
        <v>102</v>
      </c>
      <c r="O104" s="163"/>
      <c r="P104" s="163"/>
      <c r="Q104" s="163" t="str">
        <f ca="1">IF(N104="Closed(C4)","",IF(N104="","",TODAY()-A104))</f>
        <v/>
      </c>
      <c r="R104" s="163" t="str">
        <f ca="1">IF(OR(N104="Closed( C4 )",N104="Cancelled"),"",IF(AND(O104&lt;&gt;"",O104&lt;TODAY()),"Yes",""))</f>
        <v/>
      </c>
      <c r="S104" s="163" t="s">
        <v>103</v>
      </c>
      <c r="T104" s="164">
        <v>45590</v>
      </c>
      <c r="U104" s="164">
        <v>45590</v>
      </c>
      <c r="V104" s="165">
        <v>46132</v>
      </c>
      <c r="W104" s="163"/>
      <c r="X104" s="163" t="s">
        <v>30</v>
      </c>
      <c r="Y104" s="163" t="s">
        <v>85</v>
      </c>
      <c r="Z104" s="163"/>
      <c r="AA104" s="162">
        <v>46142</v>
      </c>
      <c r="AB104" s="195" t="str">
        <f t="shared" si="9"/>
        <v>Apr-26</v>
      </c>
      <c r="AC104" s="163"/>
      <c r="AD104" s="163" t="str">
        <f>IF(AC104="Yes",U104*2%,"")</f>
        <v/>
      </c>
      <c r="AE104" s="163"/>
    </row>
    <row r="105" spans="1:31" x14ac:dyDescent="0.35">
      <c r="A105" s="162">
        <v>46132</v>
      </c>
      <c r="B105" s="163" t="s">
        <v>92</v>
      </c>
      <c r="C105" s="163" t="s">
        <v>93</v>
      </c>
      <c r="D105" s="163" t="s">
        <v>186</v>
      </c>
      <c r="E105" s="163" t="s">
        <v>95</v>
      </c>
      <c r="F105" s="163" t="s">
        <v>96</v>
      </c>
      <c r="G105" s="163" t="s">
        <v>15</v>
      </c>
      <c r="H105" s="163" t="s">
        <v>97</v>
      </c>
      <c r="I105" s="163" t="s">
        <v>98</v>
      </c>
      <c r="J105" s="163" t="s">
        <v>116</v>
      </c>
      <c r="K105" s="163" t="s">
        <v>183</v>
      </c>
      <c r="L105" s="163"/>
      <c r="M105" s="163" t="s">
        <v>308</v>
      </c>
      <c r="N105" s="163" t="s">
        <v>102</v>
      </c>
      <c r="O105" s="163"/>
      <c r="P105" s="163"/>
      <c r="Q105" s="163" t="str">
        <f ca="1">IF(N105="Closed(C4)","",IF(N105="","",TODAY()-A105))</f>
        <v/>
      </c>
      <c r="R105" s="163" t="str">
        <f ca="1">IF(OR(N105="Closed( C4 )",N105="Cancelled"),"",IF(AND(O105&lt;&gt;"",O105&lt;TODAY()),"Yes",""))</f>
        <v/>
      </c>
      <c r="S105" s="163" t="s">
        <v>103</v>
      </c>
      <c r="T105" s="164">
        <v>11189</v>
      </c>
      <c r="U105" s="164">
        <v>11189</v>
      </c>
      <c r="V105" s="165">
        <v>46132</v>
      </c>
      <c r="W105" s="163"/>
      <c r="X105" s="163" t="s">
        <v>44</v>
      </c>
      <c r="Y105" s="163" t="s">
        <v>85</v>
      </c>
      <c r="Z105" s="163"/>
      <c r="AA105" s="162">
        <v>46142</v>
      </c>
      <c r="AB105" s="195" t="str">
        <f t="shared" si="9"/>
        <v>Apr-26</v>
      </c>
      <c r="AC105" s="163"/>
      <c r="AD105" s="163" t="str">
        <f>IF(AC105="Yes",U105*2%,"")</f>
        <v/>
      </c>
      <c r="AE105" s="163"/>
    </row>
    <row r="106" spans="1:31" x14ac:dyDescent="0.35">
      <c r="A106" s="162">
        <v>46132</v>
      </c>
      <c r="B106" s="163" t="s">
        <v>92</v>
      </c>
      <c r="C106" s="163" t="s">
        <v>93</v>
      </c>
      <c r="D106" s="163" t="s">
        <v>265</v>
      </c>
      <c r="E106" s="163" t="s">
        <v>106</v>
      </c>
      <c r="F106" s="163" t="s">
        <v>135</v>
      </c>
      <c r="G106" s="163"/>
      <c r="H106" s="163" t="s">
        <v>115</v>
      </c>
      <c r="I106" s="163" t="s">
        <v>121</v>
      </c>
      <c r="J106" s="163" t="s">
        <v>266</v>
      </c>
      <c r="K106" s="163" t="s">
        <v>267</v>
      </c>
      <c r="L106" s="163"/>
      <c r="M106" s="163" t="s">
        <v>159</v>
      </c>
      <c r="N106" s="163" t="s">
        <v>102</v>
      </c>
      <c r="O106" s="163"/>
      <c r="P106" s="163"/>
      <c r="Q106" s="163"/>
      <c r="R106" s="163"/>
      <c r="S106" s="163" t="s">
        <v>103</v>
      </c>
      <c r="T106" s="164">
        <v>30000</v>
      </c>
      <c r="U106" s="164">
        <v>18297</v>
      </c>
      <c r="V106" s="165">
        <v>46132</v>
      </c>
      <c r="W106" s="163" t="s">
        <v>309</v>
      </c>
      <c r="X106" s="163" t="s">
        <v>56</v>
      </c>
      <c r="Y106" s="163" t="s">
        <v>161</v>
      </c>
      <c r="Z106" s="163"/>
      <c r="AA106" s="162">
        <v>46132</v>
      </c>
      <c r="AB106" s="195" t="str">
        <f t="shared" si="9"/>
        <v>Apr-26</v>
      </c>
      <c r="AC106" s="163"/>
      <c r="AD106" s="163"/>
      <c r="AE106" s="163" t="s">
        <v>270</v>
      </c>
    </row>
    <row r="107" spans="1:31" x14ac:dyDescent="0.35">
      <c r="A107" s="162">
        <v>46132</v>
      </c>
      <c r="B107" s="163" t="s">
        <v>92</v>
      </c>
      <c r="C107" s="163" t="s">
        <v>93</v>
      </c>
      <c r="D107" s="163" t="s">
        <v>200</v>
      </c>
      <c r="E107" s="163" t="s">
        <v>95</v>
      </c>
      <c r="F107" s="163" t="s">
        <v>96</v>
      </c>
      <c r="G107" s="163" t="s">
        <v>10</v>
      </c>
      <c r="H107" s="163" t="s">
        <v>115</v>
      </c>
      <c r="I107" s="163" t="s">
        <v>121</v>
      </c>
      <c r="J107" s="163" t="s">
        <v>116</v>
      </c>
      <c r="K107" s="163" t="s">
        <v>201</v>
      </c>
      <c r="L107" s="163"/>
      <c r="M107" s="163" t="s">
        <v>310</v>
      </c>
      <c r="N107" s="163" t="s">
        <v>102</v>
      </c>
      <c r="O107" s="163"/>
      <c r="P107" s="163"/>
      <c r="Q107" s="163" t="str">
        <f t="shared" ref="Q107:Q138" ca="1" si="15">IF(N107="Closed(C4)","",IF(N107="","",TODAY()-A107))</f>
        <v/>
      </c>
      <c r="R107" s="163" t="str">
        <f t="shared" ref="R107:R151" ca="1" si="16">IF(OR(N107="Closed( C4 )",N107="Cancelled"),"",IF(AND(O107&lt;&gt;"",O107&lt;TODAY()),"Yes",""))</f>
        <v/>
      </c>
      <c r="S107" s="163" t="s">
        <v>103</v>
      </c>
      <c r="T107" s="164">
        <v>18200</v>
      </c>
      <c r="U107" s="164">
        <v>18200</v>
      </c>
      <c r="V107" s="165">
        <v>46132</v>
      </c>
      <c r="W107" s="163"/>
      <c r="X107" s="163" t="s">
        <v>30</v>
      </c>
      <c r="Y107" s="163" t="s">
        <v>85</v>
      </c>
      <c r="Z107" s="163"/>
      <c r="AA107" s="162">
        <v>46172</v>
      </c>
      <c r="AB107" s="195" t="str">
        <f t="shared" si="9"/>
        <v>Apr-26</v>
      </c>
      <c r="AC107" s="163"/>
      <c r="AD107" s="163" t="str">
        <f t="shared" ref="AD107:AD150" si="17">IF(AC107="Yes",U107*2%,"")</f>
        <v/>
      </c>
      <c r="AE107" s="163"/>
    </row>
    <row r="108" spans="1:31" x14ac:dyDescent="0.35">
      <c r="A108" s="162">
        <v>46133</v>
      </c>
      <c r="B108" s="163" t="s">
        <v>92</v>
      </c>
      <c r="C108" s="163" t="s">
        <v>93</v>
      </c>
      <c r="D108" s="163" t="s">
        <v>182</v>
      </c>
      <c r="E108" s="163" t="s">
        <v>95</v>
      </c>
      <c r="F108" s="163" t="s">
        <v>96</v>
      </c>
      <c r="G108" s="163" t="s">
        <v>15</v>
      </c>
      <c r="H108" s="163" t="s">
        <v>97</v>
      </c>
      <c r="I108" s="163" t="s">
        <v>98</v>
      </c>
      <c r="J108" s="163" t="s">
        <v>116</v>
      </c>
      <c r="K108" s="163" t="s">
        <v>183</v>
      </c>
      <c r="L108" s="163"/>
      <c r="M108" s="163" t="s">
        <v>311</v>
      </c>
      <c r="N108" s="163" t="s">
        <v>102</v>
      </c>
      <c r="O108" s="163"/>
      <c r="P108" s="163"/>
      <c r="Q108" s="163" t="str">
        <f t="shared" ca="1" si="15"/>
        <v/>
      </c>
      <c r="R108" s="163" t="str">
        <f t="shared" ca="1" si="16"/>
        <v/>
      </c>
      <c r="S108" s="163" t="s">
        <v>103</v>
      </c>
      <c r="T108" s="164">
        <v>52920</v>
      </c>
      <c r="U108" s="164">
        <v>52920</v>
      </c>
      <c r="V108" s="165">
        <v>46133</v>
      </c>
      <c r="W108" s="163"/>
      <c r="X108" s="163" t="s">
        <v>30</v>
      </c>
      <c r="Y108" s="163" t="s">
        <v>85</v>
      </c>
      <c r="Z108" s="163"/>
      <c r="AA108" s="162">
        <v>46142</v>
      </c>
      <c r="AB108" s="195" t="str">
        <f t="shared" si="9"/>
        <v>Apr-26</v>
      </c>
      <c r="AC108" s="163"/>
      <c r="AD108" s="163" t="str">
        <f t="shared" si="17"/>
        <v/>
      </c>
      <c r="AE108" s="163"/>
    </row>
    <row r="109" spans="1:31" x14ac:dyDescent="0.35">
      <c r="A109" s="162">
        <v>46133</v>
      </c>
      <c r="B109" s="163" t="s">
        <v>92</v>
      </c>
      <c r="C109" s="163" t="s">
        <v>93</v>
      </c>
      <c r="D109" s="163" t="s">
        <v>186</v>
      </c>
      <c r="E109" s="163" t="s">
        <v>95</v>
      </c>
      <c r="F109" s="163" t="s">
        <v>96</v>
      </c>
      <c r="G109" s="163" t="s">
        <v>15</v>
      </c>
      <c r="H109" s="163" t="s">
        <v>97</v>
      </c>
      <c r="I109" s="163" t="s">
        <v>98</v>
      </c>
      <c r="J109" s="163" t="s">
        <v>116</v>
      </c>
      <c r="K109" s="163" t="s">
        <v>183</v>
      </c>
      <c r="L109" s="163"/>
      <c r="M109" s="163" t="s">
        <v>312</v>
      </c>
      <c r="N109" s="163" t="s">
        <v>102</v>
      </c>
      <c r="O109" s="163"/>
      <c r="P109" s="163"/>
      <c r="Q109" s="163" t="str">
        <f t="shared" ca="1" si="15"/>
        <v/>
      </c>
      <c r="R109" s="163" t="str">
        <f t="shared" ca="1" si="16"/>
        <v/>
      </c>
      <c r="S109" s="163" t="s">
        <v>103</v>
      </c>
      <c r="T109" s="164">
        <v>9650</v>
      </c>
      <c r="U109" s="164">
        <v>9650</v>
      </c>
      <c r="V109" s="165">
        <v>46133</v>
      </c>
      <c r="W109" s="163"/>
      <c r="X109" s="163" t="s">
        <v>44</v>
      </c>
      <c r="Y109" s="163" t="s">
        <v>85</v>
      </c>
      <c r="Z109" s="163"/>
      <c r="AA109" s="162">
        <v>46142</v>
      </c>
      <c r="AB109" s="195" t="str">
        <f t="shared" si="9"/>
        <v>Apr-26</v>
      </c>
      <c r="AC109" s="163"/>
      <c r="AD109" s="163" t="str">
        <f t="shared" si="17"/>
        <v/>
      </c>
      <c r="AE109" s="163"/>
    </row>
    <row r="110" spans="1:31" x14ac:dyDescent="0.35">
      <c r="A110" s="162">
        <v>46133</v>
      </c>
      <c r="B110" s="163" t="s">
        <v>92</v>
      </c>
      <c r="C110" s="163" t="s">
        <v>93</v>
      </c>
      <c r="D110" s="163" t="s">
        <v>109</v>
      </c>
      <c r="E110" s="163" t="s">
        <v>95</v>
      </c>
      <c r="F110" s="163" t="s">
        <v>96</v>
      </c>
      <c r="G110" s="163" t="s">
        <v>15</v>
      </c>
      <c r="H110" s="163" t="s">
        <v>97</v>
      </c>
      <c r="I110" s="163" t="s">
        <v>98</v>
      </c>
      <c r="J110" s="163" t="s">
        <v>99</v>
      </c>
      <c r="K110" s="163" t="s">
        <v>110</v>
      </c>
      <c r="L110" s="163"/>
      <c r="M110" s="163" t="s">
        <v>313</v>
      </c>
      <c r="N110" s="163" t="s">
        <v>102</v>
      </c>
      <c r="O110" s="163"/>
      <c r="P110" s="163"/>
      <c r="Q110" s="163" t="str">
        <f t="shared" ca="1" si="15"/>
        <v/>
      </c>
      <c r="R110" s="163" t="str">
        <f t="shared" ca="1" si="16"/>
        <v/>
      </c>
      <c r="S110" s="163" t="s">
        <v>103</v>
      </c>
      <c r="T110" s="164">
        <v>38280</v>
      </c>
      <c r="U110" s="164">
        <v>38280</v>
      </c>
      <c r="V110" s="165">
        <v>46133</v>
      </c>
      <c r="W110" s="163"/>
      <c r="X110" s="163" t="s">
        <v>27</v>
      </c>
      <c r="Y110" s="163" t="s">
        <v>85</v>
      </c>
      <c r="Z110" s="163"/>
      <c r="AA110" s="162">
        <v>46142</v>
      </c>
      <c r="AB110" s="195" t="str">
        <f t="shared" si="9"/>
        <v>Apr-26</v>
      </c>
      <c r="AC110" s="163"/>
      <c r="AD110" s="163" t="str">
        <f t="shared" si="17"/>
        <v/>
      </c>
      <c r="AE110" s="163"/>
    </row>
    <row r="111" spans="1:31" x14ac:dyDescent="0.35">
      <c r="A111" s="162">
        <v>46133</v>
      </c>
      <c r="B111" s="163" t="s">
        <v>92</v>
      </c>
      <c r="C111" s="163" t="s">
        <v>93</v>
      </c>
      <c r="D111" s="163" t="s">
        <v>314</v>
      </c>
      <c r="E111" s="163" t="s">
        <v>95</v>
      </c>
      <c r="F111" s="163" t="s">
        <v>135</v>
      </c>
      <c r="G111" s="163"/>
      <c r="H111" s="163" t="s">
        <v>115</v>
      </c>
      <c r="I111" s="163" t="s">
        <v>121</v>
      </c>
      <c r="J111" s="163" t="s">
        <v>315</v>
      </c>
      <c r="K111" s="163" t="s">
        <v>316</v>
      </c>
      <c r="L111" s="163"/>
      <c r="M111" s="163" t="s">
        <v>317</v>
      </c>
      <c r="N111" s="163" t="s">
        <v>102</v>
      </c>
      <c r="O111" s="163"/>
      <c r="P111" s="163"/>
      <c r="Q111" s="163" t="str">
        <f t="shared" ca="1" si="15"/>
        <v/>
      </c>
      <c r="R111" s="163" t="str">
        <f t="shared" ca="1" si="16"/>
        <v/>
      </c>
      <c r="S111" s="163" t="s">
        <v>103</v>
      </c>
      <c r="T111" s="164">
        <v>17220</v>
      </c>
      <c r="U111" s="164">
        <v>17220</v>
      </c>
      <c r="V111" s="165">
        <v>46133</v>
      </c>
      <c r="W111" s="163"/>
      <c r="X111" s="163" t="s">
        <v>34</v>
      </c>
      <c r="Y111" s="163" t="s">
        <v>161</v>
      </c>
      <c r="Z111" s="163"/>
      <c r="AA111" s="162">
        <v>46133</v>
      </c>
      <c r="AB111" s="195" t="str">
        <f t="shared" si="9"/>
        <v>Apr-26</v>
      </c>
      <c r="AC111" s="163"/>
      <c r="AD111" s="163" t="str">
        <f t="shared" si="17"/>
        <v/>
      </c>
      <c r="AE111" s="163"/>
    </row>
    <row r="112" spans="1:31" x14ac:dyDescent="0.35">
      <c r="A112" s="162">
        <v>46133</v>
      </c>
      <c r="B112" s="163" t="s">
        <v>125</v>
      </c>
      <c r="C112" s="163" t="s">
        <v>113</v>
      </c>
      <c r="D112" s="163" t="s">
        <v>223</v>
      </c>
      <c r="E112" s="163" t="s">
        <v>95</v>
      </c>
      <c r="F112" s="163" t="s">
        <v>135</v>
      </c>
      <c r="G112" s="163"/>
      <c r="H112" s="163" t="s">
        <v>97</v>
      </c>
      <c r="I112" s="163"/>
      <c r="J112" s="163" t="s">
        <v>166</v>
      </c>
      <c r="K112" s="163" t="s">
        <v>224</v>
      </c>
      <c r="L112" s="163"/>
      <c r="M112" s="163" t="s">
        <v>159</v>
      </c>
      <c r="N112" s="163" t="s">
        <v>102</v>
      </c>
      <c r="O112" s="163"/>
      <c r="P112" s="163"/>
      <c r="Q112" s="163" t="str">
        <f t="shared" ca="1" si="15"/>
        <v/>
      </c>
      <c r="R112" s="163" t="str">
        <f t="shared" ca="1" si="16"/>
        <v/>
      </c>
      <c r="S112" s="163" t="s">
        <v>103</v>
      </c>
      <c r="T112" s="164">
        <v>17230</v>
      </c>
      <c r="U112" s="164">
        <v>17230</v>
      </c>
      <c r="V112" s="162">
        <v>46133</v>
      </c>
      <c r="W112" s="163"/>
      <c r="X112" s="163" t="s">
        <v>62</v>
      </c>
      <c r="Y112" s="163" t="s">
        <v>161</v>
      </c>
      <c r="Z112" s="163"/>
      <c r="AA112" s="163"/>
      <c r="AB112" s="195" t="str">
        <f t="shared" si="9"/>
        <v>Apr-26</v>
      </c>
      <c r="AC112" s="163"/>
      <c r="AD112" s="163" t="str">
        <f t="shared" si="17"/>
        <v/>
      </c>
      <c r="AE112" s="163"/>
    </row>
    <row r="113" spans="1:31" x14ac:dyDescent="0.35">
      <c r="A113" s="162">
        <v>46134</v>
      </c>
      <c r="B113" s="163" t="s">
        <v>92</v>
      </c>
      <c r="C113" s="163" t="s">
        <v>93</v>
      </c>
      <c r="D113" s="163" t="s">
        <v>182</v>
      </c>
      <c r="E113" s="163" t="s">
        <v>95</v>
      </c>
      <c r="F113" s="163" t="s">
        <v>96</v>
      </c>
      <c r="G113" s="163" t="s">
        <v>15</v>
      </c>
      <c r="H113" s="163" t="s">
        <v>97</v>
      </c>
      <c r="I113" s="163" t="s">
        <v>98</v>
      </c>
      <c r="J113" s="163" t="s">
        <v>116</v>
      </c>
      <c r="K113" s="163" t="s">
        <v>183</v>
      </c>
      <c r="L113" s="163"/>
      <c r="M113" s="163" t="s">
        <v>318</v>
      </c>
      <c r="N113" s="163" t="s">
        <v>102</v>
      </c>
      <c r="O113" s="163"/>
      <c r="P113" s="163"/>
      <c r="Q113" s="163" t="str">
        <f t="shared" ca="1" si="15"/>
        <v/>
      </c>
      <c r="R113" s="163" t="str">
        <f t="shared" ca="1" si="16"/>
        <v/>
      </c>
      <c r="S113" s="163" t="s">
        <v>103</v>
      </c>
      <c r="T113" s="164">
        <v>56660</v>
      </c>
      <c r="U113" s="164">
        <v>56660</v>
      </c>
      <c r="V113" s="165">
        <v>46134</v>
      </c>
      <c r="W113" s="163" t="s">
        <v>319</v>
      </c>
      <c r="X113" s="163" t="s">
        <v>30</v>
      </c>
      <c r="Y113" s="163" t="s">
        <v>85</v>
      </c>
      <c r="Z113" s="163"/>
      <c r="AA113" s="162">
        <v>46142</v>
      </c>
      <c r="AB113" s="195" t="str">
        <f t="shared" si="9"/>
        <v>Apr-26</v>
      </c>
      <c r="AC113" s="163"/>
      <c r="AD113" s="163" t="str">
        <f t="shared" si="17"/>
        <v/>
      </c>
      <c r="AE113" s="163"/>
    </row>
    <row r="114" spans="1:31" x14ac:dyDescent="0.35">
      <c r="A114" s="162">
        <v>46134</v>
      </c>
      <c r="B114" s="163" t="s">
        <v>92</v>
      </c>
      <c r="C114" s="163" t="s">
        <v>93</v>
      </c>
      <c r="D114" s="163" t="s">
        <v>186</v>
      </c>
      <c r="E114" s="163" t="s">
        <v>95</v>
      </c>
      <c r="F114" s="163" t="s">
        <v>96</v>
      </c>
      <c r="G114" s="163" t="s">
        <v>15</v>
      </c>
      <c r="H114" s="163" t="s">
        <v>97</v>
      </c>
      <c r="I114" s="163" t="s">
        <v>98</v>
      </c>
      <c r="J114" s="163" t="s">
        <v>116</v>
      </c>
      <c r="K114" s="163" t="s">
        <v>183</v>
      </c>
      <c r="L114" s="163"/>
      <c r="M114" s="163" t="s">
        <v>320</v>
      </c>
      <c r="N114" s="163" t="s">
        <v>102</v>
      </c>
      <c r="O114" s="163"/>
      <c r="P114" s="163"/>
      <c r="Q114" s="163" t="str">
        <f t="shared" ca="1" si="15"/>
        <v/>
      </c>
      <c r="R114" s="163" t="str">
        <f t="shared" ca="1" si="16"/>
        <v/>
      </c>
      <c r="S114" s="163" t="s">
        <v>103</v>
      </c>
      <c r="T114" s="164">
        <v>14310</v>
      </c>
      <c r="U114" s="164">
        <v>14310</v>
      </c>
      <c r="V114" s="165">
        <v>46134</v>
      </c>
      <c r="W114" s="163"/>
      <c r="X114" s="163" t="s">
        <v>44</v>
      </c>
      <c r="Y114" s="163" t="s">
        <v>85</v>
      </c>
      <c r="Z114" s="163"/>
      <c r="AA114" s="162">
        <v>46142</v>
      </c>
      <c r="AB114" s="195" t="str">
        <f t="shared" si="9"/>
        <v>Apr-26</v>
      </c>
      <c r="AC114" s="163"/>
      <c r="AD114" s="163" t="str">
        <f t="shared" si="17"/>
        <v/>
      </c>
      <c r="AE114" s="163"/>
    </row>
    <row r="115" spans="1:31" x14ac:dyDescent="0.35">
      <c r="A115" s="162">
        <v>46134</v>
      </c>
      <c r="B115" s="163" t="s">
        <v>92</v>
      </c>
      <c r="C115" s="163" t="s">
        <v>93</v>
      </c>
      <c r="D115" s="163" t="s">
        <v>109</v>
      </c>
      <c r="E115" s="163" t="s">
        <v>95</v>
      </c>
      <c r="F115" s="163" t="s">
        <v>96</v>
      </c>
      <c r="G115" s="163" t="s">
        <v>15</v>
      </c>
      <c r="H115" s="163" t="s">
        <v>97</v>
      </c>
      <c r="I115" s="163" t="s">
        <v>121</v>
      </c>
      <c r="J115" s="163" t="s">
        <v>321</v>
      </c>
      <c r="K115" s="163" t="s">
        <v>110</v>
      </c>
      <c r="L115" s="163"/>
      <c r="M115" s="163" t="s">
        <v>322</v>
      </c>
      <c r="N115" s="163" t="s">
        <v>102</v>
      </c>
      <c r="O115" s="163"/>
      <c r="P115" s="163"/>
      <c r="Q115" s="163" t="str">
        <f t="shared" ca="1" si="15"/>
        <v/>
      </c>
      <c r="R115" s="163" t="str">
        <f t="shared" ca="1" si="16"/>
        <v/>
      </c>
      <c r="S115" s="163" t="s">
        <v>103</v>
      </c>
      <c r="T115" s="164">
        <v>51000</v>
      </c>
      <c r="U115" s="164">
        <v>51000</v>
      </c>
      <c r="V115" s="165">
        <v>46134</v>
      </c>
      <c r="W115" s="163"/>
      <c r="X115" s="163" t="s">
        <v>27</v>
      </c>
      <c r="Y115" s="163" t="s">
        <v>85</v>
      </c>
      <c r="Z115" s="163"/>
      <c r="AA115" s="162">
        <v>46142</v>
      </c>
      <c r="AB115" s="195" t="str">
        <f t="shared" si="9"/>
        <v>Apr-26</v>
      </c>
      <c r="AC115" s="163"/>
      <c r="AD115" s="163" t="str">
        <f t="shared" si="17"/>
        <v/>
      </c>
      <c r="AE115" s="163"/>
    </row>
    <row r="116" spans="1:31" x14ac:dyDescent="0.35">
      <c r="A116" s="162">
        <v>46134</v>
      </c>
      <c r="B116" s="163" t="s">
        <v>92</v>
      </c>
      <c r="C116" s="163" t="s">
        <v>93</v>
      </c>
      <c r="D116" s="163" t="s">
        <v>323</v>
      </c>
      <c r="E116" s="163" t="s">
        <v>106</v>
      </c>
      <c r="F116" s="163" t="s">
        <v>96</v>
      </c>
      <c r="G116" s="163" t="s">
        <v>10</v>
      </c>
      <c r="H116" s="163" t="s">
        <v>115</v>
      </c>
      <c r="I116" s="163" t="s">
        <v>98</v>
      </c>
      <c r="J116" s="163" t="s">
        <v>321</v>
      </c>
      <c r="K116" s="163" t="s">
        <v>324</v>
      </c>
      <c r="L116" s="163"/>
      <c r="M116" s="163" t="s">
        <v>325</v>
      </c>
      <c r="N116" s="163" t="s">
        <v>102</v>
      </c>
      <c r="O116" s="163"/>
      <c r="P116" s="163"/>
      <c r="Q116" s="163" t="str">
        <f t="shared" ca="1" si="15"/>
        <v/>
      </c>
      <c r="R116" s="163" t="str">
        <f t="shared" ca="1" si="16"/>
        <v/>
      </c>
      <c r="S116" s="163" t="s">
        <v>103</v>
      </c>
      <c r="T116" s="164">
        <v>66280</v>
      </c>
      <c r="U116" s="164">
        <v>66280</v>
      </c>
      <c r="V116" s="165">
        <v>46134</v>
      </c>
      <c r="W116" s="163" t="s">
        <v>326</v>
      </c>
      <c r="X116" s="163" t="s">
        <v>42</v>
      </c>
      <c r="Y116" s="163" t="s">
        <v>85</v>
      </c>
      <c r="Z116" s="163"/>
      <c r="AA116" s="162">
        <v>46142</v>
      </c>
      <c r="AB116" s="195" t="str">
        <f t="shared" si="9"/>
        <v>Apr-26</v>
      </c>
      <c r="AC116" s="163"/>
      <c r="AD116" s="163" t="str">
        <f t="shared" si="17"/>
        <v/>
      </c>
      <c r="AE116" s="163"/>
    </row>
    <row r="117" spans="1:31" x14ac:dyDescent="0.35">
      <c r="A117" s="162">
        <v>46134</v>
      </c>
      <c r="B117" s="163" t="s">
        <v>92</v>
      </c>
      <c r="C117" s="163" t="s">
        <v>93</v>
      </c>
      <c r="D117" s="163" t="s">
        <v>327</v>
      </c>
      <c r="E117" s="163" t="s">
        <v>95</v>
      </c>
      <c r="F117" s="163" t="s">
        <v>96</v>
      </c>
      <c r="G117" s="163" t="s">
        <v>10</v>
      </c>
      <c r="H117" s="163" t="s">
        <v>115</v>
      </c>
      <c r="I117" s="163" t="s">
        <v>121</v>
      </c>
      <c r="J117" s="163" t="s">
        <v>116</v>
      </c>
      <c r="K117" s="163" t="s">
        <v>328</v>
      </c>
      <c r="L117" s="163"/>
      <c r="M117" s="163" t="s">
        <v>329</v>
      </c>
      <c r="N117" s="163" t="s">
        <v>102</v>
      </c>
      <c r="O117" s="163"/>
      <c r="P117" s="163"/>
      <c r="Q117" s="163" t="str">
        <f t="shared" ca="1" si="15"/>
        <v/>
      </c>
      <c r="R117" s="163" t="str">
        <f t="shared" ca="1" si="16"/>
        <v/>
      </c>
      <c r="S117" s="163" t="s">
        <v>103</v>
      </c>
      <c r="T117" s="164">
        <v>20160</v>
      </c>
      <c r="U117" s="164">
        <v>20160</v>
      </c>
      <c r="V117" s="165">
        <v>46134</v>
      </c>
      <c r="W117" s="163"/>
      <c r="X117" s="163" t="s">
        <v>42</v>
      </c>
      <c r="Y117" s="163" t="s">
        <v>85</v>
      </c>
      <c r="Z117" s="163"/>
      <c r="AA117" s="162">
        <v>46172</v>
      </c>
      <c r="AB117" s="195" t="str">
        <f t="shared" si="9"/>
        <v>Apr-26</v>
      </c>
      <c r="AC117" s="163"/>
      <c r="AD117" s="163" t="str">
        <f t="shared" si="17"/>
        <v/>
      </c>
      <c r="AE117" s="163"/>
    </row>
    <row r="118" spans="1:31" x14ac:dyDescent="0.35">
      <c r="A118" s="162">
        <v>46134</v>
      </c>
      <c r="B118" s="163" t="s">
        <v>92</v>
      </c>
      <c r="C118" s="163" t="s">
        <v>113</v>
      </c>
      <c r="D118" s="163" t="s">
        <v>114</v>
      </c>
      <c r="E118" s="163" t="s">
        <v>95</v>
      </c>
      <c r="F118" s="163" t="s">
        <v>96</v>
      </c>
      <c r="G118" s="163" t="s">
        <v>10</v>
      </c>
      <c r="H118" s="163" t="s">
        <v>115</v>
      </c>
      <c r="I118" s="163" t="s">
        <v>98</v>
      </c>
      <c r="J118" s="163" t="s">
        <v>116</v>
      </c>
      <c r="K118" s="163" t="s">
        <v>117</v>
      </c>
      <c r="L118" s="163"/>
      <c r="M118" s="163" t="s">
        <v>330</v>
      </c>
      <c r="N118" s="163" t="s">
        <v>102</v>
      </c>
      <c r="O118" s="163"/>
      <c r="P118" s="163"/>
      <c r="Q118" s="163" t="str">
        <f t="shared" ca="1" si="15"/>
        <v/>
      </c>
      <c r="R118" s="163" t="str">
        <f t="shared" ca="1" si="16"/>
        <v/>
      </c>
      <c r="S118" s="163" t="s">
        <v>103</v>
      </c>
      <c r="T118" s="164">
        <v>24062</v>
      </c>
      <c r="U118" s="164">
        <v>24062</v>
      </c>
      <c r="V118" s="162">
        <v>46134</v>
      </c>
      <c r="W118" s="163" t="s">
        <v>331</v>
      </c>
      <c r="X118" s="163" t="s">
        <v>35</v>
      </c>
      <c r="Y118" s="163" t="s">
        <v>85</v>
      </c>
      <c r="Z118" s="163"/>
      <c r="AA118" s="162">
        <v>46172</v>
      </c>
      <c r="AB118" s="195" t="str">
        <f t="shared" si="9"/>
        <v>Apr-26</v>
      </c>
      <c r="AC118" s="163"/>
      <c r="AD118" s="163" t="str">
        <f t="shared" si="17"/>
        <v/>
      </c>
      <c r="AE118" s="163"/>
    </row>
    <row r="119" spans="1:31" x14ac:dyDescent="0.35">
      <c r="A119" s="162">
        <v>46134</v>
      </c>
      <c r="B119" s="163" t="s">
        <v>125</v>
      </c>
      <c r="C119" s="163" t="s">
        <v>113</v>
      </c>
      <c r="D119" s="163" t="s">
        <v>165</v>
      </c>
      <c r="E119" s="163" t="s">
        <v>95</v>
      </c>
      <c r="F119" s="163" t="s">
        <v>135</v>
      </c>
      <c r="G119" s="163"/>
      <c r="H119" s="163" t="s">
        <v>115</v>
      </c>
      <c r="I119" s="163" t="s">
        <v>98</v>
      </c>
      <c r="J119" s="163" t="s">
        <v>166</v>
      </c>
      <c r="K119" s="163" t="s">
        <v>167</v>
      </c>
      <c r="L119" s="163"/>
      <c r="M119" s="163" t="s">
        <v>159</v>
      </c>
      <c r="N119" s="163" t="s">
        <v>102</v>
      </c>
      <c r="O119" s="163"/>
      <c r="P119" s="163"/>
      <c r="Q119" s="163" t="str">
        <f t="shared" ca="1" si="15"/>
        <v/>
      </c>
      <c r="R119" s="163" t="str">
        <f t="shared" ca="1" si="16"/>
        <v/>
      </c>
      <c r="S119" s="163" t="s">
        <v>103</v>
      </c>
      <c r="T119" s="164">
        <v>24062</v>
      </c>
      <c r="U119" s="164">
        <v>24062</v>
      </c>
      <c r="V119" s="162">
        <v>46134</v>
      </c>
      <c r="W119" s="163" t="s">
        <v>331</v>
      </c>
      <c r="X119" s="163" t="s">
        <v>35</v>
      </c>
      <c r="Y119" s="163" t="s">
        <v>85</v>
      </c>
      <c r="Z119" s="163"/>
      <c r="AA119" s="162"/>
      <c r="AB119" s="195" t="str">
        <f t="shared" si="9"/>
        <v>Apr-26</v>
      </c>
      <c r="AC119" s="163"/>
      <c r="AD119" s="163" t="str">
        <f t="shared" si="17"/>
        <v/>
      </c>
      <c r="AE119" s="163"/>
    </row>
    <row r="120" spans="1:31" x14ac:dyDescent="0.35">
      <c r="A120" s="162">
        <v>46134</v>
      </c>
      <c r="B120" s="163" t="s">
        <v>125</v>
      </c>
      <c r="C120" s="163" t="s">
        <v>113</v>
      </c>
      <c r="D120" s="163" t="s">
        <v>246</v>
      </c>
      <c r="E120" s="163" t="s">
        <v>95</v>
      </c>
      <c r="F120" s="163" t="s">
        <v>96</v>
      </c>
      <c r="G120" s="163" t="s">
        <v>15</v>
      </c>
      <c r="H120" s="163" t="s">
        <v>97</v>
      </c>
      <c r="I120" s="163"/>
      <c r="J120" s="163" t="s">
        <v>116</v>
      </c>
      <c r="K120" s="163" t="s">
        <v>231</v>
      </c>
      <c r="L120" s="163"/>
      <c r="M120" s="163" t="s">
        <v>159</v>
      </c>
      <c r="N120" s="163" t="s">
        <v>102</v>
      </c>
      <c r="O120" s="163"/>
      <c r="P120" s="163"/>
      <c r="Q120" s="163" t="str">
        <f t="shared" ca="1" si="15"/>
        <v/>
      </c>
      <c r="R120" s="163" t="str">
        <f t="shared" ca="1" si="16"/>
        <v/>
      </c>
      <c r="S120" s="163" t="s">
        <v>103</v>
      </c>
      <c r="T120" s="164">
        <v>19720</v>
      </c>
      <c r="U120" s="164">
        <v>19720</v>
      </c>
      <c r="V120" s="162">
        <v>46134</v>
      </c>
      <c r="W120" s="163"/>
      <c r="X120" s="163" t="s">
        <v>39</v>
      </c>
      <c r="Y120" s="163" t="s">
        <v>85</v>
      </c>
      <c r="Z120" s="163"/>
      <c r="AA120" s="163"/>
      <c r="AB120" s="195" t="str">
        <f t="shared" si="9"/>
        <v>Apr-26</v>
      </c>
      <c r="AC120" s="163"/>
      <c r="AD120" s="163" t="str">
        <f t="shared" si="17"/>
        <v/>
      </c>
      <c r="AE120" s="163"/>
    </row>
    <row r="121" spans="1:31" x14ac:dyDescent="0.35">
      <c r="A121" s="162">
        <v>46134</v>
      </c>
      <c r="B121" s="163" t="s">
        <v>125</v>
      </c>
      <c r="C121" s="163" t="s">
        <v>113</v>
      </c>
      <c r="D121" s="163" t="s">
        <v>255</v>
      </c>
      <c r="E121" s="163" t="s">
        <v>95</v>
      </c>
      <c r="F121" s="163" t="s">
        <v>135</v>
      </c>
      <c r="G121" s="163"/>
      <c r="H121" s="163" t="s">
        <v>97</v>
      </c>
      <c r="I121" s="163"/>
      <c r="J121" s="163" t="s">
        <v>166</v>
      </c>
      <c r="K121" s="163" t="s">
        <v>256</v>
      </c>
      <c r="L121" s="163"/>
      <c r="M121" s="163" t="s">
        <v>159</v>
      </c>
      <c r="N121" s="163" t="s">
        <v>102</v>
      </c>
      <c r="O121" s="163"/>
      <c r="P121" s="163"/>
      <c r="Q121" s="163" t="str">
        <f t="shared" ca="1" si="15"/>
        <v/>
      </c>
      <c r="R121" s="163" t="str">
        <f t="shared" ca="1" si="16"/>
        <v/>
      </c>
      <c r="S121" s="163" t="s">
        <v>103</v>
      </c>
      <c r="T121" s="164">
        <v>21749</v>
      </c>
      <c r="U121" s="164">
        <v>21749</v>
      </c>
      <c r="V121" s="162">
        <v>46134</v>
      </c>
      <c r="W121" s="163"/>
      <c r="X121" s="163" t="s">
        <v>62</v>
      </c>
      <c r="Y121" s="163" t="s">
        <v>161</v>
      </c>
      <c r="Z121" s="163"/>
      <c r="AA121" s="163"/>
      <c r="AB121" s="195" t="str">
        <f t="shared" si="9"/>
        <v>Apr-26</v>
      </c>
      <c r="AC121" s="163"/>
      <c r="AD121" s="163" t="str">
        <f t="shared" si="17"/>
        <v/>
      </c>
      <c r="AE121" s="163"/>
    </row>
    <row r="122" spans="1:31" x14ac:dyDescent="0.35">
      <c r="A122" s="162">
        <v>46135</v>
      </c>
      <c r="B122" s="163" t="s">
        <v>92</v>
      </c>
      <c r="C122" s="163" t="s">
        <v>93</v>
      </c>
      <c r="D122" s="163" t="s">
        <v>182</v>
      </c>
      <c r="E122" s="163" t="s">
        <v>95</v>
      </c>
      <c r="F122" s="163" t="s">
        <v>96</v>
      </c>
      <c r="G122" s="163" t="s">
        <v>15</v>
      </c>
      <c r="H122" s="163" t="s">
        <v>97</v>
      </c>
      <c r="I122" s="163" t="s">
        <v>98</v>
      </c>
      <c r="J122" s="163" t="s">
        <v>116</v>
      </c>
      <c r="K122" s="163" t="s">
        <v>183</v>
      </c>
      <c r="L122" s="163"/>
      <c r="M122" s="163" t="s">
        <v>332</v>
      </c>
      <c r="N122" s="163" t="s">
        <v>102</v>
      </c>
      <c r="O122" s="163"/>
      <c r="P122" s="163"/>
      <c r="Q122" s="163" t="str">
        <f t="shared" ca="1" si="15"/>
        <v/>
      </c>
      <c r="R122" s="163" t="str">
        <f t="shared" ca="1" si="16"/>
        <v/>
      </c>
      <c r="S122" s="163" t="s">
        <v>103</v>
      </c>
      <c r="T122" s="164">
        <v>69280</v>
      </c>
      <c r="U122" s="164">
        <v>69280</v>
      </c>
      <c r="V122" s="165">
        <v>46135</v>
      </c>
      <c r="W122" s="163" t="s">
        <v>333</v>
      </c>
      <c r="X122" s="163" t="s">
        <v>30</v>
      </c>
      <c r="Y122" s="163" t="s">
        <v>85</v>
      </c>
      <c r="Z122" s="163"/>
      <c r="AA122" s="162">
        <v>46142</v>
      </c>
      <c r="AB122" s="195" t="str">
        <f t="shared" si="9"/>
        <v>Apr-26</v>
      </c>
      <c r="AC122" s="163"/>
      <c r="AD122" s="163" t="str">
        <f t="shared" si="17"/>
        <v/>
      </c>
      <c r="AE122" s="163"/>
    </row>
    <row r="123" spans="1:31" x14ac:dyDescent="0.35">
      <c r="A123" s="162">
        <v>46135</v>
      </c>
      <c r="B123" s="163" t="s">
        <v>92</v>
      </c>
      <c r="C123" s="163" t="s">
        <v>93</v>
      </c>
      <c r="D123" s="163" t="s">
        <v>186</v>
      </c>
      <c r="E123" s="163" t="s">
        <v>95</v>
      </c>
      <c r="F123" s="163" t="s">
        <v>96</v>
      </c>
      <c r="G123" s="163" t="s">
        <v>15</v>
      </c>
      <c r="H123" s="163" t="s">
        <v>97</v>
      </c>
      <c r="I123" s="163" t="s">
        <v>98</v>
      </c>
      <c r="J123" s="163" t="s">
        <v>116</v>
      </c>
      <c r="K123" s="163" t="s">
        <v>183</v>
      </c>
      <c r="L123" s="163"/>
      <c r="M123" s="163" t="s">
        <v>334</v>
      </c>
      <c r="N123" s="163" t="s">
        <v>102</v>
      </c>
      <c r="O123" s="163"/>
      <c r="P123" s="163"/>
      <c r="Q123" s="163" t="str">
        <f t="shared" ca="1" si="15"/>
        <v/>
      </c>
      <c r="R123" s="163" t="str">
        <f t="shared" ca="1" si="16"/>
        <v/>
      </c>
      <c r="S123" s="163" t="s">
        <v>103</v>
      </c>
      <c r="T123" s="164">
        <v>10110</v>
      </c>
      <c r="U123" s="164">
        <v>10110</v>
      </c>
      <c r="V123" s="165">
        <v>46135</v>
      </c>
      <c r="W123" s="163"/>
      <c r="X123" s="163" t="s">
        <v>44</v>
      </c>
      <c r="Y123" s="163" t="s">
        <v>85</v>
      </c>
      <c r="Z123" s="163"/>
      <c r="AA123" s="162">
        <v>46142</v>
      </c>
      <c r="AB123" s="195" t="str">
        <f t="shared" si="9"/>
        <v>Apr-26</v>
      </c>
      <c r="AC123" s="163"/>
      <c r="AD123" s="163" t="str">
        <f t="shared" si="17"/>
        <v/>
      </c>
      <c r="AE123" s="163"/>
    </row>
    <row r="124" spans="1:31" x14ac:dyDescent="0.35">
      <c r="A124" s="162">
        <v>46135</v>
      </c>
      <c r="B124" s="163" t="s">
        <v>92</v>
      </c>
      <c r="C124" s="163" t="s">
        <v>93</v>
      </c>
      <c r="D124" s="163" t="s">
        <v>109</v>
      </c>
      <c r="E124" s="163" t="s">
        <v>95</v>
      </c>
      <c r="F124" s="163" t="s">
        <v>96</v>
      </c>
      <c r="G124" s="163" t="s">
        <v>15</v>
      </c>
      <c r="H124" s="163" t="s">
        <v>97</v>
      </c>
      <c r="I124" s="163" t="s">
        <v>98</v>
      </c>
      <c r="J124" s="163" t="s">
        <v>321</v>
      </c>
      <c r="K124" s="163" t="s">
        <v>110</v>
      </c>
      <c r="L124" s="163"/>
      <c r="M124" s="163" t="s">
        <v>335</v>
      </c>
      <c r="N124" s="163" t="s">
        <v>102</v>
      </c>
      <c r="O124" s="163"/>
      <c r="P124" s="163"/>
      <c r="Q124" s="163" t="str">
        <f t="shared" ca="1" si="15"/>
        <v/>
      </c>
      <c r="R124" s="163" t="str">
        <f t="shared" ca="1" si="16"/>
        <v/>
      </c>
      <c r="S124" s="163" t="s">
        <v>103</v>
      </c>
      <c r="T124" s="164">
        <v>44750</v>
      </c>
      <c r="U124" s="164">
        <v>44750</v>
      </c>
      <c r="V124" s="165">
        <v>46135</v>
      </c>
      <c r="W124" s="163"/>
      <c r="X124" s="163" t="s">
        <v>27</v>
      </c>
      <c r="Y124" s="163" t="s">
        <v>85</v>
      </c>
      <c r="Z124" s="163"/>
      <c r="AA124" s="162">
        <v>46142</v>
      </c>
      <c r="AB124" s="195" t="str">
        <f t="shared" si="9"/>
        <v>Apr-26</v>
      </c>
      <c r="AC124" s="163"/>
      <c r="AD124" s="163" t="str">
        <f t="shared" si="17"/>
        <v/>
      </c>
      <c r="AE124" s="163"/>
    </row>
    <row r="125" spans="1:31" x14ac:dyDescent="0.35">
      <c r="A125" s="162">
        <v>46135</v>
      </c>
      <c r="B125" s="163" t="s">
        <v>125</v>
      </c>
      <c r="C125" s="163" t="s">
        <v>113</v>
      </c>
      <c r="D125" s="163" t="s">
        <v>253</v>
      </c>
      <c r="E125" s="163" t="s">
        <v>106</v>
      </c>
      <c r="F125" s="163" t="s">
        <v>96</v>
      </c>
      <c r="G125" s="163" t="s">
        <v>10</v>
      </c>
      <c r="H125" s="163" t="s">
        <v>115</v>
      </c>
      <c r="I125" s="163"/>
      <c r="J125" s="163" t="s">
        <v>147</v>
      </c>
      <c r="K125" s="163" t="s">
        <v>254</v>
      </c>
      <c r="L125" s="163"/>
      <c r="M125" s="163" t="s">
        <v>159</v>
      </c>
      <c r="N125" s="163" t="s">
        <v>102</v>
      </c>
      <c r="O125" s="163"/>
      <c r="P125" s="163"/>
      <c r="Q125" s="163" t="str">
        <f t="shared" ca="1" si="15"/>
        <v/>
      </c>
      <c r="R125" s="163" t="str">
        <f t="shared" ca="1" si="16"/>
        <v/>
      </c>
      <c r="S125" s="163" t="s">
        <v>103</v>
      </c>
      <c r="T125" s="164">
        <v>19512</v>
      </c>
      <c r="U125" s="164">
        <v>19512</v>
      </c>
      <c r="V125" s="162">
        <v>46135</v>
      </c>
      <c r="W125" s="163"/>
      <c r="X125" s="163" t="s">
        <v>47</v>
      </c>
      <c r="Y125" s="163" t="s">
        <v>85</v>
      </c>
      <c r="Z125" s="163"/>
      <c r="AA125" s="162">
        <v>46172</v>
      </c>
      <c r="AB125" s="195" t="str">
        <f t="shared" si="9"/>
        <v>Apr-26</v>
      </c>
      <c r="AC125" s="163"/>
      <c r="AD125" s="163" t="str">
        <f t="shared" si="17"/>
        <v/>
      </c>
      <c r="AE125" s="163"/>
    </row>
    <row r="126" spans="1:31" x14ac:dyDescent="0.35">
      <c r="A126" s="162">
        <v>46135</v>
      </c>
      <c r="B126" s="163" t="s">
        <v>125</v>
      </c>
      <c r="C126" s="163" t="s">
        <v>113</v>
      </c>
      <c r="D126" s="163" t="s">
        <v>175</v>
      </c>
      <c r="E126" s="163" t="s">
        <v>95</v>
      </c>
      <c r="F126" s="163" t="s">
        <v>135</v>
      </c>
      <c r="G126" s="163"/>
      <c r="H126" s="163" t="s">
        <v>97</v>
      </c>
      <c r="I126" s="163"/>
      <c r="J126" s="163" t="s">
        <v>166</v>
      </c>
      <c r="K126" s="163" t="s">
        <v>176</v>
      </c>
      <c r="L126" s="163"/>
      <c r="M126" s="163" t="s">
        <v>159</v>
      </c>
      <c r="N126" s="163" t="s">
        <v>102</v>
      </c>
      <c r="O126" s="163"/>
      <c r="P126" s="163"/>
      <c r="Q126" s="163" t="str">
        <f t="shared" ca="1" si="15"/>
        <v/>
      </c>
      <c r="R126" s="163" t="str">
        <f t="shared" ca="1" si="16"/>
        <v/>
      </c>
      <c r="S126" s="163" t="s">
        <v>103</v>
      </c>
      <c r="T126" s="164">
        <v>11320</v>
      </c>
      <c r="U126" s="164">
        <v>11320</v>
      </c>
      <c r="V126" s="162">
        <v>46135</v>
      </c>
      <c r="W126" s="163"/>
      <c r="X126" s="163" t="s">
        <v>62</v>
      </c>
      <c r="Y126" s="163" t="s">
        <v>161</v>
      </c>
      <c r="Z126" s="163"/>
      <c r="AA126" s="163"/>
      <c r="AB126" s="195" t="str">
        <f t="shared" si="9"/>
        <v>Apr-26</v>
      </c>
      <c r="AC126" s="163"/>
      <c r="AD126" s="163" t="str">
        <f t="shared" si="17"/>
        <v/>
      </c>
      <c r="AE126" s="163"/>
    </row>
    <row r="127" spans="1:31" x14ac:dyDescent="0.35">
      <c r="A127" s="162">
        <v>46136</v>
      </c>
      <c r="B127" s="163" t="s">
        <v>92</v>
      </c>
      <c r="C127" s="163" t="s">
        <v>93</v>
      </c>
      <c r="D127" s="163" t="s">
        <v>182</v>
      </c>
      <c r="E127" s="163" t="s">
        <v>95</v>
      </c>
      <c r="F127" s="163" t="s">
        <v>96</v>
      </c>
      <c r="G127" s="163" t="s">
        <v>15</v>
      </c>
      <c r="H127" s="163" t="s">
        <v>97</v>
      </c>
      <c r="I127" s="163" t="s">
        <v>98</v>
      </c>
      <c r="J127" s="163" t="s">
        <v>116</v>
      </c>
      <c r="K127" s="163" t="s">
        <v>183</v>
      </c>
      <c r="L127" s="163"/>
      <c r="M127" s="163" t="s">
        <v>336</v>
      </c>
      <c r="N127" s="163" t="s">
        <v>102</v>
      </c>
      <c r="O127" s="163"/>
      <c r="P127" s="163"/>
      <c r="Q127" s="163" t="str">
        <f t="shared" ca="1" si="15"/>
        <v/>
      </c>
      <c r="R127" s="163" t="str">
        <f t="shared" ca="1" si="16"/>
        <v/>
      </c>
      <c r="S127" s="163" t="s">
        <v>103</v>
      </c>
      <c r="T127" s="164">
        <v>72490</v>
      </c>
      <c r="U127" s="164">
        <v>72490</v>
      </c>
      <c r="V127" s="165">
        <v>46136</v>
      </c>
      <c r="W127" s="163"/>
      <c r="X127" s="163" t="s">
        <v>50</v>
      </c>
      <c r="Y127" s="163" t="s">
        <v>85</v>
      </c>
      <c r="Z127" s="163"/>
      <c r="AA127" s="162">
        <v>46142</v>
      </c>
      <c r="AB127" s="195" t="str">
        <f t="shared" si="9"/>
        <v>Apr-26</v>
      </c>
      <c r="AC127" s="163"/>
      <c r="AD127" s="163" t="str">
        <f t="shared" si="17"/>
        <v/>
      </c>
      <c r="AE127" s="163"/>
    </row>
    <row r="128" spans="1:31" x14ac:dyDescent="0.35">
      <c r="A128" s="162">
        <v>46136</v>
      </c>
      <c r="B128" s="163" t="s">
        <v>92</v>
      </c>
      <c r="C128" s="163" t="s">
        <v>93</v>
      </c>
      <c r="D128" s="163" t="s">
        <v>186</v>
      </c>
      <c r="E128" s="163" t="s">
        <v>95</v>
      </c>
      <c r="F128" s="163" t="s">
        <v>96</v>
      </c>
      <c r="G128" s="163" t="s">
        <v>15</v>
      </c>
      <c r="H128" s="163" t="s">
        <v>97</v>
      </c>
      <c r="I128" s="163" t="s">
        <v>98</v>
      </c>
      <c r="J128" s="163" t="s">
        <v>116</v>
      </c>
      <c r="K128" s="163" t="s">
        <v>183</v>
      </c>
      <c r="L128" s="163"/>
      <c r="M128" s="163" t="s">
        <v>337</v>
      </c>
      <c r="N128" s="163" t="s">
        <v>102</v>
      </c>
      <c r="O128" s="163"/>
      <c r="P128" s="163"/>
      <c r="Q128" s="163" t="str">
        <f t="shared" ca="1" si="15"/>
        <v/>
      </c>
      <c r="R128" s="163" t="str">
        <f t="shared" ca="1" si="16"/>
        <v/>
      </c>
      <c r="S128" s="163" t="s">
        <v>103</v>
      </c>
      <c r="T128" s="164">
        <v>18050</v>
      </c>
      <c r="U128" s="164">
        <v>18050</v>
      </c>
      <c r="V128" s="165">
        <v>46136</v>
      </c>
      <c r="W128" s="163"/>
      <c r="X128" s="163" t="s">
        <v>44</v>
      </c>
      <c r="Y128" s="163" t="s">
        <v>85</v>
      </c>
      <c r="Z128" s="163"/>
      <c r="AA128" s="162">
        <v>46142</v>
      </c>
      <c r="AB128" s="195" t="str">
        <f t="shared" si="9"/>
        <v>Apr-26</v>
      </c>
      <c r="AC128" s="163"/>
      <c r="AD128" s="163" t="str">
        <f t="shared" si="17"/>
        <v/>
      </c>
      <c r="AE128" s="163"/>
    </row>
    <row r="129" spans="1:31" x14ac:dyDescent="0.35">
      <c r="A129" s="162">
        <v>46136</v>
      </c>
      <c r="B129" s="163" t="s">
        <v>125</v>
      </c>
      <c r="C129" s="163" t="s">
        <v>113</v>
      </c>
      <c r="D129" s="163" t="s">
        <v>260</v>
      </c>
      <c r="E129" s="163" t="s">
        <v>95</v>
      </c>
      <c r="F129" s="163" t="s">
        <v>96</v>
      </c>
      <c r="G129" s="163" t="s">
        <v>15</v>
      </c>
      <c r="H129" s="163" t="s">
        <v>97</v>
      </c>
      <c r="I129" s="163"/>
      <c r="J129" s="163" t="s">
        <v>116</v>
      </c>
      <c r="K129" s="163" t="s">
        <v>231</v>
      </c>
      <c r="L129" s="163"/>
      <c r="M129" s="163" t="s">
        <v>159</v>
      </c>
      <c r="N129" s="163" t="s">
        <v>102</v>
      </c>
      <c r="O129" s="163"/>
      <c r="P129" s="163"/>
      <c r="Q129" s="163" t="str">
        <f t="shared" ca="1" si="15"/>
        <v/>
      </c>
      <c r="R129" s="163" t="str">
        <f t="shared" ca="1" si="16"/>
        <v/>
      </c>
      <c r="S129" s="163" t="s">
        <v>103</v>
      </c>
      <c r="T129" s="164">
        <v>17000</v>
      </c>
      <c r="U129" s="164">
        <v>17000</v>
      </c>
      <c r="V129" s="162">
        <v>46136</v>
      </c>
      <c r="W129" s="163"/>
      <c r="X129" s="163" t="s">
        <v>39</v>
      </c>
      <c r="Y129" s="163" t="s">
        <v>85</v>
      </c>
      <c r="Z129" s="163"/>
      <c r="AA129" s="163"/>
      <c r="AB129" s="195" t="str">
        <f t="shared" si="9"/>
        <v>Apr-26</v>
      </c>
      <c r="AC129" s="163"/>
      <c r="AD129" s="163" t="str">
        <f t="shared" si="17"/>
        <v/>
      </c>
      <c r="AE129" s="163"/>
    </row>
    <row r="130" spans="1:31" x14ac:dyDescent="0.35">
      <c r="A130" s="162">
        <v>46137</v>
      </c>
      <c r="B130" s="163" t="s">
        <v>92</v>
      </c>
      <c r="C130" s="163" t="s">
        <v>93</v>
      </c>
      <c r="D130" s="163" t="s">
        <v>338</v>
      </c>
      <c r="E130" s="163" t="s">
        <v>95</v>
      </c>
      <c r="F130" s="163" t="s">
        <v>115</v>
      </c>
      <c r="G130" s="163"/>
      <c r="H130" s="163" t="s">
        <v>115</v>
      </c>
      <c r="I130" s="163" t="s">
        <v>121</v>
      </c>
      <c r="J130" s="163" t="s">
        <v>262</v>
      </c>
      <c r="K130" s="163" t="s">
        <v>339</v>
      </c>
      <c r="L130" s="163"/>
      <c r="M130" s="163" t="s">
        <v>340</v>
      </c>
      <c r="N130" s="163" t="s">
        <v>102</v>
      </c>
      <c r="O130" s="163"/>
      <c r="P130" s="163"/>
      <c r="Q130" s="163" t="str">
        <f t="shared" ca="1" si="15"/>
        <v/>
      </c>
      <c r="R130" s="163" t="str">
        <f t="shared" ca="1" si="16"/>
        <v/>
      </c>
      <c r="S130" s="163" t="s">
        <v>103</v>
      </c>
      <c r="T130" s="164">
        <v>5564</v>
      </c>
      <c r="U130" s="164">
        <v>5564</v>
      </c>
      <c r="V130" s="165">
        <v>46137</v>
      </c>
      <c r="W130" s="163"/>
      <c r="X130" s="163" t="s">
        <v>26</v>
      </c>
      <c r="Y130" s="163" t="s">
        <v>161</v>
      </c>
      <c r="Z130" s="163"/>
      <c r="AA130" s="162">
        <v>46137</v>
      </c>
      <c r="AB130" s="195" t="str">
        <f t="shared" ref="AB130:AB193" si="18">IF($V130="",TEXT($A130,"MMM-YY"),TEXT($V130,"MMM-YY"))</f>
        <v>Apr-26</v>
      </c>
      <c r="AC130" s="163"/>
      <c r="AD130" s="163" t="str">
        <f t="shared" si="17"/>
        <v/>
      </c>
      <c r="AE130" s="163"/>
    </row>
    <row r="131" spans="1:31" x14ac:dyDescent="0.35">
      <c r="A131" s="162">
        <v>46137</v>
      </c>
      <c r="B131" s="163" t="s">
        <v>125</v>
      </c>
      <c r="C131" s="163" t="s">
        <v>113</v>
      </c>
      <c r="D131" s="163" t="s">
        <v>290</v>
      </c>
      <c r="E131" s="163" t="s">
        <v>95</v>
      </c>
      <c r="F131" s="163" t="s">
        <v>96</v>
      </c>
      <c r="G131" s="163" t="s">
        <v>14</v>
      </c>
      <c r="H131" s="163" t="s">
        <v>226</v>
      </c>
      <c r="I131" s="163"/>
      <c r="J131" s="163" t="s">
        <v>153</v>
      </c>
      <c r="K131" s="163" t="s">
        <v>227</v>
      </c>
      <c r="L131" s="163"/>
      <c r="M131" s="163" t="s">
        <v>159</v>
      </c>
      <c r="N131" s="163" t="s">
        <v>102</v>
      </c>
      <c r="O131" s="163"/>
      <c r="P131" s="163"/>
      <c r="Q131" s="163" t="str">
        <f t="shared" ca="1" si="15"/>
        <v/>
      </c>
      <c r="R131" s="163" t="str">
        <f t="shared" ca="1" si="16"/>
        <v/>
      </c>
      <c r="S131" s="163" t="s">
        <v>103</v>
      </c>
      <c r="T131" s="164">
        <v>168150</v>
      </c>
      <c r="U131" s="164">
        <v>168150</v>
      </c>
      <c r="V131" s="162">
        <v>46137</v>
      </c>
      <c r="W131" s="163"/>
      <c r="X131" s="163" t="s">
        <v>37</v>
      </c>
      <c r="Y131" s="163" t="s">
        <v>85</v>
      </c>
      <c r="Z131" s="163"/>
      <c r="AA131" s="162">
        <v>46172</v>
      </c>
      <c r="AB131" s="195" t="str">
        <f t="shared" si="18"/>
        <v>Apr-26</v>
      </c>
      <c r="AC131" s="163"/>
      <c r="AD131" s="163" t="str">
        <f t="shared" si="17"/>
        <v/>
      </c>
      <c r="AE131" s="163"/>
    </row>
    <row r="132" spans="1:31" x14ac:dyDescent="0.35">
      <c r="A132" s="162">
        <v>46139</v>
      </c>
      <c r="B132" s="163" t="s">
        <v>92</v>
      </c>
      <c r="C132" s="163" t="s">
        <v>93</v>
      </c>
      <c r="D132" s="163" t="s">
        <v>341</v>
      </c>
      <c r="E132" s="163" t="s">
        <v>106</v>
      </c>
      <c r="F132" s="163" t="s">
        <v>115</v>
      </c>
      <c r="G132" s="163"/>
      <c r="H132" s="163" t="s">
        <v>115</v>
      </c>
      <c r="I132" s="163" t="s">
        <v>121</v>
      </c>
      <c r="J132" s="163" t="s">
        <v>153</v>
      </c>
      <c r="K132" s="163" t="s">
        <v>342</v>
      </c>
      <c r="L132" s="163"/>
      <c r="M132" s="163" t="s">
        <v>343</v>
      </c>
      <c r="N132" s="163" t="s">
        <v>102</v>
      </c>
      <c r="O132" s="163"/>
      <c r="P132" s="163"/>
      <c r="Q132" s="163" t="str">
        <f t="shared" ca="1" si="15"/>
        <v/>
      </c>
      <c r="R132" s="163" t="str">
        <f t="shared" ca="1" si="16"/>
        <v/>
      </c>
      <c r="S132" s="163" t="s">
        <v>103</v>
      </c>
      <c r="T132" s="164">
        <v>5856</v>
      </c>
      <c r="U132" s="164">
        <v>5856</v>
      </c>
      <c r="V132" s="162">
        <v>46139</v>
      </c>
      <c r="W132" s="163"/>
      <c r="X132" s="163" t="s">
        <v>56</v>
      </c>
      <c r="Y132" s="163" t="s">
        <v>161</v>
      </c>
      <c r="Z132" s="163"/>
      <c r="AA132" s="162">
        <v>46139</v>
      </c>
      <c r="AB132" s="195" t="str">
        <f t="shared" si="18"/>
        <v>Apr-26</v>
      </c>
      <c r="AC132" s="163"/>
      <c r="AD132" s="163" t="str">
        <f t="shared" si="17"/>
        <v/>
      </c>
      <c r="AE132" s="163"/>
    </row>
    <row r="133" spans="1:31" x14ac:dyDescent="0.35">
      <c r="A133" s="162">
        <v>46139</v>
      </c>
      <c r="B133" s="163" t="s">
        <v>92</v>
      </c>
      <c r="C133" s="163" t="s">
        <v>93</v>
      </c>
      <c r="D133" s="163" t="s">
        <v>182</v>
      </c>
      <c r="E133" s="163" t="s">
        <v>95</v>
      </c>
      <c r="F133" s="163" t="s">
        <v>96</v>
      </c>
      <c r="G133" s="163" t="s">
        <v>15</v>
      </c>
      <c r="H133" s="163" t="s">
        <v>163</v>
      </c>
      <c r="I133" s="163" t="s">
        <v>98</v>
      </c>
      <c r="J133" s="163" t="s">
        <v>116</v>
      </c>
      <c r="K133" s="163" t="s">
        <v>183</v>
      </c>
      <c r="L133" s="163"/>
      <c r="M133" s="163" t="s">
        <v>344</v>
      </c>
      <c r="N133" s="163" t="s">
        <v>102</v>
      </c>
      <c r="O133" s="163"/>
      <c r="P133" s="163"/>
      <c r="Q133" s="163" t="str">
        <f t="shared" ca="1" si="15"/>
        <v/>
      </c>
      <c r="R133" s="163" t="str">
        <f t="shared" ca="1" si="16"/>
        <v/>
      </c>
      <c r="S133" s="163" t="s">
        <v>103</v>
      </c>
      <c r="T133" s="164">
        <v>51600</v>
      </c>
      <c r="U133" s="164">
        <v>51600</v>
      </c>
      <c r="V133" s="162">
        <v>46139</v>
      </c>
      <c r="W133" s="163"/>
      <c r="X133" s="163" t="s">
        <v>50</v>
      </c>
      <c r="Y133" s="163" t="s">
        <v>85</v>
      </c>
      <c r="Z133" s="163"/>
      <c r="AA133" s="162">
        <v>46142</v>
      </c>
      <c r="AB133" s="195" t="str">
        <f t="shared" si="18"/>
        <v>Apr-26</v>
      </c>
      <c r="AC133" s="163"/>
      <c r="AD133" s="163" t="str">
        <f t="shared" si="17"/>
        <v/>
      </c>
      <c r="AE133" s="163"/>
    </row>
    <row r="134" spans="1:31" x14ac:dyDescent="0.35">
      <c r="A134" s="162">
        <v>46139</v>
      </c>
      <c r="B134" s="163" t="s">
        <v>92</v>
      </c>
      <c r="C134" s="163" t="s">
        <v>93</v>
      </c>
      <c r="D134" s="163" t="s">
        <v>186</v>
      </c>
      <c r="E134" s="163" t="s">
        <v>95</v>
      </c>
      <c r="F134" s="163" t="s">
        <v>96</v>
      </c>
      <c r="G134" s="163" t="s">
        <v>15</v>
      </c>
      <c r="H134" s="163" t="s">
        <v>163</v>
      </c>
      <c r="I134" s="163" t="s">
        <v>98</v>
      </c>
      <c r="J134" s="163" t="s">
        <v>116</v>
      </c>
      <c r="K134" s="163" t="s">
        <v>183</v>
      </c>
      <c r="L134" s="163"/>
      <c r="M134" s="163" t="s">
        <v>345</v>
      </c>
      <c r="N134" s="163" t="s">
        <v>102</v>
      </c>
      <c r="O134" s="163"/>
      <c r="P134" s="163"/>
      <c r="Q134" s="163" t="str">
        <f t="shared" ca="1" si="15"/>
        <v/>
      </c>
      <c r="R134" s="163" t="str">
        <f t="shared" ca="1" si="16"/>
        <v/>
      </c>
      <c r="S134" s="163" t="s">
        <v>103</v>
      </c>
      <c r="T134" s="164">
        <v>9470</v>
      </c>
      <c r="U134" s="164">
        <v>9470</v>
      </c>
      <c r="V134" s="162">
        <v>46139</v>
      </c>
      <c r="W134" s="163"/>
      <c r="X134" s="163" t="s">
        <v>44</v>
      </c>
      <c r="Y134" s="163" t="s">
        <v>85</v>
      </c>
      <c r="Z134" s="163"/>
      <c r="AA134" s="162">
        <v>46142</v>
      </c>
      <c r="AB134" s="195" t="str">
        <f t="shared" si="18"/>
        <v>Apr-26</v>
      </c>
      <c r="AC134" s="163"/>
      <c r="AD134" s="163" t="str">
        <f t="shared" si="17"/>
        <v/>
      </c>
      <c r="AE134" s="163"/>
    </row>
    <row r="135" spans="1:31" x14ac:dyDescent="0.35">
      <c r="A135" s="162">
        <v>46139</v>
      </c>
      <c r="B135" s="163" t="s">
        <v>92</v>
      </c>
      <c r="C135" s="163" t="s">
        <v>93</v>
      </c>
      <c r="D135" s="163" t="s">
        <v>346</v>
      </c>
      <c r="E135" s="163" t="s">
        <v>106</v>
      </c>
      <c r="F135" s="163" t="s">
        <v>115</v>
      </c>
      <c r="G135" s="163"/>
      <c r="H135" s="163" t="s">
        <v>115</v>
      </c>
      <c r="I135" s="163" t="s">
        <v>121</v>
      </c>
      <c r="J135" s="163" t="s">
        <v>197</v>
      </c>
      <c r="K135" s="163" t="s">
        <v>347</v>
      </c>
      <c r="L135" s="163"/>
      <c r="M135" s="163" t="s">
        <v>348</v>
      </c>
      <c r="N135" s="163" t="s">
        <v>181</v>
      </c>
      <c r="O135" s="163"/>
      <c r="P135" s="163"/>
      <c r="Q135" s="163">
        <f t="shared" ca="1" si="15"/>
        <v>186</v>
      </c>
      <c r="R135" s="163" t="str">
        <f t="shared" ca="1" si="16"/>
        <v/>
      </c>
      <c r="S135" s="163" t="s">
        <v>103</v>
      </c>
      <c r="T135" s="164">
        <v>0</v>
      </c>
      <c r="U135" s="164">
        <v>0</v>
      </c>
      <c r="V135" s="163"/>
      <c r="W135" s="163"/>
      <c r="X135" s="163"/>
      <c r="Y135" s="163"/>
      <c r="Z135" s="163"/>
      <c r="AA135" s="163"/>
      <c r="AB135" s="195" t="str">
        <f t="shared" si="18"/>
        <v>Apr-26</v>
      </c>
      <c r="AC135" s="163"/>
      <c r="AD135" s="163" t="str">
        <f t="shared" si="17"/>
        <v/>
      </c>
      <c r="AE135" s="163"/>
    </row>
    <row r="136" spans="1:31" x14ac:dyDescent="0.35">
      <c r="A136" s="162">
        <v>46140</v>
      </c>
      <c r="B136" s="163" t="s">
        <v>125</v>
      </c>
      <c r="C136" s="163" t="s">
        <v>113</v>
      </c>
      <c r="D136" s="163" t="s">
        <v>260</v>
      </c>
      <c r="E136" s="163" t="s">
        <v>95</v>
      </c>
      <c r="F136" s="163" t="s">
        <v>96</v>
      </c>
      <c r="G136" s="163" t="s">
        <v>15</v>
      </c>
      <c r="H136" s="163" t="s">
        <v>97</v>
      </c>
      <c r="I136" s="163"/>
      <c r="J136" s="163" t="s">
        <v>116</v>
      </c>
      <c r="K136" s="163" t="s">
        <v>231</v>
      </c>
      <c r="L136" s="163"/>
      <c r="M136" s="163" t="s">
        <v>159</v>
      </c>
      <c r="N136" s="163" t="s">
        <v>102</v>
      </c>
      <c r="O136" s="163"/>
      <c r="P136" s="163"/>
      <c r="Q136" s="163" t="str">
        <f t="shared" ca="1" si="15"/>
        <v/>
      </c>
      <c r="R136" s="163" t="str">
        <f t="shared" ca="1" si="16"/>
        <v/>
      </c>
      <c r="S136" s="163" t="s">
        <v>103</v>
      </c>
      <c r="T136" s="164">
        <v>17400</v>
      </c>
      <c r="U136" s="164">
        <v>17400</v>
      </c>
      <c r="V136" s="162">
        <v>46140</v>
      </c>
      <c r="W136" s="163"/>
      <c r="X136" s="163" t="s">
        <v>39</v>
      </c>
      <c r="Y136" s="163" t="s">
        <v>85</v>
      </c>
      <c r="Z136" s="163"/>
      <c r="AA136" s="163"/>
      <c r="AB136" s="195" t="str">
        <f t="shared" si="18"/>
        <v>Apr-26</v>
      </c>
      <c r="AC136" s="163"/>
      <c r="AD136" s="163" t="str">
        <f t="shared" si="17"/>
        <v/>
      </c>
      <c r="AE136" s="163"/>
    </row>
    <row r="137" spans="1:31" x14ac:dyDescent="0.35">
      <c r="A137" s="162">
        <v>46140</v>
      </c>
      <c r="B137" s="163" t="s">
        <v>125</v>
      </c>
      <c r="C137" s="163" t="s">
        <v>113</v>
      </c>
      <c r="D137" s="163" t="s">
        <v>162</v>
      </c>
      <c r="E137" s="163" t="s">
        <v>95</v>
      </c>
      <c r="F137" s="163" t="s">
        <v>135</v>
      </c>
      <c r="G137" s="163"/>
      <c r="H137" s="163" t="s">
        <v>97</v>
      </c>
      <c r="I137" s="163"/>
      <c r="J137" s="163" t="s">
        <v>166</v>
      </c>
      <c r="K137" s="163" t="s">
        <v>164</v>
      </c>
      <c r="L137" s="163"/>
      <c r="M137" s="163" t="s">
        <v>159</v>
      </c>
      <c r="N137" s="163" t="s">
        <v>102</v>
      </c>
      <c r="O137" s="163"/>
      <c r="P137" s="163"/>
      <c r="Q137" s="163" t="str">
        <f t="shared" ca="1" si="15"/>
        <v/>
      </c>
      <c r="R137" s="163" t="str">
        <f t="shared" ca="1" si="16"/>
        <v/>
      </c>
      <c r="S137" s="163" t="s">
        <v>103</v>
      </c>
      <c r="T137" s="164">
        <v>9620</v>
      </c>
      <c r="U137" s="164">
        <v>9620</v>
      </c>
      <c r="V137" s="162">
        <v>46140</v>
      </c>
      <c r="W137" s="163"/>
      <c r="X137" s="163" t="s">
        <v>62</v>
      </c>
      <c r="Y137" s="163" t="s">
        <v>161</v>
      </c>
      <c r="Z137" s="163"/>
      <c r="AA137" s="163"/>
      <c r="AB137" s="195" t="str">
        <f t="shared" si="18"/>
        <v>Apr-26</v>
      </c>
      <c r="AC137" s="163"/>
      <c r="AD137" s="163" t="str">
        <f t="shared" si="17"/>
        <v/>
      </c>
      <c r="AE137" s="163"/>
    </row>
    <row r="138" spans="1:31" x14ac:dyDescent="0.35">
      <c r="A138" s="162">
        <v>46140</v>
      </c>
      <c r="B138" s="163" t="s">
        <v>92</v>
      </c>
      <c r="C138" s="163" t="s">
        <v>93</v>
      </c>
      <c r="D138" s="163" t="s">
        <v>182</v>
      </c>
      <c r="E138" s="163" t="s">
        <v>95</v>
      </c>
      <c r="F138" s="163" t="s">
        <v>96</v>
      </c>
      <c r="G138" s="163" t="s">
        <v>15</v>
      </c>
      <c r="H138" s="163" t="s">
        <v>163</v>
      </c>
      <c r="I138" s="163" t="s">
        <v>98</v>
      </c>
      <c r="J138" s="163" t="s">
        <v>116</v>
      </c>
      <c r="K138" s="163" t="s">
        <v>183</v>
      </c>
      <c r="L138" s="163"/>
      <c r="M138" s="163" t="s">
        <v>349</v>
      </c>
      <c r="N138" s="163" t="s">
        <v>102</v>
      </c>
      <c r="O138" s="163"/>
      <c r="P138" s="163"/>
      <c r="Q138" s="163" t="str">
        <f t="shared" ca="1" si="15"/>
        <v/>
      </c>
      <c r="R138" s="163" t="str">
        <f t="shared" ca="1" si="16"/>
        <v/>
      </c>
      <c r="S138" s="163" t="s">
        <v>103</v>
      </c>
      <c r="T138" s="164">
        <v>52880</v>
      </c>
      <c r="U138" s="164">
        <v>52880</v>
      </c>
      <c r="V138" s="162">
        <v>46140</v>
      </c>
      <c r="W138" s="163"/>
      <c r="X138" s="163" t="s">
        <v>50</v>
      </c>
      <c r="Y138" s="163" t="s">
        <v>85</v>
      </c>
      <c r="Z138" s="163"/>
      <c r="AA138" s="162">
        <v>46142</v>
      </c>
      <c r="AB138" s="195" t="str">
        <f t="shared" si="18"/>
        <v>Apr-26</v>
      </c>
      <c r="AC138" s="163"/>
      <c r="AD138" s="163" t="str">
        <f t="shared" si="17"/>
        <v/>
      </c>
      <c r="AE138" s="163"/>
    </row>
    <row r="139" spans="1:31" x14ac:dyDescent="0.35">
      <c r="A139" s="162">
        <v>46140</v>
      </c>
      <c r="B139" s="163" t="s">
        <v>92</v>
      </c>
      <c r="C139" s="163" t="s">
        <v>93</v>
      </c>
      <c r="D139" s="163" t="s">
        <v>186</v>
      </c>
      <c r="E139" s="163" t="s">
        <v>95</v>
      </c>
      <c r="F139" s="163" t="s">
        <v>96</v>
      </c>
      <c r="G139" s="163" t="s">
        <v>15</v>
      </c>
      <c r="H139" s="163" t="s">
        <v>163</v>
      </c>
      <c r="I139" s="163" t="s">
        <v>98</v>
      </c>
      <c r="J139" s="163" t="s">
        <v>116</v>
      </c>
      <c r="K139" s="163" t="s">
        <v>183</v>
      </c>
      <c r="L139" s="163"/>
      <c r="M139" s="163" t="s">
        <v>350</v>
      </c>
      <c r="N139" s="163" t="s">
        <v>102</v>
      </c>
      <c r="O139" s="163"/>
      <c r="P139" s="163"/>
      <c r="Q139" s="163" t="str">
        <f t="shared" ref="Q139:Q156" ca="1" si="19">IF(N139="Closed(C4)","",IF(N139="","",TODAY()-A139))</f>
        <v/>
      </c>
      <c r="R139" s="163" t="str">
        <f t="shared" ca="1" si="16"/>
        <v/>
      </c>
      <c r="S139" s="163" t="s">
        <v>103</v>
      </c>
      <c r="T139" s="164">
        <v>12340</v>
      </c>
      <c r="U139" s="164">
        <v>12340</v>
      </c>
      <c r="V139" s="162">
        <v>46140</v>
      </c>
      <c r="W139" s="163"/>
      <c r="X139" s="163" t="s">
        <v>44</v>
      </c>
      <c r="Y139" s="163" t="s">
        <v>85</v>
      </c>
      <c r="Z139" s="163"/>
      <c r="AA139" s="162">
        <v>46142</v>
      </c>
      <c r="AB139" s="195" t="str">
        <f t="shared" si="18"/>
        <v>Apr-26</v>
      </c>
      <c r="AC139" s="163"/>
      <c r="AD139" s="163" t="str">
        <f t="shared" si="17"/>
        <v/>
      </c>
      <c r="AE139" s="163"/>
    </row>
    <row r="140" spans="1:31" x14ac:dyDescent="0.35">
      <c r="A140" s="162">
        <v>46141</v>
      </c>
      <c r="B140" s="163" t="s">
        <v>125</v>
      </c>
      <c r="C140" s="163" t="s">
        <v>143</v>
      </c>
      <c r="D140" s="163" t="s">
        <v>225</v>
      </c>
      <c r="E140" s="163" t="s">
        <v>95</v>
      </c>
      <c r="F140" s="163" t="s">
        <v>96</v>
      </c>
      <c r="G140" s="163" t="s">
        <v>14</v>
      </c>
      <c r="H140" s="163" t="s">
        <v>226</v>
      </c>
      <c r="I140" s="163"/>
      <c r="J140" s="163" t="s">
        <v>153</v>
      </c>
      <c r="K140" s="163" t="s">
        <v>227</v>
      </c>
      <c r="L140" s="163"/>
      <c r="M140" s="163" t="s">
        <v>228</v>
      </c>
      <c r="N140" s="163" t="s">
        <v>102</v>
      </c>
      <c r="O140" s="163"/>
      <c r="P140" s="163"/>
      <c r="Q140" s="163" t="str">
        <f t="shared" ca="1" si="19"/>
        <v/>
      </c>
      <c r="R140" s="163" t="str">
        <f t="shared" ca="1" si="16"/>
        <v/>
      </c>
      <c r="S140" s="163" t="s">
        <v>103</v>
      </c>
      <c r="T140" s="164">
        <v>192856</v>
      </c>
      <c r="U140" s="164">
        <v>192856</v>
      </c>
      <c r="V140" s="162">
        <v>46141</v>
      </c>
      <c r="W140" s="163" t="s">
        <v>351</v>
      </c>
      <c r="X140" s="163" t="s">
        <v>40</v>
      </c>
      <c r="Y140" s="163" t="s">
        <v>85</v>
      </c>
      <c r="Z140" s="163"/>
      <c r="AA140" s="162">
        <v>46157</v>
      </c>
      <c r="AB140" s="195" t="str">
        <f t="shared" si="18"/>
        <v>Apr-26</v>
      </c>
      <c r="AC140" s="163"/>
      <c r="AD140" s="163" t="str">
        <f t="shared" si="17"/>
        <v/>
      </c>
      <c r="AE140" s="163"/>
    </row>
    <row r="141" spans="1:31" x14ac:dyDescent="0.35">
      <c r="A141" s="162">
        <v>46141</v>
      </c>
      <c r="B141" s="163" t="s">
        <v>125</v>
      </c>
      <c r="C141" s="163" t="s">
        <v>113</v>
      </c>
      <c r="D141" s="163" t="s">
        <v>165</v>
      </c>
      <c r="E141" s="163" t="s">
        <v>95</v>
      </c>
      <c r="F141" s="163" t="s">
        <v>135</v>
      </c>
      <c r="G141" s="163"/>
      <c r="H141" s="163" t="s">
        <v>115</v>
      </c>
      <c r="I141" s="163" t="s">
        <v>98</v>
      </c>
      <c r="J141" s="163" t="s">
        <v>166</v>
      </c>
      <c r="K141" s="163" t="s">
        <v>167</v>
      </c>
      <c r="L141" s="163"/>
      <c r="M141" s="163" t="s">
        <v>159</v>
      </c>
      <c r="N141" s="163" t="s">
        <v>102</v>
      </c>
      <c r="O141" s="163"/>
      <c r="P141" s="163"/>
      <c r="Q141" s="163" t="str">
        <f t="shared" ca="1" si="19"/>
        <v/>
      </c>
      <c r="R141" s="163" t="str">
        <f t="shared" ca="1" si="16"/>
        <v/>
      </c>
      <c r="S141" s="163" t="s">
        <v>103</v>
      </c>
      <c r="T141" s="164">
        <v>20166</v>
      </c>
      <c r="U141" s="164">
        <v>20166</v>
      </c>
      <c r="V141" s="162">
        <v>46141</v>
      </c>
      <c r="W141" s="163" t="s">
        <v>352</v>
      </c>
      <c r="X141" s="163" t="s">
        <v>35</v>
      </c>
      <c r="Y141" s="163" t="s">
        <v>85</v>
      </c>
      <c r="Z141" s="163"/>
      <c r="AA141" s="162"/>
      <c r="AB141" s="195" t="str">
        <f t="shared" si="18"/>
        <v>Apr-26</v>
      </c>
      <c r="AC141" s="163"/>
      <c r="AD141" s="163" t="str">
        <f t="shared" si="17"/>
        <v/>
      </c>
      <c r="AE141" s="163"/>
    </row>
    <row r="142" spans="1:31" x14ac:dyDescent="0.35">
      <c r="A142" s="162">
        <v>46141</v>
      </c>
      <c r="B142" s="163" t="s">
        <v>125</v>
      </c>
      <c r="C142" s="163" t="s">
        <v>113</v>
      </c>
      <c r="D142" s="163" t="s">
        <v>223</v>
      </c>
      <c r="E142" s="163" t="s">
        <v>95</v>
      </c>
      <c r="F142" s="163" t="s">
        <v>135</v>
      </c>
      <c r="G142" s="163"/>
      <c r="H142" s="163" t="s">
        <v>97</v>
      </c>
      <c r="I142" s="163"/>
      <c r="J142" s="163" t="s">
        <v>166</v>
      </c>
      <c r="K142" s="163" t="s">
        <v>224</v>
      </c>
      <c r="L142" s="163"/>
      <c r="M142" s="163" t="s">
        <v>159</v>
      </c>
      <c r="N142" s="163" t="s">
        <v>102</v>
      </c>
      <c r="O142" s="163"/>
      <c r="P142" s="163"/>
      <c r="Q142" s="163" t="str">
        <f t="shared" ca="1" si="19"/>
        <v/>
      </c>
      <c r="R142" s="163" t="str">
        <f t="shared" ca="1" si="16"/>
        <v/>
      </c>
      <c r="S142" s="163" t="s">
        <v>103</v>
      </c>
      <c r="T142" s="164">
        <v>15680</v>
      </c>
      <c r="U142" s="164">
        <v>15680</v>
      </c>
      <c r="V142" s="162">
        <v>46141</v>
      </c>
      <c r="W142" s="163"/>
      <c r="X142" s="163" t="s">
        <v>62</v>
      </c>
      <c r="Y142" s="163" t="s">
        <v>161</v>
      </c>
      <c r="Z142" s="163"/>
      <c r="AA142" s="163"/>
      <c r="AB142" s="195" t="str">
        <f t="shared" si="18"/>
        <v>Apr-26</v>
      </c>
      <c r="AC142" s="163"/>
      <c r="AD142" s="163" t="str">
        <f t="shared" si="17"/>
        <v/>
      </c>
      <c r="AE142" s="163"/>
    </row>
    <row r="143" spans="1:31" x14ac:dyDescent="0.35">
      <c r="A143" s="162">
        <v>46141</v>
      </c>
      <c r="B143" s="163" t="s">
        <v>92</v>
      </c>
      <c r="C143" s="163" t="s">
        <v>93</v>
      </c>
      <c r="D143" s="163" t="s">
        <v>182</v>
      </c>
      <c r="E143" s="163" t="s">
        <v>95</v>
      </c>
      <c r="F143" s="163" t="s">
        <v>96</v>
      </c>
      <c r="G143" s="163" t="s">
        <v>15</v>
      </c>
      <c r="H143" s="163" t="s">
        <v>163</v>
      </c>
      <c r="I143" s="163" t="s">
        <v>98</v>
      </c>
      <c r="J143" s="163" t="s">
        <v>116</v>
      </c>
      <c r="K143" s="163" t="s">
        <v>183</v>
      </c>
      <c r="L143" s="163"/>
      <c r="M143" s="163" t="s">
        <v>353</v>
      </c>
      <c r="N143" s="163" t="s">
        <v>102</v>
      </c>
      <c r="O143" s="163"/>
      <c r="P143" s="163"/>
      <c r="Q143" s="163" t="str">
        <f t="shared" ca="1" si="19"/>
        <v/>
      </c>
      <c r="R143" s="163" t="str">
        <f t="shared" ca="1" si="16"/>
        <v/>
      </c>
      <c r="S143" s="163" t="s">
        <v>103</v>
      </c>
      <c r="T143" s="164">
        <v>64990</v>
      </c>
      <c r="U143" s="164">
        <v>64990</v>
      </c>
      <c r="V143" s="162">
        <v>46141</v>
      </c>
      <c r="W143" s="163"/>
      <c r="X143" s="163" t="s">
        <v>50</v>
      </c>
      <c r="Y143" s="163" t="s">
        <v>85</v>
      </c>
      <c r="Z143" s="163"/>
      <c r="AA143" s="162">
        <v>46172</v>
      </c>
      <c r="AB143" s="195" t="str">
        <f t="shared" si="18"/>
        <v>Apr-26</v>
      </c>
      <c r="AC143" s="163"/>
      <c r="AD143" s="163" t="str">
        <f t="shared" si="17"/>
        <v/>
      </c>
      <c r="AE143" s="163"/>
    </row>
    <row r="144" spans="1:31" x14ac:dyDescent="0.35">
      <c r="A144" s="162">
        <v>46141</v>
      </c>
      <c r="B144" s="163" t="s">
        <v>92</v>
      </c>
      <c r="C144" s="163" t="s">
        <v>93</v>
      </c>
      <c r="D144" s="163" t="s">
        <v>186</v>
      </c>
      <c r="E144" s="163" t="s">
        <v>95</v>
      </c>
      <c r="F144" s="163" t="s">
        <v>96</v>
      </c>
      <c r="G144" s="163" t="s">
        <v>15</v>
      </c>
      <c r="H144" s="163" t="s">
        <v>163</v>
      </c>
      <c r="I144" s="163" t="s">
        <v>98</v>
      </c>
      <c r="J144" s="163" t="s">
        <v>116</v>
      </c>
      <c r="K144" s="163" t="s">
        <v>183</v>
      </c>
      <c r="L144" s="163"/>
      <c r="M144" s="163" t="s">
        <v>354</v>
      </c>
      <c r="N144" s="163" t="s">
        <v>102</v>
      </c>
      <c r="O144" s="163"/>
      <c r="P144" s="163"/>
      <c r="Q144" s="163" t="str">
        <f t="shared" ca="1" si="19"/>
        <v/>
      </c>
      <c r="R144" s="163" t="str">
        <f t="shared" ca="1" si="16"/>
        <v/>
      </c>
      <c r="S144" s="163" t="s">
        <v>103</v>
      </c>
      <c r="T144" s="164">
        <v>11940</v>
      </c>
      <c r="U144" s="164">
        <v>11940</v>
      </c>
      <c r="V144" s="162">
        <v>46141</v>
      </c>
      <c r="W144" s="163"/>
      <c r="X144" s="163" t="s">
        <v>44</v>
      </c>
      <c r="Y144" s="163" t="s">
        <v>85</v>
      </c>
      <c r="Z144" s="163"/>
      <c r="AA144" s="162">
        <v>46172</v>
      </c>
      <c r="AB144" s="195" t="str">
        <f t="shared" si="18"/>
        <v>Apr-26</v>
      </c>
      <c r="AC144" s="163"/>
      <c r="AD144" s="163" t="str">
        <f t="shared" si="17"/>
        <v/>
      </c>
      <c r="AE144" s="163"/>
    </row>
    <row r="145" spans="1:31" x14ac:dyDescent="0.35">
      <c r="A145" s="162">
        <v>46141</v>
      </c>
      <c r="B145" s="163" t="s">
        <v>92</v>
      </c>
      <c r="C145" s="163" t="s">
        <v>93</v>
      </c>
      <c r="D145" s="163" t="s">
        <v>355</v>
      </c>
      <c r="E145" s="163" t="s">
        <v>95</v>
      </c>
      <c r="F145" s="163" t="s">
        <v>115</v>
      </c>
      <c r="G145" s="163"/>
      <c r="H145" s="163" t="s">
        <v>115</v>
      </c>
      <c r="I145" s="163" t="s">
        <v>121</v>
      </c>
      <c r="J145" s="163" t="s">
        <v>356</v>
      </c>
      <c r="K145" s="163" t="s">
        <v>357</v>
      </c>
      <c r="L145" s="163"/>
      <c r="M145" s="163" t="s">
        <v>358</v>
      </c>
      <c r="N145" s="163" t="s">
        <v>102</v>
      </c>
      <c r="O145" s="163"/>
      <c r="P145" s="163"/>
      <c r="Q145" s="163" t="str">
        <f t="shared" ca="1" si="19"/>
        <v/>
      </c>
      <c r="R145" s="163" t="str">
        <f t="shared" ca="1" si="16"/>
        <v/>
      </c>
      <c r="S145" s="163" t="s">
        <v>103</v>
      </c>
      <c r="T145" s="164">
        <v>9324</v>
      </c>
      <c r="U145" s="164">
        <v>9324</v>
      </c>
      <c r="V145" s="162">
        <v>46141</v>
      </c>
      <c r="W145" s="163"/>
      <c r="X145" s="163" t="s">
        <v>56</v>
      </c>
      <c r="Y145" s="163" t="s">
        <v>161</v>
      </c>
      <c r="Z145" s="163"/>
      <c r="AA145" s="162">
        <v>46141</v>
      </c>
      <c r="AB145" s="195" t="str">
        <f t="shared" si="18"/>
        <v>Apr-26</v>
      </c>
      <c r="AC145" s="163"/>
      <c r="AD145" s="163" t="str">
        <f t="shared" si="17"/>
        <v/>
      </c>
      <c r="AE145" s="163"/>
    </row>
    <row r="146" spans="1:31" x14ac:dyDescent="0.35">
      <c r="A146" s="162">
        <v>46141</v>
      </c>
      <c r="B146" s="163" t="s">
        <v>92</v>
      </c>
      <c r="C146" s="163" t="s">
        <v>113</v>
      </c>
      <c r="D146" s="163" t="s">
        <v>114</v>
      </c>
      <c r="E146" s="163" t="s">
        <v>95</v>
      </c>
      <c r="F146" s="163" t="s">
        <v>96</v>
      </c>
      <c r="G146" s="163" t="s">
        <v>10</v>
      </c>
      <c r="H146" s="163" t="s">
        <v>115</v>
      </c>
      <c r="I146" s="163" t="s">
        <v>98</v>
      </c>
      <c r="J146" s="163" t="s">
        <v>116</v>
      </c>
      <c r="K146" s="163" t="s">
        <v>117</v>
      </c>
      <c r="L146" s="163"/>
      <c r="M146" s="163" t="s">
        <v>359</v>
      </c>
      <c r="N146" s="163" t="s">
        <v>102</v>
      </c>
      <c r="O146" s="163"/>
      <c r="P146" s="163"/>
      <c r="Q146" s="163" t="str">
        <f t="shared" ca="1" si="19"/>
        <v/>
      </c>
      <c r="R146" s="163" t="str">
        <f t="shared" ca="1" si="16"/>
        <v/>
      </c>
      <c r="S146" s="163" t="s">
        <v>103</v>
      </c>
      <c r="T146" s="164">
        <v>20166</v>
      </c>
      <c r="U146" s="164">
        <v>20166</v>
      </c>
      <c r="V146" s="162">
        <v>46141</v>
      </c>
      <c r="W146" s="163" t="s">
        <v>352</v>
      </c>
      <c r="X146" s="163" t="s">
        <v>35</v>
      </c>
      <c r="Y146" s="163" t="s">
        <v>85</v>
      </c>
      <c r="Z146" s="163"/>
      <c r="AA146" s="162">
        <v>46172</v>
      </c>
      <c r="AB146" s="195" t="str">
        <f t="shared" si="18"/>
        <v>Apr-26</v>
      </c>
      <c r="AC146" s="163"/>
      <c r="AD146" s="163" t="str">
        <f t="shared" si="17"/>
        <v/>
      </c>
      <c r="AE146" s="163"/>
    </row>
    <row r="147" spans="1:31" x14ac:dyDescent="0.35">
      <c r="A147" s="162">
        <v>46142</v>
      </c>
      <c r="B147" s="163" t="s">
        <v>125</v>
      </c>
      <c r="C147" s="163" t="s">
        <v>113</v>
      </c>
      <c r="D147" s="163" t="s">
        <v>360</v>
      </c>
      <c r="E147" s="163" t="s">
        <v>95</v>
      </c>
      <c r="F147" s="163" t="s">
        <v>96</v>
      </c>
      <c r="G147" s="163" t="s">
        <v>13</v>
      </c>
      <c r="H147" s="163" t="s">
        <v>226</v>
      </c>
      <c r="I147" s="163"/>
      <c r="J147" s="163" t="s">
        <v>153</v>
      </c>
      <c r="K147" s="163" t="s">
        <v>361</v>
      </c>
      <c r="L147" s="163"/>
      <c r="M147" s="163" t="s">
        <v>159</v>
      </c>
      <c r="N147" s="163" t="s">
        <v>102</v>
      </c>
      <c r="O147" s="163"/>
      <c r="P147" s="163"/>
      <c r="Q147" s="163" t="str">
        <f t="shared" ca="1" si="19"/>
        <v/>
      </c>
      <c r="R147" s="163" t="str">
        <f t="shared" ca="1" si="16"/>
        <v/>
      </c>
      <c r="S147" s="163" t="s">
        <v>103</v>
      </c>
      <c r="T147" s="164">
        <v>200000</v>
      </c>
      <c r="U147" s="164">
        <v>173750</v>
      </c>
      <c r="V147" s="162">
        <v>46141</v>
      </c>
      <c r="W147" s="163"/>
      <c r="X147" s="163" t="s">
        <v>37</v>
      </c>
      <c r="Y147" s="163" t="s">
        <v>85</v>
      </c>
      <c r="Z147" s="163"/>
      <c r="AA147" s="162">
        <v>46172</v>
      </c>
      <c r="AB147" s="195" t="str">
        <f t="shared" si="18"/>
        <v>Apr-26</v>
      </c>
      <c r="AC147" s="163"/>
      <c r="AD147" s="163" t="str">
        <f t="shared" si="17"/>
        <v/>
      </c>
      <c r="AE147" s="163"/>
    </row>
    <row r="148" spans="1:31" x14ac:dyDescent="0.35">
      <c r="A148" s="162">
        <v>46142</v>
      </c>
      <c r="B148" s="163" t="s">
        <v>92</v>
      </c>
      <c r="C148" s="163" t="s">
        <v>93</v>
      </c>
      <c r="D148" s="163" t="s">
        <v>182</v>
      </c>
      <c r="E148" s="163" t="s">
        <v>95</v>
      </c>
      <c r="F148" s="163" t="s">
        <v>96</v>
      </c>
      <c r="G148" s="163" t="s">
        <v>15</v>
      </c>
      <c r="H148" s="163" t="s">
        <v>163</v>
      </c>
      <c r="I148" s="163" t="s">
        <v>98</v>
      </c>
      <c r="J148" s="163" t="s">
        <v>116</v>
      </c>
      <c r="K148" s="163" t="s">
        <v>183</v>
      </c>
      <c r="L148" s="163"/>
      <c r="M148" s="163" t="s">
        <v>362</v>
      </c>
      <c r="N148" s="163" t="s">
        <v>102</v>
      </c>
      <c r="O148" s="163"/>
      <c r="P148" s="163"/>
      <c r="Q148" s="163" t="str">
        <f t="shared" ca="1" si="19"/>
        <v/>
      </c>
      <c r="R148" s="163" t="str">
        <f t="shared" ca="1" si="16"/>
        <v/>
      </c>
      <c r="S148" s="163" t="s">
        <v>103</v>
      </c>
      <c r="T148" s="164">
        <v>76320</v>
      </c>
      <c r="U148" s="164">
        <v>76320</v>
      </c>
      <c r="V148" s="162">
        <v>46142</v>
      </c>
      <c r="W148" s="163"/>
      <c r="X148" s="163" t="s">
        <v>50</v>
      </c>
      <c r="Y148" s="163" t="s">
        <v>85</v>
      </c>
      <c r="Z148" s="163"/>
      <c r="AA148" s="162">
        <v>46172</v>
      </c>
      <c r="AB148" s="195" t="str">
        <f t="shared" si="18"/>
        <v>Apr-26</v>
      </c>
      <c r="AC148" s="163"/>
      <c r="AD148" s="163" t="str">
        <f t="shared" si="17"/>
        <v/>
      </c>
      <c r="AE148" s="163"/>
    </row>
    <row r="149" spans="1:31" x14ac:dyDescent="0.35">
      <c r="A149" s="162">
        <v>46142</v>
      </c>
      <c r="B149" s="163" t="s">
        <v>92</v>
      </c>
      <c r="C149" s="163" t="s">
        <v>93</v>
      </c>
      <c r="D149" s="163" t="s">
        <v>186</v>
      </c>
      <c r="E149" s="163" t="s">
        <v>95</v>
      </c>
      <c r="F149" s="163" t="s">
        <v>96</v>
      </c>
      <c r="G149" s="163" t="s">
        <v>15</v>
      </c>
      <c r="H149" s="163" t="s">
        <v>163</v>
      </c>
      <c r="I149" s="163" t="s">
        <v>98</v>
      </c>
      <c r="J149" s="163" t="s">
        <v>116</v>
      </c>
      <c r="K149" s="163" t="s">
        <v>183</v>
      </c>
      <c r="L149" s="163"/>
      <c r="M149" s="163" t="s">
        <v>363</v>
      </c>
      <c r="N149" s="163" t="s">
        <v>102</v>
      </c>
      <c r="O149" s="163"/>
      <c r="P149" s="163"/>
      <c r="Q149" s="163" t="str">
        <f t="shared" ca="1" si="19"/>
        <v/>
      </c>
      <c r="R149" s="163" t="str">
        <f t="shared" ca="1" si="16"/>
        <v/>
      </c>
      <c r="S149" s="163" t="s">
        <v>103</v>
      </c>
      <c r="T149" s="164">
        <v>12350</v>
      </c>
      <c r="U149" s="164">
        <v>12350</v>
      </c>
      <c r="V149" s="162">
        <v>46142</v>
      </c>
      <c r="W149" s="163"/>
      <c r="X149" s="163" t="s">
        <v>44</v>
      </c>
      <c r="Y149" s="163" t="s">
        <v>85</v>
      </c>
      <c r="Z149" s="163"/>
      <c r="AA149" s="162">
        <v>46172</v>
      </c>
      <c r="AB149" s="195" t="str">
        <f t="shared" si="18"/>
        <v>Apr-26</v>
      </c>
      <c r="AC149" s="163"/>
      <c r="AD149" s="163" t="str">
        <f t="shared" si="17"/>
        <v/>
      </c>
      <c r="AE149" s="163"/>
    </row>
    <row r="150" spans="1:31" x14ac:dyDescent="0.35">
      <c r="A150" s="162">
        <v>46142</v>
      </c>
      <c r="B150" s="163" t="s">
        <v>92</v>
      </c>
      <c r="C150" s="163" t="s">
        <v>93</v>
      </c>
      <c r="D150" s="163" t="s">
        <v>364</v>
      </c>
      <c r="E150" s="163" t="s">
        <v>106</v>
      </c>
      <c r="F150" s="163" t="s">
        <v>115</v>
      </c>
      <c r="G150" s="163"/>
      <c r="H150" s="163" t="s">
        <v>115</v>
      </c>
      <c r="I150" s="163" t="s">
        <v>121</v>
      </c>
      <c r="J150" s="163" t="s">
        <v>262</v>
      </c>
      <c r="K150" s="163" t="s">
        <v>365</v>
      </c>
      <c r="L150" s="163"/>
      <c r="M150" s="163" t="s">
        <v>366</v>
      </c>
      <c r="N150" s="163" t="s">
        <v>102</v>
      </c>
      <c r="O150" s="163"/>
      <c r="P150" s="163"/>
      <c r="Q150" s="163" t="str">
        <f t="shared" ca="1" si="19"/>
        <v/>
      </c>
      <c r="R150" s="163" t="str">
        <f t="shared" ca="1" si="16"/>
        <v/>
      </c>
      <c r="S150" s="163" t="s">
        <v>103</v>
      </c>
      <c r="T150" s="164">
        <v>9808</v>
      </c>
      <c r="U150" s="164">
        <v>9808</v>
      </c>
      <c r="V150" s="162">
        <v>46143</v>
      </c>
      <c r="W150" s="163"/>
      <c r="X150" s="163" t="s">
        <v>45</v>
      </c>
      <c r="Y150" s="163" t="s">
        <v>161</v>
      </c>
      <c r="Z150" s="163"/>
      <c r="AA150" s="162">
        <v>46143</v>
      </c>
      <c r="AB150" s="195" t="str">
        <f t="shared" si="18"/>
        <v>May-26</v>
      </c>
      <c r="AC150" s="163"/>
      <c r="AD150" s="163" t="str">
        <f t="shared" si="17"/>
        <v/>
      </c>
      <c r="AE150" s="163"/>
    </row>
    <row r="151" spans="1:31" x14ac:dyDescent="0.35">
      <c r="A151" s="162">
        <v>46145</v>
      </c>
      <c r="B151" s="163" t="s">
        <v>125</v>
      </c>
      <c r="C151" s="163" t="s">
        <v>113</v>
      </c>
      <c r="D151" s="163" t="s">
        <v>367</v>
      </c>
      <c r="E151" s="163" t="s">
        <v>95</v>
      </c>
      <c r="F151" s="163" t="s">
        <v>135</v>
      </c>
      <c r="G151" s="163"/>
      <c r="H151" s="163" t="s">
        <v>115</v>
      </c>
      <c r="I151" s="163" t="s">
        <v>121</v>
      </c>
      <c r="J151" s="163" t="s">
        <v>147</v>
      </c>
      <c r="K151" s="163" t="s">
        <v>368</v>
      </c>
      <c r="L151" s="163"/>
      <c r="M151" s="163" t="s">
        <v>369</v>
      </c>
      <c r="N151" s="163" t="s">
        <v>102</v>
      </c>
      <c r="O151" s="163"/>
      <c r="P151" s="163"/>
      <c r="Q151" s="163" t="str">
        <f t="shared" ca="1" si="19"/>
        <v/>
      </c>
      <c r="R151" s="163" t="str">
        <f t="shared" ca="1" si="16"/>
        <v/>
      </c>
      <c r="S151" s="163" t="s">
        <v>103</v>
      </c>
      <c r="T151" s="164">
        <v>10000</v>
      </c>
      <c r="U151" s="164">
        <v>10360</v>
      </c>
      <c r="V151" s="162">
        <v>46145</v>
      </c>
      <c r="W151" s="163"/>
      <c r="X151" s="163" t="s">
        <v>39</v>
      </c>
      <c r="Y151" s="163" t="s">
        <v>161</v>
      </c>
      <c r="Z151" s="163"/>
      <c r="AA151" s="162">
        <v>46145</v>
      </c>
      <c r="AB151" s="195" t="str">
        <f t="shared" si="18"/>
        <v>May-26</v>
      </c>
      <c r="AC151" s="163"/>
      <c r="AD151" s="163"/>
      <c r="AE151" s="163"/>
    </row>
    <row r="152" spans="1:31" x14ac:dyDescent="0.35">
      <c r="A152" s="162">
        <v>46146</v>
      </c>
      <c r="B152" s="163" t="s">
        <v>370</v>
      </c>
      <c r="C152" s="163" t="s">
        <v>93</v>
      </c>
      <c r="D152" s="163" t="s">
        <v>262</v>
      </c>
      <c r="E152" s="163" t="s">
        <v>95</v>
      </c>
      <c r="F152" s="163" t="s">
        <v>115</v>
      </c>
      <c r="G152" s="163"/>
      <c r="H152" s="163" t="s">
        <v>115</v>
      </c>
      <c r="I152" s="163" t="s">
        <v>121</v>
      </c>
      <c r="J152" s="163" t="s">
        <v>262</v>
      </c>
      <c r="K152" s="163" t="s">
        <v>371</v>
      </c>
      <c r="L152" s="163"/>
      <c r="M152" s="163" t="s">
        <v>372</v>
      </c>
      <c r="N152" s="163" t="s">
        <v>181</v>
      </c>
      <c r="O152" s="162"/>
      <c r="P152" s="163"/>
      <c r="Q152" s="163">
        <f t="shared" ca="1" si="19"/>
        <v>179</v>
      </c>
      <c r="R152" s="163" t="s">
        <v>181</v>
      </c>
      <c r="S152" s="163" t="s">
        <v>133</v>
      </c>
      <c r="T152" s="164">
        <v>10000</v>
      </c>
      <c r="U152" s="164"/>
      <c r="V152" s="163"/>
      <c r="W152" s="163"/>
      <c r="X152" s="163"/>
      <c r="Y152" s="163"/>
      <c r="Z152" s="163"/>
      <c r="AA152" s="163"/>
      <c r="AB152" s="195" t="str">
        <f t="shared" si="18"/>
        <v>May-26</v>
      </c>
      <c r="AC152" s="163"/>
      <c r="AD152" s="163" t="str">
        <f t="shared" ref="AD152:AD199" si="20">IF(AC152="Yes",U152*2%,"")</f>
        <v/>
      </c>
      <c r="AE152" s="163"/>
    </row>
    <row r="153" spans="1:31" x14ac:dyDescent="0.35">
      <c r="A153" s="162">
        <v>46146</v>
      </c>
      <c r="B153" s="163" t="s">
        <v>370</v>
      </c>
      <c r="C153" s="163" t="s">
        <v>93</v>
      </c>
      <c r="D153" s="163" t="s">
        <v>373</v>
      </c>
      <c r="E153" s="163" t="s">
        <v>106</v>
      </c>
      <c r="F153" s="163" t="s">
        <v>115</v>
      </c>
      <c r="G153" s="163"/>
      <c r="H153" s="163" t="s">
        <v>115</v>
      </c>
      <c r="I153" s="163" t="s">
        <v>121</v>
      </c>
      <c r="J153" s="163" t="s">
        <v>374</v>
      </c>
      <c r="K153" s="163" t="s">
        <v>375</v>
      </c>
      <c r="L153" s="163"/>
      <c r="M153" s="163" t="s">
        <v>376</v>
      </c>
      <c r="N153" s="163" t="s">
        <v>181</v>
      </c>
      <c r="O153" s="162">
        <v>46146</v>
      </c>
      <c r="P153" s="163" t="s">
        <v>106</v>
      </c>
      <c r="Q153" s="163">
        <f t="shared" ca="1" si="19"/>
        <v>179</v>
      </c>
      <c r="R153" s="163" t="str">
        <f t="shared" ref="R153:R178" ca="1" si="21">IF(OR(N153="Closed( C4 )",N153="Cancelled"),"",IF(AND(O153&lt;&gt;"",O153&lt;TODAY()),"Yes",""))</f>
        <v/>
      </c>
      <c r="S153" s="163" t="s">
        <v>133</v>
      </c>
      <c r="T153" s="164">
        <v>20000</v>
      </c>
      <c r="U153" s="164"/>
      <c r="V153" s="163"/>
      <c r="W153" s="163"/>
      <c r="X153" s="163"/>
      <c r="Y153" s="163"/>
      <c r="Z153" s="163"/>
      <c r="AA153" s="163"/>
      <c r="AB153" s="195" t="str">
        <f t="shared" si="18"/>
        <v>May-26</v>
      </c>
      <c r="AC153" s="163"/>
      <c r="AD153" s="163" t="str">
        <f t="shared" si="20"/>
        <v/>
      </c>
      <c r="AE153" s="163"/>
    </row>
    <row r="154" spans="1:31" x14ac:dyDescent="0.35">
      <c r="A154" s="162">
        <v>46146</v>
      </c>
      <c r="B154" s="163" t="s">
        <v>370</v>
      </c>
      <c r="C154" s="163" t="s">
        <v>93</v>
      </c>
      <c r="D154" s="163" t="s">
        <v>377</v>
      </c>
      <c r="E154" s="163" t="s">
        <v>106</v>
      </c>
      <c r="F154" s="163" t="s">
        <v>115</v>
      </c>
      <c r="G154" s="163"/>
      <c r="H154" s="163" t="s">
        <v>115</v>
      </c>
      <c r="I154" s="163" t="s">
        <v>121</v>
      </c>
      <c r="J154" s="163" t="s">
        <v>378</v>
      </c>
      <c r="K154" s="163" t="s">
        <v>379</v>
      </c>
      <c r="L154" s="163"/>
      <c r="M154" s="163" t="s">
        <v>380</v>
      </c>
      <c r="N154" s="163" t="s">
        <v>130</v>
      </c>
      <c r="O154" s="162"/>
      <c r="P154" s="163" t="s">
        <v>106</v>
      </c>
      <c r="Q154" s="163">
        <f t="shared" ca="1" si="19"/>
        <v>179</v>
      </c>
      <c r="R154" s="163" t="str">
        <f t="shared" ca="1" si="21"/>
        <v/>
      </c>
      <c r="S154" s="163" t="s">
        <v>103</v>
      </c>
      <c r="T154" s="164">
        <v>25000</v>
      </c>
      <c r="U154" s="164"/>
      <c r="V154" s="163"/>
      <c r="W154" s="163"/>
      <c r="X154" s="163"/>
      <c r="Y154" s="163"/>
      <c r="Z154" s="163"/>
      <c r="AA154" s="163"/>
      <c r="AB154" s="195" t="str">
        <f t="shared" si="18"/>
        <v>May-26</v>
      </c>
      <c r="AC154" s="163"/>
      <c r="AD154" s="163" t="str">
        <f t="shared" si="20"/>
        <v/>
      </c>
      <c r="AE154" s="163"/>
    </row>
    <row r="155" spans="1:31" x14ac:dyDescent="0.35">
      <c r="A155" s="162">
        <v>46146</v>
      </c>
      <c r="B155" s="163" t="s">
        <v>92</v>
      </c>
      <c r="C155" s="163" t="s">
        <v>93</v>
      </c>
      <c r="D155" s="163" t="s">
        <v>381</v>
      </c>
      <c r="E155" s="163" t="s">
        <v>106</v>
      </c>
      <c r="F155" s="163" t="s">
        <v>115</v>
      </c>
      <c r="G155" s="163"/>
      <c r="H155" s="163" t="s">
        <v>115</v>
      </c>
      <c r="I155" s="163" t="s">
        <v>121</v>
      </c>
      <c r="J155" s="163" t="s">
        <v>356</v>
      </c>
      <c r="K155" s="163" t="s">
        <v>382</v>
      </c>
      <c r="L155" s="163"/>
      <c r="M155" s="163" t="s">
        <v>383</v>
      </c>
      <c r="N155" s="163" t="s">
        <v>181</v>
      </c>
      <c r="O155" s="162"/>
      <c r="P155" s="163"/>
      <c r="Q155" s="163">
        <f t="shared" ca="1" si="19"/>
        <v>179</v>
      </c>
      <c r="R155" s="163" t="str">
        <f t="shared" ca="1" si="21"/>
        <v/>
      </c>
      <c r="S155" s="163" t="s">
        <v>129</v>
      </c>
      <c r="T155" s="164">
        <v>0</v>
      </c>
      <c r="U155" s="164"/>
      <c r="V155" s="163"/>
      <c r="W155" s="163"/>
      <c r="X155" s="163"/>
      <c r="Y155" s="163"/>
      <c r="Z155" s="163"/>
      <c r="AA155" s="163"/>
      <c r="AB155" s="195" t="str">
        <f t="shared" si="18"/>
        <v>May-26</v>
      </c>
      <c r="AC155" s="163"/>
      <c r="AD155" s="163" t="str">
        <f t="shared" si="20"/>
        <v/>
      </c>
      <c r="AE155" s="163"/>
    </row>
    <row r="156" spans="1:31" x14ac:dyDescent="0.35">
      <c r="A156" s="162">
        <v>46146</v>
      </c>
      <c r="B156" s="163" t="s">
        <v>92</v>
      </c>
      <c r="C156" s="163" t="s">
        <v>93</v>
      </c>
      <c r="D156" s="163" t="s">
        <v>182</v>
      </c>
      <c r="E156" s="163" t="s">
        <v>95</v>
      </c>
      <c r="F156" s="163" t="s">
        <v>96</v>
      </c>
      <c r="G156" s="163" t="s">
        <v>15</v>
      </c>
      <c r="H156" s="163" t="s">
        <v>163</v>
      </c>
      <c r="I156" s="163" t="s">
        <v>98</v>
      </c>
      <c r="J156" s="163" t="s">
        <v>99</v>
      </c>
      <c r="K156" s="163" t="s">
        <v>384</v>
      </c>
      <c r="L156" s="163"/>
      <c r="M156" s="163" t="s">
        <v>385</v>
      </c>
      <c r="N156" s="163" t="s">
        <v>102</v>
      </c>
      <c r="O156" s="162"/>
      <c r="P156" s="163"/>
      <c r="Q156" s="163" t="str">
        <f t="shared" ca="1" si="19"/>
        <v/>
      </c>
      <c r="R156" s="163" t="str">
        <f t="shared" ca="1" si="21"/>
        <v/>
      </c>
      <c r="S156" s="163" t="s">
        <v>103</v>
      </c>
      <c r="T156" s="164">
        <v>32820</v>
      </c>
      <c r="U156" s="164">
        <v>32820</v>
      </c>
      <c r="V156" s="162">
        <v>46146</v>
      </c>
      <c r="W156" s="163" t="s">
        <v>386</v>
      </c>
      <c r="X156" s="163" t="s">
        <v>30</v>
      </c>
      <c r="Y156" s="163" t="s">
        <v>85</v>
      </c>
      <c r="Z156" s="163"/>
      <c r="AA156" s="162">
        <v>46172</v>
      </c>
      <c r="AB156" s="195" t="str">
        <f t="shared" si="18"/>
        <v>May-26</v>
      </c>
      <c r="AC156" s="163"/>
      <c r="AD156" s="163" t="str">
        <f t="shared" si="20"/>
        <v/>
      </c>
      <c r="AE156" s="163"/>
    </row>
    <row r="157" spans="1:31" x14ac:dyDescent="0.35">
      <c r="A157" s="162">
        <v>46146</v>
      </c>
      <c r="B157" s="163" t="s">
        <v>125</v>
      </c>
      <c r="C157" s="163" t="s">
        <v>93</v>
      </c>
      <c r="D157" s="163" t="s">
        <v>387</v>
      </c>
      <c r="E157" s="163" t="s">
        <v>95</v>
      </c>
      <c r="F157" s="163" t="s">
        <v>96</v>
      </c>
      <c r="G157" s="163" t="s">
        <v>14</v>
      </c>
      <c r="H157" s="163" t="s">
        <v>226</v>
      </c>
      <c r="I157" s="163" t="s">
        <v>121</v>
      </c>
      <c r="J157" s="163" t="s">
        <v>388</v>
      </c>
      <c r="K157" s="163" t="s">
        <v>154</v>
      </c>
      <c r="L157" s="163"/>
      <c r="M157" s="163" t="s">
        <v>389</v>
      </c>
      <c r="N157" s="163" t="s">
        <v>156</v>
      </c>
      <c r="O157" s="162"/>
      <c r="P157" s="163"/>
      <c r="Q157" s="163"/>
      <c r="R157" s="163" t="str">
        <f t="shared" ca="1" si="21"/>
        <v/>
      </c>
      <c r="S157" s="163" t="s">
        <v>103</v>
      </c>
      <c r="T157" s="164"/>
      <c r="U157" s="164"/>
      <c r="V157" s="162"/>
      <c r="W157" s="163"/>
      <c r="X157" s="163"/>
      <c r="Y157" s="163"/>
      <c r="Z157" s="163"/>
      <c r="AA157" s="163"/>
      <c r="AB157" s="195" t="str">
        <f t="shared" si="18"/>
        <v>May-26</v>
      </c>
      <c r="AC157" s="163"/>
      <c r="AD157" s="163" t="str">
        <f t="shared" si="20"/>
        <v/>
      </c>
      <c r="AE157" s="163"/>
    </row>
    <row r="158" spans="1:31" x14ac:dyDescent="0.35">
      <c r="A158" s="162">
        <v>46146</v>
      </c>
      <c r="B158" s="163" t="s">
        <v>125</v>
      </c>
      <c r="C158" s="163" t="s">
        <v>113</v>
      </c>
      <c r="D158" s="163" t="s">
        <v>260</v>
      </c>
      <c r="E158" s="163" t="s">
        <v>95</v>
      </c>
      <c r="F158" s="163" t="s">
        <v>96</v>
      </c>
      <c r="G158" s="163" t="s">
        <v>15</v>
      </c>
      <c r="H158" s="163" t="s">
        <v>163</v>
      </c>
      <c r="I158" s="163" t="s">
        <v>98</v>
      </c>
      <c r="J158" s="163" t="s">
        <v>147</v>
      </c>
      <c r="K158" s="163" t="s">
        <v>231</v>
      </c>
      <c r="L158" s="163"/>
      <c r="M158" s="163" t="s">
        <v>390</v>
      </c>
      <c r="N158" s="163" t="s">
        <v>156</v>
      </c>
      <c r="O158" s="162"/>
      <c r="P158" s="163"/>
      <c r="Q158" s="163"/>
      <c r="R158" s="163" t="str">
        <f t="shared" ca="1" si="21"/>
        <v/>
      </c>
      <c r="S158" s="163" t="s">
        <v>103</v>
      </c>
      <c r="T158" s="164"/>
      <c r="U158" s="164"/>
      <c r="V158" s="162"/>
      <c r="W158" s="163"/>
      <c r="X158" s="163" t="s">
        <v>39</v>
      </c>
      <c r="Y158" s="163"/>
      <c r="Z158" s="163"/>
      <c r="AA158" s="163"/>
      <c r="AB158" s="195" t="str">
        <f t="shared" si="18"/>
        <v>May-26</v>
      </c>
      <c r="AC158" s="163"/>
      <c r="AD158" s="163" t="str">
        <f t="shared" si="20"/>
        <v/>
      </c>
      <c r="AE158" s="163"/>
    </row>
    <row r="159" spans="1:31" x14ac:dyDescent="0.35">
      <c r="A159" s="162">
        <v>46146</v>
      </c>
      <c r="B159" s="163" t="s">
        <v>125</v>
      </c>
      <c r="C159" s="163" t="s">
        <v>113</v>
      </c>
      <c r="D159" s="163" t="s">
        <v>246</v>
      </c>
      <c r="E159" s="163" t="s">
        <v>95</v>
      </c>
      <c r="F159" s="163" t="s">
        <v>96</v>
      </c>
      <c r="G159" s="163" t="s">
        <v>15</v>
      </c>
      <c r="H159" s="163" t="s">
        <v>163</v>
      </c>
      <c r="I159" s="163" t="s">
        <v>98</v>
      </c>
      <c r="J159" s="163" t="s">
        <v>147</v>
      </c>
      <c r="K159" s="163" t="s">
        <v>231</v>
      </c>
      <c r="L159" s="163"/>
      <c r="M159" s="163" t="s">
        <v>390</v>
      </c>
      <c r="N159" s="163" t="s">
        <v>156</v>
      </c>
      <c r="O159" s="162"/>
      <c r="P159" s="163"/>
      <c r="Q159" s="163"/>
      <c r="R159" s="163" t="str">
        <f t="shared" ca="1" si="21"/>
        <v/>
      </c>
      <c r="S159" s="163" t="s">
        <v>103</v>
      </c>
      <c r="T159" s="164"/>
      <c r="U159" s="164"/>
      <c r="V159" s="162"/>
      <c r="W159" s="163"/>
      <c r="X159" s="163" t="s">
        <v>39</v>
      </c>
      <c r="Y159" s="163"/>
      <c r="Z159" s="163"/>
      <c r="AA159" s="163"/>
      <c r="AB159" s="195" t="str">
        <f t="shared" si="18"/>
        <v>May-26</v>
      </c>
      <c r="AC159" s="163"/>
      <c r="AD159" s="163" t="str">
        <f t="shared" si="20"/>
        <v/>
      </c>
      <c r="AE159" s="163"/>
    </row>
    <row r="160" spans="1:31" x14ac:dyDescent="0.35">
      <c r="A160" s="162">
        <v>46146</v>
      </c>
      <c r="B160" s="163" t="s">
        <v>125</v>
      </c>
      <c r="C160" s="163" t="s">
        <v>113</v>
      </c>
      <c r="D160" s="163" t="s">
        <v>260</v>
      </c>
      <c r="E160" s="163" t="s">
        <v>95</v>
      </c>
      <c r="F160" s="163" t="s">
        <v>96</v>
      </c>
      <c r="G160" s="163" t="s">
        <v>15</v>
      </c>
      <c r="H160" s="163" t="s">
        <v>163</v>
      </c>
      <c r="I160" s="163" t="s">
        <v>98</v>
      </c>
      <c r="J160" s="163" t="s">
        <v>147</v>
      </c>
      <c r="K160" s="163" t="s">
        <v>231</v>
      </c>
      <c r="L160" s="163"/>
      <c r="M160" s="163" t="s">
        <v>390</v>
      </c>
      <c r="N160" s="163" t="s">
        <v>156</v>
      </c>
      <c r="O160" s="162"/>
      <c r="P160" s="163"/>
      <c r="Q160" s="163"/>
      <c r="R160" s="163" t="str">
        <f t="shared" ca="1" si="21"/>
        <v/>
      </c>
      <c r="S160" s="163" t="s">
        <v>103</v>
      </c>
      <c r="T160" s="164"/>
      <c r="U160" s="164"/>
      <c r="V160" s="162"/>
      <c r="W160" s="163"/>
      <c r="X160" s="163" t="s">
        <v>39</v>
      </c>
      <c r="Y160" s="163"/>
      <c r="Z160" s="163"/>
      <c r="AA160" s="163"/>
      <c r="AB160" s="195" t="str">
        <f t="shared" si="18"/>
        <v>May-26</v>
      </c>
      <c r="AC160" s="163"/>
      <c r="AD160" s="163" t="str">
        <f t="shared" si="20"/>
        <v/>
      </c>
      <c r="AE160" s="163"/>
    </row>
    <row r="161" spans="1:31" x14ac:dyDescent="0.35">
      <c r="A161" s="162">
        <v>46146</v>
      </c>
      <c r="B161" s="163" t="s">
        <v>125</v>
      </c>
      <c r="C161" s="163" t="s">
        <v>113</v>
      </c>
      <c r="D161" s="163" t="s">
        <v>246</v>
      </c>
      <c r="E161" s="163" t="s">
        <v>95</v>
      </c>
      <c r="F161" s="163" t="s">
        <v>96</v>
      </c>
      <c r="G161" s="163" t="s">
        <v>15</v>
      </c>
      <c r="H161" s="163" t="s">
        <v>163</v>
      </c>
      <c r="I161" s="163" t="s">
        <v>98</v>
      </c>
      <c r="J161" s="163" t="s">
        <v>147</v>
      </c>
      <c r="K161" s="163" t="s">
        <v>231</v>
      </c>
      <c r="L161" s="163"/>
      <c r="M161" s="163" t="s">
        <v>390</v>
      </c>
      <c r="N161" s="163" t="s">
        <v>156</v>
      </c>
      <c r="O161" s="162"/>
      <c r="P161" s="163"/>
      <c r="Q161" s="163"/>
      <c r="R161" s="163" t="str">
        <f t="shared" ca="1" si="21"/>
        <v/>
      </c>
      <c r="S161" s="163" t="s">
        <v>103</v>
      </c>
      <c r="T161" s="164"/>
      <c r="U161" s="164"/>
      <c r="V161" s="162"/>
      <c r="W161" s="163"/>
      <c r="X161" s="163" t="s">
        <v>39</v>
      </c>
      <c r="Y161" s="163"/>
      <c r="Z161" s="163"/>
      <c r="AA161" s="163"/>
      <c r="AB161" s="195" t="str">
        <f t="shared" si="18"/>
        <v>May-26</v>
      </c>
      <c r="AC161" s="163"/>
      <c r="AD161" s="163" t="str">
        <f t="shared" si="20"/>
        <v/>
      </c>
      <c r="AE161" s="163"/>
    </row>
    <row r="162" spans="1:31" x14ac:dyDescent="0.35">
      <c r="A162" s="162">
        <v>46146</v>
      </c>
      <c r="B162" s="163" t="s">
        <v>125</v>
      </c>
      <c r="C162" s="163" t="s">
        <v>113</v>
      </c>
      <c r="D162" s="163" t="s">
        <v>260</v>
      </c>
      <c r="E162" s="163" t="s">
        <v>95</v>
      </c>
      <c r="F162" s="163" t="s">
        <v>96</v>
      </c>
      <c r="G162" s="163" t="s">
        <v>15</v>
      </c>
      <c r="H162" s="163" t="s">
        <v>163</v>
      </c>
      <c r="I162" s="163" t="s">
        <v>98</v>
      </c>
      <c r="J162" s="163" t="s">
        <v>147</v>
      </c>
      <c r="K162" s="163" t="s">
        <v>231</v>
      </c>
      <c r="L162" s="163"/>
      <c r="M162" s="163" t="s">
        <v>390</v>
      </c>
      <c r="N162" s="163" t="s">
        <v>156</v>
      </c>
      <c r="O162" s="162"/>
      <c r="P162" s="163"/>
      <c r="Q162" s="163"/>
      <c r="R162" s="163" t="str">
        <f t="shared" ca="1" si="21"/>
        <v/>
      </c>
      <c r="S162" s="163" t="s">
        <v>103</v>
      </c>
      <c r="T162" s="164"/>
      <c r="U162" s="164"/>
      <c r="V162" s="162"/>
      <c r="W162" s="163"/>
      <c r="X162" s="163" t="s">
        <v>39</v>
      </c>
      <c r="Y162" s="163"/>
      <c r="Z162" s="163"/>
      <c r="AA162" s="163"/>
      <c r="AB162" s="195" t="str">
        <f t="shared" si="18"/>
        <v>May-26</v>
      </c>
      <c r="AC162" s="163"/>
      <c r="AD162" s="163" t="str">
        <f t="shared" si="20"/>
        <v/>
      </c>
      <c r="AE162" s="163"/>
    </row>
    <row r="163" spans="1:31" x14ac:dyDescent="0.35">
      <c r="A163" s="162">
        <v>46146</v>
      </c>
      <c r="B163" s="163" t="s">
        <v>125</v>
      </c>
      <c r="C163" s="163" t="s">
        <v>113</v>
      </c>
      <c r="D163" s="163" t="s">
        <v>246</v>
      </c>
      <c r="E163" s="163" t="s">
        <v>95</v>
      </c>
      <c r="F163" s="163" t="s">
        <v>96</v>
      </c>
      <c r="G163" s="163" t="s">
        <v>15</v>
      </c>
      <c r="H163" s="163" t="s">
        <v>163</v>
      </c>
      <c r="I163" s="163" t="s">
        <v>98</v>
      </c>
      <c r="J163" s="163" t="s">
        <v>147</v>
      </c>
      <c r="K163" s="163" t="s">
        <v>231</v>
      </c>
      <c r="L163" s="163"/>
      <c r="M163" s="163" t="s">
        <v>390</v>
      </c>
      <c r="N163" s="163" t="s">
        <v>156</v>
      </c>
      <c r="O163" s="162"/>
      <c r="P163" s="163"/>
      <c r="Q163" s="163"/>
      <c r="R163" s="163" t="str">
        <f t="shared" ca="1" si="21"/>
        <v/>
      </c>
      <c r="S163" s="163" t="s">
        <v>103</v>
      </c>
      <c r="T163" s="164"/>
      <c r="U163" s="164"/>
      <c r="V163" s="162"/>
      <c r="W163" s="163"/>
      <c r="X163" s="163" t="s">
        <v>39</v>
      </c>
      <c r="Y163" s="163"/>
      <c r="Z163" s="163"/>
      <c r="AA163" s="163"/>
      <c r="AB163" s="195" t="str">
        <f t="shared" si="18"/>
        <v>May-26</v>
      </c>
      <c r="AC163" s="163"/>
      <c r="AD163" s="163" t="str">
        <f t="shared" si="20"/>
        <v/>
      </c>
      <c r="AE163" s="163"/>
    </row>
    <row r="164" spans="1:31" x14ac:dyDescent="0.35">
      <c r="A164" s="162">
        <v>46146</v>
      </c>
      <c r="B164" s="163" t="s">
        <v>125</v>
      </c>
      <c r="C164" s="163" t="s">
        <v>113</v>
      </c>
      <c r="D164" s="163" t="s">
        <v>260</v>
      </c>
      <c r="E164" s="163" t="s">
        <v>95</v>
      </c>
      <c r="F164" s="163" t="s">
        <v>96</v>
      </c>
      <c r="G164" s="163" t="s">
        <v>15</v>
      </c>
      <c r="H164" s="163" t="s">
        <v>163</v>
      </c>
      <c r="I164" s="163" t="s">
        <v>98</v>
      </c>
      <c r="J164" s="163" t="s">
        <v>147</v>
      </c>
      <c r="K164" s="163" t="s">
        <v>231</v>
      </c>
      <c r="L164" s="163"/>
      <c r="M164" s="163" t="s">
        <v>390</v>
      </c>
      <c r="N164" s="163" t="s">
        <v>156</v>
      </c>
      <c r="O164" s="162"/>
      <c r="P164" s="163"/>
      <c r="Q164" s="163"/>
      <c r="R164" s="163" t="str">
        <f t="shared" ca="1" si="21"/>
        <v/>
      </c>
      <c r="S164" s="163" t="s">
        <v>103</v>
      </c>
      <c r="T164" s="164"/>
      <c r="U164" s="164"/>
      <c r="V164" s="162"/>
      <c r="W164" s="163"/>
      <c r="X164" s="163" t="s">
        <v>39</v>
      </c>
      <c r="Y164" s="163"/>
      <c r="Z164" s="163"/>
      <c r="AA164" s="163"/>
      <c r="AB164" s="195" t="str">
        <f t="shared" si="18"/>
        <v>May-26</v>
      </c>
      <c r="AC164" s="163"/>
      <c r="AD164" s="163" t="str">
        <f t="shared" si="20"/>
        <v/>
      </c>
      <c r="AE164" s="163"/>
    </row>
    <row r="165" spans="1:31" x14ac:dyDescent="0.35">
      <c r="A165" s="162">
        <v>46146</v>
      </c>
      <c r="B165" s="163" t="s">
        <v>125</v>
      </c>
      <c r="C165" s="163" t="s">
        <v>113</v>
      </c>
      <c r="D165" s="163" t="s">
        <v>246</v>
      </c>
      <c r="E165" s="163" t="s">
        <v>95</v>
      </c>
      <c r="F165" s="163" t="s">
        <v>96</v>
      </c>
      <c r="G165" s="163" t="s">
        <v>15</v>
      </c>
      <c r="H165" s="163" t="s">
        <v>163</v>
      </c>
      <c r="I165" s="163" t="s">
        <v>98</v>
      </c>
      <c r="J165" s="163" t="s">
        <v>147</v>
      </c>
      <c r="K165" s="163" t="s">
        <v>231</v>
      </c>
      <c r="L165" s="163"/>
      <c r="M165" s="163" t="s">
        <v>390</v>
      </c>
      <c r="N165" s="163" t="s">
        <v>156</v>
      </c>
      <c r="O165" s="162"/>
      <c r="P165" s="163"/>
      <c r="Q165" s="163"/>
      <c r="R165" s="163" t="str">
        <f t="shared" ca="1" si="21"/>
        <v/>
      </c>
      <c r="S165" s="163" t="s">
        <v>103</v>
      </c>
      <c r="T165" s="164"/>
      <c r="U165" s="164"/>
      <c r="V165" s="162"/>
      <c r="W165" s="163"/>
      <c r="X165" s="163" t="s">
        <v>39</v>
      </c>
      <c r="Y165" s="163"/>
      <c r="Z165" s="163"/>
      <c r="AA165" s="163"/>
      <c r="AB165" s="195" t="str">
        <f t="shared" si="18"/>
        <v>May-26</v>
      </c>
      <c r="AC165" s="163"/>
      <c r="AD165" s="163" t="str">
        <f t="shared" si="20"/>
        <v/>
      </c>
      <c r="AE165" s="163"/>
    </row>
    <row r="166" spans="1:31" x14ac:dyDescent="0.35">
      <c r="A166" s="162">
        <v>46146</v>
      </c>
      <c r="B166" s="163" t="s">
        <v>125</v>
      </c>
      <c r="C166" s="163" t="s">
        <v>113</v>
      </c>
      <c r="D166" s="163" t="s">
        <v>391</v>
      </c>
      <c r="E166" s="163" t="s">
        <v>95</v>
      </c>
      <c r="F166" s="163" t="s">
        <v>96</v>
      </c>
      <c r="G166" s="163" t="s">
        <v>11</v>
      </c>
      <c r="H166" s="163" t="s">
        <v>163</v>
      </c>
      <c r="I166" s="163" t="s">
        <v>98</v>
      </c>
      <c r="J166" s="163" t="s">
        <v>147</v>
      </c>
      <c r="K166" s="163" t="s">
        <v>210</v>
      </c>
      <c r="L166" s="163"/>
      <c r="M166" s="163" t="s">
        <v>390</v>
      </c>
      <c r="N166" s="163" t="s">
        <v>156</v>
      </c>
      <c r="O166" s="162"/>
      <c r="P166" s="163"/>
      <c r="Q166" s="163"/>
      <c r="R166" s="163" t="str">
        <f t="shared" ca="1" si="21"/>
        <v/>
      </c>
      <c r="S166" s="163" t="s">
        <v>103</v>
      </c>
      <c r="T166" s="164"/>
      <c r="U166" s="164"/>
      <c r="V166" s="162"/>
      <c r="W166" s="163"/>
      <c r="X166" s="163"/>
      <c r="Y166" s="163"/>
      <c r="Z166" s="163"/>
      <c r="AA166" s="163"/>
      <c r="AB166" s="195" t="str">
        <f t="shared" si="18"/>
        <v>May-26</v>
      </c>
      <c r="AC166" s="163"/>
      <c r="AD166" s="163" t="str">
        <f t="shared" si="20"/>
        <v/>
      </c>
      <c r="AE166" s="163"/>
    </row>
    <row r="167" spans="1:31" x14ac:dyDescent="0.35">
      <c r="A167" s="162">
        <v>46146</v>
      </c>
      <c r="B167" s="163" t="s">
        <v>125</v>
      </c>
      <c r="C167" s="163" t="s">
        <v>113</v>
      </c>
      <c r="D167" s="163" t="s">
        <v>392</v>
      </c>
      <c r="E167" s="163" t="s">
        <v>95</v>
      </c>
      <c r="F167" s="163" t="s">
        <v>96</v>
      </c>
      <c r="G167" s="163" t="s">
        <v>11</v>
      </c>
      <c r="H167" s="163" t="s">
        <v>163</v>
      </c>
      <c r="I167" s="163" t="s">
        <v>98</v>
      </c>
      <c r="J167" s="163" t="s">
        <v>147</v>
      </c>
      <c r="K167" s="163" t="s">
        <v>210</v>
      </c>
      <c r="L167" s="163"/>
      <c r="M167" s="163" t="s">
        <v>390</v>
      </c>
      <c r="N167" s="163" t="s">
        <v>156</v>
      </c>
      <c r="O167" s="162"/>
      <c r="P167" s="163"/>
      <c r="Q167" s="163"/>
      <c r="R167" s="163" t="str">
        <f t="shared" ca="1" si="21"/>
        <v/>
      </c>
      <c r="S167" s="163" t="s">
        <v>103</v>
      </c>
      <c r="T167" s="164"/>
      <c r="U167" s="164"/>
      <c r="V167" s="162"/>
      <c r="W167" s="163"/>
      <c r="X167" s="163" t="s">
        <v>62</v>
      </c>
      <c r="Y167" s="163"/>
      <c r="Z167" s="163"/>
      <c r="AA167" s="163"/>
      <c r="AB167" s="195" t="str">
        <f t="shared" si="18"/>
        <v>May-26</v>
      </c>
      <c r="AC167" s="163"/>
      <c r="AD167" s="163" t="str">
        <f t="shared" si="20"/>
        <v/>
      </c>
      <c r="AE167" s="163"/>
    </row>
    <row r="168" spans="1:31" x14ac:dyDescent="0.35">
      <c r="A168" s="162">
        <v>46146</v>
      </c>
      <c r="B168" s="163" t="s">
        <v>125</v>
      </c>
      <c r="C168" s="163" t="s">
        <v>113</v>
      </c>
      <c r="D168" s="163" t="s">
        <v>393</v>
      </c>
      <c r="E168" s="163" t="s">
        <v>95</v>
      </c>
      <c r="F168" s="163" t="s">
        <v>96</v>
      </c>
      <c r="G168" s="163" t="s">
        <v>11</v>
      </c>
      <c r="H168" s="163" t="s">
        <v>163</v>
      </c>
      <c r="I168" s="163" t="s">
        <v>98</v>
      </c>
      <c r="J168" s="163" t="s">
        <v>147</v>
      </c>
      <c r="K168" s="163" t="s">
        <v>210</v>
      </c>
      <c r="L168" s="163"/>
      <c r="M168" s="163" t="s">
        <v>390</v>
      </c>
      <c r="N168" s="163" t="s">
        <v>156</v>
      </c>
      <c r="O168" s="162"/>
      <c r="P168" s="163"/>
      <c r="Q168" s="163"/>
      <c r="R168" s="163" t="str">
        <f t="shared" ca="1" si="21"/>
        <v/>
      </c>
      <c r="S168" s="163" t="s">
        <v>103</v>
      </c>
      <c r="T168" s="164"/>
      <c r="U168" s="164"/>
      <c r="V168" s="162"/>
      <c r="W168" s="163"/>
      <c r="X168" s="163" t="s">
        <v>62</v>
      </c>
      <c r="Y168" s="163"/>
      <c r="Z168" s="163"/>
      <c r="AA168" s="163"/>
      <c r="AB168" s="195" t="str">
        <f t="shared" si="18"/>
        <v>May-26</v>
      </c>
      <c r="AC168" s="163"/>
      <c r="AD168" s="163" t="str">
        <f t="shared" si="20"/>
        <v/>
      </c>
      <c r="AE168" s="163"/>
    </row>
    <row r="169" spans="1:31" x14ac:dyDescent="0.35">
      <c r="A169" s="162">
        <v>46146</v>
      </c>
      <c r="B169" s="163" t="s">
        <v>125</v>
      </c>
      <c r="C169" s="163" t="s">
        <v>113</v>
      </c>
      <c r="D169" s="163" t="s">
        <v>394</v>
      </c>
      <c r="E169" s="163" t="s">
        <v>95</v>
      </c>
      <c r="F169" s="163" t="s">
        <v>96</v>
      </c>
      <c r="G169" s="163" t="s">
        <v>11</v>
      </c>
      <c r="H169" s="163" t="s">
        <v>163</v>
      </c>
      <c r="I169" s="163" t="s">
        <v>98</v>
      </c>
      <c r="J169" s="163" t="s">
        <v>147</v>
      </c>
      <c r="K169" s="163" t="s">
        <v>210</v>
      </c>
      <c r="L169" s="163"/>
      <c r="M169" s="163" t="s">
        <v>390</v>
      </c>
      <c r="N169" s="163" t="s">
        <v>156</v>
      </c>
      <c r="O169" s="162"/>
      <c r="P169" s="163"/>
      <c r="Q169" s="163"/>
      <c r="R169" s="163" t="str">
        <f t="shared" ca="1" si="21"/>
        <v/>
      </c>
      <c r="S169" s="163" t="s">
        <v>103</v>
      </c>
      <c r="T169" s="164"/>
      <c r="U169" s="164"/>
      <c r="V169" s="162"/>
      <c r="W169" s="163"/>
      <c r="X169" s="163" t="s">
        <v>47</v>
      </c>
      <c r="Y169" s="163"/>
      <c r="Z169" s="163"/>
      <c r="AA169" s="163"/>
      <c r="AB169" s="195" t="str">
        <f t="shared" si="18"/>
        <v>May-26</v>
      </c>
      <c r="AC169" s="163"/>
      <c r="AD169" s="163" t="str">
        <f t="shared" si="20"/>
        <v/>
      </c>
      <c r="AE169" s="163"/>
    </row>
    <row r="170" spans="1:31" x14ac:dyDescent="0.35">
      <c r="A170" s="162">
        <v>46146</v>
      </c>
      <c r="B170" s="163" t="s">
        <v>125</v>
      </c>
      <c r="C170" s="163" t="s">
        <v>113</v>
      </c>
      <c r="D170" s="163" t="s">
        <v>395</v>
      </c>
      <c r="E170" s="163" t="s">
        <v>95</v>
      </c>
      <c r="F170" s="163" t="s">
        <v>96</v>
      </c>
      <c r="G170" s="163" t="s">
        <v>11</v>
      </c>
      <c r="H170" s="163" t="s">
        <v>163</v>
      </c>
      <c r="I170" s="163" t="s">
        <v>98</v>
      </c>
      <c r="J170" s="163" t="s">
        <v>147</v>
      </c>
      <c r="K170" s="163" t="s">
        <v>210</v>
      </c>
      <c r="L170" s="163"/>
      <c r="M170" s="163" t="s">
        <v>390</v>
      </c>
      <c r="N170" s="163" t="s">
        <v>156</v>
      </c>
      <c r="O170" s="162"/>
      <c r="P170" s="163"/>
      <c r="Q170" s="163"/>
      <c r="R170" s="163" t="str">
        <f t="shared" ca="1" si="21"/>
        <v/>
      </c>
      <c r="S170" s="163" t="s">
        <v>103</v>
      </c>
      <c r="T170" s="164"/>
      <c r="U170" s="164"/>
      <c r="V170" s="162"/>
      <c r="W170" s="163"/>
      <c r="X170" s="163" t="s">
        <v>47</v>
      </c>
      <c r="Y170" s="163"/>
      <c r="Z170" s="163"/>
      <c r="AA170" s="163"/>
      <c r="AB170" s="195" t="str">
        <f t="shared" si="18"/>
        <v>May-26</v>
      </c>
      <c r="AC170" s="163"/>
      <c r="AD170" s="163" t="str">
        <f t="shared" si="20"/>
        <v/>
      </c>
      <c r="AE170" s="163"/>
    </row>
    <row r="171" spans="1:31" x14ac:dyDescent="0.35">
      <c r="A171" s="162">
        <v>46146</v>
      </c>
      <c r="B171" s="163" t="s">
        <v>125</v>
      </c>
      <c r="C171" s="163" t="s">
        <v>113</v>
      </c>
      <c r="D171" s="163" t="s">
        <v>396</v>
      </c>
      <c r="E171" s="163" t="s">
        <v>95</v>
      </c>
      <c r="F171" s="163" t="s">
        <v>96</v>
      </c>
      <c r="G171" s="163" t="s">
        <v>11</v>
      </c>
      <c r="H171" s="163" t="s">
        <v>163</v>
      </c>
      <c r="I171" s="163" t="s">
        <v>98</v>
      </c>
      <c r="J171" s="163" t="s">
        <v>147</v>
      </c>
      <c r="K171" s="163" t="s">
        <v>210</v>
      </c>
      <c r="L171" s="163"/>
      <c r="M171" s="163" t="s">
        <v>390</v>
      </c>
      <c r="N171" s="163" t="s">
        <v>156</v>
      </c>
      <c r="O171" s="162"/>
      <c r="P171" s="163"/>
      <c r="Q171" s="163"/>
      <c r="R171" s="163" t="str">
        <f t="shared" ca="1" si="21"/>
        <v/>
      </c>
      <c r="S171" s="163" t="s">
        <v>103</v>
      </c>
      <c r="T171" s="164"/>
      <c r="U171" s="164"/>
      <c r="V171" s="162"/>
      <c r="W171" s="163"/>
      <c r="X171" s="163" t="s">
        <v>47</v>
      </c>
      <c r="Y171" s="163"/>
      <c r="Z171" s="163"/>
      <c r="AA171" s="163"/>
      <c r="AB171" s="195" t="str">
        <f t="shared" si="18"/>
        <v>May-26</v>
      </c>
      <c r="AC171" s="163"/>
      <c r="AD171" s="163" t="str">
        <f t="shared" si="20"/>
        <v/>
      </c>
      <c r="AE171" s="163"/>
    </row>
    <row r="172" spans="1:31" x14ac:dyDescent="0.35">
      <c r="A172" s="162">
        <v>46146</v>
      </c>
      <c r="B172" s="163" t="s">
        <v>125</v>
      </c>
      <c r="C172" s="163" t="s">
        <v>113</v>
      </c>
      <c r="D172" s="163" t="s">
        <v>397</v>
      </c>
      <c r="E172" s="163" t="s">
        <v>106</v>
      </c>
      <c r="F172" s="163" t="s">
        <v>96</v>
      </c>
      <c r="G172" s="163" t="s">
        <v>13</v>
      </c>
      <c r="H172" s="163" t="s">
        <v>226</v>
      </c>
      <c r="I172" s="163" t="s">
        <v>121</v>
      </c>
      <c r="J172" s="163" t="s">
        <v>153</v>
      </c>
      <c r="K172" s="163" t="s">
        <v>361</v>
      </c>
      <c r="L172" s="163"/>
      <c r="M172" s="163" t="s">
        <v>398</v>
      </c>
      <c r="N172" s="163" t="s">
        <v>156</v>
      </c>
      <c r="O172" s="162"/>
      <c r="P172" s="163"/>
      <c r="Q172" s="163"/>
      <c r="R172" s="163" t="str">
        <f t="shared" ca="1" si="21"/>
        <v/>
      </c>
      <c r="S172" s="163" t="s">
        <v>103</v>
      </c>
      <c r="T172" s="164"/>
      <c r="U172" s="164"/>
      <c r="V172" s="162"/>
      <c r="W172" s="163"/>
      <c r="X172" s="163" t="s">
        <v>37</v>
      </c>
      <c r="Y172" s="163"/>
      <c r="Z172" s="163"/>
      <c r="AA172" s="163"/>
      <c r="AB172" s="195" t="str">
        <f t="shared" si="18"/>
        <v>May-26</v>
      </c>
      <c r="AC172" s="163"/>
      <c r="AD172" s="163" t="str">
        <f t="shared" si="20"/>
        <v/>
      </c>
      <c r="AE172" s="163"/>
    </row>
    <row r="173" spans="1:31" x14ac:dyDescent="0.35">
      <c r="A173" s="162">
        <v>46146</v>
      </c>
      <c r="B173" s="163" t="s">
        <v>125</v>
      </c>
      <c r="C173" s="163" t="s">
        <v>113</v>
      </c>
      <c r="D173" s="163" t="s">
        <v>399</v>
      </c>
      <c r="E173" s="163" t="s">
        <v>106</v>
      </c>
      <c r="F173" s="163" t="s">
        <v>96</v>
      </c>
      <c r="G173" s="163" t="s">
        <v>13</v>
      </c>
      <c r="H173" s="163" t="s">
        <v>226</v>
      </c>
      <c r="I173" s="163" t="s">
        <v>121</v>
      </c>
      <c r="J173" s="163" t="s">
        <v>153</v>
      </c>
      <c r="K173" s="163" t="s">
        <v>361</v>
      </c>
      <c r="L173" s="163"/>
      <c r="M173" s="163" t="s">
        <v>400</v>
      </c>
      <c r="N173" s="163" t="s">
        <v>156</v>
      </c>
      <c r="O173" s="162"/>
      <c r="P173" s="163"/>
      <c r="Q173" s="163"/>
      <c r="R173" s="163" t="str">
        <f t="shared" ca="1" si="21"/>
        <v/>
      </c>
      <c r="S173" s="163" t="s">
        <v>103</v>
      </c>
      <c r="T173" s="164"/>
      <c r="U173" s="164"/>
      <c r="V173" s="162"/>
      <c r="W173" s="163"/>
      <c r="X173" s="163" t="s">
        <v>37</v>
      </c>
      <c r="Y173" s="163"/>
      <c r="Z173" s="163"/>
      <c r="AA173" s="163"/>
      <c r="AB173" s="195" t="str">
        <f t="shared" si="18"/>
        <v>May-26</v>
      </c>
      <c r="AC173" s="163"/>
      <c r="AD173" s="163" t="str">
        <f t="shared" si="20"/>
        <v/>
      </c>
      <c r="AE173" s="163"/>
    </row>
    <row r="174" spans="1:31" x14ac:dyDescent="0.35">
      <c r="A174" s="162">
        <v>46146</v>
      </c>
      <c r="B174" s="163" t="s">
        <v>125</v>
      </c>
      <c r="C174" s="163" t="s">
        <v>113</v>
      </c>
      <c r="D174" s="163" t="s">
        <v>255</v>
      </c>
      <c r="E174" s="163" t="s">
        <v>106</v>
      </c>
      <c r="F174" s="163" t="s">
        <v>135</v>
      </c>
      <c r="G174" s="163"/>
      <c r="H174" s="163" t="s">
        <v>97</v>
      </c>
      <c r="I174" s="163" t="s">
        <v>98</v>
      </c>
      <c r="J174" s="163" t="s">
        <v>166</v>
      </c>
      <c r="K174" s="163" t="s">
        <v>256</v>
      </c>
      <c r="L174" s="163"/>
      <c r="M174" s="163" t="s">
        <v>390</v>
      </c>
      <c r="N174" s="163" t="s">
        <v>156</v>
      </c>
      <c r="O174" s="162"/>
      <c r="P174" s="163"/>
      <c r="Q174" s="163"/>
      <c r="R174" s="163" t="str">
        <f t="shared" ca="1" si="21"/>
        <v/>
      </c>
      <c r="S174" s="163" t="s">
        <v>103</v>
      </c>
      <c r="T174" s="164"/>
      <c r="U174" s="164"/>
      <c r="V174" s="163"/>
      <c r="W174" s="163"/>
      <c r="X174" s="163" t="s">
        <v>62</v>
      </c>
      <c r="Y174" s="163"/>
      <c r="Z174" s="163"/>
      <c r="AA174" s="163"/>
      <c r="AB174" s="195" t="str">
        <f t="shared" si="18"/>
        <v>May-26</v>
      </c>
      <c r="AC174" s="163"/>
      <c r="AD174" s="163" t="str">
        <f t="shared" si="20"/>
        <v/>
      </c>
      <c r="AE174" s="163"/>
    </row>
    <row r="175" spans="1:31" x14ac:dyDescent="0.35">
      <c r="A175" s="162">
        <v>46146</v>
      </c>
      <c r="B175" s="163" t="s">
        <v>125</v>
      </c>
      <c r="C175" s="163" t="s">
        <v>113</v>
      </c>
      <c r="D175" s="163" t="s">
        <v>175</v>
      </c>
      <c r="E175" s="163" t="s">
        <v>106</v>
      </c>
      <c r="F175" s="163" t="s">
        <v>135</v>
      </c>
      <c r="G175" s="163"/>
      <c r="H175" s="163" t="s">
        <v>97</v>
      </c>
      <c r="I175" s="163" t="s">
        <v>98</v>
      </c>
      <c r="J175" s="163" t="s">
        <v>166</v>
      </c>
      <c r="K175" s="163" t="s">
        <v>176</v>
      </c>
      <c r="L175" s="163"/>
      <c r="M175" s="163" t="s">
        <v>390</v>
      </c>
      <c r="N175" s="163" t="s">
        <v>156</v>
      </c>
      <c r="O175" s="162"/>
      <c r="P175" s="163"/>
      <c r="Q175" s="163"/>
      <c r="R175" s="163" t="str">
        <f t="shared" ca="1" si="21"/>
        <v/>
      </c>
      <c r="S175" s="163" t="s">
        <v>103</v>
      </c>
      <c r="T175" s="164"/>
      <c r="U175" s="164"/>
      <c r="V175" s="163"/>
      <c r="W175" s="163"/>
      <c r="X175" s="163" t="s">
        <v>62</v>
      </c>
      <c r="Y175" s="163"/>
      <c r="Z175" s="163"/>
      <c r="AA175" s="163"/>
      <c r="AB175" s="195" t="str">
        <f t="shared" si="18"/>
        <v>May-26</v>
      </c>
      <c r="AC175" s="163"/>
      <c r="AD175" s="163" t="str">
        <f t="shared" si="20"/>
        <v/>
      </c>
      <c r="AE175" s="163"/>
    </row>
    <row r="176" spans="1:31" x14ac:dyDescent="0.35">
      <c r="A176" s="162">
        <v>46146</v>
      </c>
      <c r="B176" s="163" t="s">
        <v>125</v>
      </c>
      <c r="C176" s="163" t="s">
        <v>113</v>
      </c>
      <c r="D176" s="163" t="s">
        <v>162</v>
      </c>
      <c r="E176" s="163" t="s">
        <v>106</v>
      </c>
      <c r="F176" s="163" t="s">
        <v>135</v>
      </c>
      <c r="G176" s="163"/>
      <c r="H176" s="163" t="s">
        <v>97</v>
      </c>
      <c r="I176" s="163" t="s">
        <v>98</v>
      </c>
      <c r="J176" s="163" t="s">
        <v>166</v>
      </c>
      <c r="K176" s="163" t="s">
        <v>164</v>
      </c>
      <c r="L176" s="163"/>
      <c r="M176" s="163" t="s">
        <v>390</v>
      </c>
      <c r="N176" s="163" t="s">
        <v>156</v>
      </c>
      <c r="O176" s="162"/>
      <c r="P176" s="163"/>
      <c r="Q176" s="163"/>
      <c r="R176" s="163" t="str">
        <f t="shared" ca="1" si="21"/>
        <v/>
      </c>
      <c r="S176" s="163" t="s">
        <v>103</v>
      </c>
      <c r="T176" s="164"/>
      <c r="U176" s="164"/>
      <c r="V176" s="162"/>
      <c r="W176" s="163"/>
      <c r="X176" s="163" t="s">
        <v>62</v>
      </c>
      <c r="Y176" s="163"/>
      <c r="Z176" s="163"/>
      <c r="AA176" s="163"/>
      <c r="AB176" s="195" t="str">
        <f t="shared" si="18"/>
        <v>May-26</v>
      </c>
      <c r="AC176" s="163"/>
      <c r="AD176" s="163" t="str">
        <f t="shared" si="20"/>
        <v/>
      </c>
      <c r="AE176" s="163"/>
    </row>
    <row r="177" spans="1:31" x14ac:dyDescent="0.35">
      <c r="A177" s="162">
        <v>46146</v>
      </c>
      <c r="B177" s="163" t="s">
        <v>125</v>
      </c>
      <c r="C177" s="163" t="s">
        <v>113</v>
      </c>
      <c r="D177" s="163" t="s">
        <v>223</v>
      </c>
      <c r="E177" s="163" t="s">
        <v>106</v>
      </c>
      <c r="F177" s="163" t="s">
        <v>135</v>
      </c>
      <c r="G177" s="163"/>
      <c r="H177" s="163" t="s">
        <v>97</v>
      </c>
      <c r="I177" s="163" t="s">
        <v>98</v>
      </c>
      <c r="J177" s="163" t="s">
        <v>166</v>
      </c>
      <c r="K177" s="163" t="s">
        <v>224</v>
      </c>
      <c r="L177" s="163"/>
      <c r="M177" s="163" t="s">
        <v>390</v>
      </c>
      <c r="N177" s="163" t="s">
        <v>156</v>
      </c>
      <c r="O177" s="162"/>
      <c r="P177" s="163"/>
      <c r="Q177" s="163"/>
      <c r="R177" s="163" t="str">
        <f t="shared" ca="1" si="21"/>
        <v/>
      </c>
      <c r="S177" s="163" t="s">
        <v>103</v>
      </c>
      <c r="T177" s="164"/>
      <c r="U177" s="164"/>
      <c r="V177" s="162"/>
      <c r="W177" s="163"/>
      <c r="X177" s="163" t="s">
        <v>62</v>
      </c>
      <c r="Y177" s="163"/>
      <c r="Z177" s="163"/>
      <c r="AA177" s="163"/>
      <c r="AB177" s="195" t="str">
        <f t="shared" si="18"/>
        <v>May-26</v>
      </c>
      <c r="AC177" s="163"/>
      <c r="AD177" s="163" t="str">
        <f t="shared" si="20"/>
        <v/>
      </c>
      <c r="AE177" s="163"/>
    </row>
    <row r="178" spans="1:31" x14ac:dyDescent="0.35">
      <c r="A178" s="162">
        <v>46147</v>
      </c>
      <c r="B178" s="163" t="s">
        <v>370</v>
      </c>
      <c r="C178" s="163" t="s">
        <v>93</v>
      </c>
      <c r="D178" s="163" t="s">
        <v>401</v>
      </c>
      <c r="E178" s="163" t="s">
        <v>95</v>
      </c>
      <c r="F178" s="163" t="s">
        <v>226</v>
      </c>
      <c r="G178" s="163"/>
      <c r="H178" s="163" t="s">
        <v>226</v>
      </c>
      <c r="I178" s="163" t="s">
        <v>121</v>
      </c>
      <c r="J178" s="163" t="s">
        <v>153</v>
      </c>
      <c r="K178" s="163" t="s">
        <v>402</v>
      </c>
      <c r="L178" s="163"/>
      <c r="M178" s="163" t="s">
        <v>403</v>
      </c>
      <c r="N178" s="163" t="s">
        <v>102</v>
      </c>
      <c r="O178" s="162"/>
      <c r="P178" s="163"/>
      <c r="Q178" s="163" t="str">
        <f t="shared" ref="Q178:Q209" ca="1" si="22">IF(N178="Closed(C4)","",IF(N178="","",TODAY()-A178))</f>
        <v/>
      </c>
      <c r="R178" s="163" t="str">
        <f t="shared" ca="1" si="21"/>
        <v/>
      </c>
      <c r="S178" s="163" t="s">
        <v>103</v>
      </c>
      <c r="T178" s="164">
        <v>100000</v>
      </c>
      <c r="U178" s="164">
        <v>0</v>
      </c>
      <c r="V178" s="163"/>
      <c r="W178" s="163"/>
      <c r="X178" s="163"/>
      <c r="Y178" s="163"/>
      <c r="Z178" s="163"/>
      <c r="AA178" s="163"/>
      <c r="AB178" s="195" t="str">
        <f t="shared" si="18"/>
        <v>May-26</v>
      </c>
      <c r="AC178" s="163"/>
      <c r="AD178" s="163" t="str">
        <f t="shared" si="20"/>
        <v/>
      </c>
      <c r="AE178" s="163"/>
    </row>
    <row r="179" spans="1:31" x14ac:dyDescent="0.35">
      <c r="A179" s="162">
        <v>46147</v>
      </c>
      <c r="B179" s="163" t="s">
        <v>370</v>
      </c>
      <c r="C179" s="163" t="s">
        <v>93</v>
      </c>
      <c r="D179" s="163" t="s">
        <v>404</v>
      </c>
      <c r="E179" s="163" t="s">
        <v>106</v>
      </c>
      <c r="F179" s="163" t="s">
        <v>226</v>
      </c>
      <c r="G179" s="163"/>
      <c r="H179" s="163" t="s">
        <v>226</v>
      </c>
      <c r="I179" s="163" t="s">
        <v>121</v>
      </c>
      <c r="J179" s="163" t="s">
        <v>153</v>
      </c>
      <c r="K179" s="163" t="s">
        <v>405</v>
      </c>
      <c r="L179" s="163"/>
      <c r="M179" s="163" t="s">
        <v>406</v>
      </c>
      <c r="N179" s="163" t="s">
        <v>102</v>
      </c>
      <c r="O179" s="162"/>
      <c r="P179" s="163"/>
      <c r="Q179" s="163" t="str">
        <f t="shared" ca="1" si="22"/>
        <v/>
      </c>
      <c r="R179" s="163" t="str">
        <f ca="1">IF(OR(N179="*Closed*",N179="*Cancelled*"),"",IF(AND(O179&lt;&gt;"",O179&lt;TODAY()),"Yes",""))</f>
        <v/>
      </c>
      <c r="S179" s="163" t="s">
        <v>129</v>
      </c>
      <c r="T179" s="164">
        <v>50000</v>
      </c>
      <c r="U179" s="164"/>
      <c r="V179" s="163"/>
      <c r="W179" s="163"/>
      <c r="X179" s="163"/>
      <c r="Y179" s="163"/>
      <c r="Z179" s="163"/>
      <c r="AA179" s="163"/>
      <c r="AB179" s="195" t="str">
        <f t="shared" si="18"/>
        <v>May-26</v>
      </c>
      <c r="AC179" s="163"/>
      <c r="AD179" s="163" t="str">
        <f t="shared" si="20"/>
        <v/>
      </c>
      <c r="AE179" s="163"/>
    </row>
    <row r="180" spans="1:31" x14ac:dyDescent="0.35">
      <c r="A180" s="162">
        <v>46147</v>
      </c>
      <c r="B180" s="163" t="s">
        <v>370</v>
      </c>
      <c r="C180" s="163" t="s">
        <v>93</v>
      </c>
      <c r="D180" s="163" t="s">
        <v>407</v>
      </c>
      <c r="E180" s="163" t="s">
        <v>106</v>
      </c>
      <c r="F180" s="163" t="s">
        <v>115</v>
      </c>
      <c r="G180" s="163"/>
      <c r="H180" s="163" t="s">
        <v>115</v>
      </c>
      <c r="I180" s="163" t="s">
        <v>121</v>
      </c>
      <c r="J180" s="163" t="s">
        <v>262</v>
      </c>
      <c r="K180" s="163" t="s">
        <v>256</v>
      </c>
      <c r="L180" s="163"/>
      <c r="M180" s="168" t="s">
        <v>408</v>
      </c>
      <c r="N180" s="163" t="s">
        <v>181</v>
      </c>
      <c r="O180" s="162"/>
      <c r="P180" s="163"/>
      <c r="Q180" s="163">
        <f t="shared" ca="1" si="22"/>
        <v>178</v>
      </c>
      <c r="R180" s="163" t="str">
        <f t="shared" ref="R180:R211" ca="1" si="23">IF(OR(N180="Closed( C4 )",N180="Cancelled"),"",IF(AND(O180&lt;&gt;"",O180&lt;TODAY()),"Yes",""))</f>
        <v/>
      </c>
      <c r="S180" s="163" t="s">
        <v>103</v>
      </c>
      <c r="T180" s="164">
        <v>10000</v>
      </c>
      <c r="U180" s="164"/>
      <c r="V180" s="163"/>
      <c r="W180" s="163"/>
      <c r="X180" s="163"/>
      <c r="Y180" s="163"/>
      <c r="Z180" s="163"/>
      <c r="AA180" s="163"/>
      <c r="AB180" s="195" t="str">
        <f t="shared" si="18"/>
        <v>May-26</v>
      </c>
      <c r="AC180" s="163"/>
      <c r="AD180" s="163" t="str">
        <f t="shared" si="20"/>
        <v/>
      </c>
      <c r="AE180" s="163"/>
    </row>
    <row r="181" spans="1:31" x14ac:dyDescent="0.35">
      <c r="A181" s="162">
        <v>46147</v>
      </c>
      <c r="B181" s="163" t="s">
        <v>92</v>
      </c>
      <c r="C181" s="163" t="s">
        <v>93</v>
      </c>
      <c r="D181" s="163" t="s">
        <v>409</v>
      </c>
      <c r="E181" s="163" t="s">
        <v>106</v>
      </c>
      <c r="F181" s="163" t="s">
        <v>115</v>
      </c>
      <c r="G181" s="163"/>
      <c r="H181" s="163" t="s">
        <v>115</v>
      </c>
      <c r="I181" s="163" t="s">
        <v>121</v>
      </c>
      <c r="J181" s="163" t="s">
        <v>197</v>
      </c>
      <c r="K181" s="163" t="s">
        <v>410</v>
      </c>
      <c r="L181" s="163"/>
      <c r="M181" s="163" t="s">
        <v>411</v>
      </c>
      <c r="N181" s="163" t="s">
        <v>181</v>
      </c>
      <c r="O181" s="162"/>
      <c r="P181" s="163"/>
      <c r="Q181" s="163">
        <f t="shared" ca="1" si="22"/>
        <v>178</v>
      </c>
      <c r="R181" s="163" t="str">
        <f t="shared" ca="1" si="23"/>
        <v/>
      </c>
      <c r="S181" s="163" t="s">
        <v>103</v>
      </c>
      <c r="T181" s="164">
        <v>0</v>
      </c>
      <c r="U181" s="164">
        <v>0</v>
      </c>
      <c r="V181" s="163"/>
      <c r="W181" s="163"/>
      <c r="X181" s="163"/>
      <c r="Y181" s="163"/>
      <c r="Z181" s="163"/>
      <c r="AA181" s="163"/>
      <c r="AB181" s="195" t="str">
        <f t="shared" si="18"/>
        <v>May-26</v>
      </c>
      <c r="AC181" s="163"/>
      <c r="AD181" s="163" t="str">
        <f t="shared" si="20"/>
        <v/>
      </c>
      <c r="AE181" s="163"/>
    </row>
    <row r="182" spans="1:31" x14ac:dyDescent="0.35">
      <c r="A182" s="162">
        <v>46147</v>
      </c>
      <c r="B182" s="163" t="s">
        <v>125</v>
      </c>
      <c r="C182" s="163" t="s">
        <v>113</v>
      </c>
      <c r="D182" s="163" t="s">
        <v>412</v>
      </c>
      <c r="E182" s="163" t="s">
        <v>106</v>
      </c>
      <c r="F182" s="163" t="s">
        <v>135</v>
      </c>
      <c r="G182" s="163"/>
      <c r="H182" s="163" t="s">
        <v>115</v>
      </c>
      <c r="I182" s="163" t="s">
        <v>121</v>
      </c>
      <c r="J182" s="163" t="s">
        <v>147</v>
      </c>
      <c r="K182" s="163" t="s">
        <v>413</v>
      </c>
      <c r="L182" s="163"/>
      <c r="M182" s="163" t="s">
        <v>414</v>
      </c>
      <c r="N182" s="163" t="s">
        <v>130</v>
      </c>
      <c r="O182" s="162">
        <v>46290</v>
      </c>
      <c r="P182" s="163" t="s">
        <v>95</v>
      </c>
      <c r="Q182" s="163">
        <f t="shared" ca="1" si="22"/>
        <v>178</v>
      </c>
      <c r="R182" s="163" t="str">
        <f t="shared" ca="1" si="23"/>
        <v>Yes</v>
      </c>
      <c r="S182" s="163" t="s">
        <v>129</v>
      </c>
      <c r="T182" s="164"/>
      <c r="U182" s="164"/>
      <c r="V182" s="163"/>
      <c r="W182" s="163"/>
      <c r="X182" s="163"/>
      <c r="Y182" s="163"/>
      <c r="Z182" s="163"/>
      <c r="AA182" s="163"/>
      <c r="AB182" s="195" t="str">
        <f t="shared" si="18"/>
        <v>May-26</v>
      </c>
      <c r="AC182" s="163"/>
      <c r="AD182" s="163" t="str">
        <f t="shared" si="20"/>
        <v/>
      </c>
      <c r="AE182" s="163"/>
    </row>
    <row r="183" spans="1:31" x14ac:dyDescent="0.35">
      <c r="A183" s="162">
        <v>46147</v>
      </c>
      <c r="B183" s="163" t="s">
        <v>125</v>
      </c>
      <c r="C183" s="163" t="s">
        <v>113</v>
      </c>
      <c r="D183" s="163" t="s">
        <v>415</v>
      </c>
      <c r="E183" s="163" t="s">
        <v>106</v>
      </c>
      <c r="F183" s="163" t="s">
        <v>135</v>
      </c>
      <c r="G183" s="163"/>
      <c r="H183" s="163" t="s">
        <v>115</v>
      </c>
      <c r="I183" s="163" t="s">
        <v>121</v>
      </c>
      <c r="J183" s="163" t="s">
        <v>416</v>
      </c>
      <c r="K183" s="163" t="s">
        <v>417</v>
      </c>
      <c r="L183" s="163"/>
      <c r="M183" s="163" t="s">
        <v>418</v>
      </c>
      <c r="N183" s="163" t="s">
        <v>130</v>
      </c>
      <c r="O183" s="162">
        <v>46259</v>
      </c>
      <c r="P183" s="163" t="s">
        <v>95</v>
      </c>
      <c r="Q183" s="163">
        <f t="shared" ca="1" si="22"/>
        <v>178</v>
      </c>
      <c r="R183" s="163" t="str">
        <f t="shared" ca="1" si="23"/>
        <v>Yes</v>
      </c>
      <c r="S183" s="163" t="s">
        <v>129</v>
      </c>
      <c r="T183" s="164"/>
      <c r="U183" s="164"/>
      <c r="V183" s="163"/>
      <c r="W183" s="163"/>
      <c r="X183" s="163"/>
      <c r="Y183" s="163"/>
      <c r="Z183" s="163"/>
      <c r="AA183" s="163"/>
      <c r="AB183" s="195" t="str">
        <f t="shared" si="18"/>
        <v>May-26</v>
      </c>
      <c r="AC183" s="163"/>
      <c r="AD183" s="163" t="str">
        <f t="shared" si="20"/>
        <v/>
      </c>
      <c r="AE183" s="163"/>
    </row>
    <row r="184" spans="1:31" x14ac:dyDescent="0.35">
      <c r="A184" s="162">
        <v>46147</v>
      </c>
      <c r="B184" s="163" t="s">
        <v>125</v>
      </c>
      <c r="C184" s="163" t="s">
        <v>113</v>
      </c>
      <c r="D184" s="163" t="s">
        <v>253</v>
      </c>
      <c r="E184" s="163" t="s">
        <v>95</v>
      </c>
      <c r="F184" s="163" t="s">
        <v>96</v>
      </c>
      <c r="G184" s="163" t="s">
        <v>10</v>
      </c>
      <c r="H184" s="163" t="s">
        <v>115</v>
      </c>
      <c r="I184" s="163" t="s">
        <v>98</v>
      </c>
      <c r="J184" s="163" t="s">
        <v>147</v>
      </c>
      <c r="K184" s="163" t="s">
        <v>229</v>
      </c>
      <c r="L184" s="163"/>
      <c r="M184" s="163" t="s">
        <v>419</v>
      </c>
      <c r="N184" s="163" t="s">
        <v>130</v>
      </c>
      <c r="O184" s="162">
        <v>46290</v>
      </c>
      <c r="P184" s="163" t="s">
        <v>106</v>
      </c>
      <c r="Q184" s="163">
        <f t="shared" ca="1" si="22"/>
        <v>178</v>
      </c>
      <c r="R184" s="163" t="str">
        <f t="shared" ca="1" si="23"/>
        <v>Yes</v>
      </c>
      <c r="S184" s="163" t="s">
        <v>103</v>
      </c>
      <c r="T184" s="164"/>
      <c r="U184" s="164"/>
      <c r="V184" s="163"/>
      <c r="W184" s="163"/>
      <c r="X184" s="163"/>
      <c r="Y184" s="163"/>
      <c r="Z184" s="163"/>
      <c r="AA184" s="163"/>
      <c r="AB184" s="195" t="str">
        <f t="shared" si="18"/>
        <v>May-26</v>
      </c>
      <c r="AC184" s="163"/>
      <c r="AD184" s="163" t="str">
        <f t="shared" si="20"/>
        <v/>
      </c>
      <c r="AE184" s="163"/>
    </row>
    <row r="185" spans="1:31" x14ac:dyDescent="0.35">
      <c r="A185" s="162">
        <v>46147</v>
      </c>
      <c r="B185" s="163" t="s">
        <v>92</v>
      </c>
      <c r="C185" s="163" t="s">
        <v>93</v>
      </c>
      <c r="D185" s="163" t="s">
        <v>182</v>
      </c>
      <c r="E185" s="163" t="s">
        <v>95</v>
      </c>
      <c r="F185" s="163" t="s">
        <v>96</v>
      </c>
      <c r="G185" s="163" t="s">
        <v>15</v>
      </c>
      <c r="H185" s="163" t="s">
        <v>163</v>
      </c>
      <c r="I185" s="163" t="s">
        <v>98</v>
      </c>
      <c r="J185" s="163" t="s">
        <v>99</v>
      </c>
      <c r="K185" s="163" t="s">
        <v>384</v>
      </c>
      <c r="L185" s="163"/>
      <c r="M185" s="163" t="s">
        <v>420</v>
      </c>
      <c r="N185" s="163" t="s">
        <v>102</v>
      </c>
      <c r="O185" s="162"/>
      <c r="P185" s="163"/>
      <c r="Q185" s="163" t="str">
        <f t="shared" ca="1" si="22"/>
        <v/>
      </c>
      <c r="R185" s="163" t="str">
        <f t="shared" ca="1" si="23"/>
        <v/>
      </c>
      <c r="S185" s="163" t="s">
        <v>103</v>
      </c>
      <c r="T185" s="164">
        <v>39910</v>
      </c>
      <c r="U185" s="164">
        <v>39910</v>
      </c>
      <c r="V185" s="162">
        <v>46147</v>
      </c>
      <c r="W185" s="163" t="s">
        <v>421</v>
      </c>
      <c r="X185" s="163" t="s">
        <v>30</v>
      </c>
      <c r="Y185" s="163" t="s">
        <v>85</v>
      </c>
      <c r="Z185" s="163"/>
      <c r="AA185" s="162">
        <v>46172</v>
      </c>
      <c r="AB185" s="195" t="str">
        <f t="shared" si="18"/>
        <v>May-26</v>
      </c>
      <c r="AC185" s="163"/>
      <c r="AD185" s="163" t="str">
        <f t="shared" si="20"/>
        <v/>
      </c>
      <c r="AE185" s="163"/>
    </row>
    <row r="186" spans="1:31" x14ac:dyDescent="0.35">
      <c r="A186" s="162">
        <v>46147</v>
      </c>
      <c r="B186" s="163" t="s">
        <v>92</v>
      </c>
      <c r="C186" s="163" t="s">
        <v>93</v>
      </c>
      <c r="D186" s="163" t="s">
        <v>21</v>
      </c>
      <c r="E186" s="163" t="s">
        <v>106</v>
      </c>
      <c r="F186" s="163" t="s">
        <v>422</v>
      </c>
      <c r="G186" s="163"/>
      <c r="H186" s="163" t="s">
        <v>115</v>
      </c>
      <c r="I186" s="163" t="s">
        <v>98</v>
      </c>
      <c r="J186" s="163" t="s">
        <v>197</v>
      </c>
      <c r="K186" s="163" t="s">
        <v>423</v>
      </c>
      <c r="L186" s="163"/>
      <c r="M186" s="163" t="s">
        <v>424</v>
      </c>
      <c r="N186" s="163" t="s">
        <v>181</v>
      </c>
      <c r="O186" s="162"/>
      <c r="P186" s="163"/>
      <c r="Q186" s="163">
        <f t="shared" ca="1" si="22"/>
        <v>178</v>
      </c>
      <c r="R186" s="163" t="str">
        <f t="shared" ca="1" si="23"/>
        <v/>
      </c>
      <c r="S186" s="163" t="s">
        <v>103</v>
      </c>
      <c r="T186" s="164">
        <v>0</v>
      </c>
      <c r="U186" s="164"/>
      <c r="V186" s="163"/>
      <c r="W186" s="163"/>
      <c r="X186" s="163"/>
      <c r="Y186" s="163"/>
      <c r="Z186" s="163"/>
      <c r="AA186" s="163"/>
      <c r="AB186" s="195" t="str">
        <f t="shared" si="18"/>
        <v>May-26</v>
      </c>
      <c r="AC186" s="163"/>
      <c r="AD186" s="163" t="str">
        <f t="shared" si="20"/>
        <v/>
      </c>
      <c r="AE186" s="163"/>
    </row>
    <row r="187" spans="1:31" x14ac:dyDescent="0.35">
      <c r="A187" s="162">
        <v>46148</v>
      </c>
      <c r="B187" s="163" t="s">
        <v>370</v>
      </c>
      <c r="C187" s="163" t="s">
        <v>93</v>
      </c>
      <c r="D187" s="163" t="s">
        <v>425</v>
      </c>
      <c r="E187" s="163" t="s">
        <v>106</v>
      </c>
      <c r="F187" s="163" t="s">
        <v>226</v>
      </c>
      <c r="G187" s="163"/>
      <c r="H187" s="163" t="s">
        <v>163</v>
      </c>
      <c r="I187" s="163" t="s">
        <v>121</v>
      </c>
      <c r="J187" s="163" t="s">
        <v>356</v>
      </c>
      <c r="K187" s="163" t="s">
        <v>426</v>
      </c>
      <c r="L187" s="163"/>
      <c r="M187" s="163" t="s">
        <v>427</v>
      </c>
      <c r="N187" s="163" t="s">
        <v>181</v>
      </c>
      <c r="O187" s="162"/>
      <c r="P187" s="163"/>
      <c r="Q187" s="163">
        <f t="shared" ca="1" si="22"/>
        <v>177</v>
      </c>
      <c r="R187" s="163" t="str">
        <f t="shared" ca="1" si="23"/>
        <v/>
      </c>
      <c r="S187" s="163" t="s">
        <v>103</v>
      </c>
      <c r="T187" s="164">
        <v>50000</v>
      </c>
      <c r="U187" s="164"/>
      <c r="V187" s="163"/>
      <c r="W187" s="163"/>
      <c r="X187" s="163"/>
      <c r="Y187" s="163"/>
      <c r="Z187" s="163"/>
      <c r="AA187" s="163"/>
      <c r="AB187" s="195" t="str">
        <f t="shared" si="18"/>
        <v>May-26</v>
      </c>
      <c r="AC187" s="163"/>
      <c r="AD187" s="163" t="str">
        <f t="shared" si="20"/>
        <v/>
      </c>
      <c r="AE187" s="163"/>
    </row>
    <row r="188" spans="1:31" x14ac:dyDescent="0.35">
      <c r="A188" s="162">
        <v>46148</v>
      </c>
      <c r="B188" s="163" t="s">
        <v>92</v>
      </c>
      <c r="C188" s="163" t="s">
        <v>93</v>
      </c>
      <c r="D188" s="163" t="s">
        <v>428</v>
      </c>
      <c r="E188" s="163" t="s">
        <v>106</v>
      </c>
      <c r="F188" s="163" t="s">
        <v>96</v>
      </c>
      <c r="G188" s="163" t="s">
        <v>12</v>
      </c>
      <c r="H188" s="163" t="s">
        <v>115</v>
      </c>
      <c r="I188" s="163" t="s">
        <v>121</v>
      </c>
      <c r="J188" s="163" t="s">
        <v>99</v>
      </c>
      <c r="K188" s="163" t="s">
        <v>429</v>
      </c>
      <c r="L188" s="163"/>
      <c r="M188" s="163" t="s">
        <v>430</v>
      </c>
      <c r="N188" s="163" t="s">
        <v>181</v>
      </c>
      <c r="O188" s="162"/>
      <c r="P188" s="163"/>
      <c r="Q188" s="163">
        <f t="shared" ca="1" si="22"/>
        <v>177</v>
      </c>
      <c r="R188" s="163" t="str">
        <f t="shared" ca="1" si="23"/>
        <v/>
      </c>
      <c r="S188" s="163" t="s">
        <v>103</v>
      </c>
      <c r="T188" s="164">
        <v>0</v>
      </c>
      <c r="U188" s="164">
        <v>0</v>
      </c>
      <c r="V188" s="163"/>
      <c r="W188" s="163"/>
      <c r="X188" s="163"/>
      <c r="Y188" s="163"/>
      <c r="Z188" s="163"/>
      <c r="AA188" s="163"/>
      <c r="AB188" s="195" t="str">
        <f t="shared" si="18"/>
        <v>May-26</v>
      </c>
      <c r="AC188" s="163"/>
      <c r="AD188" s="163" t="str">
        <f t="shared" si="20"/>
        <v/>
      </c>
      <c r="AE188" s="163"/>
    </row>
    <row r="189" spans="1:31" x14ac:dyDescent="0.35">
      <c r="A189" s="162">
        <v>46148</v>
      </c>
      <c r="B189" s="163" t="s">
        <v>370</v>
      </c>
      <c r="C189" s="163" t="s">
        <v>93</v>
      </c>
      <c r="D189" s="163" t="s">
        <v>431</v>
      </c>
      <c r="E189" s="163" t="s">
        <v>106</v>
      </c>
      <c r="F189" s="163" t="s">
        <v>135</v>
      </c>
      <c r="G189" s="163"/>
      <c r="H189" s="163" t="s">
        <v>115</v>
      </c>
      <c r="I189" s="163" t="s">
        <v>121</v>
      </c>
      <c r="J189" s="163" t="s">
        <v>432</v>
      </c>
      <c r="K189" s="163" t="s">
        <v>433</v>
      </c>
      <c r="L189" s="163"/>
      <c r="M189" s="163" t="s">
        <v>434</v>
      </c>
      <c r="N189" s="163" t="s">
        <v>181</v>
      </c>
      <c r="O189" s="162">
        <v>46272</v>
      </c>
      <c r="P189" s="163" t="s">
        <v>95</v>
      </c>
      <c r="Q189" s="163">
        <f t="shared" ca="1" si="22"/>
        <v>177</v>
      </c>
      <c r="R189" s="163" t="str">
        <f t="shared" ca="1" si="23"/>
        <v/>
      </c>
      <c r="S189" s="163" t="s">
        <v>129</v>
      </c>
      <c r="T189" s="164">
        <v>50000</v>
      </c>
      <c r="U189" s="164"/>
      <c r="V189" s="163"/>
      <c r="W189" s="163"/>
      <c r="X189" s="163"/>
      <c r="Y189" s="163"/>
      <c r="Z189" s="163"/>
      <c r="AA189" s="163"/>
      <c r="AB189" s="195" t="str">
        <f t="shared" si="18"/>
        <v>May-26</v>
      </c>
      <c r="AC189" s="163"/>
      <c r="AD189" s="163" t="str">
        <f t="shared" si="20"/>
        <v/>
      </c>
      <c r="AE189" s="163"/>
    </row>
    <row r="190" spans="1:31" x14ac:dyDescent="0.35">
      <c r="A190" s="162">
        <v>46148</v>
      </c>
      <c r="B190" s="163" t="s">
        <v>92</v>
      </c>
      <c r="C190" s="163" t="s">
        <v>93</v>
      </c>
      <c r="D190" s="163" t="s">
        <v>435</v>
      </c>
      <c r="E190" s="163" t="s">
        <v>95</v>
      </c>
      <c r="F190" s="163" t="s">
        <v>115</v>
      </c>
      <c r="G190" s="163"/>
      <c r="H190" s="163" t="s">
        <v>115</v>
      </c>
      <c r="I190" s="163" t="s">
        <v>121</v>
      </c>
      <c r="J190" s="163" t="s">
        <v>262</v>
      </c>
      <c r="K190" s="163" t="s">
        <v>435</v>
      </c>
      <c r="L190" s="163"/>
      <c r="M190" s="163" t="s">
        <v>436</v>
      </c>
      <c r="N190" s="163" t="s">
        <v>181</v>
      </c>
      <c r="O190" s="162"/>
      <c r="P190" s="163"/>
      <c r="Q190" s="163">
        <f t="shared" ca="1" si="22"/>
        <v>177</v>
      </c>
      <c r="R190" s="163" t="str">
        <f t="shared" ca="1" si="23"/>
        <v/>
      </c>
      <c r="S190" s="163" t="s">
        <v>129</v>
      </c>
      <c r="T190" s="164">
        <v>0</v>
      </c>
      <c r="U190" s="164">
        <v>0</v>
      </c>
      <c r="V190" s="163"/>
      <c r="W190" s="163"/>
      <c r="X190" s="163"/>
      <c r="Y190" s="163"/>
      <c r="Z190" s="163"/>
      <c r="AA190" s="163"/>
      <c r="AB190" s="195" t="str">
        <f t="shared" si="18"/>
        <v>May-26</v>
      </c>
      <c r="AC190" s="163"/>
      <c r="AD190" s="163" t="str">
        <f t="shared" si="20"/>
        <v/>
      </c>
      <c r="AE190" s="163"/>
    </row>
    <row r="191" spans="1:31" x14ac:dyDescent="0.35">
      <c r="A191" s="162">
        <v>46148</v>
      </c>
      <c r="B191" s="163" t="s">
        <v>125</v>
      </c>
      <c r="C191" s="163" t="s">
        <v>113</v>
      </c>
      <c r="D191" s="163" t="s">
        <v>437</v>
      </c>
      <c r="E191" s="163" t="s">
        <v>106</v>
      </c>
      <c r="F191" s="163" t="s">
        <v>135</v>
      </c>
      <c r="G191" s="163"/>
      <c r="H191" s="163" t="s">
        <v>115</v>
      </c>
      <c r="I191" s="163" t="s">
        <v>121</v>
      </c>
      <c r="J191" s="163" t="s">
        <v>438</v>
      </c>
      <c r="K191" s="163" t="s">
        <v>439</v>
      </c>
      <c r="L191" s="163"/>
      <c r="M191" s="163" t="s">
        <v>440</v>
      </c>
      <c r="N191" s="163" t="s">
        <v>130</v>
      </c>
      <c r="O191" s="162">
        <v>46290</v>
      </c>
      <c r="P191" s="163" t="s">
        <v>106</v>
      </c>
      <c r="Q191" s="163">
        <f t="shared" ca="1" si="22"/>
        <v>177</v>
      </c>
      <c r="R191" s="163" t="str">
        <f t="shared" ca="1" si="23"/>
        <v>Yes</v>
      </c>
      <c r="S191" s="163" t="s">
        <v>129</v>
      </c>
      <c r="T191" s="164"/>
      <c r="U191" s="164"/>
      <c r="V191" s="163"/>
      <c r="W191" s="163"/>
      <c r="X191" s="163"/>
      <c r="Y191" s="163"/>
      <c r="Z191" s="163"/>
      <c r="AA191" s="163"/>
      <c r="AB191" s="195" t="str">
        <f t="shared" si="18"/>
        <v>May-26</v>
      </c>
      <c r="AC191" s="163"/>
      <c r="AD191" s="163" t="str">
        <f t="shared" si="20"/>
        <v/>
      </c>
      <c r="AE191" s="163"/>
    </row>
    <row r="192" spans="1:31" x14ac:dyDescent="0.35">
      <c r="A192" s="162">
        <v>46148</v>
      </c>
      <c r="B192" s="163" t="s">
        <v>125</v>
      </c>
      <c r="C192" s="163" t="s">
        <v>113</v>
      </c>
      <c r="D192" s="163" t="s">
        <v>11</v>
      </c>
      <c r="E192" s="163" t="s">
        <v>95</v>
      </c>
      <c r="F192" s="163" t="s">
        <v>96</v>
      </c>
      <c r="G192" s="163" t="s">
        <v>11</v>
      </c>
      <c r="H192" s="163" t="s">
        <v>115</v>
      </c>
      <c r="I192" s="163" t="s">
        <v>98</v>
      </c>
      <c r="J192" s="163" t="s">
        <v>99</v>
      </c>
      <c r="K192" s="163" t="s">
        <v>210</v>
      </c>
      <c r="L192" s="163"/>
      <c r="M192" s="163" t="s">
        <v>419</v>
      </c>
      <c r="N192" s="163" t="s">
        <v>130</v>
      </c>
      <c r="O192" s="162">
        <v>46284</v>
      </c>
      <c r="P192" s="163" t="s">
        <v>106</v>
      </c>
      <c r="Q192" s="163">
        <f t="shared" ca="1" si="22"/>
        <v>177</v>
      </c>
      <c r="R192" s="163" t="str">
        <f t="shared" ca="1" si="23"/>
        <v>Yes</v>
      </c>
      <c r="S192" s="163" t="s">
        <v>129</v>
      </c>
      <c r="T192" s="164"/>
      <c r="U192" s="164"/>
      <c r="V192" s="163"/>
      <c r="W192" s="163"/>
      <c r="X192" s="163"/>
      <c r="Y192" s="163"/>
      <c r="Z192" s="163"/>
      <c r="AA192" s="163"/>
      <c r="AB192" s="195" t="str">
        <f t="shared" si="18"/>
        <v>May-26</v>
      </c>
      <c r="AC192" s="163"/>
      <c r="AD192" s="163" t="str">
        <f t="shared" si="20"/>
        <v/>
      </c>
      <c r="AE192" s="163"/>
    </row>
    <row r="193" spans="1:31" x14ac:dyDescent="0.35">
      <c r="A193" s="162">
        <v>46148</v>
      </c>
      <c r="B193" s="163" t="s">
        <v>125</v>
      </c>
      <c r="C193" s="163" t="s">
        <v>113</v>
      </c>
      <c r="D193" s="163" t="s">
        <v>441</v>
      </c>
      <c r="E193" s="163" t="s">
        <v>95</v>
      </c>
      <c r="F193" s="163" t="s">
        <v>96</v>
      </c>
      <c r="G193" s="163" t="s">
        <v>12</v>
      </c>
      <c r="H193" s="163" t="s">
        <v>115</v>
      </c>
      <c r="I193" s="163" t="s">
        <v>98</v>
      </c>
      <c r="J193" s="163" t="s">
        <v>99</v>
      </c>
      <c r="K193" s="163" t="s">
        <v>442</v>
      </c>
      <c r="L193" s="163"/>
      <c r="M193" s="163" t="s">
        <v>419</v>
      </c>
      <c r="N193" s="163" t="s">
        <v>130</v>
      </c>
      <c r="O193" s="162">
        <v>46283</v>
      </c>
      <c r="P193" s="163" t="s">
        <v>106</v>
      </c>
      <c r="Q193" s="163">
        <f t="shared" ca="1" si="22"/>
        <v>177</v>
      </c>
      <c r="R193" s="163" t="str">
        <f t="shared" ca="1" si="23"/>
        <v>Yes</v>
      </c>
      <c r="S193" s="163" t="s">
        <v>129</v>
      </c>
      <c r="T193" s="164"/>
      <c r="U193" s="164"/>
      <c r="V193" s="163"/>
      <c r="W193" s="163"/>
      <c r="X193" s="163"/>
      <c r="Y193" s="163"/>
      <c r="Z193" s="163"/>
      <c r="AA193" s="163"/>
      <c r="AB193" s="195" t="str">
        <f t="shared" si="18"/>
        <v>May-26</v>
      </c>
      <c r="AC193" s="163"/>
      <c r="AD193" s="163" t="str">
        <f t="shared" si="20"/>
        <v/>
      </c>
      <c r="AE193" s="163"/>
    </row>
    <row r="194" spans="1:31" x14ac:dyDescent="0.35">
      <c r="A194" s="162">
        <v>46148</v>
      </c>
      <c r="B194" s="163" t="s">
        <v>125</v>
      </c>
      <c r="C194" s="163" t="s">
        <v>113</v>
      </c>
      <c r="D194" s="163" t="s">
        <v>443</v>
      </c>
      <c r="E194" s="163" t="s">
        <v>95</v>
      </c>
      <c r="F194" s="163" t="s">
        <v>96</v>
      </c>
      <c r="G194" s="163"/>
      <c r="H194" s="163" t="s">
        <v>115</v>
      </c>
      <c r="I194" s="163" t="s">
        <v>121</v>
      </c>
      <c r="J194" s="163" t="s">
        <v>99</v>
      </c>
      <c r="K194" s="163" t="s">
        <v>444</v>
      </c>
      <c r="L194" s="163"/>
      <c r="M194" s="163" t="s">
        <v>419</v>
      </c>
      <c r="N194" s="163" t="s">
        <v>130</v>
      </c>
      <c r="O194" s="162">
        <v>46290</v>
      </c>
      <c r="P194" s="163" t="s">
        <v>106</v>
      </c>
      <c r="Q194" s="163">
        <f t="shared" ca="1" si="22"/>
        <v>177</v>
      </c>
      <c r="R194" s="163" t="str">
        <f t="shared" ca="1" si="23"/>
        <v>Yes</v>
      </c>
      <c r="S194" s="163" t="s">
        <v>129</v>
      </c>
      <c r="T194" s="164"/>
      <c r="U194" s="164"/>
      <c r="V194" s="163"/>
      <c r="W194" s="163"/>
      <c r="X194" s="163"/>
      <c r="Y194" s="163"/>
      <c r="Z194" s="163"/>
      <c r="AA194" s="163"/>
      <c r="AB194" s="195" t="str">
        <f t="shared" ref="AB194:AB257" si="24">IF($V194="",TEXT($A194,"MMM-YY"),TEXT($V194,"MMM-YY"))</f>
        <v>May-26</v>
      </c>
      <c r="AC194" s="163"/>
      <c r="AD194" s="163" t="str">
        <f t="shared" si="20"/>
        <v/>
      </c>
      <c r="AE194" s="163"/>
    </row>
    <row r="195" spans="1:31" x14ac:dyDescent="0.35">
      <c r="A195" s="162">
        <v>46148</v>
      </c>
      <c r="B195" s="163" t="s">
        <v>125</v>
      </c>
      <c r="C195" s="163" t="s">
        <v>113</v>
      </c>
      <c r="D195" s="163" t="s">
        <v>246</v>
      </c>
      <c r="E195" s="163" t="s">
        <v>95</v>
      </c>
      <c r="F195" s="163" t="s">
        <v>96</v>
      </c>
      <c r="G195" s="163" t="s">
        <v>15</v>
      </c>
      <c r="H195" s="163" t="s">
        <v>163</v>
      </c>
      <c r="I195" s="163" t="s">
        <v>98</v>
      </c>
      <c r="J195" s="163" t="s">
        <v>147</v>
      </c>
      <c r="K195" s="163" t="s">
        <v>231</v>
      </c>
      <c r="L195" s="163"/>
      <c r="M195" s="163" t="s">
        <v>445</v>
      </c>
      <c r="N195" s="163" t="s">
        <v>102</v>
      </c>
      <c r="O195" s="162"/>
      <c r="P195" s="163"/>
      <c r="Q195" s="163" t="str">
        <f t="shared" ca="1" si="22"/>
        <v/>
      </c>
      <c r="R195" s="163" t="str">
        <f t="shared" ca="1" si="23"/>
        <v/>
      </c>
      <c r="S195" s="163" t="s">
        <v>103</v>
      </c>
      <c r="T195" s="164">
        <v>15000</v>
      </c>
      <c r="U195" s="164">
        <v>15885</v>
      </c>
      <c r="V195" s="162">
        <v>46148</v>
      </c>
      <c r="W195" s="163"/>
      <c r="X195" s="163" t="s">
        <v>39</v>
      </c>
      <c r="Y195" s="163" t="s">
        <v>85</v>
      </c>
      <c r="Z195" s="163"/>
      <c r="AA195" s="163"/>
      <c r="AB195" s="195" t="str">
        <f t="shared" si="24"/>
        <v>May-26</v>
      </c>
      <c r="AC195" s="163"/>
      <c r="AD195" s="163" t="str">
        <f t="shared" si="20"/>
        <v/>
      </c>
      <c r="AE195" s="163"/>
    </row>
    <row r="196" spans="1:31" x14ac:dyDescent="0.35">
      <c r="A196" s="162">
        <v>46148</v>
      </c>
      <c r="B196" s="163" t="s">
        <v>125</v>
      </c>
      <c r="C196" s="163" t="s">
        <v>113</v>
      </c>
      <c r="D196" s="163" t="s">
        <v>260</v>
      </c>
      <c r="E196" s="163" t="s">
        <v>95</v>
      </c>
      <c r="F196" s="163" t="s">
        <v>96</v>
      </c>
      <c r="G196" s="163" t="s">
        <v>15</v>
      </c>
      <c r="H196" s="163" t="s">
        <v>163</v>
      </c>
      <c r="I196" s="163" t="s">
        <v>98</v>
      </c>
      <c r="J196" s="163" t="s">
        <v>147</v>
      </c>
      <c r="K196" s="163" t="s">
        <v>231</v>
      </c>
      <c r="L196" s="163"/>
      <c r="M196" s="163" t="s">
        <v>445</v>
      </c>
      <c r="N196" s="163" t="s">
        <v>102</v>
      </c>
      <c r="O196" s="162"/>
      <c r="P196" s="163"/>
      <c r="Q196" s="163" t="str">
        <f t="shared" ca="1" si="22"/>
        <v/>
      </c>
      <c r="R196" s="163" t="str">
        <f t="shared" ca="1" si="23"/>
        <v/>
      </c>
      <c r="S196" s="163" t="s">
        <v>103</v>
      </c>
      <c r="T196" s="164">
        <v>15000</v>
      </c>
      <c r="U196" s="164">
        <v>16050</v>
      </c>
      <c r="V196" s="162">
        <v>46148</v>
      </c>
      <c r="W196" s="163"/>
      <c r="X196" s="163" t="s">
        <v>39</v>
      </c>
      <c r="Y196" s="163" t="s">
        <v>85</v>
      </c>
      <c r="Z196" s="163"/>
      <c r="AA196" s="163"/>
      <c r="AB196" s="195" t="str">
        <f t="shared" si="24"/>
        <v>May-26</v>
      </c>
      <c r="AC196" s="163"/>
      <c r="AD196" s="163" t="str">
        <f t="shared" si="20"/>
        <v/>
      </c>
      <c r="AE196" s="163"/>
    </row>
    <row r="197" spans="1:31" x14ac:dyDescent="0.35">
      <c r="A197" s="162">
        <v>46148</v>
      </c>
      <c r="B197" s="163" t="s">
        <v>125</v>
      </c>
      <c r="C197" s="163" t="s">
        <v>113</v>
      </c>
      <c r="D197" s="163" t="s">
        <v>446</v>
      </c>
      <c r="E197" s="163" t="s">
        <v>95</v>
      </c>
      <c r="F197" s="163" t="s">
        <v>135</v>
      </c>
      <c r="G197" s="163"/>
      <c r="H197" s="163" t="s">
        <v>163</v>
      </c>
      <c r="I197" s="163" t="s">
        <v>98</v>
      </c>
      <c r="J197" s="163" t="s">
        <v>147</v>
      </c>
      <c r="K197" s="163" t="s">
        <v>447</v>
      </c>
      <c r="L197" s="163"/>
      <c r="M197" s="163" t="s">
        <v>445</v>
      </c>
      <c r="N197" s="163" t="s">
        <v>102</v>
      </c>
      <c r="O197" s="162"/>
      <c r="P197" s="163"/>
      <c r="Q197" s="163" t="str">
        <f t="shared" ca="1" si="22"/>
        <v/>
      </c>
      <c r="R197" s="163" t="str">
        <f t="shared" ca="1" si="23"/>
        <v/>
      </c>
      <c r="S197" s="163" t="s">
        <v>103</v>
      </c>
      <c r="T197" s="164">
        <v>20000</v>
      </c>
      <c r="U197" s="164">
        <v>22191</v>
      </c>
      <c r="V197" s="162">
        <v>46148</v>
      </c>
      <c r="W197" s="163"/>
      <c r="X197" s="163" t="s">
        <v>62</v>
      </c>
      <c r="Y197" s="163" t="s">
        <v>161</v>
      </c>
      <c r="Z197" s="163"/>
      <c r="AA197" s="162">
        <v>46148</v>
      </c>
      <c r="AB197" s="195" t="str">
        <f t="shared" si="24"/>
        <v>May-26</v>
      </c>
      <c r="AC197" s="163"/>
      <c r="AD197" s="163" t="str">
        <f t="shared" si="20"/>
        <v/>
      </c>
      <c r="AE197" s="163"/>
    </row>
    <row r="198" spans="1:31" x14ac:dyDescent="0.35">
      <c r="A198" s="162">
        <v>46148</v>
      </c>
      <c r="B198" s="163" t="s">
        <v>92</v>
      </c>
      <c r="C198" s="163" t="s">
        <v>93</v>
      </c>
      <c r="D198" s="163" t="s">
        <v>182</v>
      </c>
      <c r="E198" s="163" t="s">
        <v>95</v>
      </c>
      <c r="F198" s="163" t="s">
        <v>96</v>
      </c>
      <c r="G198" s="163" t="s">
        <v>15</v>
      </c>
      <c r="H198" s="163" t="s">
        <v>163</v>
      </c>
      <c r="I198" s="163" t="s">
        <v>98</v>
      </c>
      <c r="J198" s="163" t="s">
        <v>99</v>
      </c>
      <c r="K198" s="163" t="s">
        <v>384</v>
      </c>
      <c r="L198" s="163"/>
      <c r="M198" s="163" t="s">
        <v>448</v>
      </c>
      <c r="N198" s="163" t="s">
        <v>102</v>
      </c>
      <c r="O198" s="162"/>
      <c r="P198" s="163"/>
      <c r="Q198" s="163" t="str">
        <f t="shared" ca="1" si="22"/>
        <v/>
      </c>
      <c r="R198" s="163" t="str">
        <f t="shared" ca="1" si="23"/>
        <v/>
      </c>
      <c r="S198" s="163" t="s">
        <v>103</v>
      </c>
      <c r="T198" s="164">
        <v>50090</v>
      </c>
      <c r="U198" s="164">
        <v>50090</v>
      </c>
      <c r="V198" s="162">
        <v>46148</v>
      </c>
      <c r="W198" s="163" t="s">
        <v>449</v>
      </c>
      <c r="X198" s="163" t="s">
        <v>30</v>
      </c>
      <c r="Y198" s="163" t="s">
        <v>85</v>
      </c>
      <c r="Z198" s="163"/>
      <c r="AA198" s="162">
        <v>46172</v>
      </c>
      <c r="AB198" s="195" t="str">
        <f t="shared" si="24"/>
        <v>May-26</v>
      </c>
      <c r="AC198" s="163"/>
      <c r="AD198" s="163" t="str">
        <f t="shared" si="20"/>
        <v/>
      </c>
      <c r="AE198" s="163"/>
    </row>
    <row r="199" spans="1:31" x14ac:dyDescent="0.35">
      <c r="A199" s="162">
        <v>46148</v>
      </c>
      <c r="B199" s="163" t="s">
        <v>92</v>
      </c>
      <c r="C199" s="163" t="s">
        <v>113</v>
      </c>
      <c r="D199" s="163" t="s">
        <v>114</v>
      </c>
      <c r="E199" s="163" t="s">
        <v>95</v>
      </c>
      <c r="F199" s="163" t="s">
        <v>96</v>
      </c>
      <c r="G199" s="163" t="s">
        <v>10</v>
      </c>
      <c r="H199" s="163" t="s">
        <v>115</v>
      </c>
      <c r="I199" s="163" t="s">
        <v>98</v>
      </c>
      <c r="J199" s="163" t="s">
        <v>116</v>
      </c>
      <c r="K199" s="163" t="s">
        <v>117</v>
      </c>
      <c r="L199" s="163"/>
      <c r="M199" s="163" t="s">
        <v>450</v>
      </c>
      <c r="N199" s="163" t="s">
        <v>102</v>
      </c>
      <c r="O199" s="162"/>
      <c r="P199" s="163"/>
      <c r="Q199" s="163" t="str">
        <f t="shared" ca="1" si="22"/>
        <v/>
      </c>
      <c r="R199" s="163" t="str">
        <f t="shared" ca="1" si="23"/>
        <v/>
      </c>
      <c r="S199" s="163" t="s">
        <v>103</v>
      </c>
      <c r="T199" s="164">
        <v>23833</v>
      </c>
      <c r="U199" s="164">
        <v>23833</v>
      </c>
      <c r="V199" s="162">
        <v>46148</v>
      </c>
      <c r="W199" s="163" t="s">
        <v>451</v>
      </c>
      <c r="X199" s="163" t="s">
        <v>35</v>
      </c>
      <c r="Y199" s="163" t="s">
        <v>85</v>
      </c>
      <c r="Z199" s="163"/>
      <c r="AA199" s="163"/>
      <c r="AB199" s="195" t="str">
        <f t="shared" si="24"/>
        <v>May-26</v>
      </c>
      <c r="AC199" s="163"/>
      <c r="AD199" s="163" t="str">
        <f t="shared" si="20"/>
        <v/>
      </c>
      <c r="AE199" s="163"/>
    </row>
    <row r="200" spans="1:31" x14ac:dyDescent="0.35">
      <c r="A200" s="162">
        <v>46148</v>
      </c>
      <c r="B200" s="163" t="s">
        <v>125</v>
      </c>
      <c r="C200" s="163" t="s">
        <v>113</v>
      </c>
      <c r="D200" s="188" t="s">
        <v>165</v>
      </c>
      <c r="E200" s="163" t="s">
        <v>95</v>
      </c>
      <c r="F200" s="163" t="s">
        <v>135</v>
      </c>
      <c r="G200" s="163"/>
      <c r="H200" s="163" t="s">
        <v>115</v>
      </c>
      <c r="I200" s="163" t="s">
        <v>98</v>
      </c>
      <c r="J200" s="163" t="s">
        <v>166</v>
      </c>
      <c r="K200" s="163" t="s">
        <v>167</v>
      </c>
      <c r="L200" s="163"/>
      <c r="M200" s="163" t="s">
        <v>159</v>
      </c>
      <c r="N200" s="163" t="s">
        <v>102</v>
      </c>
      <c r="O200" s="162"/>
      <c r="P200" s="163"/>
      <c r="Q200" s="163" t="str">
        <f t="shared" ca="1" si="22"/>
        <v/>
      </c>
      <c r="R200" s="163" t="str">
        <f t="shared" ca="1" si="23"/>
        <v/>
      </c>
      <c r="S200" s="163" t="s">
        <v>103</v>
      </c>
      <c r="T200" s="164">
        <v>22687</v>
      </c>
      <c r="U200" s="164">
        <v>23833</v>
      </c>
      <c r="V200" s="162">
        <v>46148</v>
      </c>
      <c r="W200" s="163" t="s">
        <v>451</v>
      </c>
      <c r="X200" s="163" t="s">
        <v>35</v>
      </c>
      <c r="Y200" s="163" t="s">
        <v>85</v>
      </c>
      <c r="Z200" s="163"/>
      <c r="AA200" s="163"/>
      <c r="AB200" s="195" t="str">
        <f t="shared" si="24"/>
        <v>May-26</v>
      </c>
      <c r="AC200" s="163"/>
      <c r="AD200" s="163"/>
      <c r="AE200" s="163"/>
    </row>
    <row r="201" spans="1:31" x14ac:dyDescent="0.35">
      <c r="A201" s="162">
        <v>46149</v>
      </c>
      <c r="B201" s="163" t="s">
        <v>452</v>
      </c>
      <c r="C201" s="163" t="s">
        <v>113</v>
      </c>
      <c r="D201" s="163" t="s">
        <v>453</v>
      </c>
      <c r="E201" s="163" t="s">
        <v>95</v>
      </c>
      <c r="F201" s="163" t="s">
        <v>135</v>
      </c>
      <c r="G201" s="163"/>
      <c r="H201" s="163" t="s">
        <v>163</v>
      </c>
      <c r="I201" s="163" t="s">
        <v>98</v>
      </c>
      <c r="J201" s="163" t="s">
        <v>454</v>
      </c>
      <c r="K201" s="163" t="s">
        <v>455</v>
      </c>
      <c r="L201" s="163"/>
      <c r="M201" s="163" t="s">
        <v>456</v>
      </c>
      <c r="N201" s="163" t="s">
        <v>102</v>
      </c>
      <c r="O201" s="162"/>
      <c r="P201" s="163"/>
      <c r="Q201" s="163" t="str">
        <f t="shared" ca="1" si="22"/>
        <v/>
      </c>
      <c r="R201" s="163" t="str">
        <f t="shared" ca="1" si="23"/>
        <v/>
      </c>
      <c r="S201" s="163" t="s">
        <v>103</v>
      </c>
      <c r="T201" s="164">
        <v>15000</v>
      </c>
      <c r="U201" s="164">
        <v>7500</v>
      </c>
      <c r="V201" s="162">
        <v>46155</v>
      </c>
      <c r="W201" s="163"/>
      <c r="X201" s="163" t="s">
        <v>47</v>
      </c>
      <c r="Y201" s="163" t="s">
        <v>161</v>
      </c>
      <c r="Z201" s="163"/>
      <c r="AA201" s="162">
        <v>46156</v>
      </c>
      <c r="AB201" s="195" t="str">
        <f t="shared" si="24"/>
        <v>May-26</v>
      </c>
      <c r="AC201" s="163"/>
      <c r="AD201" s="163" t="str">
        <f t="shared" ref="AD201:AD232" si="25">IF(AC201="Yes",U201*2%,"")</f>
        <v/>
      </c>
      <c r="AE201" s="163"/>
    </row>
    <row r="202" spans="1:31" x14ac:dyDescent="0.35">
      <c r="A202" s="162">
        <v>46149</v>
      </c>
      <c r="B202" s="163" t="s">
        <v>452</v>
      </c>
      <c r="C202" s="163" t="s">
        <v>113</v>
      </c>
      <c r="D202" s="163" t="s">
        <v>457</v>
      </c>
      <c r="E202" s="163" t="s">
        <v>95</v>
      </c>
      <c r="F202" s="163" t="s">
        <v>135</v>
      </c>
      <c r="G202" s="163"/>
      <c r="H202" s="163"/>
      <c r="I202" s="163" t="s">
        <v>121</v>
      </c>
      <c r="J202" s="163" t="s">
        <v>454</v>
      </c>
      <c r="K202" s="163" t="s">
        <v>458</v>
      </c>
      <c r="L202" s="163"/>
      <c r="M202" s="163"/>
      <c r="N202" s="163" t="s">
        <v>128</v>
      </c>
      <c r="O202" s="162"/>
      <c r="P202" s="163"/>
      <c r="Q202" s="163">
        <f t="shared" ca="1" si="22"/>
        <v>176</v>
      </c>
      <c r="R202" s="163" t="str">
        <f t="shared" ca="1" si="23"/>
        <v/>
      </c>
      <c r="S202" s="163" t="s">
        <v>129</v>
      </c>
      <c r="T202" s="164"/>
      <c r="U202" s="164"/>
      <c r="V202" s="163"/>
      <c r="W202" s="163"/>
      <c r="X202" s="163"/>
      <c r="Y202" s="163"/>
      <c r="Z202" s="163"/>
      <c r="AA202" s="163"/>
      <c r="AB202" s="195" t="str">
        <f t="shared" si="24"/>
        <v>May-26</v>
      </c>
      <c r="AC202" s="163"/>
      <c r="AD202" s="163" t="str">
        <f t="shared" si="25"/>
        <v/>
      </c>
      <c r="AE202" s="163"/>
    </row>
    <row r="203" spans="1:31" x14ac:dyDescent="0.35">
      <c r="A203" s="162">
        <v>46149</v>
      </c>
      <c r="B203" s="163" t="s">
        <v>452</v>
      </c>
      <c r="C203" s="163" t="s">
        <v>113</v>
      </c>
      <c r="D203" s="168" t="s">
        <v>459</v>
      </c>
      <c r="E203" s="163" t="s">
        <v>95</v>
      </c>
      <c r="F203" s="163" t="s">
        <v>135</v>
      </c>
      <c r="G203" s="163"/>
      <c r="H203" s="163"/>
      <c r="I203" s="163" t="s">
        <v>121</v>
      </c>
      <c r="J203" s="163" t="s">
        <v>147</v>
      </c>
      <c r="K203" s="163" t="s">
        <v>460</v>
      </c>
      <c r="L203" s="163"/>
      <c r="M203" s="163" t="s">
        <v>461</v>
      </c>
      <c r="N203" s="163" t="s">
        <v>128</v>
      </c>
      <c r="O203" s="162"/>
      <c r="P203" s="163"/>
      <c r="Q203" s="163">
        <f t="shared" ca="1" si="22"/>
        <v>176</v>
      </c>
      <c r="R203" s="163" t="str">
        <f t="shared" ca="1" si="23"/>
        <v/>
      </c>
      <c r="S203" s="163" t="s">
        <v>129</v>
      </c>
      <c r="T203" s="164"/>
      <c r="U203" s="164"/>
      <c r="V203" s="163"/>
      <c r="W203" s="163"/>
      <c r="X203" s="163"/>
      <c r="Y203" s="163"/>
      <c r="Z203" s="163"/>
      <c r="AA203" s="163"/>
      <c r="AB203" s="195" t="str">
        <f t="shared" si="24"/>
        <v>May-26</v>
      </c>
      <c r="AC203" s="163"/>
      <c r="AD203" s="163" t="str">
        <f t="shared" si="25"/>
        <v/>
      </c>
      <c r="AE203" s="163"/>
    </row>
    <row r="204" spans="1:31" x14ac:dyDescent="0.35">
      <c r="A204" s="162">
        <v>46149</v>
      </c>
      <c r="B204" s="163" t="s">
        <v>370</v>
      </c>
      <c r="C204" s="163" t="s">
        <v>93</v>
      </c>
      <c r="D204" s="163" t="s">
        <v>462</v>
      </c>
      <c r="E204" s="163" t="s">
        <v>106</v>
      </c>
      <c r="F204" s="163" t="s">
        <v>135</v>
      </c>
      <c r="G204" s="163"/>
      <c r="H204" s="163" t="s">
        <v>163</v>
      </c>
      <c r="I204" s="163" t="s">
        <v>121</v>
      </c>
      <c r="J204" s="163" t="s">
        <v>147</v>
      </c>
      <c r="K204" s="163" t="s">
        <v>183</v>
      </c>
      <c r="L204" s="163"/>
      <c r="M204" s="163" t="s">
        <v>463</v>
      </c>
      <c r="N204" s="163" t="s">
        <v>181</v>
      </c>
      <c r="O204" s="162"/>
      <c r="P204" s="163"/>
      <c r="Q204" s="163">
        <f t="shared" ca="1" si="22"/>
        <v>176</v>
      </c>
      <c r="R204" s="163" t="str">
        <f t="shared" ca="1" si="23"/>
        <v/>
      </c>
      <c r="S204" s="163" t="s">
        <v>129</v>
      </c>
      <c r="T204" s="164">
        <v>100000</v>
      </c>
      <c r="U204" s="164"/>
      <c r="V204" s="163"/>
      <c r="W204" s="163"/>
      <c r="X204" s="163"/>
      <c r="Y204" s="163"/>
      <c r="Z204" s="163"/>
      <c r="AA204" s="163"/>
      <c r="AB204" s="195" t="str">
        <f t="shared" si="24"/>
        <v>May-26</v>
      </c>
      <c r="AC204" s="163"/>
      <c r="AD204" s="163" t="str">
        <f t="shared" si="25"/>
        <v/>
      </c>
      <c r="AE204" s="163"/>
    </row>
    <row r="205" spans="1:31" x14ac:dyDescent="0.35">
      <c r="A205" s="162">
        <v>46149</v>
      </c>
      <c r="B205" s="163" t="s">
        <v>370</v>
      </c>
      <c r="C205" s="163" t="s">
        <v>93</v>
      </c>
      <c r="D205" s="163" t="s">
        <v>464</v>
      </c>
      <c r="E205" s="163" t="s">
        <v>106</v>
      </c>
      <c r="F205" s="163" t="s">
        <v>115</v>
      </c>
      <c r="G205" s="163"/>
      <c r="H205" s="163" t="s">
        <v>115</v>
      </c>
      <c r="I205" s="163" t="s">
        <v>121</v>
      </c>
      <c r="J205" s="163" t="s">
        <v>438</v>
      </c>
      <c r="K205" s="163" t="s">
        <v>433</v>
      </c>
      <c r="L205" s="163"/>
      <c r="M205" s="163" t="s">
        <v>465</v>
      </c>
      <c r="N205" s="163" t="s">
        <v>181</v>
      </c>
      <c r="O205" s="162"/>
      <c r="P205" s="163"/>
      <c r="Q205" s="163">
        <f t="shared" ca="1" si="22"/>
        <v>176</v>
      </c>
      <c r="R205" s="163" t="str">
        <f t="shared" ca="1" si="23"/>
        <v/>
      </c>
      <c r="S205" s="163" t="s">
        <v>129</v>
      </c>
      <c r="T205" s="164">
        <v>25000</v>
      </c>
      <c r="U205" s="164"/>
      <c r="V205" s="163"/>
      <c r="W205" s="163"/>
      <c r="X205" s="163"/>
      <c r="Y205" s="163"/>
      <c r="Z205" s="163"/>
      <c r="AA205" s="163"/>
      <c r="AB205" s="195" t="str">
        <f t="shared" si="24"/>
        <v>May-26</v>
      </c>
      <c r="AC205" s="163"/>
      <c r="AD205" s="163" t="str">
        <f t="shared" si="25"/>
        <v/>
      </c>
      <c r="AE205" s="163"/>
    </row>
    <row r="206" spans="1:31" x14ac:dyDescent="0.35">
      <c r="A206" s="162">
        <v>46149</v>
      </c>
      <c r="B206" s="163" t="s">
        <v>370</v>
      </c>
      <c r="C206" s="163" t="s">
        <v>93</v>
      </c>
      <c r="D206" s="163" t="s">
        <v>466</v>
      </c>
      <c r="E206" s="163" t="s">
        <v>106</v>
      </c>
      <c r="F206" s="163" t="s">
        <v>422</v>
      </c>
      <c r="G206" s="163"/>
      <c r="H206" s="163" t="s">
        <v>115</v>
      </c>
      <c r="I206" s="163" t="s">
        <v>121</v>
      </c>
      <c r="J206" s="163" t="s">
        <v>147</v>
      </c>
      <c r="K206" s="163" t="s">
        <v>467</v>
      </c>
      <c r="L206" s="163"/>
      <c r="M206" s="163" t="s">
        <v>468</v>
      </c>
      <c r="N206" s="163" t="s">
        <v>181</v>
      </c>
      <c r="O206" s="162"/>
      <c r="P206" s="163"/>
      <c r="Q206" s="163">
        <f t="shared" ca="1" si="22"/>
        <v>176</v>
      </c>
      <c r="R206" s="163" t="str">
        <f t="shared" ca="1" si="23"/>
        <v/>
      </c>
      <c r="S206" s="163" t="s">
        <v>129</v>
      </c>
      <c r="T206" s="164">
        <v>30000</v>
      </c>
      <c r="U206" s="164"/>
      <c r="V206" s="163"/>
      <c r="W206" s="163"/>
      <c r="X206" s="163"/>
      <c r="Y206" s="163"/>
      <c r="Z206" s="163"/>
      <c r="AA206" s="163"/>
      <c r="AB206" s="195" t="str">
        <f t="shared" si="24"/>
        <v>May-26</v>
      </c>
      <c r="AC206" s="163"/>
      <c r="AD206" s="163" t="str">
        <f t="shared" si="25"/>
        <v/>
      </c>
      <c r="AE206" s="163"/>
    </row>
    <row r="207" spans="1:31" x14ac:dyDescent="0.35">
      <c r="A207" s="162">
        <v>46149</v>
      </c>
      <c r="B207" s="163" t="s">
        <v>92</v>
      </c>
      <c r="C207" s="163" t="s">
        <v>93</v>
      </c>
      <c r="D207" s="163" t="s">
        <v>182</v>
      </c>
      <c r="E207" s="163" t="s">
        <v>95</v>
      </c>
      <c r="F207" s="163" t="s">
        <v>96</v>
      </c>
      <c r="G207" s="163" t="s">
        <v>15</v>
      </c>
      <c r="H207" s="163" t="s">
        <v>163</v>
      </c>
      <c r="I207" s="163" t="s">
        <v>98</v>
      </c>
      <c r="J207" s="163" t="s">
        <v>99</v>
      </c>
      <c r="K207" s="163" t="s">
        <v>384</v>
      </c>
      <c r="L207" s="163"/>
      <c r="M207" s="163" t="s">
        <v>448</v>
      </c>
      <c r="N207" s="163" t="s">
        <v>102</v>
      </c>
      <c r="O207" s="162"/>
      <c r="P207" s="163"/>
      <c r="Q207" s="163" t="str">
        <f t="shared" ca="1" si="22"/>
        <v/>
      </c>
      <c r="R207" s="163" t="str">
        <f t="shared" ca="1" si="23"/>
        <v/>
      </c>
      <c r="S207" s="163" t="s">
        <v>103</v>
      </c>
      <c r="T207" s="164">
        <v>50090</v>
      </c>
      <c r="U207" s="164">
        <v>50090</v>
      </c>
      <c r="V207" s="162">
        <v>46149</v>
      </c>
      <c r="W207" s="163" t="s">
        <v>449</v>
      </c>
      <c r="X207" s="163" t="s">
        <v>30</v>
      </c>
      <c r="Y207" s="163" t="s">
        <v>85</v>
      </c>
      <c r="Z207" s="163"/>
      <c r="AA207" s="163"/>
      <c r="AB207" s="195" t="str">
        <f t="shared" si="24"/>
        <v>May-26</v>
      </c>
      <c r="AC207" s="163"/>
      <c r="AD207" s="163" t="str">
        <f t="shared" si="25"/>
        <v/>
      </c>
      <c r="AE207" s="163"/>
    </row>
    <row r="208" spans="1:31" x14ac:dyDescent="0.35">
      <c r="A208" s="162">
        <v>46149</v>
      </c>
      <c r="B208" s="163" t="s">
        <v>92</v>
      </c>
      <c r="C208" s="163" t="s">
        <v>93</v>
      </c>
      <c r="D208" s="163" t="s">
        <v>469</v>
      </c>
      <c r="E208" s="163" t="s">
        <v>106</v>
      </c>
      <c r="F208" s="163" t="s">
        <v>96</v>
      </c>
      <c r="G208" s="163" t="s">
        <v>15</v>
      </c>
      <c r="H208" s="163" t="s">
        <v>163</v>
      </c>
      <c r="I208" s="163" t="s">
        <v>121</v>
      </c>
      <c r="J208" s="163" t="s">
        <v>99</v>
      </c>
      <c r="K208" s="163" t="s">
        <v>183</v>
      </c>
      <c r="L208" s="163"/>
      <c r="M208" s="163" t="s">
        <v>470</v>
      </c>
      <c r="N208" s="163" t="s">
        <v>181</v>
      </c>
      <c r="O208" s="162"/>
      <c r="P208" s="163"/>
      <c r="Q208" s="163">
        <f t="shared" ca="1" si="22"/>
        <v>176</v>
      </c>
      <c r="R208" s="163" t="str">
        <f t="shared" ca="1" si="23"/>
        <v/>
      </c>
      <c r="S208" s="163" t="s">
        <v>103</v>
      </c>
      <c r="T208" s="164">
        <v>600000</v>
      </c>
      <c r="U208" s="164">
        <v>0</v>
      </c>
      <c r="V208" s="162">
        <v>46181</v>
      </c>
      <c r="W208" s="163"/>
      <c r="X208" s="163"/>
      <c r="Y208" s="163"/>
      <c r="Z208" s="163"/>
      <c r="AA208" s="163"/>
      <c r="AB208" s="195" t="str">
        <f t="shared" si="24"/>
        <v>Jun-26</v>
      </c>
      <c r="AC208" s="163"/>
      <c r="AD208" s="163" t="str">
        <f t="shared" si="25"/>
        <v/>
      </c>
      <c r="AE208" s="163"/>
    </row>
    <row r="209" spans="1:31" x14ac:dyDescent="0.35">
      <c r="A209" s="162">
        <v>46149</v>
      </c>
      <c r="B209" s="163" t="s">
        <v>92</v>
      </c>
      <c r="C209" s="163" t="s">
        <v>93</v>
      </c>
      <c r="D209" s="163" t="s">
        <v>471</v>
      </c>
      <c r="E209" s="163" t="s">
        <v>106</v>
      </c>
      <c r="F209" s="163" t="s">
        <v>135</v>
      </c>
      <c r="G209" s="163"/>
      <c r="H209" s="163" t="s">
        <v>115</v>
      </c>
      <c r="I209" s="163" t="s">
        <v>121</v>
      </c>
      <c r="J209" s="163" t="s">
        <v>166</v>
      </c>
      <c r="K209" s="163" t="s">
        <v>472</v>
      </c>
      <c r="L209" s="163"/>
      <c r="M209" s="163" t="s">
        <v>473</v>
      </c>
      <c r="N209" s="163" t="s">
        <v>181</v>
      </c>
      <c r="O209" s="162"/>
      <c r="P209" s="163"/>
      <c r="Q209" s="163">
        <f t="shared" ca="1" si="22"/>
        <v>176</v>
      </c>
      <c r="R209" s="163" t="str">
        <f t="shared" ca="1" si="23"/>
        <v/>
      </c>
      <c r="S209" s="163" t="s">
        <v>129</v>
      </c>
      <c r="T209" s="164">
        <v>0</v>
      </c>
      <c r="U209" s="164">
        <v>0</v>
      </c>
      <c r="V209" s="162">
        <v>46170</v>
      </c>
      <c r="W209" s="163"/>
      <c r="X209" s="163"/>
      <c r="Y209" s="163"/>
      <c r="Z209" s="163"/>
      <c r="AA209" s="163"/>
      <c r="AB209" s="195" t="str">
        <f t="shared" si="24"/>
        <v>May-26</v>
      </c>
      <c r="AC209" s="163"/>
      <c r="AD209" s="163" t="str">
        <f t="shared" si="25"/>
        <v/>
      </c>
      <c r="AE209" s="163"/>
    </row>
    <row r="210" spans="1:31" x14ac:dyDescent="0.35">
      <c r="A210" s="162">
        <v>46149</v>
      </c>
      <c r="B210" s="163" t="s">
        <v>92</v>
      </c>
      <c r="C210" s="163" t="s">
        <v>93</v>
      </c>
      <c r="D210" s="163" t="s">
        <v>474</v>
      </c>
      <c r="E210" s="163" t="s">
        <v>106</v>
      </c>
      <c r="F210" s="163" t="s">
        <v>135</v>
      </c>
      <c r="G210" s="163"/>
      <c r="H210" s="163" t="s">
        <v>115</v>
      </c>
      <c r="I210" s="163" t="s">
        <v>121</v>
      </c>
      <c r="J210" s="163" t="s">
        <v>378</v>
      </c>
      <c r="K210" s="163" t="s">
        <v>475</v>
      </c>
      <c r="L210" s="163"/>
      <c r="M210" s="163" t="s">
        <v>476</v>
      </c>
      <c r="N210" s="163" t="s">
        <v>181</v>
      </c>
      <c r="O210" s="162"/>
      <c r="P210" s="163"/>
      <c r="Q210" s="163">
        <f t="shared" ref="Q210:Q241" ca="1" si="26">IF(N210="Closed(C4)","",IF(N210="","",TODAY()-A210))</f>
        <v>176</v>
      </c>
      <c r="R210" s="163" t="str">
        <f t="shared" ca="1" si="23"/>
        <v/>
      </c>
      <c r="S210" s="163" t="s">
        <v>103</v>
      </c>
      <c r="T210" s="164">
        <v>312000</v>
      </c>
      <c r="U210" s="164">
        <v>0</v>
      </c>
      <c r="V210" s="162">
        <v>46164</v>
      </c>
      <c r="W210" s="163"/>
      <c r="X210" s="163"/>
      <c r="Y210" s="163"/>
      <c r="Z210" s="163"/>
      <c r="AA210" s="163"/>
      <c r="AB210" s="195" t="str">
        <f t="shared" si="24"/>
        <v>May-26</v>
      </c>
      <c r="AC210" s="163"/>
      <c r="AD210" s="163" t="str">
        <f t="shared" si="25"/>
        <v/>
      </c>
      <c r="AE210" s="163"/>
    </row>
    <row r="211" spans="1:31" x14ac:dyDescent="0.35">
      <c r="A211" s="162">
        <v>46149</v>
      </c>
      <c r="B211" s="163" t="s">
        <v>92</v>
      </c>
      <c r="C211" s="163" t="s">
        <v>93</v>
      </c>
      <c r="D211" s="163" t="s">
        <v>182</v>
      </c>
      <c r="E211" s="163" t="s">
        <v>95</v>
      </c>
      <c r="F211" s="163" t="s">
        <v>96</v>
      </c>
      <c r="G211" s="163" t="s">
        <v>15</v>
      </c>
      <c r="H211" s="163" t="s">
        <v>163</v>
      </c>
      <c r="I211" s="163" t="s">
        <v>98</v>
      </c>
      <c r="J211" s="163" t="s">
        <v>99</v>
      </c>
      <c r="K211" s="163" t="s">
        <v>384</v>
      </c>
      <c r="L211" s="163"/>
      <c r="M211" s="163" t="s">
        <v>477</v>
      </c>
      <c r="N211" s="163" t="s">
        <v>181</v>
      </c>
      <c r="O211" s="162"/>
      <c r="P211" s="163"/>
      <c r="Q211" s="163">
        <f t="shared" ca="1" si="26"/>
        <v>176</v>
      </c>
      <c r="R211" s="163" t="str">
        <f t="shared" ca="1" si="23"/>
        <v/>
      </c>
      <c r="S211" s="163" t="s">
        <v>103</v>
      </c>
      <c r="T211" s="164">
        <v>0</v>
      </c>
      <c r="U211" s="164">
        <v>0</v>
      </c>
      <c r="V211" s="162">
        <v>46157</v>
      </c>
      <c r="W211" s="163"/>
      <c r="X211" s="163"/>
      <c r="Y211" s="163"/>
      <c r="Z211" s="163"/>
      <c r="AA211" s="163"/>
      <c r="AB211" s="195" t="str">
        <f t="shared" si="24"/>
        <v>May-26</v>
      </c>
      <c r="AC211" s="163"/>
      <c r="AD211" s="163" t="str">
        <f t="shared" si="25"/>
        <v/>
      </c>
      <c r="AE211" s="163"/>
    </row>
    <row r="212" spans="1:31" x14ac:dyDescent="0.35">
      <c r="A212" s="162">
        <v>46149</v>
      </c>
      <c r="B212" s="163" t="s">
        <v>92</v>
      </c>
      <c r="C212" s="163" t="s">
        <v>93</v>
      </c>
      <c r="D212" s="163" t="s">
        <v>478</v>
      </c>
      <c r="E212" s="163" t="s">
        <v>106</v>
      </c>
      <c r="F212" s="163" t="s">
        <v>226</v>
      </c>
      <c r="G212" s="163"/>
      <c r="H212" s="163" t="s">
        <v>163</v>
      </c>
      <c r="I212" s="163"/>
      <c r="J212" s="163" t="s">
        <v>356</v>
      </c>
      <c r="K212" s="163" t="s">
        <v>479</v>
      </c>
      <c r="L212" s="163"/>
      <c r="M212" s="163" t="s">
        <v>427</v>
      </c>
      <c r="N212" s="163" t="s">
        <v>102</v>
      </c>
      <c r="O212" s="162"/>
      <c r="P212" s="163"/>
      <c r="Q212" s="163" t="str">
        <f t="shared" ca="1" si="26"/>
        <v/>
      </c>
      <c r="R212" s="163" t="str">
        <f t="shared" ref="R212:R243" ca="1" si="27">IF(OR(N212="Closed( C4 )",N212="Cancelled"),"",IF(AND(O212&lt;&gt;"",O212&lt;TODAY()),"Yes",""))</f>
        <v/>
      </c>
      <c r="S212" s="163" t="s">
        <v>103</v>
      </c>
      <c r="T212" s="164">
        <v>0</v>
      </c>
      <c r="U212" s="164">
        <v>0</v>
      </c>
      <c r="V212" s="162">
        <v>46157</v>
      </c>
      <c r="W212" s="163"/>
      <c r="X212" s="163"/>
      <c r="Y212" s="163"/>
      <c r="Z212" s="163"/>
      <c r="AA212" s="163"/>
      <c r="AB212" s="195" t="str">
        <f t="shared" si="24"/>
        <v>May-26</v>
      </c>
      <c r="AC212" s="163"/>
      <c r="AD212" s="163" t="str">
        <f t="shared" si="25"/>
        <v/>
      </c>
      <c r="AE212" s="163"/>
    </row>
    <row r="213" spans="1:31" x14ac:dyDescent="0.35">
      <c r="A213" s="162">
        <v>46149</v>
      </c>
      <c r="B213" s="163" t="s">
        <v>92</v>
      </c>
      <c r="C213" s="163" t="s">
        <v>93</v>
      </c>
      <c r="D213" s="163" t="s">
        <v>283</v>
      </c>
      <c r="E213" s="163" t="s">
        <v>95</v>
      </c>
      <c r="F213" s="163" t="s">
        <v>96</v>
      </c>
      <c r="G213" s="163" t="s">
        <v>12</v>
      </c>
      <c r="H213" s="163" t="s">
        <v>97</v>
      </c>
      <c r="I213" s="163" t="s">
        <v>98</v>
      </c>
      <c r="J213" s="163" t="s">
        <v>99</v>
      </c>
      <c r="K213" s="163" t="s">
        <v>284</v>
      </c>
      <c r="L213" s="163"/>
      <c r="M213" s="163" t="s">
        <v>480</v>
      </c>
      <c r="N213" s="163" t="s">
        <v>181</v>
      </c>
      <c r="O213" s="162"/>
      <c r="P213" s="163"/>
      <c r="Q213" s="163">
        <f t="shared" ca="1" si="26"/>
        <v>176</v>
      </c>
      <c r="R213" s="163" t="str">
        <f t="shared" ca="1" si="27"/>
        <v/>
      </c>
      <c r="S213" s="163" t="s">
        <v>103</v>
      </c>
      <c r="T213" s="164">
        <v>0</v>
      </c>
      <c r="U213" s="164">
        <v>0</v>
      </c>
      <c r="V213" s="162">
        <v>46157</v>
      </c>
      <c r="W213" s="163"/>
      <c r="X213" s="163"/>
      <c r="Y213" s="163"/>
      <c r="Z213" s="163"/>
      <c r="AA213" s="163"/>
      <c r="AB213" s="195" t="str">
        <f t="shared" si="24"/>
        <v>May-26</v>
      </c>
      <c r="AC213" s="163"/>
      <c r="AD213" s="163" t="str">
        <f t="shared" si="25"/>
        <v/>
      </c>
      <c r="AE213" s="163"/>
    </row>
    <row r="214" spans="1:31" x14ac:dyDescent="0.35">
      <c r="A214" s="162">
        <v>46149</v>
      </c>
      <c r="B214" s="163" t="s">
        <v>125</v>
      </c>
      <c r="C214" s="163" t="s">
        <v>113</v>
      </c>
      <c r="D214" s="163" t="s">
        <v>175</v>
      </c>
      <c r="E214" s="163" t="s">
        <v>106</v>
      </c>
      <c r="F214" s="163" t="s">
        <v>135</v>
      </c>
      <c r="G214" s="163"/>
      <c r="H214" s="163" t="s">
        <v>97</v>
      </c>
      <c r="I214" s="163" t="s">
        <v>98</v>
      </c>
      <c r="J214" s="163" t="s">
        <v>166</v>
      </c>
      <c r="K214" s="163" t="s">
        <v>176</v>
      </c>
      <c r="L214" s="163"/>
      <c r="M214" s="163" t="s">
        <v>369</v>
      </c>
      <c r="N214" s="163" t="s">
        <v>102</v>
      </c>
      <c r="O214" s="162"/>
      <c r="P214" s="163"/>
      <c r="Q214" s="163" t="str">
        <f t="shared" ca="1" si="26"/>
        <v/>
      </c>
      <c r="R214" s="163" t="str">
        <f t="shared" ca="1" si="27"/>
        <v/>
      </c>
      <c r="S214" s="163" t="s">
        <v>103</v>
      </c>
      <c r="T214" s="164">
        <v>15000</v>
      </c>
      <c r="U214" s="164">
        <v>13689</v>
      </c>
      <c r="V214" s="162">
        <v>46149</v>
      </c>
      <c r="W214" s="163"/>
      <c r="X214" s="163" t="s">
        <v>62</v>
      </c>
      <c r="Y214" s="163" t="s">
        <v>161</v>
      </c>
      <c r="Z214" s="163"/>
      <c r="AA214" s="162">
        <v>46149</v>
      </c>
      <c r="AB214" s="195" t="str">
        <f t="shared" si="24"/>
        <v>May-26</v>
      </c>
      <c r="AC214" s="163"/>
      <c r="AD214" s="163" t="str">
        <f t="shared" si="25"/>
        <v/>
      </c>
      <c r="AE214" s="163"/>
    </row>
    <row r="215" spans="1:31" x14ac:dyDescent="0.35">
      <c r="A215" s="162">
        <v>46149</v>
      </c>
      <c r="B215" s="163" t="s">
        <v>92</v>
      </c>
      <c r="C215" s="163" t="s">
        <v>93</v>
      </c>
      <c r="D215" s="163" t="s">
        <v>182</v>
      </c>
      <c r="E215" s="163" t="s">
        <v>95</v>
      </c>
      <c r="F215" s="163" t="s">
        <v>96</v>
      </c>
      <c r="G215" s="163" t="s">
        <v>15</v>
      </c>
      <c r="H215" s="163" t="s">
        <v>163</v>
      </c>
      <c r="I215" s="163" t="s">
        <v>98</v>
      </c>
      <c r="J215" s="163" t="s">
        <v>99</v>
      </c>
      <c r="K215" s="163" t="s">
        <v>384</v>
      </c>
      <c r="L215" s="163"/>
      <c r="M215" s="163" t="s">
        <v>481</v>
      </c>
      <c r="N215" s="163" t="s">
        <v>102</v>
      </c>
      <c r="O215" s="162"/>
      <c r="P215" s="163"/>
      <c r="Q215" s="163" t="str">
        <f t="shared" ca="1" si="26"/>
        <v/>
      </c>
      <c r="R215" s="163" t="str">
        <f t="shared" ca="1" si="27"/>
        <v/>
      </c>
      <c r="S215" s="163" t="s">
        <v>103</v>
      </c>
      <c r="T215" s="164">
        <v>60890</v>
      </c>
      <c r="U215" s="164">
        <v>60890</v>
      </c>
      <c r="V215" s="162">
        <v>46149</v>
      </c>
      <c r="W215" s="163" t="s">
        <v>482</v>
      </c>
      <c r="X215" s="163" t="s">
        <v>30</v>
      </c>
      <c r="Y215" s="163" t="s">
        <v>85</v>
      </c>
      <c r="Z215" s="163"/>
      <c r="AA215" s="162">
        <v>46172</v>
      </c>
      <c r="AB215" s="195" t="str">
        <f t="shared" si="24"/>
        <v>May-26</v>
      </c>
      <c r="AC215" s="163"/>
      <c r="AD215" s="163" t="str">
        <f t="shared" si="25"/>
        <v/>
      </c>
      <c r="AE215" s="163"/>
    </row>
    <row r="216" spans="1:31" x14ac:dyDescent="0.35">
      <c r="A216" s="162">
        <v>46150</v>
      </c>
      <c r="B216" s="163" t="s">
        <v>452</v>
      </c>
      <c r="C216" s="163" t="s">
        <v>113</v>
      </c>
      <c r="D216" s="163" t="s">
        <v>483</v>
      </c>
      <c r="E216" s="163" t="s">
        <v>106</v>
      </c>
      <c r="F216" s="163" t="s">
        <v>135</v>
      </c>
      <c r="G216" s="163"/>
      <c r="H216" s="163" t="s">
        <v>115</v>
      </c>
      <c r="I216" s="163" t="s">
        <v>121</v>
      </c>
      <c r="J216" s="163" t="s">
        <v>147</v>
      </c>
      <c r="K216" s="163" t="s">
        <v>484</v>
      </c>
      <c r="L216" s="163"/>
      <c r="M216" s="163" t="s">
        <v>485</v>
      </c>
      <c r="N216" s="163" t="s">
        <v>128</v>
      </c>
      <c r="O216" s="162"/>
      <c r="P216" s="163"/>
      <c r="Q216" s="163">
        <f t="shared" ca="1" si="26"/>
        <v>175</v>
      </c>
      <c r="R216" s="163" t="str">
        <f t="shared" ca="1" si="27"/>
        <v/>
      </c>
      <c r="S216" s="163" t="s">
        <v>129</v>
      </c>
      <c r="T216" s="164"/>
      <c r="U216" s="164"/>
      <c r="V216" s="163"/>
      <c r="W216" s="163"/>
      <c r="X216" s="163"/>
      <c r="Y216" s="163"/>
      <c r="Z216" s="163"/>
      <c r="AA216" s="163"/>
      <c r="AB216" s="195" t="str">
        <f t="shared" si="24"/>
        <v>May-26</v>
      </c>
      <c r="AC216" s="163"/>
      <c r="AD216" s="163" t="str">
        <f t="shared" si="25"/>
        <v/>
      </c>
      <c r="AE216" s="163"/>
    </row>
    <row r="217" spans="1:31" x14ac:dyDescent="0.35">
      <c r="A217" s="162">
        <v>46150</v>
      </c>
      <c r="B217" s="163" t="s">
        <v>452</v>
      </c>
      <c r="C217" s="163" t="s">
        <v>113</v>
      </c>
      <c r="D217" s="163" t="s">
        <v>486</v>
      </c>
      <c r="E217" s="163" t="s">
        <v>95</v>
      </c>
      <c r="F217" s="163" t="s">
        <v>135</v>
      </c>
      <c r="G217" s="163"/>
      <c r="H217" s="163" t="s">
        <v>115</v>
      </c>
      <c r="I217" s="163" t="s">
        <v>121</v>
      </c>
      <c r="J217" s="163" t="s">
        <v>147</v>
      </c>
      <c r="K217" s="163" t="s">
        <v>487</v>
      </c>
      <c r="L217" s="163"/>
      <c r="M217" s="163" t="s">
        <v>488</v>
      </c>
      <c r="N217" s="163" t="s">
        <v>128</v>
      </c>
      <c r="O217" s="162"/>
      <c r="P217" s="163"/>
      <c r="Q217" s="163">
        <f t="shared" ca="1" si="26"/>
        <v>175</v>
      </c>
      <c r="R217" s="163" t="str">
        <f t="shared" ca="1" si="27"/>
        <v/>
      </c>
      <c r="S217" s="163" t="s">
        <v>133</v>
      </c>
      <c r="T217" s="164"/>
      <c r="U217" s="164"/>
      <c r="V217" s="163"/>
      <c r="W217" s="163"/>
      <c r="X217" s="163"/>
      <c r="Y217" s="163"/>
      <c r="Z217" s="163"/>
      <c r="AA217" s="163"/>
      <c r="AB217" s="195" t="str">
        <f t="shared" si="24"/>
        <v>May-26</v>
      </c>
      <c r="AC217" s="163"/>
      <c r="AD217" s="163" t="str">
        <f t="shared" si="25"/>
        <v/>
      </c>
      <c r="AE217" s="163"/>
    </row>
    <row r="218" spans="1:31" x14ac:dyDescent="0.35">
      <c r="A218" s="162">
        <v>46150</v>
      </c>
      <c r="B218" s="163" t="s">
        <v>452</v>
      </c>
      <c r="C218" s="163" t="s">
        <v>113</v>
      </c>
      <c r="D218" s="163" t="s">
        <v>486</v>
      </c>
      <c r="E218" s="163" t="s">
        <v>95</v>
      </c>
      <c r="F218" s="163" t="s">
        <v>135</v>
      </c>
      <c r="G218" s="163"/>
      <c r="H218" s="163" t="s">
        <v>226</v>
      </c>
      <c r="I218" s="163" t="s">
        <v>121</v>
      </c>
      <c r="J218" s="163" t="s">
        <v>147</v>
      </c>
      <c r="K218" s="163" t="s">
        <v>489</v>
      </c>
      <c r="L218" s="163"/>
      <c r="M218" s="163" t="s">
        <v>488</v>
      </c>
      <c r="N218" s="163" t="s">
        <v>128</v>
      </c>
      <c r="O218" s="162"/>
      <c r="P218" s="163"/>
      <c r="Q218" s="163">
        <f t="shared" ca="1" si="26"/>
        <v>175</v>
      </c>
      <c r="R218" s="163" t="str">
        <f t="shared" ca="1" si="27"/>
        <v/>
      </c>
      <c r="S218" s="163" t="s">
        <v>133</v>
      </c>
      <c r="T218" s="164"/>
      <c r="U218" s="164"/>
      <c r="V218" s="163"/>
      <c r="W218" s="163"/>
      <c r="X218" s="163"/>
      <c r="Y218" s="163"/>
      <c r="Z218" s="163"/>
      <c r="AA218" s="163"/>
      <c r="AB218" s="195" t="str">
        <f t="shared" si="24"/>
        <v>May-26</v>
      </c>
      <c r="AC218" s="163"/>
      <c r="AD218" s="163" t="str">
        <f t="shared" si="25"/>
        <v/>
      </c>
      <c r="AE218" s="163"/>
    </row>
    <row r="219" spans="1:31" x14ac:dyDescent="0.35">
      <c r="A219" s="162">
        <v>46150</v>
      </c>
      <c r="B219" s="163" t="s">
        <v>452</v>
      </c>
      <c r="C219" s="163" t="s">
        <v>113</v>
      </c>
      <c r="D219" s="163" t="s">
        <v>490</v>
      </c>
      <c r="E219" s="163" t="s">
        <v>95</v>
      </c>
      <c r="F219" s="163" t="s">
        <v>135</v>
      </c>
      <c r="G219" s="163"/>
      <c r="H219" s="163" t="s">
        <v>115</v>
      </c>
      <c r="I219" s="163" t="s">
        <v>121</v>
      </c>
      <c r="J219" s="163" t="s">
        <v>147</v>
      </c>
      <c r="K219" s="163" t="s">
        <v>491</v>
      </c>
      <c r="L219" s="163"/>
      <c r="M219" s="163" t="s">
        <v>492</v>
      </c>
      <c r="N219" s="163" t="s">
        <v>128</v>
      </c>
      <c r="O219" s="162"/>
      <c r="P219" s="163"/>
      <c r="Q219" s="163">
        <f t="shared" ca="1" si="26"/>
        <v>175</v>
      </c>
      <c r="R219" s="163" t="str">
        <f t="shared" ca="1" si="27"/>
        <v/>
      </c>
      <c r="S219" s="163" t="s">
        <v>133</v>
      </c>
      <c r="T219" s="164"/>
      <c r="U219" s="164"/>
      <c r="V219" s="163"/>
      <c r="W219" s="163"/>
      <c r="X219" s="163"/>
      <c r="Y219" s="163"/>
      <c r="Z219" s="163"/>
      <c r="AA219" s="163"/>
      <c r="AB219" s="195" t="str">
        <f t="shared" si="24"/>
        <v>May-26</v>
      </c>
      <c r="AC219" s="163"/>
      <c r="AD219" s="163" t="str">
        <f t="shared" si="25"/>
        <v/>
      </c>
      <c r="AE219" s="163"/>
    </row>
    <row r="220" spans="1:31" x14ac:dyDescent="0.35">
      <c r="A220" s="162">
        <v>46150</v>
      </c>
      <c r="B220" s="163" t="s">
        <v>452</v>
      </c>
      <c r="C220" s="163" t="s">
        <v>113</v>
      </c>
      <c r="D220" s="163" t="s">
        <v>437</v>
      </c>
      <c r="E220" s="163" t="s">
        <v>95</v>
      </c>
      <c r="F220" s="163" t="s">
        <v>135</v>
      </c>
      <c r="G220" s="163"/>
      <c r="H220" s="163" t="s">
        <v>163</v>
      </c>
      <c r="I220" s="163" t="s">
        <v>121</v>
      </c>
      <c r="J220" s="163" t="s">
        <v>438</v>
      </c>
      <c r="K220" s="169" t="s">
        <v>493</v>
      </c>
      <c r="L220" s="163"/>
      <c r="M220" s="163" t="s">
        <v>494</v>
      </c>
      <c r="N220" s="163" t="s">
        <v>495</v>
      </c>
      <c r="O220" s="162"/>
      <c r="P220" s="163"/>
      <c r="Q220" s="163">
        <f t="shared" ca="1" si="26"/>
        <v>175</v>
      </c>
      <c r="R220" s="163" t="str">
        <f t="shared" ca="1" si="27"/>
        <v/>
      </c>
      <c r="S220" s="163" t="s">
        <v>129</v>
      </c>
      <c r="T220" s="164">
        <v>20000</v>
      </c>
      <c r="U220" s="164"/>
      <c r="V220" s="163"/>
      <c r="W220" s="163"/>
      <c r="X220" s="163"/>
      <c r="Y220" s="163"/>
      <c r="Z220" s="163"/>
      <c r="AA220" s="163"/>
      <c r="AB220" s="195" t="str">
        <f t="shared" si="24"/>
        <v>May-26</v>
      </c>
      <c r="AC220" s="163"/>
      <c r="AD220" s="163" t="str">
        <f t="shared" si="25"/>
        <v/>
      </c>
      <c r="AE220" s="163"/>
    </row>
    <row r="221" spans="1:31" x14ac:dyDescent="0.35">
      <c r="A221" s="162">
        <v>46150</v>
      </c>
      <c r="B221" s="163" t="s">
        <v>125</v>
      </c>
      <c r="C221" s="163" t="s">
        <v>113</v>
      </c>
      <c r="D221" s="163" t="s">
        <v>391</v>
      </c>
      <c r="E221" s="163" t="s">
        <v>95</v>
      </c>
      <c r="F221" s="163" t="s">
        <v>96</v>
      </c>
      <c r="G221" s="163" t="s">
        <v>11</v>
      </c>
      <c r="H221" s="163" t="s">
        <v>163</v>
      </c>
      <c r="I221" s="163" t="s">
        <v>98</v>
      </c>
      <c r="J221" s="163" t="s">
        <v>147</v>
      </c>
      <c r="K221" s="163" t="s">
        <v>210</v>
      </c>
      <c r="L221" s="163"/>
      <c r="M221" s="163" t="s">
        <v>496</v>
      </c>
      <c r="N221" s="163" t="s">
        <v>102</v>
      </c>
      <c r="O221" s="162"/>
      <c r="P221" s="163"/>
      <c r="Q221" s="163" t="str">
        <f t="shared" ca="1" si="26"/>
        <v/>
      </c>
      <c r="R221" s="163" t="str">
        <f t="shared" ca="1" si="27"/>
        <v/>
      </c>
      <c r="S221" s="163" t="s">
        <v>103</v>
      </c>
      <c r="T221" s="164">
        <v>20000</v>
      </c>
      <c r="U221" s="164">
        <v>21917</v>
      </c>
      <c r="V221" s="162">
        <v>46150</v>
      </c>
      <c r="W221" s="163" t="s">
        <v>497</v>
      </c>
      <c r="X221" s="163" t="s">
        <v>46</v>
      </c>
      <c r="Y221" s="163" t="s">
        <v>85</v>
      </c>
      <c r="Z221" s="163"/>
      <c r="AA221" s="163"/>
      <c r="AB221" s="195" t="str">
        <f t="shared" si="24"/>
        <v>May-26</v>
      </c>
      <c r="AC221" s="163"/>
      <c r="AD221" s="163" t="str">
        <f t="shared" si="25"/>
        <v/>
      </c>
      <c r="AE221" s="163"/>
    </row>
    <row r="222" spans="1:31" x14ac:dyDescent="0.35">
      <c r="A222" s="162">
        <v>46150</v>
      </c>
      <c r="B222" s="163" t="s">
        <v>125</v>
      </c>
      <c r="C222" s="163" t="s">
        <v>113</v>
      </c>
      <c r="D222" s="163" t="s">
        <v>498</v>
      </c>
      <c r="E222" s="163" t="s">
        <v>106</v>
      </c>
      <c r="F222" s="163" t="s">
        <v>135</v>
      </c>
      <c r="G222" s="163"/>
      <c r="H222" s="163" t="s">
        <v>115</v>
      </c>
      <c r="I222" s="163" t="s">
        <v>121</v>
      </c>
      <c r="J222" s="163" t="s">
        <v>147</v>
      </c>
      <c r="K222" s="163" t="s">
        <v>499</v>
      </c>
      <c r="L222" s="163"/>
      <c r="M222" s="163" t="s">
        <v>369</v>
      </c>
      <c r="N222" s="163" t="s">
        <v>102</v>
      </c>
      <c r="O222" s="162"/>
      <c r="P222" s="163"/>
      <c r="Q222" s="163" t="str">
        <f t="shared" ca="1" si="26"/>
        <v/>
      </c>
      <c r="R222" s="163" t="str">
        <f t="shared" ca="1" si="27"/>
        <v/>
      </c>
      <c r="S222" s="163" t="s">
        <v>103</v>
      </c>
      <c r="T222" s="164">
        <v>10000</v>
      </c>
      <c r="U222" s="164">
        <v>10300</v>
      </c>
      <c r="V222" s="162">
        <v>46150</v>
      </c>
      <c r="W222" s="163"/>
      <c r="X222" s="163" t="s">
        <v>35</v>
      </c>
      <c r="Y222" s="163" t="s">
        <v>161</v>
      </c>
      <c r="Z222" s="163"/>
      <c r="AA222" s="162">
        <v>46150</v>
      </c>
      <c r="AB222" s="195" t="str">
        <f t="shared" si="24"/>
        <v>May-26</v>
      </c>
      <c r="AC222" s="163"/>
      <c r="AD222" s="163" t="str">
        <f t="shared" si="25"/>
        <v/>
      </c>
      <c r="AE222" s="163"/>
    </row>
    <row r="223" spans="1:31" x14ac:dyDescent="0.35">
      <c r="A223" s="162">
        <v>46150</v>
      </c>
      <c r="B223" s="163" t="s">
        <v>370</v>
      </c>
      <c r="C223" s="163" t="s">
        <v>93</v>
      </c>
      <c r="D223" s="163" t="s">
        <v>500</v>
      </c>
      <c r="E223" s="163" t="s">
        <v>106</v>
      </c>
      <c r="F223" s="163" t="s">
        <v>135</v>
      </c>
      <c r="G223" s="163"/>
      <c r="H223" s="163" t="s">
        <v>115</v>
      </c>
      <c r="I223" s="163" t="s">
        <v>121</v>
      </c>
      <c r="J223" s="163" t="s">
        <v>356</v>
      </c>
      <c r="K223" s="163" t="s">
        <v>501</v>
      </c>
      <c r="L223" s="163"/>
      <c r="M223" s="163" t="s">
        <v>468</v>
      </c>
      <c r="N223" s="163" t="s">
        <v>130</v>
      </c>
      <c r="O223" s="162">
        <v>46251</v>
      </c>
      <c r="P223" s="163" t="s">
        <v>106</v>
      </c>
      <c r="Q223" s="163">
        <f t="shared" ca="1" si="26"/>
        <v>175</v>
      </c>
      <c r="R223" s="163" t="str">
        <f t="shared" ca="1" si="27"/>
        <v>Yes</v>
      </c>
      <c r="S223" s="163" t="s">
        <v>129</v>
      </c>
      <c r="T223" s="164">
        <v>100000</v>
      </c>
      <c r="U223" s="164"/>
      <c r="V223" s="163"/>
      <c r="W223" s="163"/>
      <c r="X223" s="163"/>
      <c r="Y223" s="163"/>
      <c r="Z223" s="163"/>
      <c r="AA223" s="163"/>
      <c r="AB223" s="195" t="str">
        <f t="shared" si="24"/>
        <v>May-26</v>
      </c>
      <c r="AC223" s="163"/>
      <c r="AD223" s="163" t="str">
        <f t="shared" si="25"/>
        <v/>
      </c>
      <c r="AE223" s="163"/>
    </row>
    <row r="224" spans="1:31" x14ac:dyDescent="0.35">
      <c r="A224" s="162">
        <v>46150</v>
      </c>
      <c r="B224" s="163" t="s">
        <v>370</v>
      </c>
      <c r="C224" s="163" t="s">
        <v>93</v>
      </c>
      <c r="D224" s="163" t="s">
        <v>502</v>
      </c>
      <c r="E224" s="163" t="s">
        <v>106</v>
      </c>
      <c r="F224" s="163" t="s">
        <v>135</v>
      </c>
      <c r="G224" s="163"/>
      <c r="H224" s="163" t="s">
        <v>115</v>
      </c>
      <c r="I224" s="163" t="s">
        <v>121</v>
      </c>
      <c r="J224" s="163" t="s">
        <v>356</v>
      </c>
      <c r="K224" s="163" t="s">
        <v>503</v>
      </c>
      <c r="L224" s="163"/>
      <c r="M224" s="163" t="s">
        <v>468</v>
      </c>
      <c r="N224" s="163" t="s">
        <v>181</v>
      </c>
      <c r="O224" s="162">
        <v>46266</v>
      </c>
      <c r="P224" s="163" t="s">
        <v>95</v>
      </c>
      <c r="Q224" s="163">
        <f t="shared" ca="1" si="26"/>
        <v>175</v>
      </c>
      <c r="R224" s="163" t="str">
        <f t="shared" ca="1" si="27"/>
        <v/>
      </c>
      <c r="S224" s="163" t="s">
        <v>129</v>
      </c>
      <c r="T224" s="164">
        <v>50000</v>
      </c>
      <c r="U224" s="164"/>
      <c r="V224" s="163"/>
      <c r="W224" s="163"/>
      <c r="X224" s="163"/>
      <c r="Y224" s="163"/>
      <c r="Z224" s="163"/>
      <c r="AA224" s="163"/>
      <c r="AB224" s="195" t="str">
        <f t="shared" si="24"/>
        <v>May-26</v>
      </c>
      <c r="AC224" s="163"/>
      <c r="AD224" s="163" t="str">
        <f t="shared" si="25"/>
        <v/>
      </c>
      <c r="AE224" s="163"/>
    </row>
    <row r="225" spans="1:31" x14ac:dyDescent="0.35">
      <c r="A225" s="162">
        <v>46150</v>
      </c>
      <c r="B225" s="163" t="s">
        <v>370</v>
      </c>
      <c r="C225" s="163" t="s">
        <v>93</v>
      </c>
      <c r="D225" s="163" t="s">
        <v>504</v>
      </c>
      <c r="E225" s="163" t="s">
        <v>106</v>
      </c>
      <c r="F225" s="163" t="s">
        <v>135</v>
      </c>
      <c r="G225" s="163"/>
      <c r="H225" s="163" t="s">
        <v>115</v>
      </c>
      <c r="I225" s="163" t="s">
        <v>121</v>
      </c>
      <c r="J225" s="163" t="s">
        <v>136</v>
      </c>
      <c r="K225" s="163" t="s">
        <v>365</v>
      </c>
      <c r="L225" s="163"/>
      <c r="M225" s="163" t="s">
        <v>468</v>
      </c>
      <c r="N225" s="163" t="s">
        <v>181</v>
      </c>
      <c r="O225" s="162"/>
      <c r="P225" s="163" t="s">
        <v>95</v>
      </c>
      <c r="Q225" s="163">
        <f t="shared" ca="1" si="26"/>
        <v>175</v>
      </c>
      <c r="R225" s="163" t="str">
        <f t="shared" ca="1" si="27"/>
        <v/>
      </c>
      <c r="S225" s="163" t="s">
        <v>133</v>
      </c>
      <c r="T225" s="164">
        <v>50000</v>
      </c>
      <c r="U225" s="164"/>
      <c r="V225" s="163"/>
      <c r="W225" s="163"/>
      <c r="X225" s="163"/>
      <c r="Y225" s="163"/>
      <c r="Z225" s="163"/>
      <c r="AA225" s="163"/>
      <c r="AB225" s="195" t="str">
        <f t="shared" si="24"/>
        <v>May-26</v>
      </c>
      <c r="AC225" s="163"/>
      <c r="AD225" s="163" t="str">
        <f t="shared" si="25"/>
        <v/>
      </c>
      <c r="AE225" s="163"/>
    </row>
    <row r="226" spans="1:31" x14ac:dyDescent="0.35">
      <c r="A226" s="162">
        <v>46150</v>
      </c>
      <c r="B226" s="163" t="s">
        <v>370</v>
      </c>
      <c r="C226" s="163" t="s">
        <v>93</v>
      </c>
      <c r="D226" s="163" t="s">
        <v>256</v>
      </c>
      <c r="E226" s="163" t="s">
        <v>95</v>
      </c>
      <c r="F226" s="163" t="s">
        <v>115</v>
      </c>
      <c r="G226" s="163"/>
      <c r="H226" s="163" t="s">
        <v>115</v>
      </c>
      <c r="I226" s="163" t="s">
        <v>121</v>
      </c>
      <c r="J226" s="163" t="s">
        <v>262</v>
      </c>
      <c r="K226" s="163" t="s">
        <v>256</v>
      </c>
      <c r="L226" s="163"/>
      <c r="M226" s="163" t="s">
        <v>505</v>
      </c>
      <c r="N226" s="163" t="s">
        <v>181</v>
      </c>
      <c r="O226" s="162"/>
      <c r="P226" s="163"/>
      <c r="Q226" s="163">
        <f t="shared" ca="1" si="26"/>
        <v>175</v>
      </c>
      <c r="R226" s="163" t="str">
        <f t="shared" ca="1" si="27"/>
        <v/>
      </c>
      <c r="S226" s="163" t="s">
        <v>129</v>
      </c>
      <c r="T226" s="164">
        <v>10000</v>
      </c>
      <c r="U226" s="164"/>
      <c r="V226" s="163"/>
      <c r="W226" s="163"/>
      <c r="X226" s="163"/>
      <c r="Y226" s="163"/>
      <c r="Z226" s="163"/>
      <c r="AA226" s="163"/>
      <c r="AB226" s="195" t="str">
        <f t="shared" si="24"/>
        <v>May-26</v>
      </c>
      <c r="AC226" s="163"/>
      <c r="AD226" s="163" t="str">
        <f t="shared" si="25"/>
        <v/>
      </c>
      <c r="AE226" s="163"/>
    </row>
    <row r="227" spans="1:31" x14ac:dyDescent="0.35">
      <c r="A227" s="162">
        <v>46150</v>
      </c>
      <c r="B227" s="163" t="s">
        <v>92</v>
      </c>
      <c r="C227" s="163" t="s">
        <v>93</v>
      </c>
      <c r="D227" s="163" t="s">
        <v>506</v>
      </c>
      <c r="E227" s="163" t="s">
        <v>106</v>
      </c>
      <c r="F227" s="163" t="s">
        <v>96</v>
      </c>
      <c r="G227" s="163" t="s">
        <v>14</v>
      </c>
      <c r="H227" s="163" t="s">
        <v>226</v>
      </c>
      <c r="I227" s="163" t="s">
        <v>121</v>
      </c>
      <c r="J227" s="163" t="s">
        <v>388</v>
      </c>
      <c r="K227" s="163" t="s">
        <v>198</v>
      </c>
      <c r="L227" s="163"/>
      <c r="M227" s="163" t="s">
        <v>507</v>
      </c>
      <c r="N227" s="163" t="s">
        <v>102</v>
      </c>
      <c r="O227" s="162"/>
      <c r="P227" s="163"/>
      <c r="Q227" s="163" t="str">
        <f t="shared" ca="1" si="26"/>
        <v/>
      </c>
      <c r="R227" s="163" t="str">
        <f t="shared" ca="1" si="27"/>
        <v/>
      </c>
      <c r="S227" s="163" t="s">
        <v>103</v>
      </c>
      <c r="T227" s="164">
        <v>45250</v>
      </c>
      <c r="U227" s="164">
        <v>45250</v>
      </c>
      <c r="V227" s="162">
        <v>46152</v>
      </c>
      <c r="W227" s="163"/>
      <c r="X227" s="163" t="s">
        <v>27</v>
      </c>
      <c r="Y227" s="163" t="s">
        <v>85</v>
      </c>
      <c r="Z227" s="163"/>
      <c r="AA227" s="163"/>
      <c r="AB227" s="195" t="str">
        <f t="shared" si="24"/>
        <v>May-26</v>
      </c>
      <c r="AC227" s="163"/>
      <c r="AD227" s="163" t="str">
        <f t="shared" si="25"/>
        <v/>
      </c>
      <c r="AE227" s="163"/>
    </row>
    <row r="228" spans="1:31" x14ac:dyDescent="0.35">
      <c r="A228" s="162">
        <v>46150</v>
      </c>
      <c r="B228" s="163" t="s">
        <v>92</v>
      </c>
      <c r="C228" s="163" t="s">
        <v>93</v>
      </c>
      <c r="D228" s="163" t="s">
        <v>182</v>
      </c>
      <c r="E228" s="163" t="s">
        <v>95</v>
      </c>
      <c r="F228" s="163" t="s">
        <v>96</v>
      </c>
      <c r="G228" s="163" t="s">
        <v>15</v>
      </c>
      <c r="H228" s="163" t="s">
        <v>163</v>
      </c>
      <c r="I228" s="163" t="s">
        <v>98</v>
      </c>
      <c r="J228" s="163" t="s">
        <v>99</v>
      </c>
      <c r="K228" s="163" t="s">
        <v>384</v>
      </c>
      <c r="L228" s="163"/>
      <c r="M228" s="163" t="s">
        <v>508</v>
      </c>
      <c r="N228" s="163" t="s">
        <v>102</v>
      </c>
      <c r="O228" s="162"/>
      <c r="P228" s="163"/>
      <c r="Q228" s="163" t="str">
        <f t="shared" ca="1" si="26"/>
        <v/>
      </c>
      <c r="R228" s="163" t="str">
        <f t="shared" ca="1" si="27"/>
        <v/>
      </c>
      <c r="S228" s="163" t="s">
        <v>103</v>
      </c>
      <c r="T228" s="164">
        <v>78270</v>
      </c>
      <c r="U228" s="164">
        <v>78270</v>
      </c>
      <c r="V228" s="162">
        <v>46150</v>
      </c>
      <c r="W228" s="163" t="s">
        <v>509</v>
      </c>
      <c r="X228" s="163" t="s">
        <v>30</v>
      </c>
      <c r="Y228" s="163" t="s">
        <v>85</v>
      </c>
      <c r="Z228" s="163"/>
      <c r="AA228" s="162">
        <v>46172</v>
      </c>
      <c r="AB228" s="195" t="str">
        <f t="shared" si="24"/>
        <v>May-26</v>
      </c>
      <c r="AC228" s="163"/>
      <c r="AD228" s="163" t="str">
        <f t="shared" si="25"/>
        <v/>
      </c>
      <c r="AE228" s="163"/>
    </row>
    <row r="229" spans="1:31" x14ac:dyDescent="0.35">
      <c r="A229" s="162">
        <v>46150</v>
      </c>
      <c r="B229" s="163" t="s">
        <v>125</v>
      </c>
      <c r="C229" s="163" t="s">
        <v>113</v>
      </c>
      <c r="D229" s="163" t="s">
        <v>506</v>
      </c>
      <c r="E229" s="163" t="s">
        <v>106</v>
      </c>
      <c r="F229" s="163" t="s">
        <v>96</v>
      </c>
      <c r="G229" s="163" t="s">
        <v>14</v>
      </c>
      <c r="H229" s="163" t="s">
        <v>226</v>
      </c>
      <c r="I229" s="163" t="s">
        <v>121</v>
      </c>
      <c r="J229" s="163" t="s">
        <v>388</v>
      </c>
      <c r="K229" s="163" t="s">
        <v>154</v>
      </c>
      <c r="L229" s="163"/>
      <c r="M229" s="163" t="s">
        <v>507</v>
      </c>
      <c r="N229" s="163" t="s">
        <v>102</v>
      </c>
      <c r="O229" s="162"/>
      <c r="P229" s="163"/>
      <c r="Q229" s="163" t="str">
        <f t="shared" ca="1" si="26"/>
        <v/>
      </c>
      <c r="R229" s="163" t="str">
        <f t="shared" ca="1" si="27"/>
        <v/>
      </c>
      <c r="S229" s="163" t="s">
        <v>103</v>
      </c>
      <c r="T229" s="164">
        <v>45000</v>
      </c>
      <c r="U229" s="164">
        <v>45250</v>
      </c>
      <c r="V229" s="162">
        <v>46152</v>
      </c>
      <c r="W229" s="163"/>
      <c r="X229" s="163" t="s">
        <v>30</v>
      </c>
      <c r="Y229" s="163" t="s">
        <v>85</v>
      </c>
      <c r="Z229" s="163"/>
      <c r="AA229" s="163"/>
      <c r="AB229" s="195" t="str">
        <f t="shared" si="24"/>
        <v>May-26</v>
      </c>
      <c r="AC229" s="163"/>
      <c r="AD229" s="163" t="str">
        <f t="shared" si="25"/>
        <v/>
      </c>
      <c r="AE229" s="163"/>
    </row>
    <row r="230" spans="1:31" x14ac:dyDescent="0.35">
      <c r="A230" s="162">
        <v>46151</v>
      </c>
      <c r="B230" s="163" t="s">
        <v>125</v>
      </c>
      <c r="C230" s="163" t="s">
        <v>113</v>
      </c>
      <c r="D230" s="163" t="s">
        <v>397</v>
      </c>
      <c r="E230" s="163" t="s">
        <v>106</v>
      </c>
      <c r="F230" s="163" t="s">
        <v>96</v>
      </c>
      <c r="G230" s="163" t="s">
        <v>13</v>
      </c>
      <c r="H230" s="163" t="s">
        <v>226</v>
      </c>
      <c r="I230" s="163" t="s">
        <v>121</v>
      </c>
      <c r="J230" s="163" t="s">
        <v>153</v>
      </c>
      <c r="K230" s="163" t="s">
        <v>361</v>
      </c>
      <c r="L230" s="163"/>
      <c r="M230" s="163" t="s">
        <v>398</v>
      </c>
      <c r="N230" s="163" t="s">
        <v>102</v>
      </c>
      <c r="O230" s="162"/>
      <c r="P230" s="163"/>
      <c r="Q230" s="163" t="str">
        <f t="shared" ca="1" si="26"/>
        <v/>
      </c>
      <c r="R230" s="163" t="str">
        <f t="shared" ca="1" si="27"/>
        <v/>
      </c>
      <c r="S230" s="163" t="s">
        <v>103</v>
      </c>
      <c r="T230" s="164">
        <v>25000</v>
      </c>
      <c r="U230" s="164">
        <v>22400</v>
      </c>
      <c r="V230" s="162">
        <v>46151</v>
      </c>
      <c r="W230" s="163"/>
      <c r="X230" s="163" t="s">
        <v>37</v>
      </c>
      <c r="Y230" s="163" t="s">
        <v>85</v>
      </c>
      <c r="Z230" s="163"/>
      <c r="AA230" s="163"/>
      <c r="AB230" s="195" t="str">
        <f t="shared" si="24"/>
        <v>May-26</v>
      </c>
      <c r="AC230" s="163"/>
      <c r="AD230" s="163" t="str">
        <f t="shared" si="25"/>
        <v/>
      </c>
      <c r="AE230" s="163"/>
    </row>
    <row r="231" spans="1:31" x14ac:dyDescent="0.35">
      <c r="A231" s="162">
        <v>46152</v>
      </c>
      <c r="B231" s="163" t="s">
        <v>125</v>
      </c>
      <c r="C231" s="163" t="s">
        <v>113</v>
      </c>
      <c r="D231" s="163" t="s">
        <v>397</v>
      </c>
      <c r="E231" s="163" t="s">
        <v>106</v>
      </c>
      <c r="F231" s="163" t="s">
        <v>96</v>
      </c>
      <c r="G231" s="163" t="s">
        <v>13</v>
      </c>
      <c r="H231" s="163" t="s">
        <v>226</v>
      </c>
      <c r="I231" s="163" t="s">
        <v>121</v>
      </c>
      <c r="J231" s="163" t="s">
        <v>153</v>
      </c>
      <c r="K231" s="163" t="s">
        <v>361</v>
      </c>
      <c r="L231" s="163"/>
      <c r="M231" s="163" t="s">
        <v>398</v>
      </c>
      <c r="N231" s="163" t="s">
        <v>102</v>
      </c>
      <c r="O231" s="162"/>
      <c r="P231" s="163"/>
      <c r="Q231" s="163" t="str">
        <f t="shared" ca="1" si="26"/>
        <v/>
      </c>
      <c r="R231" s="163" t="str">
        <f t="shared" ca="1" si="27"/>
        <v/>
      </c>
      <c r="S231" s="163" t="s">
        <v>103</v>
      </c>
      <c r="T231" s="164">
        <v>20000</v>
      </c>
      <c r="U231" s="164">
        <v>22100</v>
      </c>
      <c r="V231" s="162">
        <v>46152</v>
      </c>
      <c r="W231" s="163"/>
      <c r="X231" s="163" t="s">
        <v>37</v>
      </c>
      <c r="Y231" s="163" t="s">
        <v>85</v>
      </c>
      <c r="Z231" s="163"/>
      <c r="AA231" s="163"/>
      <c r="AB231" s="195" t="str">
        <f t="shared" si="24"/>
        <v>May-26</v>
      </c>
      <c r="AC231" s="163"/>
      <c r="AD231" s="163" t="str">
        <f t="shared" si="25"/>
        <v/>
      </c>
      <c r="AE231" s="163"/>
    </row>
    <row r="232" spans="1:31" x14ac:dyDescent="0.35">
      <c r="A232" s="162">
        <v>46153</v>
      </c>
      <c r="B232" s="163" t="s">
        <v>452</v>
      </c>
      <c r="C232" s="163" t="s">
        <v>113</v>
      </c>
      <c r="D232" s="163" t="s">
        <v>510</v>
      </c>
      <c r="E232" s="163" t="s">
        <v>95</v>
      </c>
      <c r="F232" s="163" t="s">
        <v>135</v>
      </c>
      <c r="G232" s="163"/>
      <c r="H232" s="163" t="s">
        <v>115</v>
      </c>
      <c r="I232" s="163" t="s">
        <v>121</v>
      </c>
      <c r="J232" s="163" t="s">
        <v>147</v>
      </c>
      <c r="K232" s="163" t="s">
        <v>511</v>
      </c>
      <c r="L232" s="163"/>
      <c r="M232" s="163" t="s">
        <v>512</v>
      </c>
      <c r="N232" s="163" t="s">
        <v>102</v>
      </c>
      <c r="O232" s="162"/>
      <c r="P232" s="163"/>
      <c r="Q232" s="163" t="str">
        <f t="shared" ca="1" si="26"/>
        <v/>
      </c>
      <c r="R232" s="163" t="str">
        <f t="shared" ca="1" si="27"/>
        <v/>
      </c>
      <c r="S232" s="163" t="s">
        <v>103</v>
      </c>
      <c r="T232" s="164">
        <v>6847</v>
      </c>
      <c r="U232" s="164">
        <v>6847</v>
      </c>
      <c r="V232" s="162">
        <v>46153</v>
      </c>
      <c r="W232" s="163" t="s">
        <v>513</v>
      </c>
      <c r="X232" s="163" t="s">
        <v>39</v>
      </c>
      <c r="Y232" s="163" t="s">
        <v>161</v>
      </c>
      <c r="Z232" s="163"/>
      <c r="AA232" s="162">
        <v>46153</v>
      </c>
      <c r="AB232" s="195" t="str">
        <f t="shared" si="24"/>
        <v>May-26</v>
      </c>
      <c r="AC232" s="163"/>
      <c r="AD232" s="163" t="str">
        <f t="shared" si="25"/>
        <v/>
      </c>
      <c r="AE232" s="163" t="s">
        <v>270</v>
      </c>
    </row>
    <row r="233" spans="1:31" x14ac:dyDescent="0.35">
      <c r="A233" s="162">
        <v>46153</v>
      </c>
      <c r="B233" s="163" t="s">
        <v>92</v>
      </c>
      <c r="C233" s="163" t="s">
        <v>93</v>
      </c>
      <c r="D233" s="163" t="s">
        <v>323</v>
      </c>
      <c r="E233" s="163" t="s">
        <v>106</v>
      </c>
      <c r="F233" s="163" t="s">
        <v>96</v>
      </c>
      <c r="G233" s="163" t="s">
        <v>10</v>
      </c>
      <c r="H233" s="163" t="s">
        <v>115</v>
      </c>
      <c r="I233" s="163" t="s">
        <v>98</v>
      </c>
      <c r="J233" s="163" t="s">
        <v>147</v>
      </c>
      <c r="K233" s="163" t="s">
        <v>324</v>
      </c>
      <c r="L233" s="163"/>
      <c r="M233" s="163" t="s">
        <v>514</v>
      </c>
      <c r="N233" s="163" t="s">
        <v>181</v>
      </c>
      <c r="O233" s="162"/>
      <c r="P233" s="163"/>
      <c r="Q233" s="163">
        <f t="shared" ca="1" si="26"/>
        <v>172</v>
      </c>
      <c r="R233" s="163" t="str">
        <f t="shared" ca="1" si="27"/>
        <v/>
      </c>
      <c r="S233" s="163" t="s">
        <v>103</v>
      </c>
      <c r="T233" s="164">
        <v>0</v>
      </c>
      <c r="U233" s="164">
        <v>0</v>
      </c>
      <c r="V233" s="162">
        <v>46162</v>
      </c>
      <c r="W233" s="163"/>
      <c r="X233" s="163"/>
      <c r="Y233" s="163"/>
      <c r="Z233" s="163"/>
      <c r="AA233" s="163"/>
      <c r="AB233" s="195" t="str">
        <f t="shared" si="24"/>
        <v>May-26</v>
      </c>
      <c r="AC233" s="163"/>
      <c r="AD233" s="163" t="str">
        <f t="shared" ref="AD233:AD258" si="28">IF(AC233="Yes",U233*2%,"")</f>
        <v/>
      </c>
      <c r="AE233" s="163"/>
    </row>
    <row r="234" spans="1:31" x14ac:dyDescent="0.35">
      <c r="A234" s="162">
        <v>46153</v>
      </c>
      <c r="B234" s="163" t="s">
        <v>452</v>
      </c>
      <c r="C234" s="163" t="s">
        <v>113</v>
      </c>
      <c r="D234" s="163" t="s">
        <v>515</v>
      </c>
      <c r="E234" s="163" t="s">
        <v>106</v>
      </c>
      <c r="F234" s="163" t="s">
        <v>135</v>
      </c>
      <c r="G234" s="163"/>
      <c r="H234" s="163" t="s">
        <v>226</v>
      </c>
      <c r="I234" s="163" t="s">
        <v>121</v>
      </c>
      <c r="J234" s="163" t="s">
        <v>147</v>
      </c>
      <c r="K234" s="163" t="s">
        <v>516</v>
      </c>
      <c r="L234" s="163"/>
      <c r="M234" s="163" t="s">
        <v>517</v>
      </c>
      <c r="N234" s="163" t="s">
        <v>128</v>
      </c>
      <c r="O234" s="162"/>
      <c r="P234" s="163"/>
      <c r="Q234" s="163">
        <f t="shared" ca="1" si="26"/>
        <v>172</v>
      </c>
      <c r="R234" s="163" t="str">
        <f t="shared" ca="1" si="27"/>
        <v/>
      </c>
      <c r="S234" s="163" t="s">
        <v>133</v>
      </c>
      <c r="T234" s="164"/>
      <c r="U234" s="164"/>
      <c r="V234" s="163"/>
      <c r="W234" s="163"/>
      <c r="X234" s="163"/>
      <c r="Y234" s="163"/>
      <c r="Z234" s="163"/>
      <c r="AA234" s="163"/>
      <c r="AB234" s="195" t="str">
        <f t="shared" si="24"/>
        <v>May-26</v>
      </c>
      <c r="AC234" s="163"/>
      <c r="AD234" s="163" t="str">
        <f t="shared" si="28"/>
        <v/>
      </c>
      <c r="AE234" s="163"/>
    </row>
    <row r="235" spans="1:31" x14ac:dyDescent="0.35">
      <c r="A235" s="162">
        <v>46153</v>
      </c>
      <c r="B235" s="163" t="s">
        <v>452</v>
      </c>
      <c r="C235" s="163" t="s">
        <v>113</v>
      </c>
      <c r="D235" s="163" t="s">
        <v>518</v>
      </c>
      <c r="E235" s="163" t="s">
        <v>106</v>
      </c>
      <c r="F235" s="163" t="s">
        <v>135</v>
      </c>
      <c r="G235" s="163"/>
      <c r="H235" s="163" t="s">
        <v>115</v>
      </c>
      <c r="I235" s="163" t="s">
        <v>121</v>
      </c>
      <c r="J235" s="163" t="s">
        <v>147</v>
      </c>
      <c r="K235" s="163" t="s">
        <v>519</v>
      </c>
      <c r="L235" s="163"/>
      <c r="M235" s="163" t="s">
        <v>520</v>
      </c>
      <c r="N235" s="163" t="s">
        <v>495</v>
      </c>
      <c r="O235" s="162"/>
      <c r="P235" s="163"/>
      <c r="Q235" s="163">
        <f t="shared" ca="1" si="26"/>
        <v>172</v>
      </c>
      <c r="R235" s="163" t="str">
        <f t="shared" ca="1" si="27"/>
        <v/>
      </c>
      <c r="S235" s="163" t="s">
        <v>129</v>
      </c>
      <c r="T235" s="164"/>
      <c r="U235" s="164"/>
      <c r="V235" s="163"/>
      <c r="W235" s="163"/>
      <c r="X235" s="163"/>
      <c r="Y235" s="163"/>
      <c r="Z235" s="163"/>
      <c r="AA235" s="163"/>
      <c r="AB235" s="195" t="str">
        <f t="shared" si="24"/>
        <v>May-26</v>
      </c>
      <c r="AC235" s="163"/>
      <c r="AD235" s="163" t="str">
        <f t="shared" si="28"/>
        <v/>
      </c>
      <c r="AE235" s="163"/>
    </row>
    <row r="236" spans="1:31" x14ac:dyDescent="0.35">
      <c r="A236" s="162">
        <v>46153</v>
      </c>
      <c r="B236" s="163" t="s">
        <v>452</v>
      </c>
      <c r="C236" s="163" t="s">
        <v>113</v>
      </c>
      <c r="D236" s="163" t="s">
        <v>521</v>
      </c>
      <c r="E236" s="163" t="s">
        <v>95</v>
      </c>
      <c r="F236" s="163" t="s">
        <v>135</v>
      </c>
      <c r="G236" s="163"/>
      <c r="H236" s="163" t="s">
        <v>115</v>
      </c>
      <c r="I236" s="163" t="s">
        <v>121</v>
      </c>
      <c r="J236" s="163" t="s">
        <v>147</v>
      </c>
      <c r="K236" s="163" t="s">
        <v>522</v>
      </c>
      <c r="L236" s="163"/>
      <c r="M236" s="163" t="s">
        <v>523</v>
      </c>
      <c r="N236" s="163" t="s">
        <v>128</v>
      </c>
      <c r="O236" s="162"/>
      <c r="P236" s="163"/>
      <c r="Q236" s="163">
        <f t="shared" ca="1" si="26"/>
        <v>172</v>
      </c>
      <c r="R236" s="163" t="str">
        <f t="shared" ca="1" si="27"/>
        <v/>
      </c>
      <c r="S236" s="163" t="s">
        <v>129</v>
      </c>
      <c r="T236" s="164"/>
      <c r="U236" s="164"/>
      <c r="V236" s="163"/>
      <c r="W236" s="163"/>
      <c r="X236" s="163"/>
      <c r="Y236" s="163"/>
      <c r="Z236" s="163"/>
      <c r="AA236" s="163"/>
      <c r="AB236" s="195" t="str">
        <f t="shared" si="24"/>
        <v>May-26</v>
      </c>
      <c r="AC236" s="163"/>
      <c r="AD236" s="163" t="str">
        <f t="shared" si="28"/>
        <v/>
      </c>
      <c r="AE236" s="163"/>
    </row>
    <row r="237" spans="1:31" x14ac:dyDescent="0.35">
      <c r="A237" s="162">
        <v>46153</v>
      </c>
      <c r="B237" s="163" t="s">
        <v>125</v>
      </c>
      <c r="C237" s="163" t="s">
        <v>113</v>
      </c>
      <c r="D237" s="163" t="s">
        <v>524</v>
      </c>
      <c r="E237" s="163" t="s">
        <v>95</v>
      </c>
      <c r="F237" s="163" t="s">
        <v>96</v>
      </c>
      <c r="G237" s="163" t="s">
        <v>15</v>
      </c>
      <c r="H237" s="163" t="s">
        <v>163</v>
      </c>
      <c r="I237" s="163" t="s">
        <v>121</v>
      </c>
      <c r="J237" s="163" t="s">
        <v>147</v>
      </c>
      <c r="K237" s="163" t="s">
        <v>525</v>
      </c>
      <c r="L237" s="163"/>
      <c r="M237" s="163" t="s">
        <v>526</v>
      </c>
      <c r="N237" s="163" t="s">
        <v>102</v>
      </c>
      <c r="O237" s="162"/>
      <c r="P237" s="163"/>
      <c r="Q237" s="163" t="str">
        <f t="shared" ca="1" si="26"/>
        <v/>
      </c>
      <c r="R237" s="163" t="str">
        <f t="shared" ca="1" si="27"/>
        <v/>
      </c>
      <c r="S237" s="163" t="s">
        <v>103</v>
      </c>
      <c r="T237" s="164">
        <v>15000</v>
      </c>
      <c r="U237" s="164">
        <v>13450</v>
      </c>
      <c r="V237" s="162">
        <v>46153</v>
      </c>
      <c r="W237" s="163"/>
      <c r="X237" s="163" t="s">
        <v>35</v>
      </c>
      <c r="Y237" s="163" t="s">
        <v>85</v>
      </c>
      <c r="Z237" s="163"/>
      <c r="AA237" s="163"/>
      <c r="AB237" s="195" t="str">
        <f t="shared" si="24"/>
        <v>May-26</v>
      </c>
      <c r="AC237" s="163"/>
      <c r="AD237" s="163" t="str">
        <f t="shared" si="28"/>
        <v/>
      </c>
      <c r="AE237" s="163"/>
    </row>
    <row r="238" spans="1:31" x14ac:dyDescent="0.35">
      <c r="A238" s="162">
        <v>46153</v>
      </c>
      <c r="B238" s="163" t="s">
        <v>125</v>
      </c>
      <c r="C238" s="163" t="s">
        <v>113</v>
      </c>
      <c r="D238" s="163" t="s">
        <v>397</v>
      </c>
      <c r="E238" s="163" t="s">
        <v>106</v>
      </c>
      <c r="F238" s="163" t="s">
        <v>96</v>
      </c>
      <c r="G238" s="163" t="s">
        <v>13</v>
      </c>
      <c r="H238" s="163" t="s">
        <v>226</v>
      </c>
      <c r="I238" s="163" t="s">
        <v>121</v>
      </c>
      <c r="J238" s="163" t="s">
        <v>153</v>
      </c>
      <c r="K238" s="163" t="s">
        <v>361</v>
      </c>
      <c r="L238" s="163"/>
      <c r="M238" s="163" t="s">
        <v>398</v>
      </c>
      <c r="N238" s="163" t="s">
        <v>102</v>
      </c>
      <c r="O238" s="162"/>
      <c r="P238" s="163"/>
      <c r="Q238" s="163" t="str">
        <f t="shared" ca="1" si="26"/>
        <v/>
      </c>
      <c r="R238" s="163" t="str">
        <f t="shared" ca="1" si="27"/>
        <v/>
      </c>
      <c r="S238" s="163" t="s">
        <v>103</v>
      </c>
      <c r="T238" s="164">
        <v>5000</v>
      </c>
      <c r="U238" s="164">
        <v>3700</v>
      </c>
      <c r="V238" s="162">
        <v>46153</v>
      </c>
      <c r="W238" s="163"/>
      <c r="X238" s="163" t="s">
        <v>37</v>
      </c>
      <c r="Y238" s="163" t="s">
        <v>85</v>
      </c>
      <c r="Z238" s="163"/>
      <c r="AA238" s="163"/>
      <c r="AB238" s="195" t="str">
        <f t="shared" si="24"/>
        <v>May-26</v>
      </c>
      <c r="AC238" s="163"/>
      <c r="AD238" s="163" t="str">
        <f t="shared" si="28"/>
        <v/>
      </c>
      <c r="AE238" s="163"/>
    </row>
    <row r="239" spans="1:31" x14ac:dyDescent="0.35">
      <c r="A239" s="162">
        <v>46153</v>
      </c>
      <c r="B239" s="163" t="s">
        <v>370</v>
      </c>
      <c r="C239" s="163" t="s">
        <v>93</v>
      </c>
      <c r="D239" s="163" t="s">
        <v>527</v>
      </c>
      <c r="E239" s="163" t="s">
        <v>106</v>
      </c>
      <c r="F239" s="163" t="s">
        <v>115</v>
      </c>
      <c r="G239" s="163"/>
      <c r="H239" s="163" t="s">
        <v>115</v>
      </c>
      <c r="I239" s="163" t="s">
        <v>121</v>
      </c>
      <c r="J239" s="163" t="s">
        <v>153</v>
      </c>
      <c r="K239" s="163" t="s">
        <v>528</v>
      </c>
      <c r="L239" s="163"/>
      <c r="M239" s="163" t="s">
        <v>529</v>
      </c>
      <c r="N239" s="163" t="s">
        <v>181</v>
      </c>
      <c r="O239" s="162"/>
      <c r="P239" s="163"/>
      <c r="Q239" s="163">
        <f t="shared" ca="1" si="26"/>
        <v>172</v>
      </c>
      <c r="R239" s="163" t="str">
        <f t="shared" ca="1" si="27"/>
        <v/>
      </c>
      <c r="S239" s="163" t="s">
        <v>129</v>
      </c>
      <c r="T239" s="164">
        <v>30000</v>
      </c>
      <c r="U239" s="164"/>
      <c r="V239" s="163"/>
      <c r="W239" s="163"/>
      <c r="X239" s="163"/>
      <c r="Y239" s="163"/>
      <c r="Z239" s="163"/>
      <c r="AA239" s="163"/>
      <c r="AB239" s="195" t="str">
        <f t="shared" si="24"/>
        <v>May-26</v>
      </c>
      <c r="AC239" s="163"/>
      <c r="AD239" s="163" t="str">
        <f t="shared" si="28"/>
        <v/>
      </c>
      <c r="AE239" s="163"/>
    </row>
    <row r="240" spans="1:31" x14ac:dyDescent="0.35">
      <c r="A240" s="162">
        <v>46153</v>
      </c>
      <c r="B240" s="163" t="s">
        <v>92</v>
      </c>
      <c r="C240" s="163" t="s">
        <v>93</v>
      </c>
      <c r="D240" s="163" t="s">
        <v>182</v>
      </c>
      <c r="E240" s="163" t="s">
        <v>95</v>
      </c>
      <c r="F240" s="163" t="s">
        <v>96</v>
      </c>
      <c r="G240" s="163" t="s">
        <v>15</v>
      </c>
      <c r="H240" s="163" t="s">
        <v>163</v>
      </c>
      <c r="I240" s="163" t="s">
        <v>98</v>
      </c>
      <c r="J240" s="163" t="s">
        <v>99</v>
      </c>
      <c r="K240" s="163" t="s">
        <v>384</v>
      </c>
      <c r="L240" s="163"/>
      <c r="M240" s="163" t="s">
        <v>530</v>
      </c>
      <c r="N240" s="163" t="s">
        <v>102</v>
      </c>
      <c r="O240" s="162"/>
      <c r="P240" s="163"/>
      <c r="Q240" s="163" t="str">
        <f t="shared" ca="1" si="26"/>
        <v/>
      </c>
      <c r="R240" s="163" t="str">
        <f t="shared" ca="1" si="27"/>
        <v/>
      </c>
      <c r="S240" s="163" t="s">
        <v>103</v>
      </c>
      <c r="T240" s="164">
        <v>54000</v>
      </c>
      <c r="U240" s="164">
        <v>54000</v>
      </c>
      <c r="V240" s="162">
        <v>46153</v>
      </c>
      <c r="W240" s="163"/>
      <c r="X240" s="163" t="s">
        <v>30</v>
      </c>
      <c r="Y240" s="163" t="s">
        <v>85</v>
      </c>
      <c r="Z240" s="163"/>
      <c r="AA240" s="162">
        <v>46172</v>
      </c>
      <c r="AB240" s="195" t="str">
        <f t="shared" si="24"/>
        <v>May-26</v>
      </c>
      <c r="AC240" s="163"/>
      <c r="AD240" s="163" t="str">
        <f t="shared" si="28"/>
        <v/>
      </c>
      <c r="AE240" s="163"/>
    </row>
    <row r="241" spans="1:31" x14ac:dyDescent="0.35">
      <c r="A241" s="162">
        <v>46153</v>
      </c>
      <c r="B241" s="163" t="s">
        <v>370</v>
      </c>
      <c r="C241" s="163" t="s">
        <v>93</v>
      </c>
      <c r="D241" s="163" t="s">
        <v>531</v>
      </c>
      <c r="E241" s="163" t="s">
        <v>106</v>
      </c>
      <c r="F241" s="163" t="s">
        <v>115</v>
      </c>
      <c r="G241" s="163"/>
      <c r="H241" s="163" t="s">
        <v>115</v>
      </c>
      <c r="I241" s="163" t="s">
        <v>121</v>
      </c>
      <c r="J241" s="163" t="s">
        <v>432</v>
      </c>
      <c r="K241" s="163" t="s">
        <v>256</v>
      </c>
      <c r="L241" s="163"/>
      <c r="M241" s="163" t="s">
        <v>468</v>
      </c>
      <c r="N241" s="163" t="s">
        <v>181</v>
      </c>
      <c r="O241" s="162">
        <v>46259</v>
      </c>
      <c r="P241" s="163" t="s">
        <v>106</v>
      </c>
      <c r="Q241" s="163">
        <f t="shared" ca="1" si="26"/>
        <v>172</v>
      </c>
      <c r="R241" s="163" t="str">
        <f t="shared" ca="1" si="27"/>
        <v/>
      </c>
      <c r="S241" s="163" t="s">
        <v>133</v>
      </c>
      <c r="T241" s="164">
        <v>20000</v>
      </c>
      <c r="U241" s="164"/>
      <c r="V241" s="163"/>
      <c r="W241" s="163"/>
      <c r="X241" s="163"/>
      <c r="Y241" s="163"/>
      <c r="Z241" s="163"/>
      <c r="AA241" s="163"/>
      <c r="AB241" s="195" t="str">
        <f t="shared" si="24"/>
        <v>May-26</v>
      </c>
      <c r="AC241" s="163"/>
      <c r="AD241" s="163" t="str">
        <f t="shared" si="28"/>
        <v/>
      </c>
      <c r="AE241" s="163"/>
    </row>
    <row r="242" spans="1:31" x14ac:dyDescent="0.35">
      <c r="A242" s="162">
        <v>46153</v>
      </c>
      <c r="B242" s="163" t="s">
        <v>370</v>
      </c>
      <c r="C242" s="163" t="s">
        <v>93</v>
      </c>
      <c r="D242" s="163" t="s">
        <v>532</v>
      </c>
      <c r="E242" s="163" t="s">
        <v>106</v>
      </c>
      <c r="F242" s="163" t="s">
        <v>115</v>
      </c>
      <c r="G242" s="163"/>
      <c r="H242" s="163" t="s">
        <v>115</v>
      </c>
      <c r="I242" s="163" t="s">
        <v>121</v>
      </c>
      <c r="J242" s="163" t="s">
        <v>432</v>
      </c>
      <c r="K242" s="163" t="s">
        <v>533</v>
      </c>
      <c r="L242" s="163"/>
      <c r="M242" s="163" t="s">
        <v>468</v>
      </c>
      <c r="N242" s="163" t="s">
        <v>181</v>
      </c>
      <c r="O242" s="162">
        <v>46255</v>
      </c>
      <c r="P242" s="163" t="s">
        <v>95</v>
      </c>
      <c r="Q242" s="163">
        <f t="shared" ref="Q242:Q250" ca="1" si="29">IF(N242="Closed(C4)","",IF(N242="","",TODAY()-A242))</f>
        <v>172</v>
      </c>
      <c r="R242" s="163" t="str">
        <f t="shared" ca="1" si="27"/>
        <v/>
      </c>
      <c r="S242" s="163" t="s">
        <v>133</v>
      </c>
      <c r="T242" s="164">
        <v>10000</v>
      </c>
      <c r="U242" s="164"/>
      <c r="V242" s="163"/>
      <c r="W242" s="163"/>
      <c r="X242" s="163"/>
      <c r="Y242" s="163"/>
      <c r="Z242" s="163"/>
      <c r="AA242" s="163"/>
      <c r="AB242" s="195" t="str">
        <f t="shared" si="24"/>
        <v>May-26</v>
      </c>
      <c r="AC242" s="163"/>
      <c r="AD242" s="163" t="str">
        <f t="shared" si="28"/>
        <v/>
      </c>
      <c r="AE242" s="163"/>
    </row>
    <row r="243" spans="1:31" x14ac:dyDescent="0.35">
      <c r="A243" s="162">
        <v>46153</v>
      </c>
      <c r="B243" s="163" t="s">
        <v>370</v>
      </c>
      <c r="C243" s="163" t="s">
        <v>93</v>
      </c>
      <c r="D243" s="163" t="s">
        <v>534</v>
      </c>
      <c r="E243" s="163" t="s">
        <v>95</v>
      </c>
      <c r="F243" s="163" t="s">
        <v>115</v>
      </c>
      <c r="G243" s="163"/>
      <c r="H243" s="163" t="s">
        <v>115</v>
      </c>
      <c r="I243" s="163" t="s">
        <v>121</v>
      </c>
      <c r="J243" s="163" t="s">
        <v>432</v>
      </c>
      <c r="K243" s="163" t="s">
        <v>535</v>
      </c>
      <c r="L243" s="163"/>
      <c r="M243" s="163" t="s">
        <v>468</v>
      </c>
      <c r="N243" s="163" t="s">
        <v>181</v>
      </c>
      <c r="O243" s="162"/>
      <c r="P243" s="163"/>
      <c r="Q243" s="163">
        <f t="shared" ca="1" si="29"/>
        <v>172</v>
      </c>
      <c r="R243" s="163" t="str">
        <f t="shared" ca="1" si="27"/>
        <v/>
      </c>
      <c r="S243" s="163" t="s">
        <v>133</v>
      </c>
      <c r="T243" s="164">
        <v>20000</v>
      </c>
      <c r="U243" s="164"/>
      <c r="V243" s="163"/>
      <c r="W243" s="163"/>
      <c r="X243" s="163"/>
      <c r="Y243" s="163"/>
      <c r="Z243" s="163"/>
      <c r="AA243" s="163"/>
      <c r="AB243" s="195" t="str">
        <f t="shared" si="24"/>
        <v>May-26</v>
      </c>
      <c r="AC243" s="163"/>
      <c r="AD243" s="163" t="str">
        <f t="shared" si="28"/>
        <v/>
      </c>
      <c r="AE243" s="163"/>
    </row>
    <row r="244" spans="1:31" x14ac:dyDescent="0.35">
      <c r="A244" s="162">
        <v>46153</v>
      </c>
      <c r="B244" s="163" t="s">
        <v>92</v>
      </c>
      <c r="C244" s="163" t="s">
        <v>93</v>
      </c>
      <c r="D244" s="163" t="s">
        <v>536</v>
      </c>
      <c r="E244" s="163" t="s">
        <v>106</v>
      </c>
      <c r="F244" s="163" t="s">
        <v>115</v>
      </c>
      <c r="G244" s="163"/>
      <c r="H244" s="163" t="s">
        <v>115</v>
      </c>
      <c r="I244" s="163" t="s">
        <v>121</v>
      </c>
      <c r="J244" s="163" t="s">
        <v>153</v>
      </c>
      <c r="K244" s="163" t="s">
        <v>536</v>
      </c>
      <c r="L244" s="163"/>
      <c r="M244" s="163" t="s">
        <v>537</v>
      </c>
      <c r="N244" s="163" t="s">
        <v>181</v>
      </c>
      <c r="O244" s="162"/>
      <c r="P244" s="163"/>
      <c r="Q244" s="163">
        <f t="shared" ca="1" si="29"/>
        <v>172</v>
      </c>
      <c r="R244" s="163" t="str">
        <f t="shared" ref="R244:R258" ca="1" si="30">IF(OR(N244="Closed( C4 )",N244="Cancelled"),"",IF(AND(O244&lt;&gt;"",O244&lt;TODAY()),"Yes",""))</f>
        <v/>
      </c>
      <c r="S244" s="163" t="s">
        <v>103</v>
      </c>
      <c r="T244" s="164">
        <v>20000</v>
      </c>
      <c r="U244" s="164"/>
      <c r="V244" s="163"/>
      <c r="W244" s="163"/>
      <c r="X244" s="163"/>
      <c r="Y244" s="163"/>
      <c r="Z244" s="163"/>
      <c r="AA244" s="163"/>
      <c r="AB244" s="195" t="str">
        <f t="shared" si="24"/>
        <v>May-26</v>
      </c>
      <c r="AC244" s="163"/>
      <c r="AD244" s="163" t="str">
        <f t="shared" si="28"/>
        <v/>
      </c>
      <c r="AE244" s="163"/>
    </row>
    <row r="245" spans="1:31" x14ac:dyDescent="0.35">
      <c r="A245" s="162">
        <v>46153</v>
      </c>
      <c r="B245" s="163" t="s">
        <v>92</v>
      </c>
      <c r="C245" s="163" t="s">
        <v>93</v>
      </c>
      <c r="D245" s="163" t="s">
        <v>538</v>
      </c>
      <c r="E245" s="163" t="s">
        <v>95</v>
      </c>
      <c r="F245" s="163" t="s">
        <v>115</v>
      </c>
      <c r="G245" s="163"/>
      <c r="H245" s="163" t="s">
        <v>115</v>
      </c>
      <c r="I245" s="163" t="s">
        <v>121</v>
      </c>
      <c r="J245" s="163" t="s">
        <v>432</v>
      </c>
      <c r="K245" s="163" t="s">
        <v>539</v>
      </c>
      <c r="L245" s="163"/>
      <c r="M245" s="163" t="s">
        <v>468</v>
      </c>
      <c r="N245" s="163" t="s">
        <v>181</v>
      </c>
      <c r="O245" s="162"/>
      <c r="P245" s="163"/>
      <c r="Q245" s="163">
        <f t="shared" ca="1" si="29"/>
        <v>172</v>
      </c>
      <c r="R245" s="163" t="str">
        <f t="shared" ca="1" si="30"/>
        <v/>
      </c>
      <c r="S245" s="163" t="s">
        <v>133</v>
      </c>
      <c r="T245" s="164">
        <v>20000</v>
      </c>
      <c r="U245" s="164"/>
      <c r="V245" s="163"/>
      <c r="W245" s="163"/>
      <c r="X245" s="163"/>
      <c r="Y245" s="163"/>
      <c r="Z245" s="163"/>
      <c r="AA245" s="163"/>
      <c r="AB245" s="195" t="str">
        <f t="shared" si="24"/>
        <v>May-26</v>
      </c>
      <c r="AC245" s="163"/>
      <c r="AD245" s="163" t="str">
        <f t="shared" si="28"/>
        <v/>
      </c>
      <c r="AE245" s="163"/>
    </row>
    <row r="246" spans="1:31" x14ac:dyDescent="0.35">
      <c r="A246" s="162">
        <v>46154</v>
      </c>
      <c r="B246" s="163" t="s">
        <v>452</v>
      </c>
      <c r="C246" s="163" t="s">
        <v>113</v>
      </c>
      <c r="D246" s="163" t="s">
        <v>540</v>
      </c>
      <c r="E246" s="163" t="s">
        <v>106</v>
      </c>
      <c r="F246" s="163" t="s">
        <v>135</v>
      </c>
      <c r="G246" s="163"/>
      <c r="H246" s="163" t="s">
        <v>115</v>
      </c>
      <c r="I246" s="163" t="s">
        <v>121</v>
      </c>
      <c r="J246" s="163" t="s">
        <v>147</v>
      </c>
      <c r="K246" s="163" t="s">
        <v>541</v>
      </c>
      <c r="L246" s="163"/>
      <c r="M246" s="163" t="s">
        <v>542</v>
      </c>
      <c r="N246" s="163" t="s">
        <v>128</v>
      </c>
      <c r="O246" s="162"/>
      <c r="P246" s="163"/>
      <c r="Q246" s="163">
        <f t="shared" ca="1" si="29"/>
        <v>171</v>
      </c>
      <c r="R246" s="163" t="str">
        <f t="shared" ca="1" si="30"/>
        <v/>
      </c>
      <c r="S246" s="163" t="s">
        <v>129</v>
      </c>
      <c r="T246" s="164"/>
      <c r="U246" s="164"/>
      <c r="V246" s="163"/>
      <c r="W246" s="163"/>
      <c r="X246" s="163"/>
      <c r="Y246" s="163"/>
      <c r="Z246" s="163"/>
      <c r="AA246" s="163"/>
      <c r="AB246" s="195" t="str">
        <f t="shared" si="24"/>
        <v>May-26</v>
      </c>
      <c r="AC246" s="163"/>
      <c r="AD246" s="163" t="str">
        <f t="shared" si="28"/>
        <v/>
      </c>
      <c r="AE246" s="163"/>
    </row>
    <row r="247" spans="1:31" x14ac:dyDescent="0.35">
      <c r="A247" s="162">
        <v>46154</v>
      </c>
      <c r="B247" s="163" t="s">
        <v>452</v>
      </c>
      <c r="C247" s="163" t="s">
        <v>113</v>
      </c>
      <c r="D247" s="163" t="s">
        <v>543</v>
      </c>
      <c r="E247" s="163" t="s">
        <v>106</v>
      </c>
      <c r="F247" s="163" t="s">
        <v>135</v>
      </c>
      <c r="G247" s="163"/>
      <c r="H247" s="163" t="s">
        <v>115</v>
      </c>
      <c r="I247" s="163" t="s">
        <v>121</v>
      </c>
      <c r="J247" s="163" t="s">
        <v>454</v>
      </c>
      <c r="K247" s="163" t="s">
        <v>544</v>
      </c>
      <c r="L247" s="163"/>
      <c r="M247" s="163" t="s">
        <v>545</v>
      </c>
      <c r="N247" s="163" t="s">
        <v>128</v>
      </c>
      <c r="O247" s="162"/>
      <c r="P247" s="163"/>
      <c r="Q247" s="163">
        <f t="shared" ca="1" si="29"/>
        <v>171</v>
      </c>
      <c r="R247" s="163" t="str">
        <f t="shared" ca="1" si="30"/>
        <v/>
      </c>
      <c r="S247" s="163" t="s">
        <v>129</v>
      </c>
      <c r="T247" s="164"/>
      <c r="U247" s="164"/>
      <c r="V247" s="163"/>
      <c r="W247" s="163"/>
      <c r="X247" s="163"/>
      <c r="Y247" s="163"/>
      <c r="Z247" s="163"/>
      <c r="AA247" s="163"/>
      <c r="AB247" s="195" t="str">
        <f t="shared" si="24"/>
        <v>May-26</v>
      </c>
      <c r="AC247" s="163"/>
      <c r="AD247" s="163" t="str">
        <f t="shared" si="28"/>
        <v/>
      </c>
      <c r="AE247" s="163"/>
    </row>
    <row r="248" spans="1:31" x14ac:dyDescent="0.35">
      <c r="A248" s="162">
        <v>46154</v>
      </c>
      <c r="B248" s="163" t="s">
        <v>452</v>
      </c>
      <c r="C248" s="163" t="s">
        <v>113</v>
      </c>
      <c r="D248" s="163" t="s">
        <v>483</v>
      </c>
      <c r="E248" s="163" t="s">
        <v>95</v>
      </c>
      <c r="F248" s="163" t="s">
        <v>135</v>
      </c>
      <c r="G248" s="163"/>
      <c r="H248" s="163" t="s">
        <v>115</v>
      </c>
      <c r="I248" s="163" t="s">
        <v>121</v>
      </c>
      <c r="J248" s="163" t="s">
        <v>454</v>
      </c>
      <c r="K248" s="163" t="s">
        <v>546</v>
      </c>
      <c r="L248" s="163"/>
      <c r="M248" s="163" t="s">
        <v>547</v>
      </c>
      <c r="N248" s="163" t="s">
        <v>128</v>
      </c>
      <c r="O248" s="162"/>
      <c r="P248" s="163"/>
      <c r="Q248" s="163">
        <f t="shared" ca="1" si="29"/>
        <v>171</v>
      </c>
      <c r="R248" s="163" t="str">
        <f t="shared" ca="1" si="30"/>
        <v/>
      </c>
      <c r="S248" s="163" t="s">
        <v>133</v>
      </c>
      <c r="T248" s="164"/>
      <c r="U248" s="164"/>
      <c r="V248" s="163"/>
      <c r="W248" s="163"/>
      <c r="X248" s="163"/>
      <c r="Y248" s="163"/>
      <c r="Z248" s="163"/>
      <c r="AA248" s="163"/>
      <c r="AB248" s="195" t="str">
        <f t="shared" si="24"/>
        <v>May-26</v>
      </c>
      <c r="AC248" s="163"/>
      <c r="AD248" s="163" t="str">
        <f t="shared" si="28"/>
        <v/>
      </c>
      <c r="AE248" s="163"/>
    </row>
    <row r="249" spans="1:31" x14ac:dyDescent="0.35">
      <c r="A249" s="162">
        <v>46154</v>
      </c>
      <c r="B249" s="163" t="s">
        <v>452</v>
      </c>
      <c r="C249" s="163" t="s">
        <v>113</v>
      </c>
      <c r="D249" s="163" t="s">
        <v>548</v>
      </c>
      <c r="E249" s="163" t="s">
        <v>95</v>
      </c>
      <c r="F249" s="163" t="s">
        <v>135</v>
      </c>
      <c r="G249" s="163"/>
      <c r="H249" s="163" t="s">
        <v>115</v>
      </c>
      <c r="I249" s="163" t="s">
        <v>121</v>
      </c>
      <c r="J249" s="163" t="s">
        <v>147</v>
      </c>
      <c r="K249" s="169" t="s">
        <v>549</v>
      </c>
      <c r="L249" s="163"/>
      <c r="M249" s="163" t="s">
        <v>550</v>
      </c>
      <c r="N249" s="163" t="s">
        <v>128</v>
      </c>
      <c r="O249" s="162"/>
      <c r="P249" s="163"/>
      <c r="Q249" s="163">
        <f t="shared" ca="1" si="29"/>
        <v>171</v>
      </c>
      <c r="R249" s="163" t="str">
        <f t="shared" ca="1" si="30"/>
        <v/>
      </c>
      <c r="S249" s="163" t="s">
        <v>133</v>
      </c>
      <c r="T249" s="164"/>
      <c r="U249" s="164"/>
      <c r="V249" s="163"/>
      <c r="W249" s="163"/>
      <c r="X249" s="163"/>
      <c r="Y249" s="163"/>
      <c r="Z249" s="163"/>
      <c r="AA249" s="163"/>
      <c r="AB249" s="195" t="str">
        <f t="shared" si="24"/>
        <v>May-26</v>
      </c>
      <c r="AC249" s="163"/>
      <c r="AD249" s="163" t="str">
        <f t="shared" si="28"/>
        <v/>
      </c>
      <c r="AE249" s="163"/>
    </row>
    <row r="250" spans="1:31" x14ac:dyDescent="0.35">
      <c r="A250" s="162">
        <v>46154</v>
      </c>
      <c r="B250" s="163" t="s">
        <v>452</v>
      </c>
      <c r="C250" s="163" t="s">
        <v>113</v>
      </c>
      <c r="D250" s="163" t="s">
        <v>551</v>
      </c>
      <c r="E250" s="163" t="s">
        <v>95</v>
      </c>
      <c r="F250" s="163" t="s">
        <v>135</v>
      </c>
      <c r="G250" s="163"/>
      <c r="H250" s="163" t="s">
        <v>115</v>
      </c>
      <c r="I250" s="163" t="s">
        <v>121</v>
      </c>
      <c r="J250" s="163" t="s">
        <v>147</v>
      </c>
      <c r="K250" s="163" t="s">
        <v>552</v>
      </c>
      <c r="L250" s="163"/>
      <c r="M250" s="163" t="s">
        <v>553</v>
      </c>
      <c r="N250" s="163" t="s">
        <v>128</v>
      </c>
      <c r="O250" s="162"/>
      <c r="P250" s="163"/>
      <c r="Q250" s="163">
        <f t="shared" ca="1" si="29"/>
        <v>171</v>
      </c>
      <c r="R250" s="163" t="str">
        <f t="shared" ca="1" si="30"/>
        <v/>
      </c>
      <c r="S250" s="163" t="s">
        <v>133</v>
      </c>
      <c r="T250" s="164"/>
      <c r="U250" s="164"/>
      <c r="V250" s="163"/>
      <c r="W250" s="163"/>
      <c r="X250" s="163"/>
      <c r="Y250" s="163"/>
      <c r="Z250" s="163"/>
      <c r="AA250" s="163"/>
      <c r="AB250" s="195" t="str">
        <f t="shared" si="24"/>
        <v>May-26</v>
      </c>
      <c r="AC250" s="163"/>
      <c r="AD250" s="163" t="str">
        <f t="shared" si="28"/>
        <v/>
      </c>
      <c r="AE250" s="163"/>
    </row>
    <row r="251" spans="1:31" x14ac:dyDescent="0.35">
      <c r="A251" s="162">
        <v>46154</v>
      </c>
      <c r="B251" s="163" t="s">
        <v>125</v>
      </c>
      <c r="C251" s="163" t="s">
        <v>113</v>
      </c>
      <c r="D251" s="163" t="s">
        <v>554</v>
      </c>
      <c r="E251" s="163" t="s">
        <v>95</v>
      </c>
      <c r="F251" s="163" t="s">
        <v>96</v>
      </c>
      <c r="G251" s="163" t="s">
        <v>15</v>
      </c>
      <c r="H251" s="163" t="s">
        <v>163</v>
      </c>
      <c r="I251" s="163" t="s">
        <v>121</v>
      </c>
      <c r="J251" s="163" t="s">
        <v>147</v>
      </c>
      <c r="K251" s="163" t="s">
        <v>525</v>
      </c>
      <c r="L251" s="163"/>
      <c r="M251" s="163" t="s">
        <v>526</v>
      </c>
      <c r="N251" s="163" t="s">
        <v>156</v>
      </c>
      <c r="O251" s="162"/>
      <c r="P251" s="163"/>
      <c r="Q251" s="163"/>
      <c r="R251" s="163" t="str">
        <f t="shared" ca="1" si="30"/>
        <v/>
      </c>
      <c r="S251" s="163" t="s">
        <v>103</v>
      </c>
      <c r="T251" s="164"/>
      <c r="U251" s="164"/>
      <c r="V251" s="162"/>
      <c r="W251" s="163"/>
      <c r="X251" s="163"/>
      <c r="Y251" s="163"/>
      <c r="Z251" s="163"/>
      <c r="AA251" s="163"/>
      <c r="AB251" s="195" t="str">
        <f t="shared" si="24"/>
        <v>May-26</v>
      </c>
      <c r="AC251" s="163"/>
      <c r="AD251" s="163" t="str">
        <f t="shared" si="28"/>
        <v/>
      </c>
      <c r="AE251" s="163"/>
    </row>
    <row r="252" spans="1:31" x14ac:dyDescent="0.35">
      <c r="A252" s="162">
        <v>46154</v>
      </c>
      <c r="B252" s="163" t="s">
        <v>125</v>
      </c>
      <c r="C252" s="163" t="s">
        <v>113</v>
      </c>
      <c r="D252" s="163" t="s">
        <v>555</v>
      </c>
      <c r="E252" s="163" t="s">
        <v>95</v>
      </c>
      <c r="F252" s="163" t="s">
        <v>135</v>
      </c>
      <c r="G252" s="163"/>
      <c r="H252" s="163" t="s">
        <v>163</v>
      </c>
      <c r="I252" s="163" t="s">
        <v>121</v>
      </c>
      <c r="J252" s="163" t="s">
        <v>147</v>
      </c>
      <c r="K252" s="163" t="s">
        <v>556</v>
      </c>
      <c r="L252" s="163"/>
      <c r="M252" s="163" t="s">
        <v>557</v>
      </c>
      <c r="N252" s="163" t="s">
        <v>156</v>
      </c>
      <c r="O252" s="162"/>
      <c r="P252" s="163"/>
      <c r="Q252" s="163"/>
      <c r="R252" s="163" t="str">
        <f t="shared" ca="1" si="30"/>
        <v/>
      </c>
      <c r="S252" s="163" t="s">
        <v>103</v>
      </c>
      <c r="T252" s="164"/>
      <c r="U252" s="164"/>
      <c r="V252" s="163"/>
      <c r="W252" s="163"/>
      <c r="X252" s="163"/>
      <c r="Y252" s="163"/>
      <c r="Z252" s="163"/>
      <c r="AA252" s="163"/>
      <c r="AB252" s="195" t="str">
        <f t="shared" si="24"/>
        <v>May-26</v>
      </c>
      <c r="AC252" s="163"/>
      <c r="AD252" s="163" t="str">
        <f t="shared" si="28"/>
        <v/>
      </c>
      <c r="AE252" s="163"/>
    </row>
    <row r="253" spans="1:31" x14ac:dyDescent="0.35">
      <c r="A253" s="162">
        <v>46154</v>
      </c>
      <c r="B253" s="163" t="s">
        <v>125</v>
      </c>
      <c r="C253" s="163" t="s">
        <v>113</v>
      </c>
      <c r="D253" s="163" t="s">
        <v>253</v>
      </c>
      <c r="E253" s="163" t="s">
        <v>106</v>
      </c>
      <c r="F253" s="163" t="s">
        <v>96</v>
      </c>
      <c r="G253" s="163" t="s">
        <v>10</v>
      </c>
      <c r="H253" s="163" t="s">
        <v>115</v>
      </c>
      <c r="I253" s="163" t="s">
        <v>98</v>
      </c>
      <c r="J253" s="163" t="s">
        <v>147</v>
      </c>
      <c r="K253" s="163" t="s">
        <v>229</v>
      </c>
      <c r="L253" s="163"/>
      <c r="M253" s="163" t="s">
        <v>419</v>
      </c>
      <c r="N253" s="163" t="s">
        <v>130</v>
      </c>
      <c r="O253" s="162">
        <v>46290</v>
      </c>
      <c r="P253" s="163" t="s">
        <v>106</v>
      </c>
      <c r="Q253" s="163">
        <f t="shared" ref="Q253:Q258" ca="1" si="31">IF(N253="Closed(C4)","",IF(N253="","",TODAY()-A253))</f>
        <v>171</v>
      </c>
      <c r="R253" s="163" t="str">
        <f t="shared" ca="1" si="30"/>
        <v>Yes</v>
      </c>
      <c r="S253" s="163" t="s">
        <v>103</v>
      </c>
      <c r="T253" s="164"/>
      <c r="U253" s="164"/>
      <c r="V253" s="163"/>
      <c r="W253" s="163"/>
      <c r="X253" s="163"/>
      <c r="Y253" s="163"/>
      <c r="Z253" s="163"/>
      <c r="AA253" s="163"/>
      <c r="AB253" s="195" t="str">
        <f t="shared" si="24"/>
        <v>May-26</v>
      </c>
      <c r="AC253" s="163"/>
      <c r="AD253" s="163" t="str">
        <f t="shared" si="28"/>
        <v/>
      </c>
      <c r="AE253" s="163"/>
    </row>
    <row r="254" spans="1:31" x14ac:dyDescent="0.35">
      <c r="A254" s="162">
        <v>46154</v>
      </c>
      <c r="B254" s="163" t="s">
        <v>92</v>
      </c>
      <c r="C254" s="163" t="s">
        <v>93</v>
      </c>
      <c r="D254" s="163" t="s">
        <v>182</v>
      </c>
      <c r="E254" s="163" t="s">
        <v>95</v>
      </c>
      <c r="F254" s="163" t="s">
        <v>96</v>
      </c>
      <c r="G254" s="163" t="s">
        <v>15</v>
      </c>
      <c r="H254" s="163" t="s">
        <v>163</v>
      </c>
      <c r="I254" s="163" t="s">
        <v>98</v>
      </c>
      <c r="J254" s="163" t="s">
        <v>147</v>
      </c>
      <c r="K254" s="163" t="s">
        <v>183</v>
      </c>
      <c r="L254" s="163"/>
      <c r="M254" s="163" t="s">
        <v>558</v>
      </c>
      <c r="N254" s="163" t="s">
        <v>102</v>
      </c>
      <c r="O254" s="162"/>
      <c r="P254" s="163"/>
      <c r="Q254" s="163" t="str">
        <f t="shared" ca="1" si="31"/>
        <v/>
      </c>
      <c r="R254" s="163" t="str">
        <f t="shared" ca="1" si="30"/>
        <v/>
      </c>
      <c r="S254" s="163" t="s">
        <v>103</v>
      </c>
      <c r="T254" s="164">
        <v>30000</v>
      </c>
      <c r="U254" s="164">
        <v>39690</v>
      </c>
      <c r="V254" s="162">
        <v>46154</v>
      </c>
      <c r="W254" s="189" t="s">
        <v>559</v>
      </c>
      <c r="X254" s="163" t="s">
        <v>30</v>
      </c>
      <c r="Y254" s="163" t="s">
        <v>85</v>
      </c>
      <c r="Z254" s="163"/>
      <c r="AA254" s="165">
        <v>46172</v>
      </c>
      <c r="AB254" s="195" t="str">
        <f t="shared" si="24"/>
        <v>May-26</v>
      </c>
      <c r="AC254" s="163"/>
      <c r="AD254" s="163" t="str">
        <f t="shared" si="28"/>
        <v/>
      </c>
      <c r="AE254" s="163"/>
    </row>
    <row r="255" spans="1:31" x14ac:dyDescent="0.35">
      <c r="A255" s="162">
        <v>46154</v>
      </c>
      <c r="B255" s="163" t="s">
        <v>92</v>
      </c>
      <c r="C255" s="163" t="s">
        <v>93</v>
      </c>
      <c r="D255" s="163" t="s">
        <v>560</v>
      </c>
      <c r="E255" s="163" t="s">
        <v>95</v>
      </c>
      <c r="F255" s="163" t="s">
        <v>135</v>
      </c>
      <c r="G255" s="163"/>
      <c r="H255" s="163" t="s">
        <v>115</v>
      </c>
      <c r="I255" s="163" t="s">
        <v>121</v>
      </c>
      <c r="J255" s="163" t="s">
        <v>356</v>
      </c>
      <c r="K255" s="163" t="s">
        <v>423</v>
      </c>
      <c r="L255" s="163"/>
      <c r="M255" s="163" t="s">
        <v>561</v>
      </c>
      <c r="N255" s="163" t="s">
        <v>181</v>
      </c>
      <c r="O255" s="162"/>
      <c r="P255" s="163"/>
      <c r="Q255" s="163">
        <f t="shared" ca="1" si="31"/>
        <v>171</v>
      </c>
      <c r="R255" s="163" t="str">
        <f t="shared" ca="1" si="30"/>
        <v/>
      </c>
      <c r="S255" s="163" t="s">
        <v>129</v>
      </c>
      <c r="T255" s="164">
        <v>20000</v>
      </c>
      <c r="U255" s="164"/>
      <c r="V255" s="163"/>
      <c r="W255" s="163"/>
      <c r="X255" s="163"/>
      <c r="Y255" s="163"/>
      <c r="Z255" s="163"/>
      <c r="AA255" s="163"/>
      <c r="AB255" s="195" t="str">
        <f t="shared" si="24"/>
        <v>May-26</v>
      </c>
      <c r="AC255" s="163"/>
      <c r="AD255" s="163" t="str">
        <f t="shared" si="28"/>
        <v/>
      </c>
      <c r="AE255" s="163"/>
    </row>
    <row r="256" spans="1:31" x14ac:dyDescent="0.35">
      <c r="A256" s="162">
        <v>46154</v>
      </c>
      <c r="B256" s="163" t="s">
        <v>92</v>
      </c>
      <c r="C256" s="163" t="s">
        <v>93</v>
      </c>
      <c r="D256" s="163" t="s">
        <v>562</v>
      </c>
      <c r="E256" s="163" t="s">
        <v>95</v>
      </c>
      <c r="F256" s="163" t="s">
        <v>135</v>
      </c>
      <c r="G256" s="163"/>
      <c r="H256" s="163" t="s">
        <v>115</v>
      </c>
      <c r="I256" s="163" t="s">
        <v>121</v>
      </c>
      <c r="J256" s="163" t="s">
        <v>563</v>
      </c>
      <c r="K256" s="163" t="s">
        <v>298</v>
      </c>
      <c r="L256" s="163"/>
      <c r="M256" s="163" t="s">
        <v>564</v>
      </c>
      <c r="N256" s="163" t="s">
        <v>181</v>
      </c>
      <c r="O256" s="162"/>
      <c r="P256" s="163"/>
      <c r="Q256" s="163">
        <f t="shared" ca="1" si="31"/>
        <v>171</v>
      </c>
      <c r="R256" s="163" t="str">
        <f t="shared" ca="1" si="30"/>
        <v/>
      </c>
      <c r="S256" s="163" t="s">
        <v>129</v>
      </c>
      <c r="T256" s="164">
        <v>20000</v>
      </c>
      <c r="U256" s="164"/>
      <c r="V256" s="163"/>
      <c r="W256" s="163"/>
      <c r="X256" s="163"/>
      <c r="Y256" s="163"/>
      <c r="Z256" s="163"/>
      <c r="AA256" s="163"/>
      <c r="AB256" s="195" t="str">
        <f t="shared" si="24"/>
        <v>May-26</v>
      </c>
      <c r="AC256" s="163"/>
      <c r="AD256" s="163" t="str">
        <f t="shared" si="28"/>
        <v/>
      </c>
      <c r="AE256" s="163"/>
    </row>
    <row r="257" spans="1:31" x14ac:dyDescent="0.35">
      <c r="A257" s="162">
        <v>46154</v>
      </c>
      <c r="B257" s="163" t="s">
        <v>370</v>
      </c>
      <c r="C257" s="163" t="s">
        <v>93</v>
      </c>
      <c r="D257" s="163" t="s">
        <v>265</v>
      </c>
      <c r="E257" s="163" t="s">
        <v>106</v>
      </c>
      <c r="F257" s="163" t="s">
        <v>135</v>
      </c>
      <c r="G257" s="163"/>
      <c r="H257" s="163" t="s">
        <v>115</v>
      </c>
      <c r="I257" s="163" t="s">
        <v>121</v>
      </c>
      <c r="J257" s="163" t="s">
        <v>266</v>
      </c>
      <c r="K257" s="163" t="s">
        <v>565</v>
      </c>
      <c r="L257" s="163"/>
      <c r="M257" s="163" t="s">
        <v>566</v>
      </c>
      <c r="N257" s="163" t="s">
        <v>181</v>
      </c>
      <c r="O257" s="162"/>
      <c r="P257" s="163"/>
      <c r="Q257" s="163">
        <f t="shared" ca="1" si="31"/>
        <v>171</v>
      </c>
      <c r="R257" s="163" t="str">
        <f t="shared" ca="1" si="30"/>
        <v/>
      </c>
      <c r="S257" s="163" t="s">
        <v>133</v>
      </c>
      <c r="T257" s="164">
        <v>10000</v>
      </c>
      <c r="U257" s="164"/>
      <c r="V257" s="163"/>
      <c r="W257" s="163"/>
      <c r="X257" s="163"/>
      <c r="Y257" s="163"/>
      <c r="Z257" s="163"/>
      <c r="AA257" s="163"/>
      <c r="AB257" s="195" t="str">
        <f t="shared" si="24"/>
        <v>May-26</v>
      </c>
      <c r="AC257" s="163"/>
      <c r="AD257" s="163" t="str">
        <f t="shared" si="28"/>
        <v/>
      </c>
      <c r="AE257" s="163"/>
    </row>
    <row r="258" spans="1:31" x14ac:dyDescent="0.35">
      <c r="A258" s="162">
        <v>46154</v>
      </c>
      <c r="B258" s="163" t="s">
        <v>92</v>
      </c>
      <c r="C258" s="163" t="s">
        <v>93</v>
      </c>
      <c r="D258" s="163" t="s">
        <v>567</v>
      </c>
      <c r="E258" s="163" t="s">
        <v>106</v>
      </c>
      <c r="F258" s="163" t="s">
        <v>115</v>
      </c>
      <c r="G258" s="163"/>
      <c r="H258" s="163" t="s">
        <v>115</v>
      </c>
      <c r="I258" s="163" t="s">
        <v>121</v>
      </c>
      <c r="J258" s="163" t="s">
        <v>262</v>
      </c>
      <c r="K258" s="163" t="s">
        <v>567</v>
      </c>
      <c r="L258" s="163"/>
      <c r="M258" s="163" t="s">
        <v>566</v>
      </c>
      <c r="N258" s="163" t="s">
        <v>181</v>
      </c>
      <c r="O258" s="162"/>
      <c r="P258" s="163"/>
      <c r="Q258" s="163">
        <f t="shared" ca="1" si="31"/>
        <v>171</v>
      </c>
      <c r="R258" s="163" t="str">
        <f t="shared" ca="1" si="30"/>
        <v/>
      </c>
      <c r="S258" s="163" t="s">
        <v>129</v>
      </c>
      <c r="T258" s="164">
        <v>10000</v>
      </c>
      <c r="U258" s="164"/>
      <c r="V258" s="163"/>
      <c r="W258" s="163"/>
      <c r="X258" s="163"/>
      <c r="Y258" s="163"/>
      <c r="Z258" s="163"/>
      <c r="AA258" s="163"/>
      <c r="AB258" s="195" t="str">
        <f t="shared" ref="AB258:AB321" si="32">IF($V258="",TEXT($A258,"MMM-YY"),TEXT($V258,"MMM-YY"))</f>
        <v>May-26</v>
      </c>
      <c r="AC258" s="163"/>
      <c r="AD258" s="163" t="str">
        <f t="shared" si="28"/>
        <v/>
      </c>
      <c r="AE258" s="163"/>
    </row>
    <row r="259" spans="1:31" x14ac:dyDescent="0.35">
      <c r="A259" s="162">
        <v>46154</v>
      </c>
      <c r="B259" s="163" t="s">
        <v>370</v>
      </c>
      <c r="C259" s="163" t="s">
        <v>93</v>
      </c>
      <c r="D259" s="163" t="s">
        <v>407</v>
      </c>
      <c r="E259" s="163" t="s">
        <v>106</v>
      </c>
      <c r="F259" s="163" t="s">
        <v>115</v>
      </c>
      <c r="G259" s="163"/>
      <c r="H259" s="163" t="s">
        <v>115</v>
      </c>
      <c r="I259" s="163" t="s">
        <v>121</v>
      </c>
      <c r="J259" s="163" t="s">
        <v>166</v>
      </c>
      <c r="K259" s="163" t="s">
        <v>568</v>
      </c>
      <c r="L259" s="163"/>
      <c r="M259" s="163" t="s">
        <v>569</v>
      </c>
      <c r="N259" s="163" t="s">
        <v>102</v>
      </c>
      <c r="O259" s="162"/>
      <c r="P259" s="163"/>
      <c r="Q259" s="163"/>
      <c r="R259" s="163"/>
      <c r="S259" s="163" t="s">
        <v>103</v>
      </c>
      <c r="T259" s="164">
        <v>30000</v>
      </c>
      <c r="U259" s="164">
        <v>13776</v>
      </c>
      <c r="V259" s="162">
        <v>46154</v>
      </c>
      <c r="W259" s="163" t="s">
        <v>570</v>
      </c>
      <c r="X259" s="163" t="s">
        <v>33</v>
      </c>
      <c r="Y259" s="163" t="s">
        <v>161</v>
      </c>
      <c r="Z259" s="163"/>
      <c r="AA259" s="165">
        <v>46154</v>
      </c>
      <c r="AB259" s="195" t="str">
        <f t="shared" si="32"/>
        <v>May-26</v>
      </c>
      <c r="AC259" s="163"/>
      <c r="AD259" s="163"/>
      <c r="AE259" s="163" t="s">
        <v>270</v>
      </c>
    </row>
    <row r="260" spans="1:31" x14ac:dyDescent="0.35">
      <c r="A260" s="162">
        <v>46154</v>
      </c>
      <c r="B260" s="163" t="s">
        <v>370</v>
      </c>
      <c r="C260" s="163" t="s">
        <v>93</v>
      </c>
      <c r="D260" s="163" t="s">
        <v>571</v>
      </c>
      <c r="E260" s="163" t="s">
        <v>106</v>
      </c>
      <c r="F260" s="163" t="s">
        <v>115</v>
      </c>
      <c r="G260" s="163"/>
      <c r="H260" s="163" t="s">
        <v>115</v>
      </c>
      <c r="I260" s="163" t="s">
        <v>121</v>
      </c>
      <c r="J260" s="163" t="s">
        <v>356</v>
      </c>
      <c r="K260" s="163" t="s">
        <v>572</v>
      </c>
      <c r="L260" s="163"/>
      <c r="M260" s="163" t="s">
        <v>573</v>
      </c>
      <c r="N260" s="163" t="s">
        <v>181</v>
      </c>
      <c r="O260" s="162"/>
      <c r="P260" s="163" t="s">
        <v>95</v>
      </c>
      <c r="Q260" s="163">
        <f t="shared" ref="Q260:Q289" ca="1" si="33">IF(N260="Closed(C4)","",IF(N260="","",TODAY()-A260))</f>
        <v>171</v>
      </c>
      <c r="R260" s="163" t="str">
        <f t="shared" ref="R260:R302" ca="1" si="34">IF(OR(N260="Closed( C4 )",N260="Cancelled"),"",IF(AND(O260&lt;&gt;"",O260&lt;TODAY()),"Yes",""))</f>
        <v/>
      </c>
      <c r="S260" s="163" t="s">
        <v>133</v>
      </c>
      <c r="T260" s="164">
        <v>30000</v>
      </c>
      <c r="U260" s="164"/>
      <c r="V260" s="163"/>
      <c r="W260" s="163"/>
      <c r="X260" s="163"/>
      <c r="Y260" s="163"/>
      <c r="Z260" s="163"/>
      <c r="AA260" s="163"/>
      <c r="AB260" s="195" t="str">
        <f t="shared" si="32"/>
        <v>May-26</v>
      </c>
      <c r="AC260" s="163"/>
      <c r="AD260" s="163" t="str">
        <f t="shared" ref="AD260:AD267" si="35">IF(AC260="Yes",U260*2%,"")</f>
        <v/>
      </c>
      <c r="AE260" s="163"/>
    </row>
    <row r="261" spans="1:31" x14ac:dyDescent="0.35">
      <c r="A261" s="162">
        <v>46154</v>
      </c>
      <c r="B261" s="163" t="s">
        <v>370</v>
      </c>
      <c r="C261" s="163" t="s">
        <v>93</v>
      </c>
      <c r="D261" s="163" t="s">
        <v>574</v>
      </c>
      <c r="E261" s="163" t="s">
        <v>106</v>
      </c>
      <c r="F261" s="163" t="s">
        <v>115</v>
      </c>
      <c r="G261" s="163"/>
      <c r="H261" s="163" t="s">
        <v>115</v>
      </c>
      <c r="I261" s="163" t="s">
        <v>121</v>
      </c>
      <c r="J261" s="163" t="s">
        <v>432</v>
      </c>
      <c r="K261" s="163" t="s">
        <v>357</v>
      </c>
      <c r="L261" s="163"/>
      <c r="M261" s="163" t="s">
        <v>575</v>
      </c>
      <c r="N261" s="163" t="s">
        <v>181</v>
      </c>
      <c r="O261" s="162"/>
      <c r="P261" s="163"/>
      <c r="Q261" s="163">
        <f t="shared" ca="1" si="33"/>
        <v>171</v>
      </c>
      <c r="R261" s="163" t="str">
        <f t="shared" ca="1" si="34"/>
        <v/>
      </c>
      <c r="S261" s="163" t="s">
        <v>133</v>
      </c>
      <c r="T261" s="164">
        <v>10000</v>
      </c>
      <c r="U261" s="164"/>
      <c r="V261" s="163"/>
      <c r="W261" s="163"/>
      <c r="X261" s="163"/>
      <c r="Y261" s="163"/>
      <c r="Z261" s="163"/>
      <c r="AA261" s="163"/>
      <c r="AB261" s="195" t="str">
        <f t="shared" si="32"/>
        <v>May-26</v>
      </c>
      <c r="AC261" s="163"/>
      <c r="AD261" s="163" t="str">
        <f t="shared" si="35"/>
        <v/>
      </c>
      <c r="AE261" s="163"/>
    </row>
    <row r="262" spans="1:31" x14ac:dyDescent="0.35">
      <c r="A262" s="162">
        <v>46154</v>
      </c>
      <c r="B262" s="163" t="s">
        <v>370</v>
      </c>
      <c r="C262" s="163" t="s">
        <v>93</v>
      </c>
      <c r="D262" s="163" t="s">
        <v>576</v>
      </c>
      <c r="E262" s="163" t="s">
        <v>106</v>
      </c>
      <c r="F262" s="163" t="s">
        <v>115</v>
      </c>
      <c r="G262" s="163"/>
      <c r="H262" s="163" t="s">
        <v>115</v>
      </c>
      <c r="I262" s="163" t="s">
        <v>121</v>
      </c>
      <c r="J262" s="163" t="s">
        <v>432</v>
      </c>
      <c r="K262" s="163" t="s">
        <v>577</v>
      </c>
      <c r="L262" s="163"/>
      <c r="M262" s="163" t="s">
        <v>575</v>
      </c>
      <c r="N262" s="163" t="s">
        <v>181</v>
      </c>
      <c r="O262" s="162">
        <v>46272</v>
      </c>
      <c r="P262" s="163" t="s">
        <v>95</v>
      </c>
      <c r="Q262" s="163">
        <f t="shared" ca="1" si="33"/>
        <v>171</v>
      </c>
      <c r="R262" s="163" t="str">
        <f t="shared" ca="1" si="34"/>
        <v/>
      </c>
      <c r="S262" s="163" t="s">
        <v>133</v>
      </c>
      <c r="T262" s="164">
        <v>50000</v>
      </c>
      <c r="U262" s="164"/>
      <c r="V262" s="163"/>
      <c r="W262" s="163"/>
      <c r="X262" s="163"/>
      <c r="Y262" s="163"/>
      <c r="Z262" s="163"/>
      <c r="AA262" s="163"/>
      <c r="AB262" s="195" t="str">
        <f t="shared" si="32"/>
        <v>May-26</v>
      </c>
      <c r="AC262" s="163"/>
      <c r="AD262" s="163" t="str">
        <f t="shared" si="35"/>
        <v/>
      </c>
      <c r="AE262" s="163"/>
    </row>
    <row r="263" spans="1:31" x14ac:dyDescent="0.35">
      <c r="A263" s="162">
        <v>46154</v>
      </c>
      <c r="B263" s="163" t="s">
        <v>370</v>
      </c>
      <c r="C263" s="163" t="s">
        <v>93</v>
      </c>
      <c r="D263" s="163" t="s">
        <v>578</v>
      </c>
      <c r="E263" s="163" t="s">
        <v>95</v>
      </c>
      <c r="F263" s="163" t="s">
        <v>115</v>
      </c>
      <c r="G263" s="163"/>
      <c r="H263" s="163" t="s">
        <v>115</v>
      </c>
      <c r="I263" s="163" t="s">
        <v>121</v>
      </c>
      <c r="J263" s="163" t="s">
        <v>262</v>
      </c>
      <c r="K263" s="163" t="s">
        <v>579</v>
      </c>
      <c r="L263" s="163"/>
      <c r="M263" s="163" t="s">
        <v>580</v>
      </c>
      <c r="N263" s="163" t="s">
        <v>181</v>
      </c>
      <c r="O263" s="162"/>
      <c r="P263" s="163"/>
      <c r="Q263" s="163">
        <f t="shared" ca="1" si="33"/>
        <v>171</v>
      </c>
      <c r="R263" s="163" t="str">
        <f t="shared" ca="1" si="34"/>
        <v/>
      </c>
      <c r="S263" s="163" t="s">
        <v>133</v>
      </c>
      <c r="T263" s="164">
        <v>20000</v>
      </c>
      <c r="U263" s="164"/>
      <c r="V263" s="163"/>
      <c r="W263" s="163"/>
      <c r="X263" s="163"/>
      <c r="Y263" s="163"/>
      <c r="Z263" s="163"/>
      <c r="AA263" s="163"/>
      <c r="AB263" s="195" t="str">
        <f t="shared" si="32"/>
        <v>May-26</v>
      </c>
      <c r="AC263" s="163"/>
      <c r="AD263" s="163" t="str">
        <f t="shared" si="35"/>
        <v/>
      </c>
      <c r="AE263" s="163"/>
    </row>
    <row r="264" spans="1:31" x14ac:dyDescent="0.35">
      <c r="A264" s="162">
        <v>46155</v>
      </c>
      <c r="B264" s="163" t="s">
        <v>452</v>
      </c>
      <c r="C264" s="163" t="s">
        <v>113</v>
      </c>
      <c r="D264" s="168" t="s">
        <v>581</v>
      </c>
      <c r="E264" s="163" t="s">
        <v>95</v>
      </c>
      <c r="F264" s="163" t="s">
        <v>115</v>
      </c>
      <c r="G264" s="163"/>
      <c r="H264" s="163" t="s">
        <v>115</v>
      </c>
      <c r="I264" s="163" t="s">
        <v>121</v>
      </c>
      <c r="J264" s="163" t="s">
        <v>356</v>
      </c>
      <c r="K264" s="163" t="s">
        <v>582</v>
      </c>
      <c r="L264" s="163"/>
      <c r="M264" s="163" t="s">
        <v>583</v>
      </c>
      <c r="N264" s="163" t="s">
        <v>128</v>
      </c>
      <c r="O264" s="162"/>
      <c r="P264" s="163"/>
      <c r="Q264" s="163">
        <f t="shared" ca="1" si="33"/>
        <v>170</v>
      </c>
      <c r="R264" s="163" t="str">
        <f t="shared" ca="1" si="34"/>
        <v/>
      </c>
      <c r="S264" s="163" t="s">
        <v>133</v>
      </c>
      <c r="T264" s="164"/>
      <c r="U264" s="164"/>
      <c r="V264" s="163"/>
      <c r="W264" s="163"/>
      <c r="X264" s="163"/>
      <c r="Y264" s="163"/>
      <c r="Z264" s="163"/>
      <c r="AA264" s="163"/>
      <c r="AB264" s="195" t="str">
        <f t="shared" si="32"/>
        <v>May-26</v>
      </c>
      <c r="AC264" s="163"/>
      <c r="AD264" s="163" t="str">
        <f t="shared" si="35"/>
        <v/>
      </c>
      <c r="AE264" s="163"/>
    </row>
    <row r="265" spans="1:31" x14ac:dyDescent="0.35">
      <c r="A265" s="162">
        <v>46155</v>
      </c>
      <c r="B265" s="163" t="s">
        <v>452</v>
      </c>
      <c r="C265" s="163" t="s">
        <v>113</v>
      </c>
      <c r="D265" s="163" t="s">
        <v>584</v>
      </c>
      <c r="E265" s="163" t="s">
        <v>95</v>
      </c>
      <c r="F265" s="163" t="s">
        <v>135</v>
      </c>
      <c r="G265" s="163"/>
      <c r="H265" s="163" t="s">
        <v>226</v>
      </c>
      <c r="I265" s="163" t="s">
        <v>121</v>
      </c>
      <c r="J265" s="163" t="s">
        <v>147</v>
      </c>
      <c r="K265" s="163" t="s">
        <v>585</v>
      </c>
      <c r="L265" s="163"/>
      <c r="M265" s="163" t="s">
        <v>586</v>
      </c>
      <c r="N265" s="163" t="s">
        <v>128</v>
      </c>
      <c r="O265" s="162"/>
      <c r="P265" s="163"/>
      <c r="Q265" s="163">
        <f t="shared" ca="1" si="33"/>
        <v>170</v>
      </c>
      <c r="R265" s="163" t="str">
        <f t="shared" ca="1" si="34"/>
        <v/>
      </c>
      <c r="S265" s="163" t="s">
        <v>133</v>
      </c>
      <c r="T265" s="164"/>
      <c r="U265" s="164"/>
      <c r="V265" s="163"/>
      <c r="W265" s="163"/>
      <c r="X265" s="163"/>
      <c r="Y265" s="163"/>
      <c r="Z265" s="163"/>
      <c r="AA265" s="163"/>
      <c r="AB265" s="195" t="str">
        <f t="shared" si="32"/>
        <v>May-26</v>
      </c>
      <c r="AC265" s="163"/>
      <c r="AD265" s="163" t="str">
        <f t="shared" si="35"/>
        <v/>
      </c>
      <c r="AE265" s="163"/>
    </row>
    <row r="266" spans="1:31" x14ac:dyDescent="0.35">
      <c r="A266" s="162">
        <v>46155</v>
      </c>
      <c r="B266" s="163" t="s">
        <v>452</v>
      </c>
      <c r="C266" s="163" t="s">
        <v>113</v>
      </c>
      <c r="D266" s="163" t="s">
        <v>587</v>
      </c>
      <c r="E266" s="163" t="s">
        <v>95</v>
      </c>
      <c r="F266" s="163" t="s">
        <v>135</v>
      </c>
      <c r="G266" s="163"/>
      <c r="H266" s="163" t="s">
        <v>115</v>
      </c>
      <c r="I266" s="163" t="s">
        <v>121</v>
      </c>
      <c r="J266" s="163" t="s">
        <v>147</v>
      </c>
      <c r="K266" s="163" t="s">
        <v>588</v>
      </c>
      <c r="L266" s="163"/>
      <c r="M266" s="163" t="s">
        <v>589</v>
      </c>
      <c r="N266" s="163" t="s">
        <v>128</v>
      </c>
      <c r="O266" s="162"/>
      <c r="P266" s="163"/>
      <c r="Q266" s="163">
        <f t="shared" ca="1" si="33"/>
        <v>170</v>
      </c>
      <c r="R266" s="163" t="str">
        <f t="shared" ca="1" si="34"/>
        <v/>
      </c>
      <c r="S266" s="163" t="s">
        <v>133</v>
      </c>
      <c r="T266" s="164"/>
      <c r="U266" s="164"/>
      <c r="V266" s="163"/>
      <c r="W266" s="163"/>
      <c r="X266" s="163"/>
      <c r="Y266" s="163"/>
      <c r="Z266" s="163"/>
      <c r="AA266" s="163"/>
      <c r="AB266" s="195" t="str">
        <f t="shared" si="32"/>
        <v>May-26</v>
      </c>
      <c r="AC266" s="163"/>
      <c r="AD266" s="163" t="str">
        <f t="shared" si="35"/>
        <v/>
      </c>
      <c r="AE266" s="163"/>
    </row>
    <row r="267" spans="1:31" x14ac:dyDescent="0.35">
      <c r="A267" s="162">
        <v>46155</v>
      </c>
      <c r="B267" s="163" t="s">
        <v>125</v>
      </c>
      <c r="C267" s="163" t="s">
        <v>113</v>
      </c>
      <c r="D267" s="163" t="s">
        <v>246</v>
      </c>
      <c r="E267" s="163" t="s">
        <v>95</v>
      </c>
      <c r="F267" s="163" t="s">
        <v>96</v>
      </c>
      <c r="G267" s="163" t="s">
        <v>15</v>
      </c>
      <c r="H267" s="163" t="s">
        <v>163</v>
      </c>
      <c r="I267" s="163" t="s">
        <v>98</v>
      </c>
      <c r="J267" s="163" t="s">
        <v>147</v>
      </c>
      <c r="K267" s="163" t="s">
        <v>231</v>
      </c>
      <c r="L267" s="163"/>
      <c r="M267" s="163" t="s">
        <v>445</v>
      </c>
      <c r="N267" s="163" t="s">
        <v>102</v>
      </c>
      <c r="O267" s="162"/>
      <c r="P267" s="163"/>
      <c r="Q267" s="163" t="str">
        <f t="shared" ca="1" si="33"/>
        <v/>
      </c>
      <c r="R267" s="163" t="str">
        <f t="shared" ca="1" si="34"/>
        <v/>
      </c>
      <c r="S267" s="163" t="s">
        <v>103</v>
      </c>
      <c r="T267" s="164">
        <v>15000</v>
      </c>
      <c r="U267" s="164">
        <v>14575</v>
      </c>
      <c r="V267" s="162">
        <v>46155</v>
      </c>
      <c r="W267" s="163"/>
      <c r="X267" s="163" t="s">
        <v>39</v>
      </c>
      <c r="Y267" s="163" t="s">
        <v>85</v>
      </c>
      <c r="Z267" s="163"/>
      <c r="AA267" s="163"/>
      <c r="AB267" s="195" t="str">
        <f t="shared" si="32"/>
        <v>May-26</v>
      </c>
      <c r="AC267" s="163"/>
      <c r="AD267" s="163" t="str">
        <f t="shared" si="35"/>
        <v/>
      </c>
      <c r="AE267" s="163"/>
    </row>
    <row r="268" spans="1:31" x14ac:dyDescent="0.35">
      <c r="A268" s="162">
        <v>46155</v>
      </c>
      <c r="B268" s="163" t="s">
        <v>92</v>
      </c>
      <c r="C268" s="163" t="s">
        <v>113</v>
      </c>
      <c r="D268" s="163" t="s">
        <v>114</v>
      </c>
      <c r="E268" s="163" t="s">
        <v>95</v>
      </c>
      <c r="F268" s="163" t="s">
        <v>96</v>
      </c>
      <c r="G268" s="163" t="s">
        <v>10</v>
      </c>
      <c r="H268" s="163" t="s">
        <v>115</v>
      </c>
      <c r="I268" s="163" t="s">
        <v>98</v>
      </c>
      <c r="J268" s="163" t="s">
        <v>116</v>
      </c>
      <c r="K268" s="163" t="s">
        <v>117</v>
      </c>
      <c r="L268" s="163"/>
      <c r="M268" s="163" t="s">
        <v>590</v>
      </c>
      <c r="N268" s="163" t="s">
        <v>102</v>
      </c>
      <c r="O268" s="162"/>
      <c r="P268" s="163"/>
      <c r="Q268" s="163" t="str">
        <f t="shared" ca="1" si="33"/>
        <v/>
      </c>
      <c r="R268" s="163" t="str">
        <f t="shared" ca="1" si="34"/>
        <v/>
      </c>
      <c r="S268" s="163" t="s">
        <v>103</v>
      </c>
      <c r="T268" s="164">
        <v>22687</v>
      </c>
      <c r="U268" s="164">
        <v>22687</v>
      </c>
      <c r="V268" s="162">
        <v>46155</v>
      </c>
      <c r="W268" s="163" t="s">
        <v>591</v>
      </c>
      <c r="X268" s="163" t="s">
        <v>35</v>
      </c>
      <c r="Y268" s="163" t="s">
        <v>85</v>
      </c>
      <c r="Z268" s="163"/>
      <c r="AA268" s="163"/>
      <c r="AB268" s="195" t="str">
        <f t="shared" si="32"/>
        <v>May-26</v>
      </c>
      <c r="AC268" s="163"/>
      <c r="AD268" s="163"/>
      <c r="AE268" s="163"/>
    </row>
    <row r="269" spans="1:31" x14ac:dyDescent="0.35">
      <c r="A269" s="162">
        <v>46155</v>
      </c>
      <c r="B269" s="163" t="s">
        <v>125</v>
      </c>
      <c r="C269" s="163" t="s">
        <v>113</v>
      </c>
      <c r="D269" s="188" t="s">
        <v>165</v>
      </c>
      <c r="E269" s="163" t="s">
        <v>95</v>
      </c>
      <c r="F269" s="163" t="s">
        <v>135</v>
      </c>
      <c r="G269" s="163"/>
      <c r="H269" s="163" t="s">
        <v>115</v>
      </c>
      <c r="I269" s="163" t="s">
        <v>98</v>
      </c>
      <c r="J269" s="163" t="s">
        <v>166</v>
      </c>
      <c r="K269" s="163" t="s">
        <v>167</v>
      </c>
      <c r="L269" s="163"/>
      <c r="M269" s="163" t="s">
        <v>159</v>
      </c>
      <c r="N269" s="163" t="s">
        <v>102</v>
      </c>
      <c r="O269" s="162"/>
      <c r="P269" s="163"/>
      <c r="Q269" s="163" t="str">
        <f t="shared" ca="1" si="33"/>
        <v/>
      </c>
      <c r="R269" s="163" t="str">
        <f t="shared" ca="1" si="34"/>
        <v/>
      </c>
      <c r="S269" s="163" t="s">
        <v>103</v>
      </c>
      <c r="T269" s="164">
        <v>22687</v>
      </c>
      <c r="U269" s="164">
        <v>22687</v>
      </c>
      <c r="V269" s="162">
        <v>46155</v>
      </c>
      <c r="W269" s="163" t="s">
        <v>591</v>
      </c>
      <c r="X269" s="163" t="s">
        <v>35</v>
      </c>
      <c r="Y269" s="163" t="s">
        <v>85</v>
      </c>
      <c r="Z269" s="163"/>
      <c r="AA269" s="163"/>
      <c r="AB269" s="195" t="str">
        <f t="shared" si="32"/>
        <v>May-26</v>
      </c>
      <c r="AC269" s="163"/>
      <c r="AD269" s="163"/>
      <c r="AE269" s="163"/>
    </row>
    <row r="270" spans="1:31" x14ac:dyDescent="0.35">
      <c r="A270" s="162">
        <v>46155</v>
      </c>
      <c r="B270" s="163" t="s">
        <v>125</v>
      </c>
      <c r="C270" s="163" t="s">
        <v>113</v>
      </c>
      <c r="D270" s="163" t="s">
        <v>260</v>
      </c>
      <c r="E270" s="163" t="s">
        <v>95</v>
      </c>
      <c r="F270" s="163" t="s">
        <v>96</v>
      </c>
      <c r="G270" s="163" t="s">
        <v>15</v>
      </c>
      <c r="H270" s="163" t="s">
        <v>163</v>
      </c>
      <c r="I270" s="163" t="s">
        <v>98</v>
      </c>
      <c r="J270" s="163" t="s">
        <v>147</v>
      </c>
      <c r="K270" s="163" t="s">
        <v>231</v>
      </c>
      <c r="L270" s="163"/>
      <c r="M270" s="163" t="s">
        <v>445</v>
      </c>
      <c r="N270" s="163" t="s">
        <v>102</v>
      </c>
      <c r="O270" s="162"/>
      <c r="P270" s="163"/>
      <c r="Q270" s="163" t="str">
        <f t="shared" ca="1" si="33"/>
        <v/>
      </c>
      <c r="R270" s="163" t="str">
        <f t="shared" ca="1" si="34"/>
        <v/>
      </c>
      <c r="S270" s="163" t="s">
        <v>103</v>
      </c>
      <c r="T270" s="164">
        <v>16000</v>
      </c>
      <c r="U270" s="164">
        <v>15590</v>
      </c>
      <c r="V270" s="162">
        <v>46155</v>
      </c>
      <c r="W270" s="163"/>
      <c r="X270" s="163" t="s">
        <v>39</v>
      </c>
      <c r="Y270" s="163" t="s">
        <v>85</v>
      </c>
      <c r="Z270" s="163"/>
      <c r="AA270" s="163"/>
      <c r="AB270" s="195" t="str">
        <f t="shared" si="32"/>
        <v>May-26</v>
      </c>
      <c r="AC270" s="163"/>
      <c r="AD270" s="163" t="str">
        <f t="shared" ref="AD270:AD302" si="36">IF(AC270="Yes",U270*2%,"")</f>
        <v/>
      </c>
      <c r="AE270" s="163"/>
    </row>
    <row r="271" spans="1:31" x14ac:dyDescent="0.35">
      <c r="A271" s="162">
        <v>46155</v>
      </c>
      <c r="B271" s="163" t="s">
        <v>125</v>
      </c>
      <c r="C271" s="163" t="s">
        <v>113</v>
      </c>
      <c r="D271" s="163" t="s">
        <v>223</v>
      </c>
      <c r="E271" s="163" t="s">
        <v>106</v>
      </c>
      <c r="F271" s="163" t="s">
        <v>135</v>
      </c>
      <c r="G271" s="163"/>
      <c r="H271" s="163" t="s">
        <v>97</v>
      </c>
      <c r="I271" s="163" t="s">
        <v>98</v>
      </c>
      <c r="J271" s="163" t="s">
        <v>166</v>
      </c>
      <c r="K271" s="163" t="s">
        <v>224</v>
      </c>
      <c r="L271" s="163"/>
      <c r="M271" s="163" t="s">
        <v>445</v>
      </c>
      <c r="N271" s="163" t="s">
        <v>102</v>
      </c>
      <c r="O271" s="162"/>
      <c r="P271" s="163"/>
      <c r="Q271" s="163" t="str">
        <f t="shared" ca="1" si="33"/>
        <v/>
      </c>
      <c r="R271" s="163" t="str">
        <f t="shared" ca="1" si="34"/>
        <v/>
      </c>
      <c r="S271" s="163" t="s">
        <v>103</v>
      </c>
      <c r="T271" s="164">
        <v>12000</v>
      </c>
      <c r="U271" s="164">
        <v>10320</v>
      </c>
      <c r="V271" s="162">
        <v>46155</v>
      </c>
      <c r="W271" s="163"/>
      <c r="X271" s="163" t="s">
        <v>62</v>
      </c>
      <c r="Y271" s="163" t="s">
        <v>161</v>
      </c>
      <c r="Z271" s="163"/>
      <c r="AA271" s="163"/>
      <c r="AB271" s="195" t="str">
        <f t="shared" si="32"/>
        <v>May-26</v>
      </c>
      <c r="AC271" s="163"/>
      <c r="AD271" s="163" t="str">
        <f t="shared" si="36"/>
        <v/>
      </c>
      <c r="AE271" s="163"/>
    </row>
    <row r="272" spans="1:31" x14ac:dyDescent="0.35">
      <c r="A272" s="162">
        <v>46155</v>
      </c>
      <c r="B272" s="163" t="s">
        <v>370</v>
      </c>
      <c r="C272" s="163" t="s">
        <v>93</v>
      </c>
      <c r="D272" s="163" t="s">
        <v>592</v>
      </c>
      <c r="E272" s="163" t="s">
        <v>106</v>
      </c>
      <c r="F272" s="163" t="s">
        <v>115</v>
      </c>
      <c r="G272" s="163"/>
      <c r="H272" s="163" t="s">
        <v>115</v>
      </c>
      <c r="I272" s="163" t="s">
        <v>121</v>
      </c>
      <c r="J272" s="163" t="s">
        <v>262</v>
      </c>
      <c r="K272" s="163" t="s">
        <v>592</v>
      </c>
      <c r="L272" s="163"/>
      <c r="M272" s="163" t="s">
        <v>593</v>
      </c>
      <c r="N272" s="163" t="s">
        <v>102</v>
      </c>
      <c r="O272" s="162"/>
      <c r="P272" s="163"/>
      <c r="Q272" s="163" t="str">
        <f t="shared" ca="1" si="33"/>
        <v/>
      </c>
      <c r="R272" s="163" t="str">
        <f t="shared" ca="1" si="34"/>
        <v/>
      </c>
      <c r="S272" s="163" t="s">
        <v>103</v>
      </c>
      <c r="T272" s="164">
        <v>25000</v>
      </c>
      <c r="U272" s="164">
        <v>9223</v>
      </c>
      <c r="V272" s="162">
        <v>46154</v>
      </c>
      <c r="W272" s="163" t="s">
        <v>594</v>
      </c>
      <c r="X272" s="163" t="s">
        <v>56</v>
      </c>
      <c r="Y272" s="163" t="s">
        <v>161</v>
      </c>
      <c r="Z272" s="163"/>
      <c r="AA272" s="165">
        <v>46154</v>
      </c>
      <c r="AB272" s="195" t="str">
        <f t="shared" si="32"/>
        <v>May-26</v>
      </c>
      <c r="AC272" s="163"/>
      <c r="AD272" s="163" t="str">
        <f t="shared" si="36"/>
        <v/>
      </c>
      <c r="AE272" s="163"/>
    </row>
    <row r="273" spans="1:31" x14ac:dyDescent="0.35">
      <c r="A273" s="162">
        <v>46155</v>
      </c>
      <c r="B273" s="163" t="s">
        <v>370</v>
      </c>
      <c r="C273" s="163" t="s">
        <v>93</v>
      </c>
      <c r="D273" s="163" t="s">
        <v>595</v>
      </c>
      <c r="E273" s="163" t="s">
        <v>95</v>
      </c>
      <c r="F273" s="163" t="s">
        <v>115</v>
      </c>
      <c r="G273" s="163"/>
      <c r="H273" s="163" t="s">
        <v>115</v>
      </c>
      <c r="I273" s="163" t="s">
        <v>121</v>
      </c>
      <c r="J273" s="163" t="s">
        <v>356</v>
      </c>
      <c r="K273" s="163" t="s">
        <v>596</v>
      </c>
      <c r="L273" s="163"/>
      <c r="M273" s="163" t="s">
        <v>597</v>
      </c>
      <c r="N273" s="163" t="s">
        <v>181</v>
      </c>
      <c r="O273" s="162"/>
      <c r="P273" s="163"/>
      <c r="Q273" s="163">
        <f t="shared" ca="1" si="33"/>
        <v>170</v>
      </c>
      <c r="R273" s="163" t="str">
        <f t="shared" ca="1" si="34"/>
        <v/>
      </c>
      <c r="S273" s="163" t="s">
        <v>103</v>
      </c>
      <c r="T273" s="164">
        <v>50000</v>
      </c>
      <c r="U273" s="164"/>
      <c r="V273" s="163"/>
      <c r="W273" s="163"/>
      <c r="X273" s="163"/>
      <c r="Y273" s="163"/>
      <c r="Z273" s="163"/>
      <c r="AA273" s="163"/>
      <c r="AB273" s="195" t="str">
        <f t="shared" si="32"/>
        <v>May-26</v>
      </c>
      <c r="AC273" s="163"/>
      <c r="AD273" s="163" t="str">
        <f t="shared" si="36"/>
        <v/>
      </c>
      <c r="AE273" s="163"/>
    </row>
    <row r="274" spans="1:31" x14ac:dyDescent="0.35">
      <c r="A274" s="162">
        <v>46155</v>
      </c>
      <c r="B274" s="163" t="s">
        <v>370</v>
      </c>
      <c r="C274" s="163" t="s">
        <v>93</v>
      </c>
      <c r="D274" s="163" t="s">
        <v>598</v>
      </c>
      <c r="E274" s="163" t="s">
        <v>106</v>
      </c>
      <c r="F274" s="163" t="s">
        <v>115</v>
      </c>
      <c r="G274" s="163"/>
      <c r="H274" s="163" t="s">
        <v>115</v>
      </c>
      <c r="I274" s="163" t="s">
        <v>121</v>
      </c>
      <c r="J274" s="163" t="s">
        <v>356</v>
      </c>
      <c r="K274" s="163" t="s">
        <v>565</v>
      </c>
      <c r="L274" s="163"/>
      <c r="M274" s="163" t="s">
        <v>599</v>
      </c>
      <c r="N274" s="163" t="s">
        <v>181</v>
      </c>
      <c r="O274" s="162"/>
      <c r="P274" s="163"/>
      <c r="Q274" s="163">
        <f t="shared" ca="1" si="33"/>
        <v>170</v>
      </c>
      <c r="R274" s="163" t="str">
        <f t="shared" ca="1" si="34"/>
        <v/>
      </c>
      <c r="S274" s="163" t="s">
        <v>103</v>
      </c>
      <c r="T274" s="164">
        <v>30000</v>
      </c>
      <c r="U274" s="164"/>
      <c r="V274" s="163"/>
      <c r="W274" s="163"/>
      <c r="X274" s="163"/>
      <c r="Y274" s="163"/>
      <c r="Z274" s="163"/>
      <c r="AA274" s="163"/>
      <c r="AB274" s="195" t="str">
        <f t="shared" si="32"/>
        <v>May-26</v>
      </c>
      <c r="AC274" s="163"/>
      <c r="AD274" s="163" t="str">
        <f t="shared" si="36"/>
        <v/>
      </c>
      <c r="AE274" s="163"/>
    </row>
    <row r="275" spans="1:31" x14ac:dyDescent="0.35">
      <c r="A275" s="162">
        <v>46155</v>
      </c>
      <c r="B275" s="163" t="s">
        <v>92</v>
      </c>
      <c r="C275" s="163" t="s">
        <v>93</v>
      </c>
      <c r="D275" s="163" t="s">
        <v>600</v>
      </c>
      <c r="E275" s="163" t="s">
        <v>95</v>
      </c>
      <c r="F275" s="163" t="s">
        <v>115</v>
      </c>
      <c r="G275" s="163"/>
      <c r="H275" s="163" t="s">
        <v>115</v>
      </c>
      <c r="I275" s="163" t="s">
        <v>121</v>
      </c>
      <c r="J275" s="163" t="s">
        <v>262</v>
      </c>
      <c r="K275" s="163" t="s">
        <v>600</v>
      </c>
      <c r="L275" s="163"/>
      <c r="M275" s="163" t="s">
        <v>601</v>
      </c>
      <c r="N275" s="163" t="s">
        <v>181</v>
      </c>
      <c r="O275" s="162"/>
      <c r="P275" s="163"/>
      <c r="Q275" s="163">
        <f t="shared" ca="1" si="33"/>
        <v>170</v>
      </c>
      <c r="R275" s="163" t="str">
        <f t="shared" ca="1" si="34"/>
        <v/>
      </c>
      <c r="S275" s="163" t="s">
        <v>129</v>
      </c>
      <c r="T275" s="164">
        <v>0</v>
      </c>
      <c r="U275" s="164">
        <v>0</v>
      </c>
      <c r="V275" s="163"/>
      <c r="W275" s="163"/>
      <c r="X275" s="163"/>
      <c r="Y275" s="163"/>
      <c r="Z275" s="163"/>
      <c r="AA275" s="163"/>
      <c r="AB275" s="195" t="str">
        <f t="shared" si="32"/>
        <v>May-26</v>
      </c>
      <c r="AC275" s="163"/>
      <c r="AD275" s="163" t="str">
        <f t="shared" si="36"/>
        <v/>
      </c>
      <c r="AE275" s="163"/>
    </row>
    <row r="276" spans="1:31" x14ac:dyDescent="0.35">
      <c r="A276" s="162">
        <v>46155</v>
      </c>
      <c r="B276" s="163" t="s">
        <v>92</v>
      </c>
      <c r="C276" s="163" t="s">
        <v>93</v>
      </c>
      <c r="D276" s="163" t="s">
        <v>602</v>
      </c>
      <c r="E276" s="163" t="s">
        <v>95</v>
      </c>
      <c r="F276" s="163" t="s">
        <v>115</v>
      </c>
      <c r="G276" s="163"/>
      <c r="H276" s="163" t="s">
        <v>115</v>
      </c>
      <c r="I276" s="163" t="s">
        <v>121</v>
      </c>
      <c r="J276" s="163" t="s">
        <v>438</v>
      </c>
      <c r="K276" s="163" t="s">
        <v>603</v>
      </c>
      <c r="L276" s="163"/>
      <c r="M276" s="163" t="s">
        <v>575</v>
      </c>
      <c r="N276" s="163" t="s">
        <v>156</v>
      </c>
      <c r="O276" s="162">
        <v>46296</v>
      </c>
      <c r="P276" s="163"/>
      <c r="Q276" s="163">
        <f t="shared" ca="1" si="33"/>
        <v>170</v>
      </c>
      <c r="R276" s="163" t="str">
        <f t="shared" ca="1" si="34"/>
        <v>Yes</v>
      </c>
      <c r="S276" s="163" t="s">
        <v>103</v>
      </c>
      <c r="T276" s="164">
        <v>0</v>
      </c>
      <c r="U276" s="164">
        <v>0</v>
      </c>
      <c r="V276" s="163"/>
      <c r="W276" s="163"/>
      <c r="X276" s="163"/>
      <c r="Y276" s="163"/>
      <c r="Z276" s="163"/>
      <c r="AA276" s="163"/>
      <c r="AB276" s="195" t="str">
        <f t="shared" si="32"/>
        <v>May-26</v>
      </c>
      <c r="AC276" s="163"/>
      <c r="AD276" s="163" t="str">
        <f t="shared" si="36"/>
        <v/>
      </c>
      <c r="AE276" s="163"/>
    </row>
    <row r="277" spans="1:31" x14ac:dyDescent="0.35">
      <c r="A277" s="162">
        <v>46155</v>
      </c>
      <c r="B277" s="163" t="s">
        <v>92</v>
      </c>
      <c r="C277" s="163" t="s">
        <v>93</v>
      </c>
      <c r="D277" s="163" t="s">
        <v>604</v>
      </c>
      <c r="E277" s="163" t="s">
        <v>95</v>
      </c>
      <c r="F277" s="163" t="s">
        <v>115</v>
      </c>
      <c r="G277" s="163"/>
      <c r="H277" s="163" t="s">
        <v>115</v>
      </c>
      <c r="I277" s="163" t="s">
        <v>121</v>
      </c>
      <c r="J277" s="163" t="s">
        <v>147</v>
      </c>
      <c r="K277" s="163" t="s">
        <v>154</v>
      </c>
      <c r="L277" s="163"/>
      <c r="M277" s="163" t="s">
        <v>605</v>
      </c>
      <c r="N277" s="163" t="s">
        <v>181</v>
      </c>
      <c r="O277" s="162"/>
      <c r="P277" s="163"/>
      <c r="Q277" s="163">
        <f t="shared" ca="1" si="33"/>
        <v>170</v>
      </c>
      <c r="R277" s="163" t="str">
        <f t="shared" ca="1" si="34"/>
        <v/>
      </c>
      <c r="S277" s="163" t="s">
        <v>129</v>
      </c>
      <c r="T277" s="164">
        <v>0</v>
      </c>
      <c r="U277" s="164">
        <v>0</v>
      </c>
      <c r="V277" s="163"/>
      <c r="W277" s="163"/>
      <c r="X277" s="163"/>
      <c r="Y277" s="163"/>
      <c r="Z277" s="163"/>
      <c r="AA277" s="163"/>
      <c r="AB277" s="195" t="str">
        <f t="shared" si="32"/>
        <v>May-26</v>
      </c>
      <c r="AC277" s="163"/>
      <c r="AD277" s="163" t="str">
        <f t="shared" si="36"/>
        <v/>
      </c>
      <c r="AE277" s="163"/>
    </row>
    <row r="278" spans="1:31" x14ac:dyDescent="0.35">
      <c r="A278" s="162">
        <v>46156</v>
      </c>
      <c r="B278" s="163" t="s">
        <v>92</v>
      </c>
      <c r="C278" s="163" t="s">
        <v>93</v>
      </c>
      <c r="D278" s="163" t="s">
        <v>182</v>
      </c>
      <c r="E278" s="163" t="s">
        <v>95</v>
      </c>
      <c r="F278" s="163" t="s">
        <v>96</v>
      </c>
      <c r="G278" s="163" t="s">
        <v>15</v>
      </c>
      <c r="H278" s="163" t="s">
        <v>115</v>
      </c>
      <c r="I278" s="163" t="s">
        <v>98</v>
      </c>
      <c r="J278" s="163" t="s">
        <v>147</v>
      </c>
      <c r="K278" s="163" t="s">
        <v>384</v>
      </c>
      <c r="L278" s="163"/>
      <c r="M278" s="163" t="s">
        <v>606</v>
      </c>
      <c r="N278" s="163" t="s">
        <v>102</v>
      </c>
      <c r="O278" s="162"/>
      <c r="P278" s="163"/>
      <c r="Q278" s="163" t="str">
        <f t="shared" ca="1" si="33"/>
        <v/>
      </c>
      <c r="R278" s="163" t="str">
        <f t="shared" ca="1" si="34"/>
        <v/>
      </c>
      <c r="S278" s="163" t="s">
        <v>103</v>
      </c>
      <c r="T278" s="164">
        <v>30000</v>
      </c>
      <c r="U278" s="164">
        <v>64420</v>
      </c>
      <c r="V278" s="162">
        <v>46155</v>
      </c>
      <c r="W278" s="163" t="s">
        <v>607</v>
      </c>
      <c r="X278" s="163" t="s">
        <v>30</v>
      </c>
      <c r="Y278" s="163" t="s">
        <v>85</v>
      </c>
      <c r="Z278" s="163"/>
      <c r="AA278" s="163"/>
      <c r="AB278" s="195" t="str">
        <f t="shared" si="32"/>
        <v>May-26</v>
      </c>
      <c r="AC278" s="163"/>
      <c r="AD278" s="163" t="str">
        <f t="shared" si="36"/>
        <v/>
      </c>
      <c r="AE278" s="163"/>
    </row>
    <row r="279" spans="1:31" x14ac:dyDescent="0.35">
      <c r="A279" s="162">
        <v>46156</v>
      </c>
      <c r="B279" s="163" t="s">
        <v>452</v>
      </c>
      <c r="C279" s="163" t="s">
        <v>113</v>
      </c>
      <c r="D279" s="163" t="s">
        <v>608</v>
      </c>
      <c r="E279" s="163" t="s">
        <v>95</v>
      </c>
      <c r="F279" s="163" t="s">
        <v>135</v>
      </c>
      <c r="G279" s="163"/>
      <c r="H279" s="163" t="s">
        <v>115</v>
      </c>
      <c r="I279" s="163" t="s">
        <v>121</v>
      </c>
      <c r="J279" s="163" t="s">
        <v>147</v>
      </c>
      <c r="K279" s="163" t="s">
        <v>609</v>
      </c>
      <c r="L279" s="163"/>
      <c r="M279" s="163" t="s">
        <v>610</v>
      </c>
      <c r="N279" s="163" t="s">
        <v>128</v>
      </c>
      <c r="O279" s="162"/>
      <c r="P279" s="163"/>
      <c r="Q279" s="163">
        <f t="shared" ca="1" si="33"/>
        <v>169</v>
      </c>
      <c r="R279" s="163" t="str">
        <f t="shared" ca="1" si="34"/>
        <v/>
      </c>
      <c r="S279" s="163" t="s">
        <v>133</v>
      </c>
      <c r="T279" s="164"/>
      <c r="U279" s="164"/>
      <c r="V279" s="163"/>
      <c r="W279" s="163"/>
      <c r="X279" s="163"/>
      <c r="Y279" s="163"/>
      <c r="Z279" s="163"/>
      <c r="AA279" s="163"/>
      <c r="AB279" s="195" t="str">
        <f t="shared" si="32"/>
        <v>May-26</v>
      </c>
      <c r="AC279" s="163"/>
      <c r="AD279" s="163" t="str">
        <f t="shared" si="36"/>
        <v/>
      </c>
      <c r="AE279" s="163"/>
    </row>
    <row r="280" spans="1:31" x14ac:dyDescent="0.35">
      <c r="A280" s="162">
        <v>46156</v>
      </c>
      <c r="B280" s="163" t="s">
        <v>452</v>
      </c>
      <c r="C280" s="163" t="s">
        <v>113</v>
      </c>
      <c r="D280" s="163" t="s">
        <v>611</v>
      </c>
      <c r="E280" s="163" t="s">
        <v>95</v>
      </c>
      <c r="F280" s="163" t="s">
        <v>135</v>
      </c>
      <c r="G280" s="163"/>
      <c r="H280" s="163" t="s">
        <v>115</v>
      </c>
      <c r="I280" s="163" t="s">
        <v>121</v>
      </c>
      <c r="J280" s="163" t="s">
        <v>147</v>
      </c>
      <c r="K280" s="163" t="s">
        <v>612</v>
      </c>
      <c r="L280" s="163"/>
      <c r="M280" s="163" t="s">
        <v>613</v>
      </c>
      <c r="N280" s="163" t="s">
        <v>128</v>
      </c>
      <c r="O280" s="162"/>
      <c r="P280" s="163"/>
      <c r="Q280" s="163">
        <f t="shared" ca="1" si="33"/>
        <v>169</v>
      </c>
      <c r="R280" s="163" t="str">
        <f t="shared" ca="1" si="34"/>
        <v/>
      </c>
      <c r="S280" s="163" t="s">
        <v>133</v>
      </c>
      <c r="T280" s="164"/>
      <c r="U280" s="164"/>
      <c r="V280" s="163"/>
      <c r="W280" s="163"/>
      <c r="X280" s="163"/>
      <c r="Y280" s="163"/>
      <c r="Z280" s="163"/>
      <c r="AA280" s="163"/>
      <c r="AB280" s="195" t="str">
        <f t="shared" si="32"/>
        <v>May-26</v>
      </c>
      <c r="AC280" s="163"/>
      <c r="AD280" s="163" t="str">
        <f t="shared" si="36"/>
        <v/>
      </c>
      <c r="AE280" s="163"/>
    </row>
    <row r="281" spans="1:31" x14ac:dyDescent="0.35">
      <c r="A281" s="162">
        <v>46156</v>
      </c>
      <c r="B281" s="163" t="s">
        <v>452</v>
      </c>
      <c r="C281" s="163" t="s">
        <v>113</v>
      </c>
      <c r="D281" s="163" t="s">
        <v>483</v>
      </c>
      <c r="E281" s="163" t="s">
        <v>106</v>
      </c>
      <c r="F281" s="163" t="s">
        <v>135</v>
      </c>
      <c r="G281" s="163"/>
      <c r="H281" s="163" t="s">
        <v>115</v>
      </c>
      <c r="I281" s="163" t="s">
        <v>121</v>
      </c>
      <c r="J281" s="163" t="s">
        <v>147</v>
      </c>
      <c r="K281" s="163" t="s">
        <v>614</v>
      </c>
      <c r="L281" s="163"/>
      <c r="M281" s="163" t="s">
        <v>615</v>
      </c>
      <c r="N281" s="163" t="s">
        <v>495</v>
      </c>
      <c r="O281" s="162"/>
      <c r="P281" s="163"/>
      <c r="Q281" s="163">
        <f t="shared" ca="1" si="33"/>
        <v>169</v>
      </c>
      <c r="R281" s="163" t="str">
        <f t="shared" ca="1" si="34"/>
        <v/>
      </c>
      <c r="S281" s="163" t="s">
        <v>129</v>
      </c>
      <c r="T281" s="164"/>
      <c r="U281" s="164"/>
      <c r="V281" s="163"/>
      <c r="W281" s="163"/>
      <c r="X281" s="163"/>
      <c r="Y281" s="163"/>
      <c r="Z281" s="163"/>
      <c r="AA281" s="163"/>
      <c r="AB281" s="195" t="str">
        <f t="shared" si="32"/>
        <v>May-26</v>
      </c>
      <c r="AC281" s="163"/>
      <c r="AD281" s="163" t="str">
        <f t="shared" si="36"/>
        <v/>
      </c>
      <c r="AE281" s="163"/>
    </row>
    <row r="282" spans="1:31" x14ac:dyDescent="0.35">
      <c r="A282" s="162">
        <v>46156</v>
      </c>
      <c r="B282" s="163" t="s">
        <v>370</v>
      </c>
      <c r="C282" s="163" t="s">
        <v>93</v>
      </c>
      <c r="D282" s="163" t="s">
        <v>616</v>
      </c>
      <c r="E282" s="163" t="s">
        <v>106</v>
      </c>
      <c r="F282" s="163" t="s">
        <v>115</v>
      </c>
      <c r="G282" s="163"/>
      <c r="H282" s="163" t="s">
        <v>115</v>
      </c>
      <c r="I282" s="163" t="s">
        <v>121</v>
      </c>
      <c r="J282" s="163" t="s">
        <v>262</v>
      </c>
      <c r="K282" s="163" t="s">
        <v>616</v>
      </c>
      <c r="L282" s="163"/>
      <c r="M282" s="163" t="s">
        <v>617</v>
      </c>
      <c r="N282" s="163" t="s">
        <v>102</v>
      </c>
      <c r="O282" s="162"/>
      <c r="P282" s="163"/>
      <c r="Q282" s="163" t="str">
        <f t="shared" ca="1" si="33"/>
        <v/>
      </c>
      <c r="R282" s="163" t="str">
        <f t="shared" ca="1" si="34"/>
        <v/>
      </c>
      <c r="S282" s="163" t="s">
        <v>103</v>
      </c>
      <c r="T282" s="164">
        <v>10000</v>
      </c>
      <c r="U282" s="164"/>
      <c r="V282" s="163"/>
      <c r="W282" s="163"/>
      <c r="X282" s="163"/>
      <c r="Y282" s="163"/>
      <c r="Z282" s="163"/>
      <c r="AA282" s="163"/>
      <c r="AB282" s="195" t="str">
        <f t="shared" si="32"/>
        <v>May-26</v>
      </c>
      <c r="AC282" s="163"/>
      <c r="AD282" s="163" t="str">
        <f t="shared" si="36"/>
        <v/>
      </c>
      <c r="AE282" s="163"/>
    </row>
    <row r="283" spans="1:31" x14ac:dyDescent="0.35">
      <c r="A283" s="162">
        <v>46156</v>
      </c>
      <c r="B283" s="163" t="s">
        <v>370</v>
      </c>
      <c r="C283" s="163" t="s">
        <v>93</v>
      </c>
      <c r="D283" s="163" t="s">
        <v>618</v>
      </c>
      <c r="E283" s="163" t="s">
        <v>106</v>
      </c>
      <c r="F283" s="163" t="s">
        <v>115</v>
      </c>
      <c r="G283" s="163"/>
      <c r="H283" s="163" t="s">
        <v>115</v>
      </c>
      <c r="I283" s="163" t="s">
        <v>121</v>
      </c>
      <c r="J283" s="163" t="s">
        <v>374</v>
      </c>
      <c r="K283" s="163" t="s">
        <v>619</v>
      </c>
      <c r="L283" s="163"/>
      <c r="M283" s="163" t="s">
        <v>620</v>
      </c>
      <c r="N283" s="163" t="s">
        <v>181</v>
      </c>
      <c r="O283" s="162"/>
      <c r="P283" s="163"/>
      <c r="Q283" s="163">
        <f t="shared" ca="1" si="33"/>
        <v>169</v>
      </c>
      <c r="R283" s="163" t="str">
        <f t="shared" ca="1" si="34"/>
        <v/>
      </c>
      <c r="S283" s="163" t="s">
        <v>129</v>
      </c>
      <c r="T283" s="164">
        <v>10000</v>
      </c>
      <c r="U283" s="164"/>
      <c r="V283" s="163"/>
      <c r="W283" s="163"/>
      <c r="X283" s="163"/>
      <c r="Y283" s="163"/>
      <c r="Z283" s="163"/>
      <c r="AA283" s="163"/>
      <c r="AB283" s="195" t="str">
        <f t="shared" si="32"/>
        <v>May-26</v>
      </c>
      <c r="AC283" s="163"/>
      <c r="AD283" s="163" t="str">
        <f t="shared" si="36"/>
        <v/>
      </c>
      <c r="AE283" s="163"/>
    </row>
    <row r="284" spans="1:31" x14ac:dyDescent="0.35">
      <c r="A284" s="162">
        <v>46156</v>
      </c>
      <c r="B284" s="163" t="s">
        <v>92</v>
      </c>
      <c r="C284" s="163" t="s">
        <v>93</v>
      </c>
      <c r="D284" s="163" t="s">
        <v>182</v>
      </c>
      <c r="E284" s="163" t="s">
        <v>95</v>
      </c>
      <c r="F284" s="163" t="s">
        <v>96</v>
      </c>
      <c r="G284" s="163" t="s">
        <v>15</v>
      </c>
      <c r="H284" s="163" t="s">
        <v>163</v>
      </c>
      <c r="I284" s="163" t="s">
        <v>98</v>
      </c>
      <c r="J284" s="163" t="s">
        <v>147</v>
      </c>
      <c r="K284" s="163" t="s">
        <v>384</v>
      </c>
      <c r="L284" s="163"/>
      <c r="M284" s="163" t="s">
        <v>621</v>
      </c>
      <c r="N284" s="163" t="s">
        <v>102</v>
      </c>
      <c r="O284" s="162"/>
      <c r="P284" s="163"/>
      <c r="Q284" s="163" t="str">
        <f t="shared" ca="1" si="33"/>
        <v/>
      </c>
      <c r="R284" s="163" t="str">
        <f t="shared" ca="1" si="34"/>
        <v/>
      </c>
      <c r="S284" s="163" t="s">
        <v>103</v>
      </c>
      <c r="T284" s="164">
        <v>30000</v>
      </c>
      <c r="U284" s="164">
        <v>42970</v>
      </c>
      <c r="V284" s="163"/>
      <c r="W284" s="163" t="s">
        <v>622</v>
      </c>
      <c r="X284" s="163" t="s">
        <v>30</v>
      </c>
      <c r="Y284" s="163" t="s">
        <v>85</v>
      </c>
      <c r="Z284" s="163"/>
      <c r="AA284" s="165">
        <v>46156</v>
      </c>
      <c r="AB284" s="195" t="str">
        <f t="shared" si="32"/>
        <v>May-26</v>
      </c>
      <c r="AC284" s="163"/>
      <c r="AD284" s="163" t="str">
        <f t="shared" si="36"/>
        <v/>
      </c>
      <c r="AE284" s="163"/>
    </row>
    <row r="285" spans="1:31" x14ac:dyDescent="0.35">
      <c r="A285" s="162">
        <v>46156</v>
      </c>
      <c r="B285" s="163" t="s">
        <v>92</v>
      </c>
      <c r="C285" s="163" t="s">
        <v>93</v>
      </c>
      <c r="D285" s="163" t="s">
        <v>283</v>
      </c>
      <c r="E285" s="163" t="s">
        <v>95</v>
      </c>
      <c r="F285" s="163" t="s">
        <v>96</v>
      </c>
      <c r="G285" s="163" t="s">
        <v>12</v>
      </c>
      <c r="H285" s="163" t="s">
        <v>163</v>
      </c>
      <c r="I285" s="163" t="s">
        <v>98</v>
      </c>
      <c r="J285" s="163" t="s">
        <v>147</v>
      </c>
      <c r="K285" s="163" t="s">
        <v>623</v>
      </c>
      <c r="L285" s="163"/>
      <c r="M285" s="163" t="s">
        <v>621</v>
      </c>
      <c r="N285" s="163" t="s">
        <v>102</v>
      </c>
      <c r="O285" s="162"/>
      <c r="P285" s="163"/>
      <c r="Q285" s="163" t="str">
        <f t="shared" ca="1" si="33"/>
        <v/>
      </c>
      <c r="R285" s="163" t="str">
        <f t="shared" ca="1" si="34"/>
        <v/>
      </c>
      <c r="S285" s="163" t="s">
        <v>103</v>
      </c>
      <c r="T285" s="164">
        <v>25000</v>
      </c>
      <c r="U285" s="164">
        <v>31440</v>
      </c>
      <c r="V285" s="162">
        <v>46156</v>
      </c>
      <c r="W285" s="163"/>
      <c r="X285" s="163" t="s">
        <v>27</v>
      </c>
      <c r="Y285" s="163" t="s">
        <v>85</v>
      </c>
      <c r="Z285" s="163"/>
      <c r="AA285" s="163"/>
      <c r="AB285" s="195" t="str">
        <f t="shared" si="32"/>
        <v>May-26</v>
      </c>
      <c r="AC285" s="163"/>
      <c r="AD285" s="163" t="str">
        <f t="shared" si="36"/>
        <v/>
      </c>
      <c r="AE285" s="163"/>
    </row>
    <row r="286" spans="1:31" x14ac:dyDescent="0.35">
      <c r="A286" s="162">
        <v>46156</v>
      </c>
      <c r="B286" s="163" t="s">
        <v>92</v>
      </c>
      <c r="C286" s="163" t="s">
        <v>93</v>
      </c>
      <c r="D286" s="163" t="s">
        <v>624</v>
      </c>
      <c r="E286" s="163" t="s">
        <v>95</v>
      </c>
      <c r="F286" s="163" t="s">
        <v>115</v>
      </c>
      <c r="G286" s="163"/>
      <c r="H286" s="163" t="s">
        <v>163</v>
      </c>
      <c r="I286" s="163" t="s">
        <v>98</v>
      </c>
      <c r="J286" s="163" t="s">
        <v>356</v>
      </c>
      <c r="K286" s="163" t="s">
        <v>426</v>
      </c>
      <c r="L286" s="163"/>
      <c r="M286" s="163" t="s">
        <v>427</v>
      </c>
      <c r="N286" s="163" t="s">
        <v>102</v>
      </c>
      <c r="O286" s="162"/>
      <c r="P286" s="163"/>
      <c r="Q286" s="163" t="str">
        <f t="shared" ca="1" si="33"/>
        <v/>
      </c>
      <c r="R286" s="163" t="str">
        <f t="shared" ca="1" si="34"/>
        <v/>
      </c>
      <c r="S286" s="163" t="s">
        <v>103</v>
      </c>
      <c r="T286" s="164">
        <v>50000</v>
      </c>
      <c r="U286" s="164">
        <v>0</v>
      </c>
      <c r="V286" s="163"/>
      <c r="W286" s="163"/>
      <c r="X286" s="163"/>
      <c r="Y286" s="163"/>
      <c r="Z286" s="163"/>
      <c r="AA286" s="163"/>
      <c r="AB286" s="195" t="str">
        <f t="shared" si="32"/>
        <v>May-26</v>
      </c>
      <c r="AC286" s="163"/>
      <c r="AD286" s="163" t="str">
        <f t="shared" si="36"/>
        <v/>
      </c>
      <c r="AE286" s="163"/>
    </row>
    <row r="287" spans="1:31" x14ac:dyDescent="0.35">
      <c r="A287" s="162">
        <v>46156</v>
      </c>
      <c r="B287" s="163" t="s">
        <v>92</v>
      </c>
      <c r="C287" s="163" t="s">
        <v>93</v>
      </c>
      <c r="D287" s="163" t="s">
        <v>625</v>
      </c>
      <c r="E287" s="163" t="s">
        <v>95</v>
      </c>
      <c r="F287" s="163" t="s">
        <v>115</v>
      </c>
      <c r="G287" s="163"/>
      <c r="H287" s="163" t="s">
        <v>115</v>
      </c>
      <c r="I287" s="163" t="s">
        <v>98</v>
      </c>
      <c r="J287" s="163" t="s">
        <v>378</v>
      </c>
      <c r="K287" s="163" t="s">
        <v>379</v>
      </c>
      <c r="L287" s="163"/>
      <c r="M287" s="163" t="s">
        <v>626</v>
      </c>
      <c r="N287" s="163" t="s">
        <v>181</v>
      </c>
      <c r="O287" s="162"/>
      <c r="P287" s="163"/>
      <c r="Q287" s="163">
        <f t="shared" ca="1" si="33"/>
        <v>169</v>
      </c>
      <c r="R287" s="163" t="str">
        <f t="shared" ca="1" si="34"/>
        <v/>
      </c>
      <c r="S287" s="163" t="s">
        <v>103</v>
      </c>
      <c r="T287" s="164">
        <v>0</v>
      </c>
      <c r="U287" s="164">
        <v>0</v>
      </c>
      <c r="V287" s="163"/>
      <c r="W287" s="163"/>
      <c r="X287" s="163"/>
      <c r="Y287" s="163"/>
      <c r="Z287" s="163"/>
      <c r="AA287" s="163"/>
      <c r="AB287" s="195" t="str">
        <f t="shared" si="32"/>
        <v>May-26</v>
      </c>
      <c r="AC287" s="163"/>
      <c r="AD287" s="163" t="str">
        <f t="shared" si="36"/>
        <v/>
      </c>
      <c r="AE287" s="163"/>
    </row>
    <row r="288" spans="1:31" x14ac:dyDescent="0.35">
      <c r="A288" s="162">
        <v>46156</v>
      </c>
      <c r="B288" s="163" t="s">
        <v>125</v>
      </c>
      <c r="C288" s="163" t="s">
        <v>113</v>
      </c>
      <c r="D288" s="163" t="s">
        <v>399</v>
      </c>
      <c r="E288" s="163" t="s">
        <v>106</v>
      </c>
      <c r="F288" s="163" t="s">
        <v>96</v>
      </c>
      <c r="G288" s="163" t="s">
        <v>13</v>
      </c>
      <c r="H288" s="163" t="s">
        <v>226</v>
      </c>
      <c r="I288" s="163" t="s">
        <v>121</v>
      </c>
      <c r="J288" s="163" t="s">
        <v>153</v>
      </c>
      <c r="K288" s="163" t="s">
        <v>361</v>
      </c>
      <c r="L288" s="163"/>
      <c r="M288" s="163" t="s">
        <v>621</v>
      </c>
      <c r="N288" s="163" t="s">
        <v>102</v>
      </c>
      <c r="O288" s="162"/>
      <c r="P288" s="163"/>
      <c r="Q288" s="163" t="str">
        <f t="shared" ca="1" si="33"/>
        <v/>
      </c>
      <c r="R288" s="163" t="str">
        <f t="shared" ca="1" si="34"/>
        <v/>
      </c>
      <c r="S288" s="163" t="s">
        <v>103</v>
      </c>
      <c r="T288" s="164">
        <v>55000</v>
      </c>
      <c r="U288" s="164">
        <v>55750</v>
      </c>
      <c r="V288" s="162">
        <v>46156</v>
      </c>
      <c r="W288" s="163"/>
      <c r="X288" s="163" t="s">
        <v>37</v>
      </c>
      <c r="Y288" s="163" t="s">
        <v>85</v>
      </c>
      <c r="Z288" s="163"/>
      <c r="AA288" s="163"/>
      <c r="AB288" s="195" t="str">
        <f t="shared" si="32"/>
        <v>May-26</v>
      </c>
      <c r="AC288" s="163"/>
      <c r="AD288" s="163" t="str">
        <f t="shared" si="36"/>
        <v/>
      </c>
      <c r="AE288" s="163"/>
    </row>
    <row r="289" spans="1:31" x14ac:dyDescent="0.35">
      <c r="A289" s="162">
        <v>46156</v>
      </c>
      <c r="B289" s="163" t="s">
        <v>125</v>
      </c>
      <c r="C289" s="163" t="s">
        <v>113</v>
      </c>
      <c r="D289" s="163" t="s">
        <v>554</v>
      </c>
      <c r="E289" s="163" t="s">
        <v>95</v>
      </c>
      <c r="F289" s="163" t="s">
        <v>96</v>
      </c>
      <c r="G289" s="163" t="s">
        <v>15</v>
      </c>
      <c r="H289" s="163" t="s">
        <v>163</v>
      </c>
      <c r="I289" s="163" t="s">
        <v>121</v>
      </c>
      <c r="J289" s="163" t="s">
        <v>147</v>
      </c>
      <c r="K289" s="163" t="s">
        <v>525</v>
      </c>
      <c r="L289" s="163"/>
      <c r="M289" s="163" t="s">
        <v>526</v>
      </c>
      <c r="N289" s="163" t="s">
        <v>102</v>
      </c>
      <c r="O289" s="162"/>
      <c r="P289" s="163"/>
      <c r="Q289" s="163" t="str">
        <f t="shared" ca="1" si="33"/>
        <v/>
      </c>
      <c r="R289" s="163" t="str">
        <f t="shared" ca="1" si="34"/>
        <v/>
      </c>
      <c r="S289" s="163" t="s">
        <v>103</v>
      </c>
      <c r="T289" s="164">
        <v>8500</v>
      </c>
      <c r="U289" s="164">
        <v>8230</v>
      </c>
      <c r="V289" s="162">
        <v>46156</v>
      </c>
      <c r="W289" s="163" t="s">
        <v>627</v>
      </c>
      <c r="X289" s="163" t="s">
        <v>47</v>
      </c>
      <c r="Y289" s="163" t="s">
        <v>85</v>
      </c>
      <c r="Z289" s="163"/>
      <c r="AA289" s="163"/>
      <c r="AB289" s="195" t="str">
        <f t="shared" si="32"/>
        <v>May-26</v>
      </c>
      <c r="AC289" s="163"/>
      <c r="AD289" s="163" t="str">
        <f t="shared" si="36"/>
        <v/>
      </c>
      <c r="AE289" s="163"/>
    </row>
    <row r="290" spans="1:31" x14ac:dyDescent="0.35">
      <c r="A290" s="162">
        <v>46156</v>
      </c>
      <c r="B290" s="163" t="s">
        <v>125</v>
      </c>
      <c r="C290" s="163" t="s">
        <v>113</v>
      </c>
      <c r="D290" s="163" t="s">
        <v>628</v>
      </c>
      <c r="E290" s="163" t="s">
        <v>106</v>
      </c>
      <c r="F290" s="163" t="s">
        <v>96</v>
      </c>
      <c r="G290" s="163" t="s">
        <v>15</v>
      </c>
      <c r="H290" s="163" t="s">
        <v>115</v>
      </c>
      <c r="I290" s="163" t="s">
        <v>121</v>
      </c>
      <c r="J290" s="163" t="s">
        <v>147</v>
      </c>
      <c r="K290" s="163" t="s">
        <v>231</v>
      </c>
      <c r="L290" s="163"/>
      <c r="M290" s="163" t="s">
        <v>629</v>
      </c>
      <c r="N290" s="163" t="s">
        <v>156</v>
      </c>
      <c r="O290" s="162"/>
      <c r="P290" s="163"/>
      <c r="Q290" s="163"/>
      <c r="R290" s="163" t="str">
        <f t="shared" ca="1" si="34"/>
        <v/>
      </c>
      <c r="S290" s="163" t="s">
        <v>103</v>
      </c>
      <c r="T290" s="164"/>
      <c r="U290" s="164"/>
      <c r="V290" s="162"/>
      <c r="W290" s="163"/>
      <c r="X290" s="163"/>
      <c r="Y290" s="163"/>
      <c r="Z290" s="163"/>
      <c r="AA290" s="163"/>
      <c r="AB290" s="195" t="str">
        <f t="shared" si="32"/>
        <v>May-26</v>
      </c>
      <c r="AC290" s="163"/>
      <c r="AD290" s="163" t="str">
        <f t="shared" si="36"/>
        <v/>
      </c>
      <c r="AE290" s="163"/>
    </row>
    <row r="291" spans="1:31" x14ac:dyDescent="0.35">
      <c r="A291" s="162">
        <v>46156</v>
      </c>
      <c r="B291" s="163" t="s">
        <v>125</v>
      </c>
      <c r="C291" s="163" t="s">
        <v>113</v>
      </c>
      <c r="D291" s="163" t="s">
        <v>630</v>
      </c>
      <c r="E291" s="163" t="s">
        <v>106</v>
      </c>
      <c r="F291" s="163" t="s">
        <v>135</v>
      </c>
      <c r="G291" s="163"/>
      <c r="H291" s="163" t="s">
        <v>115</v>
      </c>
      <c r="I291" s="163" t="s">
        <v>121</v>
      </c>
      <c r="J291" s="163" t="s">
        <v>147</v>
      </c>
      <c r="K291" s="163" t="s">
        <v>525</v>
      </c>
      <c r="L291" s="163"/>
      <c r="M291" s="163" t="s">
        <v>631</v>
      </c>
      <c r="N291" s="163" t="s">
        <v>128</v>
      </c>
      <c r="O291" s="162"/>
      <c r="P291" s="163"/>
      <c r="Q291" s="163">
        <f t="shared" ref="Q291:Q302" ca="1" si="37">IF(N291="Closed(C4)","",IF(N291="","",TODAY()-A291))</f>
        <v>169</v>
      </c>
      <c r="R291" s="163" t="str">
        <f t="shared" ca="1" si="34"/>
        <v/>
      </c>
      <c r="S291" s="163" t="s">
        <v>129</v>
      </c>
      <c r="T291" s="164"/>
      <c r="U291" s="164"/>
      <c r="V291" s="163"/>
      <c r="W291" s="163"/>
      <c r="X291" s="163"/>
      <c r="Y291" s="163"/>
      <c r="Z291" s="163"/>
      <c r="AA291" s="163"/>
      <c r="AB291" s="195" t="str">
        <f t="shared" si="32"/>
        <v>May-26</v>
      </c>
      <c r="AC291" s="163"/>
      <c r="AD291" s="163" t="str">
        <f t="shared" si="36"/>
        <v/>
      </c>
      <c r="AE291" s="163"/>
    </row>
    <row r="292" spans="1:31" x14ac:dyDescent="0.35">
      <c r="A292" s="162">
        <v>46156</v>
      </c>
      <c r="B292" s="163" t="s">
        <v>370</v>
      </c>
      <c r="C292" s="163" t="s">
        <v>93</v>
      </c>
      <c r="D292" s="163" t="s">
        <v>632</v>
      </c>
      <c r="E292" s="163" t="s">
        <v>106</v>
      </c>
      <c r="F292" s="163" t="s">
        <v>135</v>
      </c>
      <c r="G292" s="163"/>
      <c r="H292" s="163" t="s">
        <v>115</v>
      </c>
      <c r="I292" s="163" t="s">
        <v>121</v>
      </c>
      <c r="J292" s="163" t="s">
        <v>356</v>
      </c>
      <c r="K292" s="163" t="s">
        <v>633</v>
      </c>
      <c r="L292" s="163"/>
      <c r="M292" s="163" t="s">
        <v>575</v>
      </c>
      <c r="N292" s="163" t="s">
        <v>181</v>
      </c>
      <c r="O292" s="162">
        <v>46259</v>
      </c>
      <c r="P292" s="163" t="s">
        <v>95</v>
      </c>
      <c r="Q292" s="163">
        <f t="shared" ca="1" si="37"/>
        <v>169</v>
      </c>
      <c r="R292" s="163" t="str">
        <f t="shared" ca="1" si="34"/>
        <v/>
      </c>
      <c r="S292" s="163" t="s">
        <v>129</v>
      </c>
      <c r="T292" s="164">
        <v>20000</v>
      </c>
      <c r="U292" s="164"/>
      <c r="V292" s="163"/>
      <c r="W292" s="163"/>
      <c r="X292" s="163"/>
      <c r="Y292" s="163"/>
      <c r="Z292" s="163"/>
      <c r="AA292" s="163"/>
      <c r="AB292" s="195" t="str">
        <f t="shared" si="32"/>
        <v>May-26</v>
      </c>
      <c r="AC292" s="163"/>
      <c r="AD292" s="163" t="str">
        <f t="shared" si="36"/>
        <v/>
      </c>
      <c r="AE292" s="163"/>
    </row>
    <row r="293" spans="1:31" x14ac:dyDescent="0.35">
      <c r="A293" s="162">
        <v>46156</v>
      </c>
      <c r="B293" s="163" t="s">
        <v>370</v>
      </c>
      <c r="C293" s="163" t="s">
        <v>93</v>
      </c>
      <c r="D293" s="163" t="s">
        <v>578</v>
      </c>
      <c r="E293" s="163" t="s">
        <v>95</v>
      </c>
      <c r="F293" s="163" t="s">
        <v>115</v>
      </c>
      <c r="G293" s="163"/>
      <c r="H293" s="163" t="s">
        <v>115</v>
      </c>
      <c r="I293" s="163" t="s">
        <v>121</v>
      </c>
      <c r="J293" s="163" t="s">
        <v>262</v>
      </c>
      <c r="K293" s="163" t="s">
        <v>579</v>
      </c>
      <c r="L293" s="163"/>
      <c r="M293" s="163" t="s">
        <v>634</v>
      </c>
      <c r="N293" s="163" t="s">
        <v>102</v>
      </c>
      <c r="O293" s="162"/>
      <c r="P293" s="163"/>
      <c r="Q293" s="163" t="str">
        <f t="shared" ca="1" si="37"/>
        <v/>
      </c>
      <c r="R293" s="163" t="str">
        <f t="shared" ca="1" si="34"/>
        <v/>
      </c>
      <c r="S293" s="163" t="s">
        <v>103</v>
      </c>
      <c r="T293" s="164">
        <v>10000</v>
      </c>
      <c r="U293" s="164">
        <v>5348</v>
      </c>
      <c r="V293" s="162">
        <v>46156</v>
      </c>
      <c r="W293" s="163" t="s">
        <v>635</v>
      </c>
      <c r="X293" s="163" t="s">
        <v>54</v>
      </c>
      <c r="Y293" s="163" t="s">
        <v>161</v>
      </c>
      <c r="Z293" s="163"/>
      <c r="AA293" s="165">
        <v>46156</v>
      </c>
      <c r="AB293" s="195" t="str">
        <f t="shared" si="32"/>
        <v>May-26</v>
      </c>
      <c r="AC293" s="163"/>
      <c r="AD293" s="163" t="str">
        <f t="shared" si="36"/>
        <v/>
      </c>
      <c r="AE293" s="163" t="s">
        <v>636</v>
      </c>
    </row>
    <row r="294" spans="1:31" x14ac:dyDescent="0.35">
      <c r="A294" s="162">
        <v>46157</v>
      </c>
      <c r="B294" s="163" t="s">
        <v>125</v>
      </c>
      <c r="C294" s="163" t="s">
        <v>113</v>
      </c>
      <c r="D294" s="163" t="s">
        <v>399</v>
      </c>
      <c r="E294" s="163" t="s">
        <v>106</v>
      </c>
      <c r="F294" s="163" t="s">
        <v>96</v>
      </c>
      <c r="G294" s="163" t="s">
        <v>13</v>
      </c>
      <c r="H294" s="163" t="s">
        <v>226</v>
      </c>
      <c r="I294" s="163" t="s">
        <v>121</v>
      </c>
      <c r="J294" s="163" t="s">
        <v>153</v>
      </c>
      <c r="K294" s="163" t="s">
        <v>361</v>
      </c>
      <c r="L294" s="163"/>
      <c r="M294" s="163" t="s">
        <v>621</v>
      </c>
      <c r="N294" s="163" t="s">
        <v>102</v>
      </c>
      <c r="O294" s="162"/>
      <c r="P294" s="163"/>
      <c r="Q294" s="163" t="str">
        <f t="shared" ca="1" si="37"/>
        <v/>
      </c>
      <c r="R294" s="163" t="str">
        <f t="shared" ca="1" si="34"/>
        <v/>
      </c>
      <c r="S294" s="163" t="s">
        <v>103</v>
      </c>
      <c r="T294" s="164">
        <v>90000</v>
      </c>
      <c r="U294" s="170">
        <v>91600</v>
      </c>
      <c r="V294" s="162">
        <v>46157</v>
      </c>
      <c r="W294" s="163"/>
      <c r="X294" s="163" t="s">
        <v>37</v>
      </c>
      <c r="Y294" s="163" t="s">
        <v>85</v>
      </c>
      <c r="Z294" s="163"/>
      <c r="AA294" s="163"/>
      <c r="AB294" s="195" t="str">
        <f t="shared" si="32"/>
        <v>May-26</v>
      </c>
      <c r="AC294" s="163"/>
      <c r="AD294" s="163" t="str">
        <f t="shared" si="36"/>
        <v/>
      </c>
      <c r="AE294" s="163"/>
    </row>
    <row r="295" spans="1:31" x14ac:dyDescent="0.35">
      <c r="A295" s="162">
        <v>46157</v>
      </c>
      <c r="B295" s="163" t="s">
        <v>370</v>
      </c>
      <c r="C295" s="163" t="s">
        <v>93</v>
      </c>
      <c r="D295" s="163" t="s">
        <v>637</v>
      </c>
      <c r="E295" s="163" t="s">
        <v>106</v>
      </c>
      <c r="F295" s="163" t="s">
        <v>115</v>
      </c>
      <c r="G295" s="163"/>
      <c r="H295" s="163" t="s">
        <v>115</v>
      </c>
      <c r="I295" s="163" t="s">
        <v>121</v>
      </c>
      <c r="J295" s="163" t="s">
        <v>638</v>
      </c>
      <c r="K295" s="163" t="s">
        <v>639</v>
      </c>
      <c r="L295" s="163"/>
      <c r="M295" s="163" t="s">
        <v>640</v>
      </c>
      <c r="N295" s="163" t="s">
        <v>102</v>
      </c>
      <c r="O295" s="162"/>
      <c r="P295" s="163"/>
      <c r="Q295" s="163" t="str">
        <f t="shared" ca="1" si="37"/>
        <v/>
      </c>
      <c r="R295" s="163" t="str">
        <f t="shared" ca="1" si="34"/>
        <v/>
      </c>
      <c r="S295" s="163" t="s">
        <v>103</v>
      </c>
      <c r="T295" s="164">
        <v>50000</v>
      </c>
      <c r="U295" s="164">
        <v>14100</v>
      </c>
      <c r="V295" s="162">
        <v>46157</v>
      </c>
      <c r="W295" s="163" t="s">
        <v>641</v>
      </c>
      <c r="X295" s="163" t="s">
        <v>56</v>
      </c>
      <c r="Y295" s="163" t="s">
        <v>161</v>
      </c>
      <c r="Z295" s="163"/>
      <c r="AA295" s="165">
        <v>46157</v>
      </c>
      <c r="AB295" s="195" t="str">
        <f t="shared" si="32"/>
        <v>May-26</v>
      </c>
      <c r="AC295" s="163"/>
      <c r="AD295" s="163" t="str">
        <f t="shared" si="36"/>
        <v/>
      </c>
      <c r="AE295" s="163" t="s">
        <v>270</v>
      </c>
    </row>
    <row r="296" spans="1:31" x14ac:dyDescent="0.35">
      <c r="A296" s="162">
        <v>46157</v>
      </c>
      <c r="B296" s="163" t="s">
        <v>370</v>
      </c>
      <c r="C296" s="163" t="s">
        <v>93</v>
      </c>
      <c r="D296" s="163" t="s">
        <v>642</v>
      </c>
      <c r="E296" s="163" t="s">
        <v>106</v>
      </c>
      <c r="F296" s="163" t="s">
        <v>135</v>
      </c>
      <c r="G296" s="163"/>
      <c r="H296" s="163" t="s">
        <v>115</v>
      </c>
      <c r="I296" s="163" t="s">
        <v>121</v>
      </c>
      <c r="J296" s="163" t="s">
        <v>432</v>
      </c>
      <c r="K296" s="163" t="s">
        <v>643</v>
      </c>
      <c r="L296" s="163"/>
      <c r="M296" s="163" t="s">
        <v>575</v>
      </c>
      <c r="N296" s="163" t="s">
        <v>181</v>
      </c>
      <c r="O296" s="162"/>
      <c r="P296" s="163" t="s">
        <v>95</v>
      </c>
      <c r="Q296" s="163">
        <f t="shared" ca="1" si="37"/>
        <v>168</v>
      </c>
      <c r="R296" s="163" t="str">
        <f t="shared" ca="1" si="34"/>
        <v/>
      </c>
      <c r="S296" s="163" t="s">
        <v>133</v>
      </c>
      <c r="T296" s="164">
        <v>20000</v>
      </c>
      <c r="U296" s="164"/>
      <c r="V296" s="163"/>
      <c r="W296" s="163"/>
      <c r="X296" s="163"/>
      <c r="Y296" s="163"/>
      <c r="Z296" s="163"/>
      <c r="AA296" s="163"/>
      <c r="AB296" s="195" t="str">
        <f t="shared" si="32"/>
        <v>May-26</v>
      </c>
      <c r="AC296" s="163"/>
      <c r="AD296" s="163" t="str">
        <f t="shared" si="36"/>
        <v/>
      </c>
      <c r="AE296" s="163"/>
    </row>
    <row r="297" spans="1:31" x14ac:dyDescent="0.35">
      <c r="A297" s="162">
        <v>46157</v>
      </c>
      <c r="B297" s="163" t="s">
        <v>370</v>
      </c>
      <c r="C297" s="163" t="s">
        <v>93</v>
      </c>
      <c r="D297" s="163" t="s">
        <v>644</v>
      </c>
      <c r="E297" s="163" t="s">
        <v>106</v>
      </c>
      <c r="F297" s="163" t="s">
        <v>135</v>
      </c>
      <c r="G297" s="163"/>
      <c r="H297" s="163" t="s">
        <v>115</v>
      </c>
      <c r="I297" s="163" t="s">
        <v>121</v>
      </c>
      <c r="J297" s="163" t="s">
        <v>147</v>
      </c>
      <c r="K297" s="163" t="s">
        <v>645</v>
      </c>
      <c r="L297" s="163"/>
      <c r="M297" s="163" t="s">
        <v>575</v>
      </c>
      <c r="N297" s="163" t="s">
        <v>181</v>
      </c>
      <c r="O297" s="162"/>
      <c r="P297" s="163" t="s">
        <v>95</v>
      </c>
      <c r="Q297" s="163">
        <f t="shared" ca="1" si="37"/>
        <v>168</v>
      </c>
      <c r="R297" s="163" t="str">
        <f t="shared" ca="1" si="34"/>
        <v/>
      </c>
      <c r="S297" s="163" t="s">
        <v>133</v>
      </c>
      <c r="T297" s="164">
        <v>30000</v>
      </c>
      <c r="U297" s="164"/>
      <c r="V297" s="163"/>
      <c r="W297" s="163"/>
      <c r="X297" s="163"/>
      <c r="Y297" s="163"/>
      <c r="Z297" s="163"/>
      <c r="AA297" s="163"/>
      <c r="AB297" s="195" t="str">
        <f t="shared" si="32"/>
        <v>May-26</v>
      </c>
      <c r="AC297" s="163"/>
      <c r="AD297" s="163" t="str">
        <f t="shared" si="36"/>
        <v/>
      </c>
      <c r="AE297" s="163"/>
    </row>
    <row r="298" spans="1:31" x14ac:dyDescent="0.35">
      <c r="A298" s="162">
        <v>46157</v>
      </c>
      <c r="B298" s="163" t="s">
        <v>370</v>
      </c>
      <c r="C298" s="163" t="s">
        <v>93</v>
      </c>
      <c r="D298" s="163" t="s">
        <v>646</v>
      </c>
      <c r="E298" s="163" t="s">
        <v>106</v>
      </c>
      <c r="F298" s="163" t="s">
        <v>135</v>
      </c>
      <c r="G298" s="163"/>
      <c r="H298" s="163" t="s">
        <v>115</v>
      </c>
      <c r="I298" s="163" t="s">
        <v>121</v>
      </c>
      <c r="J298" s="163" t="s">
        <v>438</v>
      </c>
      <c r="K298" s="163" t="s">
        <v>647</v>
      </c>
      <c r="L298" s="163"/>
      <c r="M298" s="163" t="s">
        <v>575</v>
      </c>
      <c r="N298" s="163" t="s">
        <v>181</v>
      </c>
      <c r="O298" s="162"/>
      <c r="P298" s="163"/>
      <c r="Q298" s="163">
        <f t="shared" ca="1" si="37"/>
        <v>168</v>
      </c>
      <c r="R298" s="163" t="str">
        <f t="shared" ca="1" si="34"/>
        <v/>
      </c>
      <c r="S298" s="163" t="s">
        <v>133</v>
      </c>
      <c r="T298" s="164">
        <v>20000</v>
      </c>
      <c r="U298" s="164"/>
      <c r="V298" s="163"/>
      <c r="W298" s="163"/>
      <c r="X298" s="163"/>
      <c r="Y298" s="163"/>
      <c r="Z298" s="163"/>
      <c r="AA298" s="163"/>
      <c r="AB298" s="195" t="str">
        <f t="shared" si="32"/>
        <v>May-26</v>
      </c>
      <c r="AC298" s="163"/>
      <c r="AD298" s="163" t="str">
        <f t="shared" si="36"/>
        <v/>
      </c>
      <c r="AE298" s="163"/>
    </row>
    <row r="299" spans="1:31" x14ac:dyDescent="0.35">
      <c r="A299" s="162">
        <v>46157</v>
      </c>
      <c r="B299" s="163" t="s">
        <v>92</v>
      </c>
      <c r="C299" s="163" t="s">
        <v>93</v>
      </c>
      <c r="D299" s="163" t="s">
        <v>182</v>
      </c>
      <c r="E299" s="163" t="s">
        <v>95</v>
      </c>
      <c r="F299" s="163" t="s">
        <v>96</v>
      </c>
      <c r="G299" s="163" t="s">
        <v>15</v>
      </c>
      <c r="H299" s="163" t="s">
        <v>163</v>
      </c>
      <c r="I299" s="163" t="s">
        <v>98</v>
      </c>
      <c r="J299" s="163" t="s">
        <v>147</v>
      </c>
      <c r="K299" s="163" t="s">
        <v>384</v>
      </c>
      <c r="L299" s="163"/>
      <c r="M299" s="163" t="s">
        <v>621</v>
      </c>
      <c r="N299" s="163" t="s">
        <v>102</v>
      </c>
      <c r="O299" s="162"/>
      <c r="P299" s="163"/>
      <c r="Q299" s="163" t="str">
        <f t="shared" ca="1" si="37"/>
        <v/>
      </c>
      <c r="R299" s="163" t="str">
        <f t="shared" ca="1" si="34"/>
        <v/>
      </c>
      <c r="S299" s="163" t="s">
        <v>103</v>
      </c>
      <c r="T299" s="164">
        <v>30000</v>
      </c>
      <c r="U299" s="164">
        <v>72790</v>
      </c>
      <c r="V299" s="162">
        <v>46157</v>
      </c>
      <c r="W299" s="163"/>
      <c r="X299" s="163" t="s">
        <v>30</v>
      </c>
      <c r="Y299" s="163" t="s">
        <v>85</v>
      </c>
      <c r="Z299" s="163"/>
      <c r="AA299" s="163"/>
      <c r="AB299" s="195" t="str">
        <f t="shared" si="32"/>
        <v>May-26</v>
      </c>
      <c r="AC299" s="163"/>
      <c r="AD299" s="163" t="str">
        <f t="shared" si="36"/>
        <v/>
      </c>
      <c r="AE299" s="163"/>
    </row>
    <row r="300" spans="1:31" x14ac:dyDescent="0.35">
      <c r="A300" s="162">
        <v>46157</v>
      </c>
      <c r="B300" s="163" t="s">
        <v>92</v>
      </c>
      <c r="C300" s="163" t="s">
        <v>93</v>
      </c>
      <c r="D300" s="163" t="s">
        <v>283</v>
      </c>
      <c r="E300" s="163" t="s">
        <v>95</v>
      </c>
      <c r="F300" s="163" t="s">
        <v>96</v>
      </c>
      <c r="G300" s="163" t="s">
        <v>12</v>
      </c>
      <c r="H300" s="163" t="s">
        <v>163</v>
      </c>
      <c r="I300" s="163" t="s">
        <v>98</v>
      </c>
      <c r="J300" s="163" t="s">
        <v>147</v>
      </c>
      <c r="K300" s="163" t="s">
        <v>623</v>
      </c>
      <c r="L300" s="163"/>
      <c r="M300" s="163" t="s">
        <v>621</v>
      </c>
      <c r="N300" s="163" t="s">
        <v>102</v>
      </c>
      <c r="O300" s="162"/>
      <c r="P300" s="163"/>
      <c r="Q300" s="163" t="str">
        <f t="shared" ca="1" si="37"/>
        <v/>
      </c>
      <c r="R300" s="163" t="str">
        <f t="shared" ca="1" si="34"/>
        <v/>
      </c>
      <c r="S300" s="163" t="s">
        <v>103</v>
      </c>
      <c r="T300" s="164">
        <v>25000</v>
      </c>
      <c r="U300" s="164">
        <v>95214</v>
      </c>
      <c r="V300" s="162">
        <v>46157</v>
      </c>
      <c r="W300" s="163"/>
      <c r="X300" s="163" t="s">
        <v>27</v>
      </c>
      <c r="Y300" s="163" t="s">
        <v>85</v>
      </c>
      <c r="Z300" s="163"/>
      <c r="AA300" s="163"/>
      <c r="AB300" s="195" t="str">
        <f t="shared" si="32"/>
        <v>May-26</v>
      </c>
      <c r="AC300" s="163"/>
      <c r="AD300" s="163" t="str">
        <f t="shared" si="36"/>
        <v/>
      </c>
      <c r="AE300" s="163"/>
    </row>
    <row r="301" spans="1:31" ht="16.5" customHeight="1" x14ac:dyDescent="0.35">
      <c r="A301" s="162">
        <v>46157</v>
      </c>
      <c r="B301" s="163" t="s">
        <v>92</v>
      </c>
      <c r="C301" s="163" t="s">
        <v>93</v>
      </c>
      <c r="D301" s="163" t="s">
        <v>624</v>
      </c>
      <c r="E301" s="163" t="s">
        <v>95</v>
      </c>
      <c r="F301" s="163" t="s">
        <v>115</v>
      </c>
      <c r="G301" s="163" t="s">
        <v>10</v>
      </c>
      <c r="H301" s="163" t="s">
        <v>163</v>
      </c>
      <c r="I301" s="163" t="s">
        <v>121</v>
      </c>
      <c r="J301" s="163" t="s">
        <v>356</v>
      </c>
      <c r="K301" s="163" t="s">
        <v>426</v>
      </c>
      <c r="L301" s="163"/>
      <c r="M301" s="163" t="s">
        <v>427</v>
      </c>
      <c r="N301" s="163" t="s">
        <v>102</v>
      </c>
      <c r="O301" s="162"/>
      <c r="P301" s="163"/>
      <c r="Q301" s="163" t="str">
        <f t="shared" ca="1" si="37"/>
        <v/>
      </c>
      <c r="R301" s="163" t="str">
        <f t="shared" ca="1" si="34"/>
        <v/>
      </c>
      <c r="S301" s="163" t="s">
        <v>103</v>
      </c>
      <c r="T301" s="164">
        <v>50000</v>
      </c>
      <c r="U301" s="164">
        <v>62879</v>
      </c>
      <c r="V301" s="162">
        <v>46157</v>
      </c>
      <c r="W301" s="190" t="s">
        <v>648</v>
      </c>
      <c r="X301" s="163" t="s">
        <v>36</v>
      </c>
      <c r="Y301" s="163" t="s">
        <v>161</v>
      </c>
      <c r="Z301" s="163"/>
      <c r="AA301" s="162">
        <v>46157</v>
      </c>
      <c r="AB301" s="195" t="str">
        <f t="shared" si="32"/>
        <v>May-26</v>
      </c>
      <c r="AC301" s="163"/>
      <c r="AD301" s="163" t="str">
        <f t="shared" si="36"/>
        <v/>
      </c>
      <c r="AE301" s="163"/>
    </row>
    <row r="302" spans="1:31" x14ac:dyDescent="0.35">
      <c r="A302" s="162">
        <v>46158</v>
      </c>
      <c r="B302" s="163" t="s">
        <v>125</v>
      </c>
      <c r="C302" s="163" t="s">
        <v>113</v>
      </c>
      <c r="D302" s="163" t="s">
        <v>399</v>
      </c>
      <c r="E302" s="163" t="s">
        <v>106</v>
      </c>
      <c r="F302" s="163" t="s">
        <v>96</v>
      </c>
      <c r="G302" s="163" t="s">
        <v>13</v>
      </c>
      <c r="H302" s="163" t="s">
        <v>226</v>
      </c>
      <c r="I302" s="163" t="s">
        <v>121</v>
      </c>
      <c r="J302" s="163" t="s">
        <v>153</v>
      </c>
      <c r="K302" s="163" t="s">
        <v>361</v>
      </c>
      <c r="L302" s="163"/>
      <c r="M302" s="163" t="s">
        <v>621</v>
      </c>
      <c r="N302" s="163" t="s">
        <v>102</v>
      </c>
      <c r="O302" s="162"/>
      <c r="P302" s="163"/>
      <c r="Q302" s="163" t="str">
        <f t="shared" ca="1" si="37"/>
        <v/>
      </c>
      <c r="R302" s="163" t="str">
        <f t="shared" ca="1" si="34"/>
        <v/>
      </c>
      <c r="S302" s="163" t="s">
        <v>103</v>
      </c>
      <c r="T302" s="164">
        <v>85000</v>
      </c>
      <c r="U302" s="164">
        <v>83900</v>
      </c>
      <c r="V302" s="162">
        <v>46158</v>
      </c>
      <c r="W302" s="163"/>
      <c r="X302" s="163" t="s">
        <v>37</v>
      </c>
      <c r="Y302" s="163" t="s">
        <v>85</v>
      </c>
      <c r="Z302" s="163"/>
      <c r="AA302" s="163"/>
      <c r="AB302" s="195" t="str">
        <f t="shared" si="32"/>
        <v>May-26</v>
      </c>
      <c r="AC302" s="163"/>
      <c r="AD302" s="163" t="str">
        <f t="shared" si="36"/>
        <v/>
      </c>
      <c r="AE302" s="163"/>
    </row>
    <row r="303" spans="1:31" x14ac:dyDescent="0.35">
      <c r="A303" s="162">
        <v>46158</v>
      </c>
      <c r="B303" s="163" t="s">
        <v>370</v>
      </c>
      <c r="C303" s="163" t="s">
        <v>93</v>
      </c>
      <c r="D303" s="163" t="s">
        <v>637</v>
      </c>
      <c r="E303" s="163" t="s">
        <v>95</v>
      </c>
      <c r="F303" s="163" t="s">
        <v>115</v>
      </c>
      <c r="G303" s="163"/>
      <c r="H303" s="163" t="s">
        <v>115</v>
      </c>
      <c r="I303" s="163" t="s">
        <v>121</v>
      </c>
      <c r="J303" s="163" t="s">
        <v>638</v>
      </c>
      <c r="K303" s="163" t="s">
        <v>649</v>
      </c>
      <c r="L303" s="163"/>
      <c r="M303" s="163" t="s">
        <v>650</v>
      </c>
      <c r="N303" s="163" t="s">
        <v>102</v>
      </c>
      <c r="O303" s="162"/>
      <c r="P303" s="163"/>
      <c r="Q303" s="163"/>
      <c r="R303" s="163"/>
      <c r="S303" s="163" t="s">
        <v>103</v>
      </c>
      <c r="T303" s="164"/>
      <c r="U303" s="164">
        <v>960</v>
      </c>
      <c r="V303" s="162">
        <v>46158</v>
      </c>
      <c r="W303" s="190" t="s">
        <v>651</v>
      </c>
      <c r="X303" s="163" t="s">
        <v>56</v>
      </c>
      <c r="Y303" s="163" t="s">
        <v>161</v>
      </c>
      <c r="Z303" s="163"/>
      <c r="AA303" s="162">
        <v>46158</v>
      </c>
      <c r="AB303" s="195" t="str">
        <f t="shared" si="32"/>
        <v>May-26</v>
      </c>
      <c r="AC303" s="163"/>
      <c r="AD303" s="163"/>
      <c r="AE303" s="163" t="s">
        <v>270</v>
      </c>
    </row>
    <row r="304" spans="1:31" x14ac:dyDescent="0.35">
      <c r="A304" s="162">
        <v>46158</v>
      </c>
      <c r="B304" s="163" t="s">
        <v>125</v>
      </c>
      <c r="C304" s="163" t="s">
        <v>113</v>
      </c>
      <c r="D304" s="163" t="s">
        <v>628</v>
      </c>
      <c r="E304" s="163" t="s">
        <v>106</v>
      </c>
      <c r="F304" s="163" t="s">
        <v>96</v>
      </c>
      <c r="G304" s="163" t="s">
        <v>15</v>
      </c>
      <c r="H304" s="163" t="s">
        <v>115</v>
      </c>
      <c r="I304" s="163" t="s">
        <v>121</v>
      </c>
      <c r="J304" s="163" t="s">
        <v>147</v>
      </c>
      <c r="K304" s="163" t="s">
        <v>231</v>
      </c>
      <c r="L304" s="163"/>
      <c r="M304" s="163" t="s">
        <v>629</v>
      </c>
      <c r="N304" s="163" t="s">
        <v>102</v>
      </c>
      <c r="O304" s="162"/>
      <c r="P304" s="163"/>
      <c r="Q304" s="163" t="str">
        <f ca="1">IF(N304="Closed(C4)","",IF(N304="","",TODAY()-A304))</f>
        <v/>
      </c>
      <c r="R304" s="163" t="str">
        <f ca="1">IF(OR(N304="Closed( C4 )",N304="Cancelled"),"",IF(AND(O304&lt;&gt;"",O304&lt;TODAY()),"Yes",""))</f>
        <v/>
      </c>
      <c r="S304" s="163" t="s">
        <v>103</v>
      </c>
      <c r="T304" s="164">
        <v>30000</v>
      </c>
      <c r="U304" s="164">
        <v>30200</v>
      </c>
      <c r="V304" s="162">
        <v>46158</v>
      </c>
      <c r="W304" s="163" t="s">
        <v>652</v>
      </c>
      <c r="X304" s="163" t="s">
        <v>46</v>
      </c>
      <c r="Y304" s="163" t="s">
        <v>85</v>
      </c>
      <c r="Z304" s="163"/>
      <c r="AA304" s="163"/>
      <c r="AB304" s="195" t="str">
        <f t="shared" si="32"/>
        <v>May-26</v>
      </c>
      <c r="AC304" s="163"/>
      <c r="AD304" s="163" t="str">
        <f>IF(AC304="Yes",U304*2%,"")</f>
        <v/>
      </c>
      <c r="AE304" s="163"/>
    </row>
    <row r="305" spans="1:31" x14ac:dyDescent="0.35">
      <c r="A305" s="162">
        <v>46158</v>
      </c>
      <c r="B305" s="163" t="s">
        <v>370</v>
      </c>
      <c r="C305" s="163" t="s">
        <v>93</v>
      </c>
      <c r="D305" s="163" t="s">
        <v>407</v>
      </c>
      <c r="E305" s="163" t="s">
        <v>95</v>
      </c>
      <c r="F305" s="163" t="s">
        <v>135</v>
      </c>
      <c r="G305" s="163"/>
      <c r="H305" s="163" t="s">
        <v>115</v>
      </c>
      <c r="I305" s="163" t="s">
        <v>121</v>
      </c>
      <c r="J305" s="163" t="s">
        <v>262</v>
      </c>
      <c r="K305" s="163" t="s">
        <v>536</v>
      </c>
      <c r="L305" s="163"/>
      <c r="M305" s="163" t="s">
        <v>653</v>
      </c>
      <c r="N305" s="163" t="s">
        <v>102</v>
      </c>
      <c r="O305" s="162"/>
      <c r="P305" s="163"/>
      <c r="Q305" s="163"/>
      <c r="R305" s="163"/>
      <c r="S305" s="163" t="s">
        <v>103</v>
      </c>
      <c r="T305" s="164">
        <v>10000</v>
      </c>
      <c r="U305" s="164">
        <v>2880</v>
      </c>
      <c r="V305" s="162">
        <v>46158</v>
      </c>
      <c r="W305" s="163"/>
      <c r="X305" s="163" t="s">
        <v>48</v>
      </c>
      <c r="Y305" s="163" t="s">
        <v>161</v>
      </c>
      <c r="Z305" s="163"/>
      <c r="AA305" s="162">
        <v>46158</v>
      </c>
      <c r="AB305" s="195" t="str">
        <f t="shared" si="32"/>
        <v>May-26</v>
      </c>
      <c r="AC305" s="163"/>
      <c r="AD305" s="163"/>
      <c r="AE305" s="163" t="s">
        <v>270</v>
      </c>
    </row>
    <row r="306" spans="1:31" x14ac:dyDescent="0.35">
      <c r="A306" s="162">
        <v>46159</v>
      </c>
      <c r="B306" s="163" t="s">
        <v>125</v>
      </c>
      <c r="C306" s="163" t="s">
        <v>113</v>
      </c>
      <c r="D306" s="163" t="s">
        <v>399</v>
      </c>
      <c r="E306" s="163" t="s">
        <v>106</v>
      </c>
      <c r="F306" s="163" t="s">
        <v>96</v>
      </c>
      <c r="G306" s="163" t="s">
        <v>13</v>
      </c>
      <c r="H306" s="163" t="s">
        <v>226</v>
      </c>
      <c r="I306" s="163" t="s">
        <v>121</v>
      </c>
      <c r="J306" s="163" t="s">
        <v>153</v>
      </c>
      <c r="K306" s="163" t="s">
        <v>361</v>
      </c>
      <c r="L306" s="163"/>
      <c r="M306" s="163" t="s">
        <v>621</v>
      </c>
      <c r="N306" s="163" t="s">
        <v>102</v>
      </c>
      <c r="O306" s="162"/>
      <c r="P306" s="163"/>
      <c r="Q306" s="163" t="str">
        <f ca="1">IF(N306="Closed(C4)","",IF(N306="","",TODAY()-A306))</f>
        <v/>
      </c>
      <c r="R306" s="163" t="str">
        <f t="shared" ref="R306:R311" ca="1" si="38">IF(OR(N306="Closed( C4 )",N306="Cancelled"),"",IF(AND(O306&lt;&gt;"",O306&lt;TODAY()),"Yes",""))</f>
        <v/>
      </c>
      <c r="S306" s="163" t="s">
        <v>103</v>
      </c>
      <c r="T306" s="164">
        <v>50000</v>
      </c>
      <c r="U306" s="164">
        <v>51250</v>
      </c>
      <c r="V306" s="162">
        <v>46159</v>
      </c>
      <c r="W306" s="163"/>
      <c r="X306" s="163" t="s">
        <v>37</v>
      </c>
      <c r="Y306" s="163" t="s">
        <v>85</v>
      </c>
      <c r="Z306" s="163"/>
      <c r="AA306" s="163"/>
      <c r="AB306" s="195" t="str">
        <f t="shared" si="32"/>
        <v>May-26</v>
      </c>
      <c r="AC306" s="163"/>
      <c r="AD306" s="163" t="str">
        <f t="shared" ref="AD306:AD311" si="39">IF(AC306="Yes",U306*2%,"")</f>
        <v/>
      </c>
      <c r="AE306" s="163"/>
    </row>
    <row r="307" spans="1:31" x14ac:dyDescent="0.35">
      <c r="A307" s="162">
        <v>46160</v>
      </c>
      <c r="B307" s="163" t="s">
        <v>370</v>
      </c>
      <c r="C307" s="163" t="s">
        <v>93</v>
      </c>
      <c r="D307" s="163" t="s">
        <v>654</v>
      </c>
      <c r="E307" s="163" t="s">
        <v>106</v>
      </c>
      <c r="F307" s="163" t="s">
        <v>135</v>
      </c>
      <c r="G307" s="163"/>
      <c r="H307" s="163" t="s">
        <v>115</v>
      </c>
      <c r="I307" s="163" t="s">
        <v>121</v>
      </c>
      <c r="J307" s="163" t="s">
        <v>432</v>
      </c>
      <c r="K307" s="163" t="s">
        <v>655</v>
      </c>
      <c r="L307" s="163"/>
      <c r="M307" s="163" t="s">
        <v>575</v>
      </c>
      <c r="N307" s="163" t="s">
        <v>181</v>
      </c>
      <c r="O307" s="162"/>
      <c r="P307" s="163"/>
      <c r="Q307" s="163"/>
      <c r="R307" s="163" t="str">
        <f t="shared" ca="1" si="38"/>
        <v/>
      </c>
      <c r="S307" s="163" t="s">
        <v>133</v>
      </c>
      <c r="T307" s="164">
        <v>25000</v>
      </c>
      <c r="U307" s="164"/>
      <c r="V307" s="163"/>
      <c r="W307" s="163"/>
      <c r="X307" s="163"/>
      <c r="Y307" s="163"/>
      <c r="Z307" s="163"/>
      <c r="AA307" s="163"/>
      <c r="AB307" s="195" t="str">
        <f t="shared" si="32"/>
        <v>May-26</v>
      </c>
      <c r="AC307" s="163"/>
      <c r="AD307" s="163" t="str">
        <f t="shared" si="39"/>
        <v/>
      </c>
      <c r="AE307" s="163"/>
    </row>
    <row r="308" spans="1:31" x14ac:dyDescent="0.35">
      <c r="A308" s="162">
        <v>46160</v>
      </c>
      <c r="B308" s="163" t="s">
        <v>370</v>
      </c>
      <c r="C308" s="163" t="s">
        <v>93</v>
      </c>
      <c r="D308" s="163" t="s">
        <v>656</v>
      </c>
      <c r="E308" s="163" t="s">
        <v>106</v>
      </c>
      <c r="F308" s="163" t="s">
        <v>135</v>
      </c>
      <c r="G308" s="163"/>
      <c r="H308" s="163" t="s">
        <v>115</v>
      </c>
      <c r="I308" s="163" t="s">
        <v>121</v>
      </c>
      <c r="J308" s="163" t="s">
        <v>356</v>
      </c>
      <c r="K308" s="163" t="s">
        <v>657</v>
      </c>
      <c r="L308" s="163"/>
      <c r="M308" s="163" t="s">
        <v>575</v>
      </c>
      <c r="N308" s="163" t="s">
        <v>181</v>
      </c>
      <c r="O308" s="162"/>
      <c r="P308" s="163" t="s">
        <v>106</v>
      </c>
      <c r="Q308" s="163">
        <f ca="1">IF(N308="Closed(C4)","",IF(N308="","",TODAY()-A308))</f>
        <v>165</v>
      </c>
      <c r="R308" s="163" t="str">
        <f t="shared" ca="1" si="38"/>
        <v/>
      </c>
      <c r="S308" s="163" t="s">
        <v>129</v>
      </c>
      <c r="T308" s="164">
        <v>40000</v>
      </c>
      <c r="U308" s="164"/>
      <c r="V308" s="163"/>
      <c r="W308" s="163"/>
      <c r="X308" s="163"/>
      <c r="Y308" s="163"/>
      <c r="Z308" s="163"/>
      <c r="AA308" s="163"/>
      <c r="AB308" s="195" t="str">
        <f t="shared" si="32"/>
        <v>May-26</v>
      </c>
      <c r="AC308" s="163"/>
      <c r="AD308" s="163" t="str">
        <f t="shared" si="39"/>
        <v/>
      </c>
      <c r="AE308" s="163"/>
    </row>
    <row r="309" spans="1:31" x14ac:dyDescent="0.35">
      <c r="A309" s="162">
        <v>46160</v>
      </c>
      <c r="B309" s="163" t="s">
        <v>370</v>
      </c>
      <c r="C309" s="163" t="s">
        <v>93</v>
      </c>
      <c r="D309" s="163" t="s">
        <v>658</v>
      </c>
      <c r="E309" s="163" t="s">
        <v>106</v>
      </c>
      <c r="F309" s="163" t="s">
        <v>135</v>
      </c>
      <c r="G309" s="163"/>
      <c r="H309" s="163" t="s">
        <v>115</v>
      </c>
      <c r="I309" s="163" t="s">
        <v>121</v>
      </c>
      <c r="J309" s="163" t="s">
        <v>356</v>
      </c>
      <c r="K309" s="163" t="s">
        <v>433</v>
      </c>
      <c r="L309" s="163"/>
      <c r="M309" s="163" t="s">
        <v>575</v>
      </c>
      <c r="N309" s="163" t="s">
        <v>181</v>
      </c>
      <c r="O309" s="162"/>
      <c r="P309" s="163"/>
      <c r="Q309" s="163">
        <f ca="1">IF(N309="Closed(C4)","",IF(N309="","",TODAY()-A309))</f>
        <v>165</v>
      </c>
      <c r="R309" s="163" t="str">
        <f t="shared" ca="1" si="38"/>
        <v/>
      </c>
      <c r="S309" s="163" t="s">
        <v>133</v>
      </c>
      <c r="T309" s="164">
        <v>20000</v>
      </c>
      <c r="U309" s="164"/>
      <c r="V309" s="163"/>
      <c r="W309" s="163"/>
      <c r="X309" s="163"/>
      <c r="Y309" s="163"/>
      <c r="Z309" s="163"/>
      <c r="AA309" s="163"/>
      <c r="AB309" s="195" t="str">
        <f t="shared" si="32"/>
        <v>May-26</v>
      </c>
      <c r="AC309" s="163"/>
      <c r="AD309" s="163" t="str">
        <f t="shared" si="39"/>
        <v/>
      </c>
      <c r="AE309" s="163"/>
    </row>
    <row r="310" spans="1:31" x14ac:dyDescent="0.35">
      <c r="A310" s="162">
        <v>46160</v>
      </c>
      <c r="B310" s="163" t="s">
        <v>370</v>
      </c>
      <c r="C310" s="163" t="s">
        <v>93</v>
      </c>
      <c r="D310" s="163" t="s">
        <v>659</v>
      </c>
      <c r="E310" s="163" t="s">
        <v>106</v>
      </c>
      <c r="F310" s="163" t="s">
        <v>135</v>
      </c>
      <c r="G310" s="163"/>
      <c r="H310" s="163" t="s">
        <v>115</v>
      </c>
      <c r="I310" s="163" t="s">
        <v>121</v>
      </c>
      <c r="J310" s="163" t="s">
        <v>356</v>
      </c>
      <c r="K310" s="163" t="s">
        <v>660</v>
      </c>
      <c r="L310" s="163"/>
      <c r="M310" s="163" t="s">
        <v>575</v>
      </c>
      <c r="N310" s="163" t="s">
        <v>181</v>
      </c>
      <c r="O310" s="162"/>
      <c r="P310" s="163"/>
      <c r="Q310" s="163">
        <f ca="1">IF(N310="Closed(C4)","",IF(N310="","",TODAY()-A310))</f>
        <v>165</v>
      </c>
      <c r="R310" s="163" t="str">
        <f t="shared" ca="1" si="38"/>
        <v/>
      </c>
      <c r="S310" s="163" t="s">
        <v>133</v>
      </c>
      <c r="T310" s="164">
        <v>30000</v>
      </c>
      <c r="U310" s="164"/>
      <c r="V310" s="163"/>
      <c r="W310" s="163"/>
      <c r="X310" s="163"/>
      <c r="Y310" s="163"/>
      <c r="Z310" s="163"/>
      <c r="AA310" s="163"/>
      <c r="AB310" s="195" t="str">
        <f t="shared" si="32"/>
        <v>May-26</v>
      </c>
      <c r="AC310" s="163"/>
      <c r="AD310" s="163" t="str">
        <f t="shared" si="39"/>
        <v/>
      </c>
      <c r="AE310" s="163"/>
    </row>
    <row r="311" spans="1:31" x14ac:dyDescent="0.35">
      <c r="A311" s="162">
        <v>46160</v>
      </c>
      <c r="B311" s="163" t="s">
        <v>125</v>
      </c>
      <c r="C311" s="163" t="s">
        <v>93</v>
      </c>
      <c r="D311" s="163" t="s">
        <v>19</v>
      </c>
      <c r="E311" s="163" t="s">
        <v>106</v>
      </c>
      <c r="F311" s="163" t="s">
        <v>96</v>
      </c>
      <c r="G311" s="163" t="s">
        <v>10</v>
      </c>
      <c r="H311" s="163" t="s">
        <v>115</v>
      </c>
      <c r="I311" s="163" t="s">
        <v>121</v>
      </c>
      <c r="J311" s="163" t="s">
        <v>99</v>
      </c>
      <c r="K311" s="163" t="s">
        <v>256</v>
      </c>
      <c r="L311" s="163"/>
      <c r="M311" s="163" t="s">
        <v>159</v>
      </c>
      <c r="N311" s="163" t="s">
        <v>156</v>
      </c>
      <c r="O311" s="162"/>
      <c r="P311" s="163"/>
      <c r="Q311" s="163"/>
      <c r="R311" s="163" t="str">
        <f t="shared" ca="1" si="38"/>
        <v/>
      </c>
      <c r="S311" s="163" t="s">
        <v>103</v>
      </c>
      <c r="T311" s="164"/>
      <c r="U311" s="164"/>
      <c r="V311" s="163"/>
      <c r="W311" s="163"/>
      <c r="X311" s="163"/>
      <c r="Y311" s="163"/>
      <c r="Z311" s="163"/>
      <c r="AA311" s="162"/>
      <c r="AB311" s="195" t="str">
        <f t="shared" si="32"/>
        <v>May-26</v>
      </c>
      <c r="AC311" s="163"/>
      <c r="AD311" s="163" t="str">
        <f t="shared" si="39"/>
        <v/>
      </c>
      <c r="AE311" s="163"/>
    </row>
    <row r="312" spans="1:31" x14ac:dyDescent="0.35">
      <c r="A312" s="162">
        <v>46160</v>
      </c>
      <c r="B312" s="163" t="s">
        <v>125</v>
      </c>
      <c r="C312" s="163" t="s">
        <v>113</v>
      </c>
      <c r="D312" s="163" t="s">
        <v>661</v>
      </c>
      <c r="E312" s="163" t="s">
        <v>106</v>
      </c>
      <c r="F312" s="163" t="s">
        <v>135</v>
      </c>
      <c r="G312" s="163"/>
      <c r="H312" s="163" t="s">
        <v>115</v>
      </c>
      <c r="I312" s="163" t="s">
        <v>121</v>
      </c>
      <c r="J312" s="163" t="s">
        <v>136</v>
      </c>
      <c r="K312" s="163" t="s">
        <v>614</v>
      </c>
      <c r="L312" s="163"/>
      <c r="M312" s="163" t="s">
        <v>159</v>
      </c>
      <c r="N312" s="163" t="s">
        <v>130</v>
      </c>
      <c r="O312" s="162">
        <v>46290</v>
      </c>
      <c r="P312" s="163" t="s">
        <v>106</v>
      </c>
      <c r="Q312" s="163"/>
      <c r="R312" s="163"/>
      <c r="S312" s="163" t="s">
        <v>103</v>
      </c>
      <c r="T312" s="164"/>
      <c r="U312" s="164"/>
      <c r="V312" s="162"/>
      <c r="W312" s="163"/>
      <c r="X312" s="163"/>
      <c r="Y312" s="163"/>
      <c r="Z312" s="163"/>
      <c r="AA312" s="163"/>
      <c r="AB312" s="195" t="str">
        <f t="shared" si="32"/>
        <v>May-26</v>
      </c>
      <c r="AC312" s="163"/>
      <c r="AD312" s="163"/>
      <c r="AE312" s="163"/>
    </row>
    <row r="313" spans="1:31" x14ac:dyDescent="0.35">
      <c r="A313" s="162">
        <v>46161</v>
      </c>
      <c r="B313" s="163" t="s">
        <v>92</v>
      </c>
      <c r="C313" s="163" t="s">
        <v>93</v>
      </c>
      <c r="D313" s="163" t="s">
        <v>182</v>
      </c>
      <c r="E313" s="163" t="s">
        <v>95</v>
      </c>
      <c r="F313" s="163" t="s">
        <v>96</v>
      </c>
      <c r="G313" s="163" t="s">
        <v>15</v>
      </c>
      <c r="H313" s="163" t="s">
        <v>163</v>
      </c>
      <c r="I313" s="163" t="s">
        <v>98</v>
      </c>
      <c r="J313" s="163" t="s">
        <v>147</v>
      </c>
      <c r="K313" s="163" t="s">
        <v>384</v>
      </c>
      <c r="L313" s="163"/>
      <c r="M313" s="163" t="s">
        <v>662</v>
      </c>
      <c r="N313" s="163" t="s">
        <v>102</v>
      </c>
      <c r="O313" s="162"/>
      <c r="P313" s="163"/>
      <c r="Q313" s="163" t="str">
        <f t="shared" ref="Q313:Q323" ca="1" si="40">IF(N313="Closed(C4)","",IF(N313="","",TODAY()-A313))</f>
        <v/>
      </c>
      <c r="R313" s="163" t="str">
        <f t="shared" ref="R313:R323" ca="1" si="41">IF(OR(N313="Closed( C4 )",N313="Cancelled"),"",IF(AND(O313&lt;&gt;"",O313&lt;TODAY()),"Yes",""))</f>
        <v/>
      </c>
      <c r="S313" s="163" t="s">
        <v>103</v>
      </c>
      <c r="T313" s="164">
        <v>50000</v>
      </c>
      <c r="U313" s="164">
        <v>40410</v>
      </c>
      <c r="V313" s="162">
        <v>46161</v>
      </c>
      <c r="W313" s="163" t="s">
        <v>663</v>
      </c>
      <c r="X313" s="163" t="s">
        <v>30</v>
      </c>
      <c r="Y313" s="163" t="s">
        <v>85</v>
      </c>
      <c r="Z313" s="163"/>
      <c r="AA313" s="163"/>
      <c r="AB313" s="195" t="str">
        <f t="shared" si="32"/>
        <v>May-26</v>
      </c>
      <c r="AC313" s="163"/>
      <c r="AD313" s="163" t="str">
        <f t="shared" ref="AD313:AD323" si="42">IF(AC313="Yes",U313*2%,"")</f>
        <v/>
      </c>
      <c r="AE313" s="163"/>
    </row>
    <row r="314" spans="1:31" x14ac:dyDescent="0.35">
      <c r="A314" s="162">
        <v>46161</v>
      </c>
      <c r="B314" s="163" t="s">
        <v>92</v>
      </c>
      <c r="C314" s="163" t="s">
        <v>93</v>
      </c>
      <c r="D314" s="163" t="s">
        <v>19</v>
      </c>
      <c r="E314" s="163" t="s">
        <v>106</v>
      </c>
      <c r="F314" s="163" t="s">
        <v>96</v>
      </c>
      <c r="G314" s="163" t="s">
        <v>10</v>
      </c>
      <c r="H314" s="163" t="s">
        <v>115</v>
      </c>
      <c r="I314" s="163" t="s">
        <v>121</v>
      </c>
      <c r="J314" s="163" t="s">
        <v>99</v>
      </c>
      <c r="K314" s="163" t="s">
        <v>664</v>
      </c>
      <c r="L314" s="163"/>
      <c r="M314" s="163" t="s">
        <v>621</v>
      </c>
      <c r="N314" s="163" t="s">
        <v>102</v>
      </c>
      <c r="O314" s="162"/>
      <c r="P314" s="163"/>
      <c r="Q314" s="163" t="str">
        <f t="shared" ca="1" si="40"/>
        <v/>
      </c>
      <c r="R314" s="163" t="str">
        <f t="shared" ca="1" si="41"/>
        <v/>
      </c>
      <c r="S314" s="163" t="s">
        <v>103</v>
      </c>
      <c r="T314" s="164">
        <v>0</v>
      </c>
      <c r="U314" s="164">
        <v>0</v>
      </c>
      <c r="V314" s="163"/>
      <c r="W314" s="163"/>
      <c r="X314" s="163"/>
      <c r="Y314" s="163"/>
      <c r="Z314" s="163"/>
      <c r="AA314" s="163"/>
      <c r="AB314" s="195" t="str">
        <f t="shared" si="32"/>
        <v>May-26</v>
      </c>
      <c r="AC314" s="163"/>
      <c r="AD314" s="163" t="str">
        <f t="shared" si="42"/>
        <v/>
      </c>
      <c r="AE314" s="163"/>
    </row>
    <row r="315" spans="1:31" x14ac:dyDescent="0.35">
      <c r="A315" s="162">
        <v>46161</v>
      </c>
      <c r="B315" s="163" t="s">
        <v>370</v>
      </c>
      <c r="C315" s="163" t="s">
        <v>93</v>
      </c>
      <c r="D315" s="163" t="s">
        <v>19</v>
      </c>
      <c r="E315" s="163" t="s">
        <v>106</v>
      </c>
      <c r="F315" s="163" t="s">
        <v>96</v>
      </c>
      <c r="G315" s="163" t="s">
        <v>10</v>
      </c>
      <c r="H315" s="163" t="s">
        <v>115</v>
      </c>
      <c r="I315" s="163" t="s">
        <v>121</v>
      </c>
      <c r="J315" s="163" t="s">
        <v>99</v>
      </c>
      <c r="K315" s="163" t="s">
        <v>664</v>
      </c>
      <c r="L315" s="163"/>
      <c r="M315" s="163" t="s">
        <v>621</v>
      </c>
      <c r="N315" s="163" t="s">
        <v>102</v>
      </c>
      <c r="O315" s="162"/>
      <c r="P315" s="163"/>
      <c r="Q315" s="163" t="str">
        <f t="shared" ca="1" si="40"/>
        <v/>
      </c>
      <c r="R315" s="163" t="str">
        <f t="shared" ca="1" si="41"/>
        <v/>
      </c>
      <c r="S315" s="163" t="s">
        <v>103</v>
      </c>
      <c r="T315" s="164">
        <v>0</v>
      </c>
      <c r="U315" s="164">
        <v>0</v>
      </c>
      <c r="V315" s="163"/>
      <c r="W315" s="163"/>
      <c r="X315" s="163"/>
      <c r="Y315" s="163"/>
      <c r="Z315" s="163"/>
      <c r="AA315" s="163"/>
      <c r="AB315" s="195" t="str">
        <f t="shared" si="32"/>
        <v>May-26</v>
      </c>
      <c r="AC315" s="163"/>
      <c r="AD315" s="163" t="str">
        <f t="shared" si="42"/>
        <v/>
      </c>
      <c r="AE315" s="163"/>
    </row>
    <row r="316" spans="1:31" x14ac:dyDescent="0.35">
      <c r="A316" s="162">
        <v>46161</v>
      </c>
      <c r="B316" s="163" t="s">
        <v>92</v>
      </c>
      <c r="C316" s="163" t="s">
        <v>93</v>
      </c>
      <c r="D316" s="163" t="s">
        <v>665</v>
      </c>
      <c r="E316" s="163" t="s">
        <v>106</v>
      </c>
      <c r="F316" s="163" t="s">
        <v>96</v>
      </c>
      <c r="G316" s="163" t="s">
        <v>10</v>
      </c>
      <c r="H316" s="163" t="s">
        <v>115</v>
      </c>
      <c r="I316" s="163" t="s">
        <v>121</v>
      </c>
      <c r="J316" s="163" t="s">
        <v>99</v>
      </c>
      <c r="K316" s="163"/>
      <c r="L316" s="163"/>
      <c r="M316" s="163" t="s">
        <v>666</v>
      </c>
      <c r="N316" s="163" t="s">
        <v>102</v>
      </c>
      <c r="O316" s="162"/>
      <c r="P316" s="163"/>
      <c r="Q316" s="163" t="str">
        <f t="shared" ca="1" si="40"/>
        <v/>
      </c>
      <c r="R316" s="163" t="str">
        <f t="shared" ca="1" si="41"/>
        <v/>
      </c>
      <c r="S316" s="163" t="s">
        <v>103</v>
      </c>
      <c r="T316" s="164">
        <v>50000</v>
      </c>
      <c r="U316" s="164">
        <v>0</v>
      </c>
      <c r="V316" s="163"/>
      <c r="W316" s="163"/>
      <c r="X316" s="163"/>
      <c r="Y316" s="163"/>
      <c r="Z316" s="163"/>
      <c r="AA316" s="163"/>
      <c r="AB316" s="195" t="str">
        <f t="shared" si="32"/>
        <v>May-26</v>
      </c>
      <c r="AC316" s="163"/>
      <c r="AD316" s="163" t="str">
        <f t="shared" si="42"/>
        <v/>
      </c>
      <c r="AE316" s="163"/>
    </row>
    <row r="317" spans="1:31" x14ac:dyDescent="0.35">
      <c r="A317" s="162">
        <v>46161</v>
      </c>
      <c r="B317" s="163" t="s">
        <v>370</v>
      </c>
      <c r="C317" s="163" t="s">
        <v>93</v>
      </c>
      <c r="D317" s="163" t="s">
        <v>665</v>
      </c>
      <c r="E317" s="163" t="s">
        <v>106</v>
      </c>
      <c r="F317" s="163" t="s">
        <v>96</v>
      </c>
      <c r="G317" s="163" t="s">
        <v>10</v>
      </c>
      <c r="H317" s="163" t="s">
        <v>115</v>
      </c>
      <c r="I317" s="163" t="s">
        <v>121</v>
      </c>
      <c r="J317" s="163" t="s">
        <v>99</v>
      </c>
      <c r="K317" s="163"/>
      <c r="L317" s="163"/>
      <c r="M317" s="163" t="s">
        <v>621</v>
      </c>
      <c r="N317" s="163" t="s">
        <v>102</v>
      </c>
      <c r="O317" s="162"/>
      <c r="P317" s="163"/>
      <c r="Q317" s="163" t="str">
        <f t="shared" ca="1" si="40"/>
        <v/>
      </c>
      <c r="R317" s="163" t="str">
        <f t="shared" ca="1" si="41"/>
        <v/>
      </c>
      <c r="S317" s="163" t="s">
        <v>103</v>
      </c>
      <c r="T317" s="164">
        <v>50000</v>
      </c>
      <c r="U317" s="164">
        <v>0</v>
      </c>
      <c r="V317" s="163"/>
      <c r="W317" s="163"/>
      <c r="X317" s="163"/>
      <c r="Y317" s="163"/>
      <c r="Z317" s="163"/>
      <c r="AA317" s="163"/>
      <c r="AB317" s="195" t="str">
        <f t="shared" si="32"/>
        <v>May-26</v>
      </c>
      <c r="AC317" s="163"/>
      <c r="AD317" s="163" t="str">
        <f t="shared" si="42"/>
        <v/>
      </c>
      <c r="AE317" s="163"/>
    </row>
    <row r="318" spans="1:31" x14ac:dyDescent="0.35">
      <c r="A318" s="162">
        <v>46161</v>
      </c>
      <c r="B318" s="163" t="s">
        <v>92</v>
      </c>
      <c r="C318" s="163" t="s">
        <v>93</v>
      </c>
      <c r="D318" s="163" t="s">
        <v>667</v>
      </c>
      <c r="E318" s="163" t="s">
        <v>106</v>
      </c>
      <c r="F318" s="163" t="s">
        <v>135</v>
      </c>
      <c r="G318" s="163"/>
      <c r="H318" s="163" t="s">
        <v>115</v>
      </c>
      <c r="I318" s="163" t="s">
        <v>121</v>
      </c>
      <c r="J318" s="163" t="s">
        <v>147</v>
      </c>
      <c r="K318" s="163" t="s">
        <v>668</v>
      </c>
      <c r="L318" s="163"/>
      <c r="M318" s="163" t="s">
        <v>669</v>
      </c>
      <c r="N318" s="163" t="s">
        <v>181</v>
      </c>
      <c r="O318" s="162"/>
      <c r="P318" s="163"/>
      <c r="Q318" s="163">
        <f t="shared" ca="1" si="40"/>
        <v>164</v>
      </c>
      <c r="R318" s="163" t="str">
        <f t="shared" ca="1" si="41"/>
        <v/>
      </c>
      <c r="S318" s="163" t="s">
        <v>103</v>
      </c>
      <c r="T318" s="164">
        <v>50000</v>
      </c>
      <c r="U318" s="164"/>
      <c r="V318" s="163"/>
      <c r="W318" s="163"/>
      <c r="X318" s="163"/>
      <c r="Y318" s="163"/>
      <c r="Z318" s="163"/>
      <c r="AA318" s="163"/>
      <c r="AB318" s="195" t="str">
        <f t="shared" si="32"/>
        <v>May-26</v>
      </c>
      <c r="AC318" s="163"/>
      <c r="AD318" s="163" t="str">
        <f t="shared" si="42"/>
        <v/>
      </c>
      <c r="AE318" s="163"/>
    </row>
    <row r="319" spans="1:31" x14ac:dyDescent="0.35">
      <c r="A319" s="162">
        <v>46161</v>
      </c>
      <c r="B319" s="163" t="s">
        <v>370</v>
      </c>
      <c r="C319" s="163" t="s">
        <v>93</v>
      </c>
      <c r="D319" s="163" t="s">
        <v>670</v>
      </c>
      <c r="E319" s="163" t="s">
        <v>106</v>
      </c>
      <c r="F319" s="163" t="s">
        <v>135</v>
      </c>
      <c r="G319" s="163"/>
      <c r="H319" s="163" t="s">
        <v>115</v>
      </c>
      <c r="I319" s="163" t="s">
        <v>121</v>
      </c>
      <c r="J319" s="163" t="s">
        <v>356</v>
      </c>
      <c r="K319" s="163" t="s">
        <v>671</v>
      </c>
      <c r="L319" s="163"/>
      <c r="M319" s="163" t="s">
        <v>575</v>
      </c>
      <c r="N319" s="163" t="s">
        <v>181</v>
      </c>
      <c r="O319" s="162"/>
      <c r="P319" s="163"/>
      <c r="Q319" s="163">
        <f t="shared" ca="1" si="40"/>
        <v>164</v>
      </c>
      <c r="R319" s="163" t="str">
        <f t="shared" ca="1" si="41"/>
        <v/>
      </c>
      <c r="S319" s="163" t="s">
        <v>133</v>
      </c>
      <c r="T319" s="164">
        <v>15000</v>
      </c>
      <c r="U319" s="164"/>
      <c r="V319" s="163"/>
      <c r="W319" s="163"/>
      <c r="X319" s="163"/>
      <c r="Y319" s="163"/>
      <c r="Z319" s="163"/>
      <c r="AA319" s="163"/>
      <c r="AB319" s="195" t="str">
        <f t="shared" si="32"/>
        <v>May-26</v>
      </c>
      <c r="AC319" s="163"/>
      <c r="AD319" s="163" t="str">
        <f t="shared" si="42"/>
        <v/>
      </c>
      <c r="AE319" s="163"/>
    </row>
    <row r="320" spans="1:31" x14ac:dyDescent="0.35">
      <c r="A320" s="162">
        <v>46161</v>
      </c>
      <c r="B320" s="163" t="s">
        <v>92</v>
      </c>
      <c r="C320" s="163" t="s">
        <v>93</v>
      </c>
      <c r="D320" s="163" t="s">
        <v>182</v>
      </c>
      <c r="E320" s="163" t="s">
        <v>106</v>
      </c>
      <c r="F320" s="163" t="s">
        <v>135</v>
      </c>
      <c r="G320" s="163" t="s">
        <v>15</v>
      </c>
      <c r="H320" s="163" t="s">
        <v>115</v>
      </c>
      <c r="I320" s="163"/>
      <c r="J320" s="163" t="s">
        <v>99</v>
      </c>
      <c r="K320" s="163" t="s">
        <v>384</v>
      </c>
      <c r="L320" s="163"/>
      <c r="M320" s="163" t="s">
        <v>621</v>
      </c>
      <c r="N320" s="163" t="s">
        <v>102</v>
      </c>
      <c r="O320" s="162"/>
      <c r="P320" s="163"/>
      <c r="Q320" s="163" t="str">
        <f t="shared" ca="1" si="40"/>
        <v/>
      </c>
      <c r="R320" s="163" t="str">
        <f t="shared" ca="1" si="41"/>
        <v/>
      </c>
      <c r="S320" s="163" t="s">
        <v>103</v>
      </c>
      <c r="T320" s="164">
        <v>40000</v>
      </c>
      <c r="U320" s="164">
        <v>38470</v>
      </c>
      <c r="V320" s="162">
        <v>46167</v>
      </c>
      <c r="W320" s="163" t="s">
        <v>672</v>
      </c>
      <c r="X320" s="163"/>
      <c r="Y320" s="163" t="s">
        <v>85</v>
      </c>
      <c r="Z320" s="163"/>
      <c r="AA320" s="163"/>
      <c r="AB320" s="195" t="str">
        <f t="shared" si="32"/>
        <v>May-26</v>
      </c>
      <c r="AC320" s="163"/>
      <c r="AD320" s="163" t="str">
        <f t="shared" si="42"/>
        <v/>
      </c>
      <c r="AE320" s="163"/>
    </row>
    <row r="321" spans="1:31" x14ac:dyDescent="0.35">
      <c r="A321" s="162">
        <v>46161</v>
      </c>
      <c r="B321" s="163" t="s">
        <v>125</v>
      </c>
      <c r="C321" s="163" t="s">
        <v>113</v>
      </c>
      <c r="D321" s="163" t="s">
        <v>223</v>
      </c>
      <c r="E321" s="163" t="s">
        <v>106</v>
      </c>
      <c r="F321" s="163" t="s">
        <v>135</v>
      </c>
      <c r="G321" s="163"/>
      <c r="H321" s="163" t="s">
        <v>97</v>
      </c>
      <c r="I321" s="163" t="s">
        <v>98</v>
      </c>
      <c r="J321" s="163" t="s">
        <v>166</v>
      </c>
      <c r="K321" s="163" t="s">
        <v>224</v>
      </c>
      <c r="L321" s="163"/>
      <c r="M321" s="163" t="s">
        <v>159</v>
      </c>
      <c r="N321" s="163" t="s">
        <v>102</v>
      </c>
      <c r="O321" s="162"/>
      <c r="P321" s="163"/>
      <c r="Q321" s="163" t="str">
        <f t="shared" ca="1" si="40"/>
        <v/>
      </c>
      <c r="R321" s="163" t="str">
        <f t="shared" ca="1" si="41"/>
        <v/>
      </c>
      <c r="S321" s="163" t="s">
        <v>103</v>
      </c>
      <c r="T321" s="164">
        <v>15000</v>
      </c>
      <c r="U321" s="164">
        <v>15456</v>
      </c>
      <c r="V321" s="162">
        <v>46161</v>
      </c>
      <c r="W321" s="163" t="s">
        <v>673</v>
      </c>
      <c r="X321" s="163" t="s">
        <v>62</v>
      </c>
      <c r="Y321" s="163" t="s">
        <v>161</v>
      </c>
      <c r="Z321" s="163"/>
      <c r="AA321" s="162">
        <v>46161</v>
      </c>
      <c r="AB321" s="195" t="str">
        <f t="shared" si="32"/>
        <v>May-26</v>
      </c>
      <c r="AC321" s="163"/>
      <c r="AD321" s="163" t="str">
        <f t="shared" si="42"/>
        <v/>
      </c>
      <c r="AE321" s="163"/>
    </row>
    <row r="322" spans="1:31" x14ac:dyDescent="0.35">
      <c r="A322" s="162">
        <v>46161</v>
      </c>
      <c r="B322" s="163" t="s">
        <v>125</v>
      </c>
      <c r="C322" s="163" t="s">
        <v>113</v>
      </c>
      <c r="D322" s="163" t="s">
        <v>674</v>
      </c>
      <c r="E322" s="163" t="s">
        <v>106</v>
      </c>
      <c r="F322" s="163" t="s">
        <v>135</v>
      </c>
      <c r="G322" s="163"/>
      <c r="H322" s="163" t="s">
        <v>97</v>
      </c>
      <c r="I322" s="163" t="s">
        <v>121</v>
      </c>
      <c r="J322" s="163" t="s">
        <v>166</v>
      </c>
      <c r="K322" s="163" t="s">
        <v>556</v>
      </c>
      <c r="L322" s="163"/>
      <c r="M322" s="163" t="s">
        <v>159</v>
      </c>
      <c r="N322" s="163" t="s">
        <v>102</v>
      </c>
      <c r="O322" s="162"/>
      <c r="P322" s="163"/>
      <c r="Q322" s="163" t="str">
        <f t="shared" ca="1" si="40"/>
        <v/>
      </c>
      <c r="R322" s="163" t="str">
        <f t="shared" ca="1" si="41"/>
        <v/>
      </c>
      <c r="S322" s="163" t="s">
        <v>103</v>
      </c>
      <c r="T322" s="164">
        <v>15000</v>
      </c>
      <c r="U322" s="164">
        <v>19653</v>
      </c>
      <c r="V322" s="162">
        <v>46161</v>
      </c>
      <c r="W322" s="163" t="s">
        <v>675</v>
      </c>
      <c r="X322" s="163" t="s">
        <v>46</v>
      </c>
      <c r="Y322" s="163" t="s">
        <v>161</v>
      </c>
      <c r="Z322" s="163"/>
      <c r="AA322" s="162">
        <v>46161</v>
      </c>
      <c r="AB322" s="195" t="str">
        <f t="shared" ref="AB322:AB385" si="43">IF($V322="",TEXT($A322,"MMM-YY"),TEXT($V322,"MMM-YY"))</f>
        <v>May-26</v>
      </c>
      <c r="AC322" s="163"/>
      <c r="AD322" s="163" t="str">
        <f t="shared" si="42"/>
        <v/>
      </c>
      <c r="AE322" s="163"/>
    </row>
    <row r="323" spans="1:31" x14ac:dyDescent="0.35">
      <c r="A323" s="162">
        <v>46161</v>
      </c>
      <c r="B323" s="163" t="s">
        <v>125</v>
      </c>
      <c r="C323" s="163" t="s">
        <v>113</v>
      </c>
      <c r="D323" s="163" t="s">
        <v>393</v>
      </c>
      <c r="E323" s="163" t="s">
        <v>106</v>
      </c>
      <c r="F323" s="163" t="s">
        <v>135</v>
      </c>
      <c r="G323" s="163" t="s">
        <v>11</v>
      </c>
      <c r="H323" s="163" t="s">
        <v>97</v>
      </c>
      <c r="I323" s="163" t="s">
        <v>98</v>
      </c>
      <c r="J323" s="163" t="s">
        <v>147</v>
      </c>
      <c r="K323" s="163" t="s">
        <v>676</v>
      </c>
      <c r="L323" s="163"/>
      <c r="M323" s="163" t="s">
        <v>159</v>
      </c>
      <c r="N323" s="163" t="s">
        <v>102</v>
      </c>
      <c r="O323" s="162"/>
      <c r="P323" s="163"/>
      <c r="Q323" s="163" t="str">
        <f t="shared" ca="1" si="40"/>
        <v/>
      </c>
      <c r="R323" s="163" t="str">
        <f t="shared" ca="1" si="41"/>
        <v/>
      </c>
      <c r="S323" s="163" t="s">
        <v>103</v>
      </c>
      <c r="T323" s="164">
        <v>15000</v>
      </c>
      <c r="U323" s="164">
        <v>15210</v>
      </c>
      <c r="V323" s="162">
        <v>46161</v>
      </c>
      <c r="W323" s="163" t="s">
        <v>677</v>
      </c>
      <c r="X323" s="163" t="s">
        <v>47</v>
      </c>
      <c r="Y323" s="163" t="s">
        <v>85</v>
      </c>
      <c r="Z323" s="163"/>
      <c r="AA323" s="162"/>
      <c r="AB323" s="195" t="str">
        <f t="shared" si="43"/>
        <v>May-26</v>
      </c>
      <c r="AC323" s="163"/>
      <c r="AD323" s="163" t="str">
        <f t="shared" si="42"/>
        <v/>
      </c>
      <c r="AE323" s="163"/>
    </row>
    <row r="324" spans="1:31" x14ac:dyDescent="0.35">
      <c r="A324" s="162">
        <v>46162</v>
      </c>
      <c r="B324" s="163" t="s">
        <v>370</v>
      </c>
      <c r="C324" s="163" t="s">
        <v>93</v>
      </c>
      <c r="D324" s="163" t="s">
        <v>678</v>
      </c>
      <c r="E324" s="163" t="s">
        <v>106</v>
      </c>
      <c r="F324" s="163" t="s">
        <v>96</v>
      </c>
      <c r="G324" s="163" t="s">
        <v>15</v>
      </c>
      <c r="H324" s="163" t="s">
        <v>115</v>
      </c>
      <c r="I324" s="163" t="s">
        <v>121</v>
      </c>
      <c r="J324" s="163" t="s">
        <v>99</v>
      </c>
      <c r="K324" s="163" t="s">
        <v>183</v>
      </c>
      <c r="L324" s="163"/>
      <c r="M324" s="163" t="s">
        <v>679</v>
      </c>
      <c r="N324" s="163" t="s">
        <v>102</v>
      </c>
      <c r="O324" s="162"/>
      <c r="P324" s="163"/>
      <c r="Q324" s="163"/>
      <c r="R324" s="163"/>
      <c r="S324" s="163" t="s">
        <v>103</v>
      </c>
      <c r="T324" s="164">
        <v>50000</v>
      </c>
      <c r="U324" s="164">
        <v>37140</v>
      </c>
      <c r="V324" s="162">
        <v>46162</v>
      </c>
      <c r="W324" s="163"/>
      <c r="X324" s="163" t="s">
        <v>44</v>
      </c>
      <c r="Y324" s="163" t="s">
        <v>85</v>
      </c>
      <c r="Z324" s="163"/>
      <c r="AA324" s="162"/>
      <c r="AB324" s="195" t="str">
        <f t="shared" si="43"/>
        <v>May-26</v>
      </c>
      <c r="AC324" s="163"/>
      <c r="AD324" s="163"/>
      <c r="AE324" s="163" t="s">
        <v>270</v>
      </c>
    </row>
    <row r="325" spans="1:31" x14ac:dyDescent="0.35">
      <c r="A325" s="162">
        <v>46162</v>
      </c>
      <c r="B325" s="163" t="s">
        <v>125</v>
      </c>
      <c r="C325" s="163" t="s">
        <v>93</v>
      </c>
      <c r="D325" s="163" t="s">
        <v>19</v>
      </c>
      <c r="E325" s="163" t="s">
        <v>106</v>
      </c>
      <c r="F325" s="163" t="s">
        <v>96</v>
      </c>
      <c r="G325" s="163" t="s">
        <v>10</v>
      </c>
      <c r="H325" s="163" t="s">
        <v>115</v>
      </c>
      <c r="I325" s="163" t="s">
        <v>121</v>
      </c>
      <c r="J325" s="163" t="s">
        <v>99</v>
      </c>
      <c r="K325" s="163" t="s">
        <v>256</v>
      </c>
      <c r="L325" s="163"/>
      <c r="M325" s="163" t="s">
        <v>159</v>
      </c>
      <c r="N325" s="163" t="s">
        <v>102</v>
      </c>
      <c r="O325" s="162"/>
      <c r="P325" s="163"/>
      <c r="Q325" s="163" t="str">
        <f ca="1">IF(N325="Closed(C4)","",IF(N325="","",TODAY()-A325))</f>
        <v/>
      </c>
      <c r="R325" s="163" t="str">
        <f ca="1">IF(OR(N325="Closed( C4 )",N325="Cancelled"),"",IF(AND(O325&lt;&gt;"",O325&lt;TODAY()),"Yes",""))</f>
        <v/>
      </c>
      <c r="S325" s="163" t="s">
        <v>103</v>
      </c>
      <c r="T325" s="164">
        <v>420000</v>
      </c>
      <c r="U325" s="164">
        <v>420000</v>
      </c>
      <c r="V325" s="162">
        <v>46162</v>
      </c>
      <c r="W325" s="163" t="s">
        <v>680</v>
      </c>
      <c r="X325" s="163" t="s">
        <v>57</v>
      </c>
      <c r="Y325" s="163" t="s">
        <v>85</v>
      </c>
      <c r="Z325" s="163"/>
      <c r="AA325" s="162"/>
      <c r="AB325" s="195" t="str">
        <f t="shared" si="43"/>
        <v>May-26</v>
      </c>
      <c r="AC325" s="163"/>
      <c r="AD325" s="163" t="str">
        <f>IF(AC325="Yes",U325*2%,"")</f>
        <v/>
      </c>
      <c r="AE325" s="163"/>
    </row>
    <row r="326" spans="1:31" x14ac:dyDescent="0.35">
      <c r="A326" s="162">
        <v>46162</v>
      </c>
      <c r="B326" s="163" t="s">
        <v>125</v>
      </c>
      <c r="C326" s="163" t="s">
        <v>113</v>
      </c>
      <c r="D326" s="163" t="s">
        <v>175</v>
      </c>
      <c r="E326" s="163" t="s">
        <v>106</v>
      </c>
      <c r="F326" s="163" t="s">
        <v>135</v>
      </c>
      <c r="G326" s="163"/>
      <c r="H326" s="163" t="s">
        <v>97</v>
      </c>
      <c r="I326" s="163" t="s">
        <v>98</v>
      </c>
      <c r="J326" s="163" t="s">
        <v>166</v>
      </c>
      <c r="K326" s="163" t="s">
        <v>176</v>
      </c>
      <c r="L326" s="163"/>
      <c r="M326" s="163" t="s">
        <v>369</v>
      </c>
      <c r="N326" s="163" t="s">
        <v>102</v>
      </c>
      <c r="O326" s="162"/>
      <c r="P326" s="163"/>
      <c r="Q326" s="163" t="str">
        <f ca="1">IF(N326="Closed(C4)","",IF(N326="","",TODAY()-A326))</f>
        <v/>
      </c>
      <c r="R326" s="163" t="str">
        <f ca="1">IF(OR(N326="Closed( C4 )",N326="Cancelled"),"",IF(AND(O326&lt;&gt;"",O326&lt;TODAY()),"Yes",""))</f>
        <v/>
      </c>
      <c r="S326" s="163" t="s">
        <v>103</v>
      </c>
      <c r="T326" s="164">
        <v>10000</v>
      </c>
      <c r="U326" s="164">
        <v>10414</v>
      </c>
      <c r="V326" s="162">
        <v>46162</v>
      </c>
      <c r="W326" s="163" t="s">
        <v>681</v>
      </c>
      <c r="X326" s="163" t="s">
        <v>62</v>
      </c>
      <c r="Y326" s="163" t="s">
        <v>161</v>
      </c>
      <c r="Z326" s="163"/>
      <c r="AA326" s="162">
        <v>46162</v>
      </c>
      <c r="AB326" s="195" t="str">
        <f t="shared" si="43"/>
        <v>May-26</v>
      </c>
      <c r="AC326" s="163"/>
      <c r="AD326" s="163" t="str">
        <f>IF(AC326="Yes",U326*2%,"")</f>
        <v/>
      </c>
      <c r="AE326" s="163"/>
    </row>
    <row r="327" spans="1:31" x14ac:dyDescent="0.35">
      <c r="A327" s="162">
        <v>46162</v>
      </c>
      <c r="B327" s="163" t="s">
        <v>125</v>
      </c>
      <c r="C327" s="163" t="s">
        <v>113</v>
      </c>
      <c r="D327" s="163" t="s">
        <v>682</v>
      </c>
      <c r="E327" s="163" t="s">
        <v>106</v>
      </c>
      <c r="F327" s="163" t="s">
        <v>135</v>
      </c>
      <c r="G327" s="163" t="s">
        <v>11</v>
      </c>
      <c r="H327" s="163" t="s">
        <v>97</v>
      </c>
      <c r="I327" s="163" t="s">
        <v>98</v>
      </c>
      <c r="J327" s="163" t="s">
        <v>147</v>
      </c>
      <c r="K327" s="163" t="s">
        <v>525</v>
      </c>
      <c r="L327" s="163"/>
      <c r="M327" s="163" t="s">
        <v>159</v>
      </c>
      <c r="N327" s="163" t="s">
        <v>102</v>
      </c>
      <c r="O327" s="162"/>
      <c r="P327" s="163"/>
      <c r="Q327" s="163" t="str">
        <f ca="1">IF(N327="Closed(C4)","",IF(N327="","",TODAY()-A327))</f>
        <v/>
      </c>
      <c r="R327" s="163" t="str">
        <f ca="1">IF(OR(N327="Closed( C4 )",N327="Cancelled"),"",IF(AND(O327&lt;&gt;"",O327&lt;TODAY()),"Yes",""))</f>
        <v/>
      </c>
      <c r="S327" s="163" t="s">
        <v>103</v>
      </c>
      <c r="T327" s="164">
        <v>15000</v>
      </c>
      <c r="U327" s="164">
        <v>12380</v>
      </c>
      <c r="V327" s="162">
        <v>46162</v>
      </c>
      <c r="W327" s="163" t="s">
        <v>683</v>
      </c>
      <c r="X327" s="163" t="s">
        <v>47</v>
      </c>
      <c r="Y327" s="163" t="s">
        <v>85</v>
      </c>
      <c r="Z327" s="163"/>
      <c r="AA327" s="162"/>
      <c r="AB327" s="195" t="str">
        <f t="shared" si="43"/>
        <v>May-26</v>
      </c>
      <c r="AC327" s="163"/>
      <c r="AD327" s="163" t="str">
        <f>IF(AC327="Yes",U327*2%,"")</f>
        <v/>
      </c>
      <c r="AE327" s="163"/>
    </row>
    <row r="328" spans="1:31" x14ac:dyDescent="0.35">
      <c r="A328" s="162">
        <v>46162</v>
      </c>
      <c r="B328" s="163" t="s">
        <v>125</v>
      </c>
      <c r="C328" s="163" t="s">
        <v>113</v>
      </c>
      <c r="D328" s="163" t="s">
        <v>684</v>
      </c>
      <c r="E328" s="163" t="s">
        <v>106</v>
      </c>
      <c r="F328" s="163" t="s">
        <v>226</v>
      </c>
      <c r="G328" s="163" t="s">
        <v>14</v>
      </c>
      <c r="H328" s="163" t="s">
        <v>226</v>
      </c>
      <c r="I328" s="163" t="s">
        <v>121</v>
      </c>
      <c r="J328" s="163" t="s">
        <v>197</v>
      </c>
      <c r="K328" s="163" t="s">
        <v>685</v>
      </c>
      <c r="L328" s="163"/>
      <c r="M328" s="163" t="s">
        <v>686</v>
      </c>
      <c r="N328" s="163" t="s">
        <v>156</v>
      </c>
      <c r="O328" s="162"/>
      <c r="P328" s="163"/>
      <c r="Q328" s="163"/>
      <c r="R328" s="163" t="str">
        <f ca="1">IF(OR(N328="Closed( C4 )",N328="Cancelled"),"",IF(AND(O328&lt;&gt;"",O328&lt;TODAY()),"Yes",""))</f>
        <v/>
      </c>
      <c r="S328" s="163" t="s">
        <v>103</v>
      </c>
      <c r="T328" s="164"/>
      <c r="U328" s="164"/>
      <c r="V328" s="162"/>
      <c r="W328" s="163"/>
      <c r="X328" s="163" t="s">
        <v>37</v>
      </c>
      <c r="Y328" s="163"/>
      <c r="Z328" s="163"/>
      <c r="AA328" s="163"/>
      <c r="AB328" s="195" t="str">
        <f t="shared" si="43"/>
        <v>May-26</v>
      </c>
      <c r="AC328" s="163"/>
      <c r="AD328" s="163" t="str">
        <f>IF(AC328="Yes",U328*2%,"")</f>
        <v/>
      </c>
      <c r="AE328" s="163"/>
    </row>
    <row r="329" spans="1:31" x14ac:dyDescent="0.35">
      <c r="A329" s="162">
        <v>46162</v>
      </c>
      <c r="B329" s="163" t="s">
        <v>92</v>
      </c>
      <c r="C329" s="163" t="s">
        <v>93</v>
      </c>
      <c r="D329" s="163" t="s">
        <v>182</v>
      </c>
      <c r="E329" s="163" t="s">
        <v>95</v>
      </c>
      <c r="F329" s="163" t="s">
        <v>96</v>
      </c>
      <c r="G329" s="163" t="s">
        <v>15</v>
      </c>
      <c r="H329" s="163" t="s">
        <v>115</v>
      </c>
      <c r="I329" s="163" t="s">
        <v>121</v>
      </c>
      <c r="J329" s="163" t="s">
        <v>99</v>
      </c>
      <c r="K329" s="163" t="s">
        <v>384</v>
      </c>
      <c r="L329" s="163"/>
      <c r="M329" s="163" t="s">
        <v>159</v>
      </c>
      <c r="N329" s="163" t="s">
        <v>102</v>
      </c>
      <c r="O329" s="162"/>
      <c r="P329" s="163"/>
      <c r="Q329" s="163" t="str">
        <f ca="1">IF(N329="Closed(C4)","",IF(N329="","",TODAY()-A329))</f>
        <v/>
      </c>
      <c r="R329" s="163" t="str">
        <f ca="1">IF(OR(N329="Closed( C4 )",N329="Cancelled"),"",IF(AND(O329&lt;&gt;"",O329&lt;TODAY()),"Yes",""))</f>
        <v/>
      </c>
      <c r="S329" s="163" t="s">
        <v>103</v>
      </c>
      <c r="T329" s="164">
        <v>40000</v>
      </c>
      <c r="U329" s="164">
        <v>37440</v>
      </c>
      <c r="V329" s="162">
        <v>46162</v>
      </c>
      <c r="W329" s="163" t="s">
        <v>687</v>
      </c>
      <c r="X329" s="163" t="s">
        <v>30</v>
      </c>
      <c r="Y329" s="163" t="s">
        <v>85</v>
      </c>
      <c r="Z329" s="163"/>
      <c r="AA329" s="163"/>
      <c r="AB329" s="195" t="str">
        <f t="shared" si="43"/>
        <v>May-26</v>
      </c>
      <c r="AC329" s="163"/>
      <c r="AD329" s="163" t="str">
        <f>IF(AC329="Yes",U329*2%,"")</f>
        <v/>
      </c>
      <c r="AE329" s="163"/>
    </row>
    <row r="330" spans="1:31" x14ac:dyDescent="0.35">
      <c r="A330" s="162">
        <v>46162</v>
      </c>
      <c r="B330" s="163" t="s">
        <v>370</v>
      </c>
      <c r="C330" s="163" t="s">
        <v>93</v>
      </c>
      <c r="D330" s="163" t="s">
        <v>595</v>
      </c>
      <c r="E330" s="163" t="s">
        <v>106</v>
      </c>
      <c r="F330" s="163" t="s">
        <v>135</v>
      </c>
      <c r="G330" s="163"/>
      <c r="H330" s="163" t="s">
        <v>115</v>
      </c>
      <c r="I330" s="163" t="s">
        <v>121</v>
      </c>
      <c r="J330" s="163" t="s">
        <v>356</v>
      </c>
      <c r="K330" s="163" t="s">
        <v>688</v>
      </c>
      <c r="L330" s="163"/>
      <c r="M330" s="163" t="s">
        <v>575</v>
      </c>
      <c r="N330" s="163" t="s">
        <v>181</v>
      </c>
      <c r="O330" s="162">
        <v>46258</v>
      </c>
      <c r="P330" s="163" t="s">
        <v>106</v>
      </c>
      <c r="Q330" s="163"/>
      <c r="R330" s="163"/>
      <c r="S330" s="163" t="s">
        <v>133</v>
      </c>
      <c r="T330" s="164">
        <v>50000</v>
      </c>
      <c r="U330" s="164"/>
      <c r="V330" s="162"/>
      <c r="W330" s="163"/>
      <c r="X330" s="163"/>
      <c r="Y330" s="163"/>
      <c r="Z330" s="163"/>
      <c r="AA330" s="163"/>
      <c r="AB330" s="195" t="str">
        <f t="shared" si="43"/>
        <v>May-26</v>
      </c>
      <c r="AC330" s="163"/>
      <c r="AD330" s="163"/>
      <c r="AE330" s="163"/>
    </row>
    <row r="331" spans="1:31" x14ac:dyDescent="0.35">
      <c r="A331" s="162">
        <v>46162</v>
      </c>
      <c r="B331" s="163" t="s">
        <v>370</v>
      </c>
      <c r="C331" s="163" t="s">
        <v>93</v>
      </c>
      <c r="D331" s="163" t="s">
        <v>689</v>
      </c>
      <c r="E331" s="163" t="s">
        <v>106</v>
      </c>
      <c r="F331" s="163" t="s">
        <v>135</v>
      </c>
      <c r="G331" s="163"/>
      <c r="H331" s="163" t="s">
        <v>115</v>
      </c>
      <c r="I331" s="163" t="s">
        <v>121</v>
      </c>
      <c r="J331" s="163" t="s">
        <v>136</v>
      </c>
      <c r="K331" s="163" t="s">
        <v>690</v>
      </c>
      <c r="L331" s="163"/>
      <c r="M331" s="163" t="s">
        <v>575</v>
      </c>
      <c r="N331" s="163" t="s">
        <v>181</v>
      </c>
      <c r="O331" s="162"/>
      <c r="P331" s="163"/>
      <c r="Q331" s="163"/>
      <c r="R331" s="163"/>
      <c r="S331" s="163" t="s">
        <v>133</v>
      </c>
      <c r="T331" s="164">
        <v>35000</v>
      </c>
      <c r="U331" s="164"/>
      <c r="V331" s="162"/>
      <c r="W331" s="163"/>
      <c r="X331" s="163"/>
      <c r="Y331" s="163"/>
      <c r="Z331" s="163"/>
      <c r="AA331" s="163"/>
      <c r="AB331" s="195" t="str">
        <f t="shared" si="43"/>
        <v>May-26</v>
      </c>
      <c r="AC331" s="163"/>
      <c r="AD331" s="163"/>
      <c r="AE331" s="163"/>
    </row>
    <row r="332" spans="1:31" x14ac:dyDescent="0.35">
      <c r="A332" s="162">
        <v>46162</v>
      </c>
      <c r="B332" s="163" t="s">
        <v>370</v>
      </c>
      <c r="C332" s="163" t="s">
        <v>93</v>
      </c>
      <c r="D332" s="163" t="s">
        <v>691</v>
      </c>
      <c r="E332" s="163" t="s">
        <v>106</v>
      </c>
      <c r="F332" s="163" t="s">
        <v>96</v>
      </c>
      <c r="G332" s="163" t="s">
        <v>10</v>
      </c>
      <c r="H332" s="163" t="s">
        <v>115</v>
      </c>
      <c r="I332" s="163" t="s">
        <v>121</v>
      </c>
      <c r="J332" s="163" t="s">
        <v>321</v>
      </c>
      <c r="K332" s="163" t="s">
        <v>324</v>
      </c>
      <c r="L332" s="163"/>
      <c r="M332" s="163" t="s">
        <v>692</v>
      </c>
      <c r="N332" s="163" t="s">
        <v>102</v>
      </c>
      <c r="O332" s="162"/>
      <c r="P332" s="163"/>
      <c r="Q332" s="163" t="str">
        <f ca="1">IF(N332="Closed(C4)","",IF(N332="","",TODAY()-A332))</f>
        <v/>
      </c>
      <c r="R332" s="163" t="str">
        <f ca="1">IF(OR(N332="Closed( C4 )",N332="Cancelled"),"",IF(AND(O332&lt;&gt;"",O332&lt;TODAY()),"Yes",""))</f>
        <v/>
      </c>
      <c r="S332" s="163" t="s">
        <v>103</v>
      </c>
      <c r="T332" s="164">
        <v>150000</v>
      </c>
      <c r="U332" s="164">
        <v>88510</v>
      </c>
      <c r="V332" s="162">
        <v>46162</v>
      </c>
      <c r="W332" s="163" t="s">
        <v>693</v>
      </c>
      <c r="X332" s="163" t="s">
        <v>27</v>
      </c>
      <c r="Y332" s="163" t="s">
        <v>85</v>
      </c>
      <c r="Z332" s="163"/>
      <c r="AA332" s="162"/>
      <c r="AB332" s="195" t="str">
        <f t="shared" si="43"/>
        <v>May-26</v>
      </c>
      <c r="AC332" s="163"/>
      <c r="AD332" s="163" t="str">
        <f>IF(AC332="Yes",U332*2%,"")</f>
        <v/>
      </c>
      <c r="AE332" s="163" t="s">
        <v>270</v>
      </c>
    </row>
    <row r="333" spans="1:31" x14ac:dyDescent="0.35">
      <c r="A333" s="162">
        <v>46162</v>
      </c>
      <c r="B333" s="163" t="s">
        <v>370</v>
      </c>
      <c r="C333" s="163" t="s">
        <v>93</v>
      </c>
      <c r="D333" s="163" t="s">
        <v>691</v>
      </c>
      <c r="E333" s="163" t="s">
        <v>106</v>
      </c>
      <c r="F333" s="163" t="s">
        <v>96</v>
      </c>
      <c r="G333" s="163" t="s">
        <v>10</v>
      </c>
      <c r="H333" s="163" t="s">
        <v>115</v>
      </c>
      <c r="I333" s="163" t="s">
        <v>121</v>
      </c>
      <c r="J333" s="163" t="s">
        <v>321</v>
      </c>
      <c r="K333" s="163" t="s">
        <v>324</v>
      </c>
      <c r="L333" s="163"/>
      <c r="M333" s="163" t="s">
        <v>692</v>
      </c>
      <c r="N333" s="163" t="s">
        <v>102</v>
      </c>
      <c r="O333" s="162"/>
      <c r="P333" s="163"/>
      <c r="Q333" s="163" t="str">
        <f ca="1">IF(N333="Closed(C4)","",IF(N333="","",TODAY()-A333))</f>
        <v/>
      </c>
      <c r="R333" s="163" t="str">
        <f ca="1">IF(OR(N333="Closed( C4 )",N333="Cancelled"),"",IF(AND(O333&lt;&gt;"",O333&lt;TODAY()),"Yes",""))</f>
        <v/>
      </c>
      <c r="S333" s="163" t="s">
        <v>103</v>
      </c>
      <c r="T333" s="164">
        <v>100000</v>
      </c>
      <c r="U333" s="164">
        <v>26083</v>
      </c>
      <c r="V333" s="162">
        <v>46162</v>
      </c>
      <c r="W333" s="163" t="s">
        <v>694</v>
      </c>
      <c r="X333" s="163" t="s">
        <v>27</v>
      </c>
      <c r="Y333" s="163" t="s">
        <v>85</v>
      </c>
      <c r="Z333" s="163"/>
      <c r="AA333" s="162"/>
      <c r="AB333" s="195" t="str">
        <f t="shared" si="43"/>
        <v>May-26</v>
      </c>
      <c r="AC333" s="163"/>
      <c r="AD333" s="163" t="str">
        <f>IF(AC333="Yes",U333*2%,"")</f>
        <v/>
      </c>
      <c r="AE333" s="163" t="s">
        <v>270</v>
      </c>
    </row>
    <row r="334" spans="1:31" x14ac:dyDescent="0.35">
      <c r="A334" s="162">
        <v>46162</v>
      </c>
      <c r="B334" s="163" t="s">
        <v>92</v>
      </c>
      <c r="C334" s="163" t="s">
        <v>113</v>
      </c>
      <c r="D334" s="163" t="s">
        <v>114</v>
      </c>
      <c r="E334" s="163" t="s">
        <v>95</v>
      </c>
      <c r="F334" s="163" t="s">
        <v>96</v>
      </c>
      <c r="G334" s="163" t="s">
        <v>10</v>
      </c>
      <c r="H334" s="163" t="s">
        <v>115</v>
      </c>
      <c r="I334" s="163" t="s">
        <v>98</v>
      </c>
      <c r="J334" s="163" t="s">
        <v>116</v>
      </c>
      <c r="K334" s="163" t="s">
        <v>117</v>
      </c>
      <c r="L334" s="163"/>
      <c r="M334" s="163" t="s">
        <v>590</v>
      </c>
      <c r="N334" s="163" t="s">
        <v>102</v>
      </c>
      <c r="O334" s="162"/>
      <c r="P334" s="163"/>
      <c r="Q334" s="163" t="str">
        <f ca="1">IF(N334="Closed(C4)","",IF(N334="","",TODAY()-A334))</f>
        <v/>
      </c>
      <c r="R334" s="163" t="str">
        <f ca="1">IF(OR(N334="Closed( C4 )",N334="Cancelled"),"",IF(AND(O334&lt;&gt;"",O334&lt;TODAY()),"Yes",""))</f>
        <v/>
      </c>
      <c r="S334" s="163" t="s">
        <v>103</v>
      </c>
      <c r="T334" s="164">
        <v>22687</v>
      </c>
      <c r="U334" s="164">
        <v>22687</v>
      </c>
      <c r="V334" s="162">
        <v>46162</v>
      </c>
      <c r="W334" s="163" t="s">
        <v>695</v>
      </c>
      <c r="X334" s="163" t="s">
        <v>35</v>
      </c>
      <c r="Y334" s="163" t="s">
        <v>85</v>
      </c>
      <c r="Z334" s="163"/>
      <c r="AA334" s="162">
        <v>46172</v>
      </c>
      <c r="AB334" s="195" t="str">
        <f t="shared" si="43"/>
        <v>May-26</v>
      </c>
      <c r="AC334" s="163"/>
      <c r="AD334" s="163"/>
      <c r="AE334" s="163"/>
    </row>
    <row r="335" spans="1:31" x14ac:dyDescent="0.35">
      <c r="A335" s="162">
        <v>46162</v>
      </c>
      <c r="B335" s="163" t="s">
        <v>125</v>
      </c>
      <c r="C335" s="163" t="s">
        <v>113</v>
      </c>
      <c r="D335" s="163" t="s">
        <v>165</v>
      </c>
      <c r="E335" s="163" t="s">
        <v>95</v>
      </c>
      <c r="F335" s="163" t="s">
        <v>135</v>
      </c>
      <c r="G335" s="163"/>
      <c r="H335" s="163" t="s">
        <v>115</v>
      </c>
      <c r="I335" s="163" t="s">
        <v>98</v>
      </c>
      <c r="J335" s="163" t="s">
        <v>166</v>
      </c>
      <c r="K335" s="163" t="s">
        <v>167</v>
      </c>
      <c r="L335" s="163"/>
      <c r="M335" s="163" t="s">
        <v>159</v>
      </c>
      <c r="N335" s="163" t="s">
        <v>102</v>
      </c>
      <c r="O335" s="162"/>
      <c r="P335" s="163"/>
      <c r="Q335" s="163" t="str">
        <f ca="1">IF(N335="Closed(C4)","",IF(N335="","",TODAY()-A335))</f>
        <v/>
      </c>
      <c r="R335" s="163" t="str">
        <f ca="1">IF(OR(N335="Closed( C4 )",N335="Cancelled"),"",IF(AND(O335&lt;&gt;"",O335&lt;TODAY()),"Yes",""))</f>
        <v/>
      </c>
      <c r="S335" s="163" t="s">
        <v>103</v>
      </c>
      <c r="T335" s="164">
        <v>20166</v>
      </c>
      <c r="U335" s="164">
        <v>22687</v>
      </c>
      <c r="V335" s="162">
        <v>46162</v>
      </c>
      <c r="W335" s="163" t="s">
        <v>695</v>
      </c>
      <c r="X335" s="163" t="s">
        <v>35</v>
      </c>
      <c r="Y335" s="163" t="s">
        <v>85</v>
      </c>
      <c r="Z335" s="163"/>
      <c r="AA335" s="162">
        <v>46172</v>
      </c>
      <c r="AB335" s="195" t="str">
        <f t="shared" si="43"/>
        <v>May-26</v>
      </c>
      <c r="AC335" s="163"/>
      <c r="AD335" s="163"/>
      <c r="AE335" s="163"/>
    </row>
    <row r="336" spans="1:31" x14ac:dyDescent="0.35">
      <c r="A336" s="162">
        <v>46162</v>
      </c>
      <c r="B336" s="163" t="s">
        <v>92</v>
      </c>
      <c r="C336" s="163" t="s">
        <v>93</v>
      </c>
      <c r="D336" s="163" t="s">
        <v>19</v>
      </c>
      <c r="E336" s="163" t="s">
        <v>106</v>
      </c>
      <c r="F336" s="163" t="s">
        <v>96</v>
      </c>
      <c r="G336" s="163" t="s">
        <v>10</v>
      </c>
      <c r="H336" s="163" t="s">
        <v>115</v>
      </c>
      <c r="I336" s="163" t="s">
        <v>121</v>
      </c>
      <c r="J336" s="163" t="s">
        <v>99</v>
      </c>
      <c r="K336" s="163" t="s">
        <v>256</v>
      </c>
      <c r="L336" s="163"/>
      <c r="M336" s="163" t="s">
        <v>696</v>
      </c>
      <c r="N336" s="163" t="s">
        <v>102</v>
      </c>
      <c r="O336" s="162"/>
      <c r="P336" s="163"/>
      <c r="Q336" s="163"/>
      <c r="R336" s="163"/>
      <c r="S336" s="163" t="s">
        <v>103</v>
      </c>
      <c r="T336" s="164">
        <v>500000</v>
      </c>
      <c r="U336" s="164">
        <v>420000</v>
      </c>
      <c r="V336" s="162">
        <v>46162</v>
      </c>
      <c r="W336" s="163" t="s">
        <v>680</v>
      </c>
      <c r="X336" s="163" t="s">
        <v>57</v>
      </c>
      <c r="Y336" s="163" t="s">
        <v>85</v>
      </c>
      <c r="Z336" s="163"/>
      <c r="AA336" s="163"/>
      <c r="AB336" s="195" t="str">
        <f t="shared" si="43"/>
        <v>May-26</v>
      </c>
      <c r="AC336" s="163"/>
      <c r="AD336" s="163" t="str">
        <f t="shared" ref="AD336:AD351" si="44">IF(AC336="Yes",U336*2%,"")</f>
        <v/>
      </c>
      <c r="AE336" s="163" t="s">
        <v>270</v>
      </c>
    </row>
    <row r="337" spans="1:31" x14ac:dyDescent="0.35">
      <c r="A337" s="162">
        <v>46162</v>
      </c>
      <c r="B337" s="163" t="s">
        <v>370</v>
      </c>
      <c r="C337" s="163" t="s">
        <v>93</v>
      </c>
      <c r="D337" s="163" t="s">
        <v>697</v>
      </c>
      <c r="E337" s="163" t="s">
        <v>106</v>
      </c>
      <c r="F337" s="163" t="s">
        <v>135</v>
      </c>
      <c r="G337" s="163"/>
      <c r="H337" s="163" t="s">
        <v>115</v>
      </c>
      <c r="I337" s="163" t="s">
        <v>121</v>
      </c>
      <c r="J337" s="163" t="s">
        <v>698</v>
      </c>
      <c r="K337" s="163" t="s">
        <v>475</v>
      </c>
      <c r="L337" s="163"/>
      <c r="M337" s="163" t="s">
        <v>699</v>
      </c>
      <c r="N337" s="163" t="s">
        <v>102</v>
      </c>
      <c r="O337" s="162"/>
      <c r="P337" s="163"/>
      <c r="Q337" s="163" t="str">
        <f ca="1">IF(N337="Closed(C4)","",IF(N337="","",TODAY()-A337))</f>
        <v/>
      </c>
      <c r="R337" s="163" t="str">
        <f t="shared" ref="R337:R351" ca="1" si="45">IF(OR(N337="Closed( C4 )",N337="Cancelled"),"",IF(AND(O337&lt;&gt;"",O337&lt;TODAY()),"Yes",""))</f>
        <v/>
      </c>
      <c r="S337" s="163" t="s">
        <v>103</v>
      </c>
      <c r="T337" s="164">
        <v>300000</v>
      </c>
      <c r="U337" s="164">
        <v>139998</v>
      </c>
      <c r="V337" s="162">
        <v>46151</v>
      </c>
      <c r="W337" s="163" t="s">
        <v>700</v>
      </c>
      <c r="X337" s="163" t="s">
        <v>57</v>
      </c>
      <c r="Y337" s="163" t="s">
        <v>85</v>
      </c>
      <c r="Z337" s="163"/>
      <c r="AA337" s="163"/>
      <c r="AB337" s="195" t="str">
        <f t="shared" si="43"/>
        <v>May-26</v>
      </c>
      <c r="AC337" s="163"/>
      <c r="AD337" s="163" t="str">
        <f t="shared" si="44"/>
        <v/>
      </c>
      <c r="AE337" s="163" t="s">
        <v>270</v>
      </c>
    </row>
    <row r="338" spans="1:31" x14ac:dyDescent="0.35">
      <c r="A338" s="162">
        <v>46163</v>
      </c>
      <c r="B338" s="163" t="s">
        <v>370</v>
      </c>
      <c r="C338" s="163" t="s">
        <v>93</v>
      </c>
      <c r="D338" s="163" t="s">
        <v>637</v>
      </c>
      <c r="E338" s="163" t="s">
        <v>106</v>
      </c>
      <c r="F338" s="163" t="s">
        <v>135</v>
      </c>
      <c r="G338" s="163"/>
      <c r="H338" s="163" t="s">
        <v>115</v>
      </c>
      <c r="I338" s="163" t="s">
        <v>121</v>
      </c>
      <c r="J338" s="163" t="s">
        <v>638</v>
      </c>
      <c r="K338" s="163" t="s">
        <v>616</v>
      </c>
      <c r="L338" s="163"/>
      <c r="M338" s="163" t="s">
        <v>159</v>
      </c>
      <c r="N338" s="163" t="s">
        <v>102</v>
      </c>
      <c r="O338" s="162"/>
      <c r="P338" s="163"/>
      <c r="Q338" s="163" t="str">
        <f ca="1">IF(N338="Closed(C4)","",IF(N338="","",TODAY()-A338))</f>
        <v/>
      </c>
      <c r="R338" s="163" t="str">
        <f t="shared" ca="1" si="45"/>
        <v/>
      </c>
      <c r="S338" s="163" t="s">
        <v>103</v>
      </c>
      <c r="T338" s="164">
        <v>50000</v>
      </c>
      <c r="U338" s="164">
        <v>12780</v>
      </c>
      <c r="V338" s="162">
        <v>46163</v>
      </c>
      <c r="W338" s="163" t="s">
        <v>701</v>
      </c>
      <c r="X338" s="163" t="s">
        <v>42</v>
      </c>
      <c r="Y338" s="163" t="s">
        <v>161</v>
      </c>
      <c r="Z338" s="163"/>
      <c r="AA338" s="162">
        <v>46163</v>
      </c>
      <c r="AB338" s="195" t="str">
        <f t="shared" si="43"/>
        <v>May-26</v>
      </c>
      <c r="AC338" s="163"/>
      <c r="AD338" s="163" t="str">
        <f t="shared" si="44"/>
        <v/>
      </c>
      <c r="AE338" s="163" t="s">
        <v>270</v>
      </c>
    </row>
    <row r="339" spans="1:31" x14ac:dyDescent="0.35">
      <c r="A339" s="162">
        <v>46163</v>
      </c>
      <c r="B339" s="163" t="s">
        <v>370</v>
      </c>
      <c r="C339" s="163" t="s">
        <v>93</v>
      </c>
      <c r="D339" s="163" t="s">
        <v>702</v>
      </c>
      <c r="E339" s="163" t="s">
        <v>106</v>
      </c>
      <c r="F339" s="163" t="s">
        <v>135</v>
      </c>
      <c r="G339" s="163"/>
      <c r="H339" s="163" t="s">
        <v>115</v>
      </c>
      <c r="I339" s="163" t="s">
        <v>121</v>
      </c>
      <c r="J339" s="163" t="s">
        <v>356</v>
      </c>
      <c r="K339" s="163" t="s">
        <v>703</v>
      </c>
      <c r="L339" s="163"/>
      <c r="M339" s="163" t="s">
        <v>575</v>
      </c>
      <c r="N339" s="163" t="s">
        <v>181</v>
      </c>
      <c r="O339" s="162"/>
      <c r="P339" s="163"/>
      <c r="Q339" s="163">
        <f ca="1">IF(N339="Closed(C4)","",IF(N339="","",TODAY()-A339))</f>
        <v>162</v>
      </c>
      <c r="R339" s="163" t="str">
        <f t="shared" ca="1" si="45"/>
        <v/>
      </c>
      <c r="S339" s="163" t="s">
        <v>133</v>
      </c>
      <c r="T339" s="164">
        <v>50000</v>
      </c>
      <c r="U339" s="164"/>
      <c r="V339" s="163"/>
      <c r="W339" s="163"/>
      <c r="X339" s="163"/>
      <c r="Y339" s="163"/>
      <c r="Z339" s="163"/>
      <c r="AA339" s="163"/>
      <c r="AB339" s="195" t="str">
        <f t="shared" si="43"/>
        <v>May-26</v>
      </c>
      <c r="AC339" s="163"/>
      <c r="AD339" s="163" t="str">
        <f t="shared" si="44"/>
        <v/>
      </c>
      <c r="AE339" s="163"/>
    </row>
    <row r="340" spans="1:31" x14ac:dyDescent="0.35">
      <c r="A340" s="162">
        <v>46163</v>
      </c>
      <c r="B340" s="163" t="s">
        <v>370</v>
      </c>
      <c r="C340" s="163" t="s">
        <v>93</v>
      </c>
      <c r="D340" s="163" t="s">
        <v>704</v>
      </c>
      <c r="E340" s="163" t="s">
        <v>106</v>
      </c>
      <c r="F340" s="163" t="s">
        <v>135</v>
      </c>
      <c r="G340" s="163"/>
      <c r="H340" s="163" t="s">
        <v>115</v>
      </c>
      <c r="I340" s="163" t="s">
        <v>121</v>
      </c>
      <c r="J340" s="163" t="s">
        <v>356</v>
      </c>
      <c r="K340" s="163" t="s">
        <v>433</v>
      </c>
      <c r="L340" s="163"/>
      <c r="M340" s="163" t="s">
        <v>575</v>
      </c>
      <c r="N340" s="163" t="s">
        <v>181</v>
      </c>
      <c r="O340" s="162"/>
      <c r="P340" s="163"/>
      <c r="Q340" s="163">
        <f ca="1">IF(N340="Closed(C4)","",IF(N340="","",TODAY()-A340))</f>
        <v>162</v>
      </c>
      <c r="R340" s="163" t="str">
        <f t="shared" ca="1" si="45"/>
        <v/>
      </c>
      <c r="S340" s="163" t="s">
        <v>133</v>
      </c>
      <c r="T340" s="164">
        <v>30000</v>
      </c>
      <c r="U340" s="164"/>
      <c r="V340" s="163"/>
      <c r="W340" s="163"/>
      <c r="X340" s="163"/>
      <c r="Y340" s="163"/>
      <c r="Z340" s="163"/>
      <c r="AA340" s="163"/>
      <c r="AB340" s="195" t="str">
        <f t="shared" si="43"/>
        <v>May-26</v>
      </c>
      <c r="AC340" s="163"/>
      <c r="AD340" s="163" t="str">
        <f t="shared" si="44"/>
        <v/>
      </c>
      <c r="AE340" s="163"/>
    </row>
    <row r="341" spans="1:31" x14ac:dyDescent="0.35">
      <c r="A341" s="162">
        <v>46163</v>
      </c>
      <c r="B341" s="163" t="s">
        <v>125</v>
      </c>
      <c r="C341" s="163" t="s">
        <v>113</v>
      </c>
      <c r="D341" s="163" t="s">
        <v>391</v>
      </c>
      <c r="E341" s="163" t="s">
        <v>95</v>
      </c>
      <c r="F341" s="163" t="s">
        <v>96</v>
      </c>
      <c r="G341" s="163" t="s">
        <v>11</v>
      </c>
      <c r="H341" s="163" t="s">
        <v>163</v>
      </c>
      <c r="I341" s="163" t="s">
        <v>98</v>
      </c>
      <c r="J341" s="163" t="s">
        <v>147</v>
      </c>
      <c r="K341" s="163" t="s">
        <v>210</v>
      </c>
      <c r="L341" s="163"/>
      <c r="M341" s="163" t="s">
        <v>159</v>
      </c>
      <c r="N341" s="163" t="s">
        <v>102</v>
      </c>
      <c r="O341" s="162"/>
      <c r="P341" s="163"/>
      <c r="Q341" s="163" t="str">
        <f ca="1">IF(N341="Closed(C4)","",IF(N341="","",TODAY()-A341))</f>
        <v/>
      </c>
      <c r="R341" s="163" t="str">
        <f t="shared" ca="1" si="45"/>
        <v/>
      </c>
      <c r="S341" s="163" t="s">
        <v>103</v>
      </c>
      <c r="T341" s="164">
        <v>30000</v>
      </c>
      <c r="U341" s="164">
        <v>28815</v>
      </c>
      <c r="V341" s="162">
        <v>46163</v>
      </c>
      <c r="W341" s="163" t="s">
        <v>705</v>
      </c>
      <c r="X341" s="163" t="s">
        <v>47</v>
      </c>
      <c r="Y341" s="163" t="s">
        <v>85</v>
      </c>
      <c r="Z341" s="163"/>
      <c r="AA341" s="163"/>
      <c r="AB341" s="195" t="str">
        <f t="shared" si="43"/>
        <v>May-26</v>
      </c>
      <c r="AC341" s="163"/>
      <c r="AD341" s="163" t="str">
        <f t="shared" si="44"/>
        <v/>
      </c>
      <c r="AE341" s="163"/>
    </row>
    <row r="342" spans="1:31" x14ac:dyDescent="0.35">
      <c r="A342" s="162">
        <v>46163</v>
      </c>
      <c r="B342" s="163" t="s">
        <v>125</v>
      </c>
      <c r="C342" s="163" t="s">
        <v>113</v>
      </c>
      <c r="D342" s="163" t="s">
        <v>255</v>
      </c>
      <c r="E342" s="163" t="s">
        <v>106</v>
      </c>
      <c r="F342" s="163" t="s">
        <v>135</v>
      </c>
      <c r="G342" s="163"/>
      <c r="H342" s="163" t="s">
        <v>97</v>
      </c>
      <c r="I342" s="163" t="s">
        <v>98</v>
      </c>
      <c r="J342" s="163" t="s">
        <v>166</v>
      </c>
      <c r="K342" s="163" t="s">
        <v>256</v>
      </c>
      <c r="L342" s="163"/>
      <c r="M342" s="163" t="s">
        <v>159</v>
      </c>
      <c r="N342" s="163" t="s">
        <v>102</v>
      </c>
      <c r="O342" s="162"/>
      <c r="P342" s="163"/>
      <c r="Q342" s="163"/>
      <c r="R342" s="163" t="str">
        <f t="shared" ca="1" si="45"/>
        <v/>
      </c>
      <c r="S342" s="163" t="s">
        <v>103</v>
      </c>
      <c r="T342" s="164">
        <v>20000</v>
      </c>
      <c r="U342" s="164">
        <v>22114</v>
      </c>
      <c r="V342" s="162">
        <v>46163</v>
      </c>
      <c r="W342" s="163" t="s">
        <v>706</v>
      </c>
      <c r="X342" s="163" t="s">
        <v>62</v>
      </c>
      <c r="Y342" s="163" t="s">
        <v>161</v>
      </c>
      <c r="Z342" s="163"/>
      <c r="AA342" s="162">
        <v>46163</v>
      </c>
      <c r="AB342" s="195" t="str">
        <f t="shared" si="43"/>
        <v>May-26</v>
      </c>
      <c r="AC342" s="163"/>
      <c r="AD342" s="163" t="str">
        <f t="shared" si="44"/>
        <v/>
      </c>
      <c r="AE342" s="163"/>
    </row>
    <row r="343" spans="1:31" x14ac:dyDescent="0.35">
      <c r="A343" s="162">
        <v>46163</v>
      </c>
      <c r="B343" s="163" t="s">
        <v>92</v>
      </c>
      <c r="C343" s="163" t="s">
        <v>93</v>
      </c>
      <c r="D343" s="163" t="s">
        <v>182</v>
      </c>
      <c r="E343" s="163" t="s">
        <v>95</v>
      </c>
      <c r="F343" s="163" t="s">
        <v>96</v>
      </c>
      <c r="G343" s="163" t="s">
        <v>15</v>
      </c>
      <c r="H343" s="163" t="s">
        <v>115</v>
      </c>
      <c r="I343" s="163" t="s">
        <v>121</v>
      </c>
      <c r="J343" s="163" t="s">
        <v>99</v>
      </c>
      <c r="K343" s="163" t="s">
        <v>384</v>
      </c>
      <c r="L343" s="163"/>
      <c r="M343" s="163" t="s">
        <v>159</v>
      </c>
      <c r="N343" s="163" t="s">
        <v>102</v>
      </c>
      <c r="O343" s="162"/>
      <c r="P343" s="163"/>
      <c r="Q343" s="163" t="str">
        <f ca="1">IF(N343="Closed(C4)","",IF(N343="","",TODAY()-A343))</f>
        <v/>
      </c>
      <c r="R343" s="163" t="str">
        <f t="shared" ca="1" si="45"/>
        <v/>
      </c>
      <c r="S343" s="163" t="s">
        <v>103</v>
      </c>
      <c r="T343" s="164">
        <v>50000</v>
      </c>
      <c r="U343" s="164">
        <v>66388</v>
      </c>
      <c r="V343" s="162">
        <v>46163</v>
      </c>
      <c r="W343" s="163" t="s">
        <v>707</v>
      </c>
      <c r="X343" s="163" t="s">
        <v>30</v>
      </c>
      <c r="Y343" s="163" t="s">
        <v>85</v>
      </c>
      <c r="Z343" s="163"/>
      <c r="AA343" s="163"/>
      <c r="AB343" s="195" t="str">
        <f t="shared" si="43"/>
        <v>May-26</v>
      </c>
      <c r="AC343" s="163"/>
      <c r="AD343" s="163" t="str">
        <f t="shared" si="44"/>
        <v/>
      </c>
      <c r="AE343" s="163" t="s">
        <v>270</v>
      </c>
    </row>
    <row r="344" spans="1:31" x14ac:dyDescent="0.35">
      <c r="A344" s="162">
        <v>46163</v>
      </c>
      <c r="B344" s="163" t="s">
        <v>125</v>
      </c>
      <c r="C344" s="163" t="s">
        <v>113</v>
      </c>
      <c r="D344" s="163" t="s">
        <v>708</v>
      </c>
      <c r="E344" s="163" t="s">
        <v>106</v>
      </c>
      <c r="F344" s="163" t="s">
        <v>135</v>
      </c>
      <c r="G344" s="163"/>
      <c r="H344" s="163" t="s">
        <v>115</v>
      </c>
      <c r="I344" s="163" t="s">
        <v>121</v>
      </c>
      <c r="J344" s="163" t="s">
        <v>166</v>
      </c>
      <c r="K344" s="163" t="s">
        <v>541</v>
      </c>
      <c r="L344" s="163"/>
      <c r="M344" s="163" t="s">
        <v>709</v>
      </c>
      <c r="N344" s="163" t="s">
        <v>130</v>
      </c>
      <c r="O344" s="162">
        <v>46290</v>
      </c>
      <c r="P344" s="163" t="s">
        <v>106</v>
      </c>
      <c r="Q344" s="163">
        <f ca="1">IF(N344="Closed(C4)","",IF(N344="","",TODAY()-A344))</f>
        <v>162</v>
      </c>
      <c r="R344" s="163" t="str">
        <f t="shared" ca="1" si="45"/>
        <v>Yes</v>
      </c>
      <c r="S344" s="163" t="s">
        <v>103</v>
      </c>
      <c r="T344" s="164"/>
      <c r="U344" s="164"/>
      <c r="V344" s="163"/>
      <c r="W344" s="163"/>
      <c r="X344" s="163"/>
      <c r="Y344" s="163"/>
      <c r="Z344" s="163"/>
      <c r="AA344" s="163"/>
      <c r="AB344" s="195" t="str">
        <f t="shared" si="43"/>
        <v>May-26</v>
      </c>
      <c r="AC344" s="163"/>
      <c r="AD344" s="163" t="str">
        <f t="shared" si="44"/>
        <v/>
      </c>
      <c r="AE344" s="163"/>
    </row>
    <row r="345" spans="1:31" x14ac:dyDescent="0.35">
      <c r="A345" s="162">
        <v>46164</v>
      </c>
      <c r="B345" s="163" t="s">
        <v>92</v>
      </c>
      <c r="C345" s="163" t="s">
        <v>93</v>
      </c>
      <c r="D345" s="163" t="s">
        <v>182</v>
      </c>
      <c r="E345" s="163" t="s">
        <v>95</v>
      </c>
      <c r="F345" s="163" t="s">
        <v>96</v>
      </c>
      <c r="G345" s="163" t="s">
        <v>15</v>
      </c>
      <c r="H345" s="163" t="s">
        <v>163</v>
      </c>
      <c r="I345" s="163" t="s">
        <v>98</v>
      </c>
      <c r="J345" s="163" t="s">
        <v>99</v>
      </c>
      <c r="K345" s="163" t="s">
        <v>384</v>
      </c>
      <c r="L345" s="163"/>
      <c r="M345" s="163" t="s">
        <v>159</v>
      </c>
      <c r="N345" s="163" t="s">
        <v>102</v>
      </c>
      <c r="O345" s="162"/>
      <c r="P345" s="163"/>
      <c r="Q345" s="163" t="str">
        <f ca="1">IF(N345="Closed(C4)","",IF(N345="","",TODAY()-A345))</f>
        <v/>
      </c>
      <c r="R345" s="163" t="str">
        <f t="shared" ca="1" si="45"/>
        <v/>
      </c>
      <c r="S345" s="163" t="s">
        <v>103</v>
      </c>
      <c r="T345" s="164">
        <v>60000</v>
      </c>
      <c r="U345" s="164">
        <v>71998</v>
      </c>
      <c r="V345" s="162">
        <v>46164</v>
      </c>
      <c r="W345" s="163" t="s">
        <v>710</v>
      </c>
      <c r="X345" s="163" t="s">
        <v>30</v>
      </c>
      <c r="Y345" s="163" t="s">
        <v>85</v>
      </c>
      <c r="Z345" s="163"/>
      <c r="AA345" s="163"/>
      <c r="AB345" s="195" t="str">
        <f t="shared" si="43"/>
        <v>May-26</v>
      </c>
      <c r="AC345" s="163"/>
      <c r="AD345" s="163" t="str">
        <f t="shared" si="44"/>
        <v/>
      </c>
      <c r="AE345" s="163" t="s">
        <v>270</v>
      </c>
    </row>
    <row r="346" spans="1:31" x14ac:dyDescent="0.35">
      <c r="A346" s="162">
        <v>46164</v>
      </c>
      <c r="B346" s="163" t="s">
        <v>370</v>
      </c>
      <c r="C346" s="163" t="s">
        <v>93</v>
      </c>
      <c r="D346" s="163" t="s">
        <v>711</v>
      </c>
      <c r="E346" s="163" t="s">
        <v>106</v>
      </c>
      <c r="F346" s="163" t="s">
        <v>135</v>
      </c>
      <c r="G346" s="163"/>
      <c r="H346" s="163" t="s">
        <v>115</v>
      </c>
      <c r="I346" s="163" t="s">
        <v>121</v>
      </c>
      <c r="J346" s="163" t="s">
        <v>432</v>
      </c>
      <c r="K346" s="163" t="s">
        <v>712</v>
      </c>
      <c r="L346" s="163"/>
      <c r="M346" s="163" t="s">
        <v>575</v>
      </c>
      <c r="N346" s="163" t="s">
        <v>181</v>
      </c>
      <c r="O346" s="162">
        <v>46251</v>
      </c>
      <c r="P346" s="163" t="s">
        <v>95</v>
      </c>
      <c r="Q346" s="163">
        <f ca="1">IF(N346="Closed(C4)","",IF(N346="","",TODAY()-A346))</f>
        <v>161</v>
      </c>
      <c r="R346" s="163" t="str">
        <f t="shared" ca="1" si="45"/>
        <v/>
      </c>
      <c r="S346" s="163" t="s">
        <v>133</v>
      </c>
      <c r="T346" s="164">
        <v>40000</v>
      </c>
      <c r="U346" s="164"/>
      <c r="V346" s="163"/>
      <c r="W346" s="163"/>
      <c r="X346" s="163"/>
      <c r="Y346" s="163"/>
      <c r="Z346" s="163"/>
      <c r="AA346" s="163"/>
      <c r="AB346" s="195" t="str">
        <f t="shared" si="43"/>
        <v>May-26</v>
      </c>
      <c r="AC346" s="163"/>
      <c r="AD346" s="163" t="str">
        <f t="shared" si="44"/>
        <v/>
      </c>
      <c r="AE346" s="163"/>
    </row>
    <row r="347" spans="1:31" x14ac:dyDescent="0.35">
      <c r="A347" s="162">
        <v>46164</v>
      </c>
      <c r="B347" s="163" t="s">
        <v>92</v>
      </c>
      <c r="C347" s="163" t="s">
        <v>93</v>
      </c>
      <c r="D347" s="163" t="s">
        <v>262</v>
      </c>
      <c r="E347" s="163" t="s">
        <v>106</v>
      </c>
      <c r="F347" s="163" t="s">
        <v>115</v>
      </c>
      <c r="G347" s="163"/>
      <c r="H347" s="163" t="s">
        <v>115</v>
      </c>
      <c r="I347" s="163" t="s">
        <v>121</v>
      </c>
      <c r="J347" s="163" t="s">
        <v>262</v>
      </c>
      <c r="K347" s="163" t="s">
        <v>256</v>
      </c>
      <c r="L347" s="163"/>
      <c r="M347" s="163" t="s">
        <v>713</v>
      </c>
      <c r="N347" s="163" t="s">
        <v>181</v>
      </c>
      <c r="O347" s="162"/>
      <c r="P347" s="163"/>
      <c r="Q347" s="163"/>
      <c r="R347" s="163" t="str">
        <f t="shared" ca="1" si="45"/>
        <v/>
      </c>
      <c r="S347" s="163" t="s">
        <v>133</v>
      </c>
      <c r="T347" s="164">
        <v>15000</v>
      </c>
      <c r="U347" s="164"/>
      <c r="V347" s="163"/>
      <c r="W347" s="163"/>
      <c r="X347" s="163"/>
      <c r="Y347" s="163"/>
      <c r="Z347" s="163"/>
      <c r="AA347" s="163"/>
      <c r="AB347" s="195" t="str">
        <f t="shared" si="43"/>
        <v>May-26</v>
      </c>
      <c r="AC347" s="163"/>
      <c r="AD347" s="163" t="str">
        <f t="shared" si="44"/>
        <v/>
      </c>
      <c r="AE347" s="163"/>
    </row>
    <row r="348" spans="1:31" x14ac:dyDescent="0.35">
      <c r="A348" s="162">
        <v>46164</v>
      </c>
      <c r="B348" s="163" t="s">
        <v>370</v>
      </c>
      <c r="C348" s="163" t="s">
        <v>93</v>
      </c>
      <c r="D348" s="163" t="s">
        <v>714</v>
      </c>
      <c r="E348" s="163" t="s">
        <v>106</v>
      </c>
      <c r="F348" s="163" t="s">
        <v>135</v>
      </c>
      <c r="G348" s="163"/>
      <c r="H348" s="163" t="s">
        <v>115</v>
      </c>
      <c r="I348" s="163" t="s">
        <v>121</v>
      </c>
      <c r="J348" s="163" t="s">
        <v>356</v>
      </c>
      <c r="K348" s="163" t="s">
        <v>715</v>
      </c>
      <c r="L348" s="163"/>
      <c r="M348" s="163" t="s">
        <v>575</v>
      </c>
      <c r="N348" s="163" t="s">
        <v>181</v>
      </c>
      <c r="O348" s="162"/>
      <c r="P348" s="163"/>
      <c r="Q348" s="163"/>
      <c r="R348" s="163" t="str">
        <f t="shared" ca="1" si="45"/>
        <v/>
      </c>
      <c r="S348" s="163" t="s">
        <v>133</v>
      </c>
      <c r="T348" s="164">
        <v>50000</v>
      </c>
      <c r="U348" s="164"/>
      <c r="V348" s="163"/>
      <c r="W348" s="163"/>
      <c r="X348" s="163"/>
      <c r="Y348" s="163"/>
      <c r="Z348" s="163"/>
      <c r="AA348" s="163"/>
      <c r="AB348" s="195" t="str">
        <f t="shared" si="43"/>
        <v>May-26</v>
      </c>
      <c r="AC348" s="163"/>
      <c r="AD348" s="163" t="str">
        <f t="shared" si="44"/>
        <v/>
      </c>
      <c r="AE348" s="163"/>
    </row>
    <row r="349" spans="1:31" x14ac:dyDescent="0.35">
      <c r="A349" s="162">
        <v>46164</v>
      </c>
      <c r="B349" s="163" t="s">
        <v>125</v>
      </c>
      <c r="C349" s="163" t="s">
        <v>113</v>
      </c>
      <c r="D349" s="163" t="s">
        <v>246</v>
      </c>
      <c r="E349" s="163" t="s">
        <v>95</v>
      </c>
      <c r="F349" s="163" t="s">
        <v>96</v>
      </c>
      <c r="G349" s="163" t="s">
        <v>15</v>
      </c>
      <c r="H349" s="163" t="s">
        <v>163</v>
      </c>
      <c r="I349" s="163" t="s">
        <v>98</v>
      </c>
      <c r="J349" s="163" t="s">
        <v>147</v>
      </c>
      <c r="K349" s="163" t="s">
        <v>231</v>
      </c>
      <c r="L349" s="163"/>
      <c r="M349" s="163" t="s">
        <v>445</v>
      </c>
      <c r="N349" s="163" t="s">
        <v>102</v>
      </c>
      <c r="O349" s="162"/>
      <c r="P349" s="163"/>
      <c r="Q349" s="163" t="str">
        <f ca="1">IF(N349="Closed(C4)","",IF(N349="","",TODAY()-A349))</f>
        <v/>
      </c>
      <c r="R349" s="163" t="str">
        <f t="shared" ca="1" si="45"/>
        <v/>
      </c>
      <c r="S349" s="163" t="s">
        <v>103</v>
      </c>
      <c r="T349" s="164">
        <v>15000</v>
      </c>
      <c r="U349" s="164">
        <v>13870</v>
      </c>
      <c r="V349" s="162">
        <v>46164</v>
      </c>
      <c r="W349" s="163"/>
      <c r="X349" s="163" t="s">
        <v>39</v>
      </c>
      <c r="Y349" s="163" t="s">
        <v>85</v>
      </c>
      <c r="Z349" s="163"/>
      <c r="AA349" s="163"/>
      <c r="AB349" s="195" t="str">
        <f t="shared" si="43"/>
        <v>May-26</v>
      </c>
      <c r="AC349" s="163"/>
      <c r="AD349" s="163" t="str">
        <f t="shared" si="44"/>
        <v/>
      </c>
      <c r="AE349" s="163"/>
    </row>
    <row r="350" spans="1:31" x14ac:dyDescent="0.35">
      <c r="A350" s="162">
        <v>46164</v>
      </c>
      <c r="B350" s="163" t="s">
        <v>125</v>
      </c>
      <c r="C350" s="163" t="s">
        <v>113</v>
      </c>
      <c r="D350" s="163" t="s">
        <v>260</v>
      </c>
      <c r="E350" s="163" t="s">
        <v>95</v>
      </c>
      <c r="F350" s="163" t="s">
        <v>96</v>
      </c>
      <c r="G350" s="163" t="s">
        <v>15</v>
      </c>
      <c r="H350" s="163" t="s">
        <v>163</v>
      </c>
      <c r="I350" s="163" t="s">
        <v>98</v>
      </c>
      <c r="J350" s="163" t="s">
        <v>147</v>
      </c>
      <c r="K350" s="163" t="s">
        <v>231</v>
      </c>
      <c r="L350" s="163"/>
      <c r="M350" s="163" t="s">
        <v>445</v>
      </c>
      <c r="N350" s="163" t="s">
        <v>102</v>
      </c>
      <c r="O350" s="162"/>
      <c r="P350" s="163"/>
      <c r="Q350" s="163" t="str">
        <f ca="1">IF(N350="Closed(C4)","",IF(N350="","",TODAY()-A350))</f>
        <v/>
      </c>
      <c r="R350" s="163" t="str">
        <f t="shared" ca="1" si="45"/>
        <v/>
      </c>
      <c r="S350" s="163" t="s">
        <v>103</v>
      </c>
      <c r="T350" s="164">
        <v>30000</v>
      </c>
      <c r="U350" s="164">
        <v>27680</v>
      </c>
      <c r="V350" s="162">
        <v>46164</v>
      </c>
      <c r="W350" s="163"/>
      <c r="X350" s="163" t="s">
        <v>39</v>
      </c>
      <c r="Y350" s="163" t="s">
        <v>85</v>
      </c>
      <c r="Z350" s="163"/>
      <c r="AA350" s="163"/>
      <c r="AB350" s="195" t="str">
        <f t="shared" si="43"/>
        <v>May-26</v>
      </c>
      <c r="AC350" s="163"/>
      <c r="AD350" s="163" t="str">
        <f t="shared" si="44"/>
        <v/>
      </c>
      <c r="AE350" s="163"/>
    </row>
    <row r="351" spans="1:31" x14ac:dyDescent="0.35">
      <c r="A351" s="162">
        <v>46164</v>
      </c>
      <c r="B351" s="163" t="s">
        <v>125</v>
      </c>
      <c r="C351" s="163" t="s">
        <v>113</v>
      </c>
      <c r="D351" s="163" t="s">
        <v>209</v>
      </c>
      <c r="E351" s="163" t="s">
        <v>106</v>
      </c>
      <c r="F351" s="163" t="s">
        <v>96</v>
      </c>
      <c r="G351" s="163" t="s">
        <v>11</v>
      </c>
      <c r="H351" s="163" t="s">
        <v>115</v>
      </c>
      <c r="I351" s="163" t="s">
        <v>98</v>
      </c>
      <c r="J351" s="163" t="s">
        <v>99</v>
      </c>
      <c r="K351" s="163" t="s">
        <v>210</v>
      </c>
      <c r="L351" s="163"/>
      <c r="M351" s="163" t="s">
        <v>228</v>
      </c>
      <c r="N351" s="163" t="s">
        <v>156</v>
      </c>
      <c r="O351" s="162"/>
      <c r="P351" s="163"/>
      <c r="Q351" s="163"/>
      <c r="R351" s="163" t="str">
        <f t="shared" ca="1" si="45"/>
        <v/>
      </c>
      <c r="S351" s="163" t="s">
        <v>103</v>
      </c>
      <c r="T351" s="164"/>
      <c r="U351" s="164"/>
      <c r="V351" s="162"/>
      <c r="W351" s="163"/>
      <c r="X351" s="163"/>
      <c r="Y351" s="163"/>
      <c r="Z351" s="163"/>
      <c r="AA351" s="163"/>
      <c r="AB351" s="195" t="str">
        <f t="shared" si="43"/>
        <v>May-26</v>
      </c>
      <c r="AC351" s="163"/>
      <c r="AD351" s="163" t="str">
        <f t="shared" si="44"/>
        <v/>
      </c>
      <c r="AE351" s="163"/>
    </row>
    <row r="352" spans="1:31" x14ac:dyDescent="0.35">
      <c r="A352" s="162">
        <v>46165</v>
      </c>
      <c r="B352" s="163" t="s">
        <v>125</v>
      </c>
      <c r="C352" s="163" t="s">
        <v>113</v>
      </c>
      <c r="D352" s="163" t="s">
        <v>661</v>
      </c>
      <c r="E352" s="163" t="s">
        <v>106</v>
      </c>
      <c r="F352" s="163" t="s">
        <v>135</v>
      </c>
      <c r="G352" s="163"/>
      <c r="H352" s="163" t="s">
        <v>115</v>
      </c>
      <c r="I352" s="163" t="s">
        <v>121</v>
      </c>
      <c r="J352" s="163" t="s">
        <v>136</v>
      </c>
      <c r="K352" s="163" t="s">
        <v>614</v>
      </c>
      <c r="L352" s="163"/>
      <c r="M352" s="163" t="s">
        <v>159</v>
      </c>
      <c r="N352" s="163" t="s">
        <v>102</v>
      </c>
      <c r="O352" s="162"/>
      <c r="P352" s="163"/>
      <c r="Q352" s="163"/>
      <c r="R352" s="163"/>
      <c r="S352" s="163" t="s">
        <v>103</v>
      </c>
      <c r="T352" s="164">
        <v>45000</v>
      </c>
      <c r="U352" s="164">
        <v>41040</v>
      </c>
      <c r="V352" s="162">
        <v>46164</v>
      </c>
      <c r="W352" s="163"/>
      <c r="X352" s="163" t="s">
        <v>35</v>
      </c>
      <c r="Y352" s="163" t="s">
        <v>85</v>
      </c>
      <c r="Z352" s="163"/>
      <c r="AA352" s="163"/>
      <c r="AB352" s="195" t="str">
        <f t="shared" si="43"/>
        <v>May-26</v>
      </c>
      <c r="AC352" s="163"/>
      <c r="AD352" s="163"/>
      <c r="AE352" s="163"/>
    </row>
    <row r="353" spans="1:31" x14ac:dyDescent="0.35">
      <c r="A353" s="162">
        <v>46166</v>
      </c>
      <c r="B353" s="163" t="s">
        <v>125</v>
      </c>
      <c r="C353" s="163" t="s">
        <v>113</v>
      </c>
      <c r="D353" s="163" t="s">
        <v>661</v>
      </c>
      <c r="E353" s="163" t="s">
        <v>106</v>
      </c>
      <c r="F353" s="163" t="s">
        <v>135</v>
      </c>
      <c r="G353" s="163"/>
      <c r="H353" s="163" t="s">
        <v>115</v>
      </c>
      <c r="I353" s="163" t="s">
        <v>121</v>
      </c>
      <c r="J353" s="163" t="s">
        <v>136</v>
      </c>
      <c r="K353" s="163" t="s">
        <v>614</v>
      </c>
      <c r="L353" s="163"/>
      <c r="M353" s="163" t="s">
        <v>159</v>
      </c>
      <c r="N353" s="163" t="s">
        <v>102</v>
      </c>
      <c r="O353" s="162"/>
      <c r="P353" s="163"/>
      <c r="Q353" s="163"/>
      <c r="R353" s="163"/>
      <c r="S353" s="163" t="s">
        <v>103</v>
      </c>
      <c r="T353" s="164">
        <v>35910</v>
      </c>
      <c r="U353" s="164">
        <v>35910</v>
      </c>
      <c r="V353" s="162">
        <v>46165</v>
      </c>
      <c r="W353" s="163"/>
      <c r="X353" s="163" t="s">
        <v>35</v>
      </c>
      <c r="Y353" s="163" t="s">
        <v>85</v>
      </c>
      <c r="Z353" s="163"/>
      <c r="AA353" s="163"/>
      <c r="AB353" s="195" t="str">
        <f t="shared" si="43"/>
        <v>May-26</v>
      </c>
      <c r="AC353" s="163"/>
      <c r="AD353" s="163"/>
      <c r="AE353" s="163"/>
    </row>
    <row r="354" spans="1:31" x14ac:dyDescent="0.35">
      <c r="A354" s="162">
        <v>46166</v>
      </c>
      <c r="B354" s="163" t="s">
        <v>370</v>
      </c>
      <c r="C354" s="163" t="s">
        <v>93</v>
      </c>
      <c r="D354" s="163" t="s">
        <v>262</v>
      </c>
      <c r="E354" s="163" t="s">
        <v>95</v>
      </c>
      <c r="F354" s="163" t="s">
        <v>115</v>
      </c>
      <c r="G354" s="163"/>
      <c r="H354" s="163" t="s">
        <v>115</v>
      </c>
      <c r="I354" s="163" t="s">
        <v>121</v>
      </c>
      <c r="J354" s="163" t="s">
        <v>262</v>
      </c>
      <c r="K354" s="163" t="s">
        <v>716</v>
      </c>
      <c r="L354" s="163"/>
      <c r="M354" s="163" t="s">
        <v>640</v>
      </c>
      <c r="N354" s="163" t="s">
        <v>102</v>
      </c>
      <c r="O354" s="162"/>
      <c r="P354" s="163"/>
      <c r="Q354" s="163"/>
      <c r="R354" s="163"/>
      <c r="S354" s="163" t="s">
        <v>103</v>
      </c>
      <c r="T354" s="164">
        <v>5000</v>
      </c>
      <c r="U354" s="164">
        <v>1952</v>
      </c>
      <c r="V354" s="162">
        <v>46136</v>
      </c>
      <c r="W354" s="163" t="s">
        <v>717</v>
      </c>
      <c r="X354" s="163" t="s">
        <v>56</v>
      </c>
      <c r="Y354" s="163" t="s">
        <v>161</v>
      </c>
      <c r="Z354" s="163"/>
      <c r="AA354" s="163"/>
      <c r="AB354" s="195" t="str">
        <f t="shared" si="43"/>
        <v>Apr-26</v>
      </c>
      <c r="AC354" s="163"/>
      <c r="AD354" s="163"/>
      <c r="AE354" s="163"/>
    </row>
    <row r="355" spans="1:31" x14ac:dyDescent="0.35">
      <c r="A355" s="162">
        <v>46167</v>
      </c>
      <c r="B355" s="163" t="s">
        <v>125</v>
      </c>
      <c r="C355" s="163" t="s">
        <v>113</v>
      </c>
      <c r="D355" s="163" t="s">
        <v>209</v>
      </c>
      <c r="E355" s="163" t="s">
        <v>106</v>
      </c>
      <c r="F355" s="163" t="s">
        <v>96</v>
      </c>
      <c r="G355" s="163" t="s">
        <v>11</v>
      </c>
      <c r="H355" s="163" t="s">
        <v>115</v>
      </c>
      <c r="I355" s="163" t="s">
        <v>98</v>
      </c>
      <c r="J355" s="163" t="s">
        <v>99</v>
      </c>
      <c r="K355" s="163" t="s">
        <v>210</v>
      </c>
      <c r="L355" s="163"/>
      <c r="M355" s="163" t="s">
        <v>228</v>
      </c>
      <c r="N355" s="163" t="s">
        <v>102</v>
      </c>
      <c r="O355" s="162"/>
      <c r="P355" s="163"/>
      <c r="Q355" s="163" t="str">
        <f ca="1">IF(N355="Closed(C4)","",IF(N355="","",TODAY()-A355))</f>
        <v/>
      </c>
      <c r="R355" s="163" t="str">
        <f ca="1">IF(OR(N355="Closed( C4 )",N355="Cancelled"),"",IF(AND(O355&lt;&gt;"",O355&lt;TODAY()),"Yes",""))</f>
        <v/>
      </c>
      <c r="S355" s="163" t="s">
        <v>103</v>
      </c>
      <c r="T355" s="164">
        <v>38000</v>
      </c>
      <c r="U355" s="164">
        <v>40535</v>
      </c>
      <c r="V355" s="162">
        <v>46167</v>
      </c>
      <c r="W355" s="163"/>
      <c r="X355" s="163" t="s">
        <v>37</v>
      </c>
      <c r="Y355" s="163" t="s">
        <v>85</v>
      </c>
      <c r="Z355" s="163"/>
      <c r="AA355" s="163"/>
      <c r="AB355" s="195" t="str">
        <f t="shared" si="43"/>
        <v>May-26</v>
      </c>
      <c r="AC355" s="163"/>
      <c r="AD355" s="163" t="str">
        <f>IF(AC355="Yes",U355*2%,"")</f>
        <v/>
      </c>
      <c r="AE355" s="163"/>
    </row>
    <row r="356" spans="1:31" x14ac:dyDescent="0.35">
      <c r="A356" s="162">
        <v>46167</v>
      </c>
      <c r="B356" s="163" t="s">
        <v>125</v>
      </c>
      <c r="C356" s="163" t="s">
        <v>113</v>
      </c>
      <c r="D356" s="168" t="s">
        <v>581</v>
      </c>
      <c r="E356" s="163" t="s">
        <v>106</v>
      </c>
      <c r="F356" s="163" t="s">
        <v>115</v>
      </c>
      <c r="G356" s="163"/>
      <c r="H356" s="163" t="s">
        <v>115</v>
      </c>
      <c r="I356" s="163" t="s">
        <v>121</v>
      </c>
      <c r="J356" s="163" t="s">
        <v>356</v>
      </c>
      <c r="K356" s="163" t="s">
        <v>718</v>
      </c>
      <c r="L356" s="163"/>
      <c r="M356" s="163" t="s">
        <v>719</v>
      </c>
      <c r="N356" s="163" t="s">
        <v>130</v>
      </c>
      <c r="O356" s="162">
        <v>46290</v>
      </c>
      <c r="P356" s="163" t="s">
        <v>106</v>
      </c>
      <c r="Q356" s="163">
        <f ca="1">IF(N356="Closed(C4)","",IF(N356="","",TODAY()-A356))</f>
        <v>158</v>
      </c>
      <c r="R356" s="163" t="str">
        <f ca="1">IF(OR(N356="Closed( C4 )",N356="Cancelled"),"",IF(AND(O356&lt;&gt;"",O356&lt;TODAY()),"Yes",""))</f>
        <v>Yes</v>
      </c>
      <c r="S356" s="163" t="s">
        <v>133</v>
      </c>
      <c r="T356" s="164"/>
      <c r="U356" s="164"/>
      <c r="V356" s="163"/>
      <c r="W356" s="163"/>
      <c r="X356" s="163"/>
      <c r="Y356" s="163"/>
      <c r="Z356" s="163"/>
      <c r="AA356" s="163"/>
      <c r="AB356" s="195" t="str">
        <f t="shared" si="43"/>
        <v>May-26</v>
      </c>
      <c r="AC356" s="163"/>
      <c r="AD356" s="163" t="str">
        <f>IF(AC356="Yes",U356*2%,"")</f>
        <v/>
      </c>
      <c r="AE356" s="163"/>
    </row>
    <row r="357" spans="1:31" x14ac:dyDescent="0.35">
      <c r="A357" s="162">
        <v>46167</v>
      </c>
      <c r="B357" s="163" t="s">
        <v>125</v>
      </c>
      <c r="C357" s="163" t="s">
        <v>113</v>
      </c>
      <c r="D357" s="163" t="s">
        <v>720</v>
      </c>
      <c r="E357" s="163" t="s">
        <v>106</v>
      </c>
      <c r="F357" s="163" t="s">
        <v>135</v>
      </c>
      <c r="G357" s="163"/>
      <c r="H357" s="163" t="s">
        <v>115</v>
      </c>
      <c r="I357" s="163" t="s">
        <v>121</v>
      </c>
      <c r="J357" s="163" t="s">
        <v>147</v>
      </c>
      <c r="K357" s="163" t="s">
        <v>612</v>
      </c>
      <c r="L357" s="163"/>
      <c r="M357" s="163" t="s">
        <v>719</v>
      </c>
      <c r="N357" s="163" t="s">
        <v>130</v>
      </c>
      <c r="O357" s="162">
        <v>46290</v>
      </c>
      <c r="P357" s="163" t="s">
        <v>106</v>
      </c>
      <c r="Q357" s="163">
        <f ca="1">IF(N357="Closed(C4)","",IF(N357="","",TODAY()-A357))</f>
        <v>158</v>
      </c>
      <c r="R357" s="163" t="str">
        <f ca="1">IF(OR(N357="Closed( C4 )",N357="Cancelled"),"",IF(AND(O357&lt;&gt;"",O357&lt;TODAY()),"Yes",""))</f>
        <v>Yes</v>
      </c>
      <c r="S357" s="163" t="s">
        <v>133</v>
      </c>
      <c r="T357" s="164"/>
      <c r="U357" s="164"/>
      <c r="V357" s="163"/>
      <c r="W357" s="163"/>
      <c r="X357" s="163"/>
      <c r="Y357" s="163"/>
      <c r="Z357" s="163"/>
      <c r="AA357" s="163"/>
      <c r="AB357" s="195" t="str">
        <f t="shared" si="43"/>
        <v>May-26</v>
      </c>
      <c r="AC357" s="163"/>
      <c r="AD357" s="163" t="str">
        <f>IF(AC357="Yes",U357*2%,"")</f>
        <v/>
      </c>
      <c r="AE357" s="163"/>
    </row>
    <row r="358" spans="1:31" x14ac:dyDescent="0.35">
      <c r="A358" s="162">
        <v>46167</v>
      </c>
      <c r="B358" s="163" t="s">
        <v>92</v>
      </c>
      <c r="C358" s="163" t="s">
        <v>93</v>
      </c>
      <c r="D358" s="163" t="s">
        <v>182</v>
      </c>
      <c r="E358" s="163" t="s">
        <v>95</v>
      </c>
      <c r="F358" s="163" t="s">
        <v>96</v>
      </c>
      <c r="G358" s="163" t="s">
        <v>15</v>
      </c>
      <c r="H358" s="163" t="s">
        <v>115</v>
      </c>
      <c r="I358" s="163" t="s">
        <v>98</v>
      </c>
      <c r="J358" s="163" t="s">
        <v>99</v>
      </c>
      <c r="K358" s="163" t="s">
        <v>384</v>
      </c>
      <c r="L358" s="163"/>
      <c r="M358" s="163" t="s">
        <v>159</v>
      </c>
      <c r="N358" s="163" t="s">
        <v>102</v>
      </c>
      <c r="O358" s="162"/>
      <c r="P358" s="163"/>
      <c r="Q358" s="163" t="str">
        <f ca="1">IF(N358="Closed(C4)","",IF(N358="","",TODAY()-A358))</f>
        <v/>
      </c>
      <c r="R358" s="163" t="str">
        <f ca="1">IF(OR(N358="Closed( C4 )",N358="Cancelled"),"",IF(AND(O358&lt;&gt;"",O358&lt;TODAY()),"Yes",""))</f>
        <v/>
      </c>
      <c r="S358" s="163" t="s">
        <v>103</v>
      </c>
      <c r="T358" s="164">
        <v>40000</v>
      </c>
      <c r="U358" s="164">
        <v>49150</v>
      </c>
      <c r="V358" s="162">
        <v>46167</v>
      </c>
      <c r="W358" s="163"/>
      <c r="X358" s="163" t="s">
        <v>30</v>
      </c>
      <c r="Y358" s="163" t="s">
        <v>85</v>
      </c>
      <c r="Z358" s="163"/>
      <c r="AA358" s="163"/>
      <c r="AB358" s="195" t="str">
        <f t="shared" si="43"/>
        <v>May-26</v>
      </c>
      <c r="AC358" s="163"/>
      <c r="AD358" s="163" t="str">
        <f>IF(AC358="Yes",U358*2%,"")</f>
        <v/>
      </c>
      <c r="AE358" s="163" t="s">
        <v>270</v>
      </c>
    </row>
    <row r="359" spans="1:31" x14ac:dyDescent="0.35">
      <c r="A359" s="162">
        <v>46167</v>
      </c>
      <c r="B359" s="163" t="s">
        <v>370</v>
      </c>
      <c r="C359" s="163" t="s">
        <v>93</v>
      </c>
      <c r="D359" s="163" t="s">
        <v>19</v>
      </c>
      <c r="E359" s="163" t="s">
        <v>106</v>
      </c>
      <c r="F359" s="163" t="s">
        <v>96</v>
      </c>
      <c r="G359" s="163" t="s">
        <v>10</v>
      </c>
      <c r="H359" s="163" t="s">
        <v>115</v>
      </c>
      <c r="I359" s="163" t="s">
        <v>121</v>
      </c>
      <c r="J359" s="163" t="s">
        <v>99</v>
      </c>
      <c r="K359" s="163" t="s">
        <v>721</v>
      </c>
      <c r="L359" s="163"/>
      <c r="M359" s="163" t="s">
        <v>722</v>
      </c>
      <c r="N359" s="163" t="s">
        <v>102</v>
      </c>
      <c r="O359" s="162"/>
      <c r="P359" s="163"/>
      <c r="Q359" s="163" t="str">
        <f ca="1">IF(N359="Closed(C4)","",IF(N359="","",TODAY()-A359))</f>
        <v/>
      </c>
      <c r="R359" s="163" t="str">
        <f ca="1">IF(OR(N359="Closed( C4 )",N359="Cancelled"),"",IF(AND(O359&lt;&gt;"",O359&lt;TODAY()),"Yes",""))</f>
        <v/>
      </c>
      <c r="S359" s="163" t="s">
        <v>103</v>
      </c>
      <c r="T359" s="164">
        <v>0</v>
      </c>
      <c r="U359" s="164">
        <v>0</v>
      </c>
      <c r="V359" s="163"/>
      <c r="W359" s="163"/>
      <c r="X359" s="163"/>
      <c r="Y359" s="163"/>
      <c r="Z359" s="163"/>
      <c r="AA359" s="163"/>
      <c r="AB359" s="195" t="str">
        <f t="shared" si="43"/>
        <v>May-26</v>
      </c>
      <c r="AC359" s="163"/>
      <c r="AD359" s="163" t="str">
        <f>IF(AC359="Yes",U359*2%,"")</f>
        <v/>
      </c>
      <c r="AE359" s="163"/>
    </row>
    <row r="360" spans="1:31" x14ac:dyDescent="0.35">
      <c r="A360" s="162">
        <v>46167</v>
      </c>
      <c r="B360" s="163" t="s">
        <v>370</v>
      </c>
      <c r="C360" s="163" t="s">
        <v>93</v>
      </c>
      <c r="D360" s="163" t="s">
        <v>723</v>
      </c>
      <c r="E360" s="163" t="s">
        <v>106</v>
      </c>
      <c r="F360" s="163" t="s">
        <v>135</v>
      </c>
      <c r="G360" s="163"/>
      <c r="H360" s="163" t="s">
        <v>115</v>
      </c>
      <c r="I360" s="163" t="s">
        <v>121</v>
      </c>
      <c r="J360" s="163" t="s">
        <v>136</v>
      </c>
      <c r="K360" s="163" t="s">
        <v>724</v>
      </c>
      <c r="L360" s="163"/>
      <c r="M360" s="163" t="s">
        <v>575</v>
      </c>
      <c r="N360" s="163" t="s">
        <v>181</v>
      </c>
      <c r="O360" s="162"/>
      <c r="P360" s="163"/>
      <c r="Q360" s="163"/>
      <c r="R360" s="163"/>
      <c r="S360" s="163" t="s">
        <v>133</v>
      </c>
      <c r="T360" s="164">
        <v>50000</v>
      </c>
      <c r="U360" s="164"/>
      <c r="V360" s="163"/>
      <c r="W360" s="163"/>
      <c r="X360" s="163"/>
      <c r="Y360" s="163"/>
      <c r="Z360" s="163"/>
      <c r="AA360" s="163"/>
      <c r="AB360" s="195" t="str">
        <f t="shared" si="43"/>
        <v>May-26</v>
      </c>
      <c r="AC360" s="163"/>
      <c r="AD360" s="163"/>
      <c r="AE360" s="163"/>
    </row>
    <row r="361" spans="1:31" x14ac:dyDescent="0.35">
      <c r="A361" s="162">
        <v>46168</v>
      </c>
      <c r="B361" s="163" t="s">
        <v>125</v>
      </c>
      <c r="C361" s="163" t="s">
        <v>113</v>
      </c>
      <c r="D361" s="163" t="s">
        <v>725</v>
      </c>
      <c r="E361" s="163" t="s">
        <v>106</v>
      </c>
      <c r="F361" s="163" t="s">
        <v>135</v>
      </c>
      <c r="G361" s="163"/>
      <c r="H361" s="163" t="s">
        <v>115</v>
      </c>
      <c r="I361" s="163" t="s">
        <v>121</v>
      </c>
      <c r="J361" s="163" t="s">
        <v>147</v>
      </c>
      <c r="K361" s="163" t="s">
        <v>609</v>
      </c>
      <c r="L361" s="163"/>
      <c r="M361" s="163" t="s">
        <v>719</v>
      </c>
      <c r="N361" s="163" t="s">
        <v>130</v>
      </c>
      <c r="O361" s="162">
        <v>46283</v>
      </c>
      <c r="P361" s="163" t="s">
        <v>106</v>
      </c>
      <c r="Q361" s="163">
        <f ca="1">IF(N361="Closed(C4)","",IF(N361="","",TODAY()-A361))</f>
        <v>157</v>
      </c>
      <c r="R361" s="163" t="str">
        <f ca="1">IF(OR(N361="Closed( C4 )",N361="Cancelled"),"",IF(AND(O361&lt;&gt;"",O361&lt;TODAY()),"Yes",""))</f>
        <v>Yes</v>
      </c>
      <c r="S361" s="163" t="s">
        <v>133</v>
      </c>
      <c r="T361" s="164"/>
      <c r="U361" s="164"/>
      <c r="V361" s="163"/>
      <c r="W361" s="163"/>
      <c r="X361" s="163"/>
      <c r="Y361" s="163"/>
      <c r="Z361" s="163"/>
      <c r="AA361" s="163"/>
      <c r="AB361" s="195" t="str">
        <f t="shared" si="43"/>
        <v>May-26</v>
      </c>
      <c r="AC361" s="163"/>
      <c r="AD361" s="163" t="str">
        <f>IF(AC361="Yes",U361*2%,"")</f>
        <v/>
      </c>
      <c r="AE361" s="163"/>
    </row>
    <row r="362" spans="1:31" x14ac:dyDescent="0.35">
      <c r="A362" s="162">
        <v>46168</v>
      </c>
      <c r="B362" s="163" t="s">
        <v>125</v>
      </c>
      <c r="C362" s="163" t="s">
        <v>113</v>
      </c>
      <c r="D362" s="163" t="s">
        <v>726</v>
      </c>
      <c r="E362" s="163" t="s">
        <v>106</v>
      </c>
      <c r="F362" s="163" t="s">
        <v>135</v>
      </c>
      <c r="G362" s="163"/>
      <c r="H362" s="163" t="s">
        <v>115</v>
      </c>
      <c r="I362" s="163" t="s">
        <v>121</v>
      </c>
      <c r="J362" s="163" t="s">
        <v>454</v>
      </c>
      <c r="K362" s="163" t="s">
        <v>544</v>
      </c>
      <c r="L362" s="163"/>
      <c r="M362" s="163" t="s">
        <v>719</v>
      </c>
      <c r="N362" s="163" t="s">
        <v>130</v>
      </c>
      <c r="O362" s="162">
        <v>46283</v>
      </c>
      <c r="P362" s="163" t="s">
        <v>106</v>
      </c>
      <c r="Q362" s="163">
        <f ca="1">IF(N362="Closed(C4)","",IF(N362="","",TODAY()-A362))</f>
        <v>157</v>
      </c>
      <c r="R362" s="163" t="str">
        <f ca="1">IF(OR(N362="Closed( C4 )",N362="Cancelled"),"",IF(AND(O362&lt;&gt;"",O362&lt;TODAY()),"Yes",""))</f>
        <v>Yes</v>
      </c>
      <c r="S362" s="163" t="s">
        <v>129</v>
      </c>
      <c r="T362" s="164"/>
      <c r="U362" s="164"/>
      <c r="V362" s="163"/>
      <c r="W362" s="163"/>
      <c r="X362" s="163"/>
      <c r="Y362" s="163"/>
      <c r="Z362" s="163"/>
      <c r="AA362" s="163"/>
      <c r="AB362" s="195" t="str">
        <f t="shared" si="43"/>
        <v>May-26</v>
      </c>
      <c r="AC362" s="163"/>
      <c r="AD362" s="163" t="str">
        <f>IF(AC362="Yes",U362*2%,"")</f>
        <v/>
      </c>
      <c r="AE362" s="163"/>
    </row>
    <row r="363" spans="1:31" x14ac:dyDescent="0.35">
      <c r="A363" s="162">
        <v>46168</v>
      </c>
      <c r="B363" s="163" t="s">
        <v>370</v>
      </c>
      <c r="C363" s="163" t="s">
        <v>93</v>
      </c>
      <c r="D363" s="163" t="s">
        <v>727</v>
      </c>
      <c r="E363" s="163" t="s">
        <v>106</v>
      </c>
      <c r="F363" s="163" t="s">
        <v>135</v>
      </c>
      <c r="G363" s="163"/>
      <c r="H363" s="163" t="s">
        <v>115</v>
      </c>
      <c r="I363" s="163" t="s">
        <v>121</v>
      </c>
      <c r="J363" s="163" t="s">
        <v>147</v>
      </c>
      <c r="K363" s="163" t="s">
        <v>728</v>
      </c>
      <c r="L363" s="163"/>
      <c r="M363" s="163" t="s">
        <v>575</v>
      </c>
      <c r="N363" s="163" t="s">
        <v>181</v>
      </c>
      <c r="O363" s="162"/>
      <c r="P363" s="163"/>
      <c r="Q363" s="163"/>
      <c r="R363" s="163"/>
      <c r="S363" s="163" t="s">
        <v>133</v>
      </c>
      <c r="T363" s="164">
        <v>50000</v>
      </c>
      <c r="U363" s="164"/>
      <c r="V363" s="163"/>
      <c r="W363" s="163"/>
      <c r="X363" s="163"/>
      <c r="Y363" s="163"/>
      <c r="Z363" s="163"/>
      <c r="AA363" s="163"/>
      <c r="AB363" s="195" t="str">
        <f t="shared" si="43"/>
        <v>May-26</v>
      </c>
      <c r="AC363" s="163"/>
      <c r="AD363" s="163"/>
      <c r="AE363" s="163"/>
    </row>
    <row r="364" spans="1:31" x14ac:dyDescent="0.35">
      <c r="A364" s="162">
        <v>46168</v>
      </c>
      <c r="B364" s="163" t="s">
        <v>125</v>
      </c>
      <c r="C364" s="163" t="s">
        <v>113</v>
      </c>
      <c r="D364" s="163" t="s">
        <v>729</v>
      </c>
      <c r="E364" s="163" t="s">
        <v>95</v>
      </c>
      <c r="F364" s="163" t="s">
        <v>96</v>
      </c>
      <c r="G364" s="163" t="s">
        <v>11</v>
      </c>
      <c r="H364" s="163" t="s">
        <v>163</v>
      </c>
      <c r="I364" s="163" t="s">
        <v>121</v>
      </c>
      <c r="J364" s="163" t="s">
        <v>454</v>
      </c>
      <c r="K364" s="163" t="s">
        <v>210</v>
      </c>
      <c r="L364" s="163"/>
      <c r="M364" s="163" t="s">
        <v>159</v>
      </c>
      <c r="N364" s="163" t="s">
        <v>102</v>
      </c>
      <c r="O364" s="162"/>
      <c r="P364" s="163"/>
      <c r="Q364" s="163" t="str">
        <f t="shared" ref="Q364:Q386" ca="1" si="46">IF(N364="Closed(C4)","",IF(N364="","",TODAY()-A364))</f>
        <v/>
      </c>
      <c r="R364" s="163" t="str">
        <f t="shared" ref="R364:R386" ca="1" si="47">IF(OR(N364="Closed( C4 )",N364="Cancelled"),"",IF(AND(O364&lt;&gt;"",O364&lt;TODAY()),"Yes",""))</f>
        <v/>
      </c>
      <c r="S364" s="163" t="s">
        <v>103</v>
      </c>
      <c r="T364" s="164">
        <v>15000</v>
      </c>
      <c r="U364" s="164">
        <v>15141</v>
      </c>
      <c r="V364" s="162">
        <v>46168</v>
      </c>
      <c r="W364" s="163"/>
      <c r="X364" s="163" t="s">
        <v>47</v>
      </c>
      <c r="Y364" s="163" t="s">
        <v>85</v>
      </c>
      <c r="Z364" s="163"/>
      <c r="AA364" s="163"/>
      <c r="AB364" s="195" t="str">
        <f t="shared" si="43"/>
        <v>May-26</v>
      </c>
      <c r="AC364" s="163"/>
      <c r="AD364" s="163" t="str">
        <f t="shared" ref="AD364:AD369" si="48">IF(AC364="Yes",U364*2%,"")</f>
        <v/>
      </c>
      <c r="AE364" s="163"/>
    </row>
    <row r="365" spans="1:31" x14ac:dyDescent="0.35">
      <c r="A365" s="162">
        <v>46168</v>
      </c>
      <c r="B365" s="163" t="s">
        <v>370</v>
      </c>
      <c r="C365" s="163" t="s">
        <v>93</v>
      </c>
      <c r="D365" s="163" t="s">
        <v>730</v>
      </c>
      <c r="E365" s="163" t="s">
        <v>106</v>
      </c>
      <c r="F365" s="163" t="s">
        <v>96</v>
      </c>
      <c r="G365" s="163" t="s">
        <v>15</v>
      </c>
      <c r="H365" s="163" t="s">
        <v>115</v>
      </c>
      <c r="I365" s="163" t="s">
        <v>121</v>
      </c>
      <c r="J365" s="163" t="s">
        <v>99</v>
      </c>
      <c r="K365" s="163" t="s">
        <v>183</v>
      </c>
      <c r="L365" s="163"/>
      <c r="M365" s="163" t="s">
        <v>731</v>
      </c>
      <c r="N365" s="163" t="s">
        <v>102</v>
      </c>
      <c r="O365" s="162"/>
      <c r="P365" s="163"/>
      <c r="Q365" s="163" t="str">
        <f t="shared" ca="1" si="46"/>
        <v/>
      </c>
      <c r="R365" s="163" t="str">
        <f t="shared" ca="1" si="47"/>
        <v/>
      </c>
      <c r="S365" s="163" t="s">
        <v>103</v>
      </c>
      <c r="T365" s="164">
        <v>25000</v>
      </c>
      <c r="U365" s="164">
        <v>10670</v>
      </c>
      <c r="V365" s="162">
        <v>46168</v>
      </c>
      <c r="W365" s="163" t="s">
        <v>732</v>
      </c>
      <c r="X365" s="163" t="s">
        <v>44</v>
      </c>
      <c r="Y365" s="163" t="s">
        <v>85</v>
      </c>
      <c r="Z365" s="163"/>
      <c r="AA365" s="163"/>
      <c r="AB365" s="195" t="str">
        <f t="shared" si="43"/>
        <v>May-26</v>
      </c>
      <c r="AC365" s="163"/>
      <c r="AD365" s="163" t="str">
        <f t="shared" si="48"/>
        <v/>
      </c>
      <c r="AE365" s="163" t="s">
        <v>270</v>
      </c>
    </row>
    <row r="366" spans="1:31" x14ac:dyDescent="0.35">
      <c r="A366" s="162">
        <v>46168</v>
      </c>
      <c r="B366" s="163" t="s">
        <v>370</v>
      </c>
      <c r="C366" s="163" t="s">
        <v>93</v>
      </c>
      <c r="D366" s="163" t="s">
        <v>19</v>
      </c>
      <c r="E366" s="163" t="s">
        <v>106</v>
      </c>
      <c r="F366" s="163" t="s">
        <v>96</v>
      </c>
      <c r="G366" s="163" t="s">
        <v>10</v>
      </c>
      <c r="H366" s="163" t="s">
        <v>115</v>
      </c>
      <c r="I366" s="163" t="s">
        <v>121</v>
      </c>
      <c r="J366" s="163" t="s">
        <v>99</v>
      </c>
      <c r="K366" s="163" t="s">
        <v>721</v>
      </c>
      <c r="L366" s="163"/>
      <c r="M366" s="163" t="s">
        <v>733</v>
      </c>
      <c r="N366" s="163" t="s">
        <v>102</v>
      </c>
      <c r="O366" s="162"/>
      <c r="P366" s="163"/>
      <c r="Q366" s="163" t="str">
        <f t="shared" ca="1" si="46"/>
        <v/>
      </c>
      <c r="R366" s="163" t="str">
        <f t="shared" ca="1" si="47"/>
        <v/>
      </c>
      <c r="S366" s="163" t="s">
        <v>103</v>
      </c>
      <c r="T366" s="164">
        <v>0</v>
      </c>
      <c r="U366" s="164">
        <v>0</v>
      </c>
      <c r="V366" s="163"/>
      <c r="W366" s="163"/>
      <c r="X366" s="163"/>
      <c r="Y366" s="163"/>
      <c r="Z366" s="163"/>
      <c r="AA366" s="163"/>
      <c r="AB366" s="195" t="str">
        <f t="shared" si="43"/>
        <v>May-26</v>
      </c>
      <c r="AC366" s="163"/>
      <c r="AD366" s="163" t="str">
        <f t="shared" si="48"/>
        <v/>
      </c>
      <c r="AE366" s="163"/>
    </row>
    <row r="367" spans="1:31" x14ac:dyDescent="0.35">
      <c r="A367" s="162">
        <v>46168</v>
      </c>
      <c r="B367" s="163" t="s">
        <v>92</v>
      </c>
      <c r="C367" s="163" t="s">
        <v>93</v>
      </c>
      <c r="D367" s="163" t="s">
        <v>182</v>
      </c>
      <c r="E367" s="163" t="s">
        <v>95</v>
      </c>
      <c r="F367" s="163" t="s">
        <v>96</v>
      </c>
      <c r="G367" s="163" t="s">
        <v>15</v>
      </c>
      <c r="H367" s="163" t="s">
        <v>115</v>
      </c>
      <c r="I367" s="163" t="s">
        <v>121</v>
      </c>
      <c r="J367" s="163" t="s">
        <v>99</v>
      </c>
      <c r="K367" s="163" t="s">
        <v>384</v>
      </c>
      <c r="L367" s="163"/>
      <c r="M367" s="163" t="s">
        <v>159</v>
      </c>
      <c r="N367" s="163" t="s">
        <v>102</v>
      </c>
      <c r="O367" s="162"/>
      <c r="P367" s="163"/>
      <c r="Q367" s="163" t="str">
        <f t="shared" ca="1" si="46"/>
        <v/>
      </c>
      <c r="R367" s="163" t="str">
        <f t="shared" ca="1" si="47"/>
        <v/>
      </c>
      <c r="S367" s="163" t="s">
        <v>103</v>
      </c>
      <c r="T367" s="164">
        <v>50000</v>
      </c>
      <c r="U367" s="164">
        <v>54730</v>
      </c>
      <c r="V367" s="162">
        <v>46168</v>
      </c>
      <c r="W367" s="163"/>
      <c r="X367" s="163" t="s">
        <v>30</v>
      </c>
      <c r="Y367" s="163" t="s">
        <v>85</v>
      </c>
      <c r="Z367" s="163"/>
      <c r="AA367" s="163"/>
      <c r="AB367" s="195" t="str">
        <f t="shared" si="43"/>
        <v>May-26</v>
      </c>
      <c r="AC367" s="163"/>
      <c r="AD367" s="163" t="str">
        <f t="shared" si="48"/>
        <v/>
      </c>
      <c r="AE367" s="163" t="s">
        <v>270</v>
      </c>
    </row>
    <row r="368" spans="1:31" x14ac:dyDescent="0.35">
      <c r="A368" s="162">
        <v>46168</v>
      </c>
      <c r="B368" s="163" t="s">
        <v>370</v>
      </c>
      <c r="C368" s="163" t="s">
        <v>93</v>
      </c>
      <c r="D368" s="163" t="s">
        <v>734</v>
      </c>
      <c r="E368" s="163" t="s">
        <v>95</v>
      </c>
      <c r="F368" s="163" t="s">
        <v>135</v>
      </c>
      <c r="G368" s="163"/>
      <c r="H368" s="163" t="s">
        <v>115</v>
      </c>
      <c r="I368" s="163" t="s">
        <v>121</v>
      </c>
      <c r="J368" s="163" t="s">
        <v>147</v>
      </c>
      <c r="K368" s="163" t="s">
        <v>256</v>
      </c>
      <c r="L368" s="163"/>
      <c r="M368" s="163" t="s">
        <v>575</v>
      </c>
      <c r="N368" s="163" t="s">
        <v>181</v>
      </c>
      <c r="O368" s="162">
        <v>46249</v>
      </c>
      <c r="P368" s="163" t="s">
        <v>95</v>
      </c>
      <c r="Q368" s="163">
        <f t="shared" ca="1" si="46"/>
        <v>157</v>
      </c>
      <c r="R368" s="163" t="str">
        <f t="shared" ca="1" si="47"/>
        <v/>
      </c>
      <c r="S368" s="163" t="s">
        <v>133</v>
      </c>
      <c r="T368" s="164">
        <v>50000</v>
      </c>
      <c r="U368" s="164"/>
      <c r="V368" s="163"/>
      <c r="W368" s="163"/>
      <c r="X368" s="163"/>
      <c r="Y368" s="163"/>
      <c r="Z368" s="163"/>
      <c r="AA368" s="163"/>
      <c r="AB368" s="195" t="str">
        <f t="shared" si="43"/>
        <v>May-26</v>
      </c>
      <c r="AC368" s="163"/>
      <c r="AD368" s="163" t="str">
        <f t="shared" si="48"/>
        <v/>
      </c>
      <c r="AE368" s="163"/>
    </row>
    <row r="369" spans="1:31" x14ac:dyDescent="0.35">
      <c r="A369" s="162">
        <v>46169</v>
      </c>
      <c r="B369" s="163" t="s">
        <v>125</v>
      </c>
      <c r="C369" s="163" t="s">
        <v>93</v>
      </c>
      <c r="D369" s="163" t="s">
        <v>19</v>
      </c>
      <c r="E369" s="163" t="s">
        <v>106</v>
      </c>
      <c r="F369" s="163" t="s">
        <v>96</v>
      </c>
      <c r="G369" s="163" t="s">
        <v>10</v>
      </c>
      <c r="H369" s="163" t="s">
        <v>115</v>
      </c>
      <c r="I369" s="163" t="s">
        <v>121</v>
      </c>
      <c r="J369" s="163" t="s">
        <v>99</v>
      </c>
      <c r="K369" s="163" t="s">
        <v>256</v>
      </c>
      <c r="L369" s="163"/>
      <c r="M369" s="163" t="s">
        <v>159</v>
      </c>
      <c r="N369" s="163" t="s">
        <v>102</v>
      </c>
      <c r="O369" s="162"/>
      <c r="P369" s="163"/>
      <c r="Q369" s="163" t="str">
        <f t="shared" ca="1" si="46"/>
        <v/>
      </c>
      <c r="R369" s="163" t="str">
        <f t="shared" ca="1" si="47"/>
        <v/>
      </c>
      <c r="S369" s="163" t="s">
        <v>103</v>
      </c>
      <c r="T369" s="164">
        <v>420000</v>
      </c>
      <c r="U369" s="164">
        <v>525000</v>
      </c>
      <c r="V369" s="162">
        <v>46169</v>
      </c>
      <c r="W369" s="163" t="s">
        <v>735</v>
      </c>
      <c r="X369" s="163" t="s">
        <v>57</v>
      </c>
      <c r="Y369" s="163" t="s">
        <v>85</v>
      </c>
      <c r="Z369" s="163"/>
      <c r="AA369" s="162"/>
      <c r="AB369" s="195" t="str">
        <f t="shared" si="43"/>
        <v>May-26</v>
      </c>
      <c r="AC369" s="163"/>
      <c r="AD369" s="163" t="str">
        <f t="shared" si="48"/>
        <v/>
      </c>
      <c r="AE369" s="163"/>
    </row>
    <row r="370" spans="1:31" x14ac:dyDescent="0.35">
      <c r="A370" s="162">
        <v>46169</v>
      </c>
      <c r="B370" s="163" t="s">
        <v>92</v>
      </c>
      <c r="C370" s="163" t="s">
        <v>93</v>
      </c>
      <c r="D370" s="163" t="s">
        <v>19</v>
      </c>
      <c r="E370" s="163" t="s">
        <v>106</v>
      </c>
      <c r="F370" s="163" t="s">
        <v>96</v>
      </c>
      <c r="G370" s="163" t="s">
        <v>10</v>
      </c>
      <c r="H370" s="163" t="s">
        <v>115</v>
      </c>
      <c r="I370" s="163" t="s">
        <v>121</v>
      </c>
      <c r="J370" s="163" t="s">
        <v>99</v>
      </c>
      <c r="K370" s="163" t="s">
        <v>721</v>
      </c>
      <c r="L370" s="163"/>
      <c r="M370" s="163" t="s">
        <v>159</v>
      </c>
      <c r="N370" s="163" t="s">
        <v>102</v>
      </c>
      <c r="O370" s="162"/>
      <c r="P370" s="163"/>
      <c r="Q370" s="163" t="str">
        <f t="shared" ca="1" si="46"/>
        <v/>
      </c>
      <c r="R370" s="163" t="str">
        <f t="shared" ca="1" si="47"/>
        <v/>
      </c>
      <c r="S370" s="163" t="s">
        <v>103</v>
      </c>
      <c r="T370" s="164">
        <v>300000</v>
      </c>
      <c r="U370" s="164">
        <v>525000</v>
      </c>
      <c r="V370" s="162">
        <v>46169</v>
      </c>
      <c r="W370" s="163" t="s">
        <v>735</v>
      </c>
      <c r="X370" s="163" t="s">
        <v>57</v>
      </c>
      <c r="Y370" s="163" t="s">
        <v>85</v>
      </c>
      <c r="Z370" s="163"/>
      <c r="AA370" s="163"/>
      <c r="AB370" s="195" t="str">
        <f t="shared" si="43"/>
        <v>May-26</v>
      </c>
      <c r="AC370" s="163"/>
      <c r="AD370" s="163" t="str">
        <f>IF(AC370="Yes",#REF!*2%,"")</f>
        <v/>
      </c>
      <c r="AE370" s="163" t="s">
        <v>270</v>
      </c>
    </row>
    <row r="371" spans="1:31" x14ac:dyDescent="0.35">
      <c r="A371" s="162">
        <v>46169</v>
      </c>
      <c r="B371" s="163" t="s">
        <v>125</v>
      </c>
      <c r="C371" s="163" t="s">
        <v>113</v>
      </c>
      <c r="D371" s="163" t="s">
        <v>246</v>
      </c>
      <c r="E371" s="163" t="s">
        <v>95</v>
      </c>
      <c r="F371" s="163" t="s">
        <v>96</v>
      </c>
      <c r="G371" s="163" t="s">
        <v>15</v>
      </c>
      <c r="H371" s="163" t="s">
        <v>163</v>
      </c>
      <c r="I371" s="163" t="s">
        <v>98</v>
      </c>
      <c r="J371" s="163" t="s">
        <v>147</v>
      </c>
      <c r="K371" s="163" t="s">
        <v>231</v>
      </c>
      <c r="L371" s="163"/>
      <c r="M371" s="163" t="s">
        <v>445</v>
      </c>
      <c r="N371" s="163" t="s">
        <v>102</v>
      </c>
      <c r="O371" s="162"/>
      <c r="P371" s="163"/>
      <c r="Q371" s="163" t="str">
        <f t="shared" ca="1" si="46"/>
        <v/>
      </c>
      <c r="R371" s="163" t="str">
        <f t="shared" ca="1" si="47"/>
        <v/>
      </c>
      <c r="S371" s="163" t="s">
        <v>103</v>
      </c>
      <c r="T371" s="164">
        <v>15000</v>
      </c>
      <c r="U371" s="164">
        <v>15735</v>
      </c>
      <c r="V371" s="162">
        <v>46169</v>
      </c>
      <c r="W371" s="163"/>
      <c r="X371" s="163" t="s">
        <v>39</v>
      </c>
      <c r="Y371" s="163" t="s">
        <v>85</v>
      </c>
      <c r="Z371" s="163"/>
      <c r="AA371" s="163"/>
      <c r="AB371" s="195" t="str">
        <f t="shared" si="43"/>
        <v>May-26</v>
      </c>
      <c r="AC371" s="163"/>
      <c r="AD371" s="163" t="str">
        <f t="shared" ref="AD371:AD386" si="49">IF(AC371="Yes",U371*2%,"")</f>
        <v/>
      </c>
      <c r="AE371" s="163"/>
    </row>
    <row r="372" spans="1:31" x14ac:dyDescent="0.35">
      <c r="A372" s="162">
        <v>46169</v>
      </c>
      <c r="B372" s="163" t="s">
        <v>125</v>
      </c>
      <c r="C372" s="163" t="s">
        <v>113</v>
      </c>
      <c r="D372" s="163" t="s">
        <v>260</v>
      </c>
      <c r="E372" s="163" t="s">
        <v>95</v>
      </c>
      <c r="F372" s="163" t="s">
        <v>96</v>
      </c>
      <c r="G372" s="163" t="s">
        <v>15</v>
      </c>
      <c r="H372" s="163" t="s">
        <v>163</v>
      </c>
      <c r="I372" s="163" t="s">
        <v>98</v>
      </c>
      <c r="J372" s="163" t="s">
        <v>147</v>
      </c>
      <c r="K372" s="163" t="s">
        <v>231</v>
      </c>
      <c r="L372" s="163"/>
      <c r="M372" s="163" t="s">
        <v>445</v>
      </c>
      <c r="N372" s="163" t="s">
        <v>102</v>
      </c>
      <c r="O372" s="162"/>
      <c r="P372" s="163"/>
      <c r="Q372" s="163" t="str">
        <f t="shared" ca="1" si="46"/>
        <v/>
      </c>
      <c r="R372" s="163" t="str">
        <f t="shared" ca="1" si="47"/>
        <v/>
      </c>
      <c r="S372" s="163" t="s">
        <v>103</v>
      </c>
      <c r="T372" s="164">
        <v>15000</v>
      </c>
      <c r="U372" s="164">
        <v>12885</v>
      </c>
      <c r="V372" s="162">
        <v>46169</v>
      </c>
      <c r="W372" s="163"/>
      <c r="X372" s="163" t="s">
        <v>39</v>
      </c>
      <c r="Y372" s="163" t="s">
        <v>85</v>
      </c>
      <c r="Z372" s="163"/>
      <c r="AA372" s="163"/>
      <c r="AB372" s="195" t="str">
        <f t="shared" si="43"/>
        <v>May-26</v>
      </c>
      <c r="AC372" s="163"/>
      <c r="AD372" s="163" t="str">
        <f t="shared" si="49"/>
        <v/>
      </c>
      <c r="AE372" s="163"/>
    </row>
    <row r="373" spans="1:31" x14ac:dyDescent="0.35">
      <c r="A373" s="162">
        <v>46169</v>
      </c>
      <c r="B373" s="163" t="s">
        <v>125</v>
      </c>
      <c r="C373" s="163" t="s">
        <v>113</v>
      </c>
      <c r="D373" s="163" t="s">
        <v>223</v>
      </c>
      <c r="E373" s="163" t="s">
        <v>95</v>
      </c>
      <c r="F373" s="163" t="s">
        <v>135</v>
      </c>
      <c r="G373" s="163"/>
      <c r="H373" s="163" t="s">
        <v>97</v>
      </c>
      <c r="I373" s="163" t="s">
        <v>98</v>
      </c>
      <c r="J373" s="163" t="s">
        <v>166</v>
      </c>
      <c r="K373" s="163" t="s">
        <v>224</v>
      </c>
      <c r="L373" s="163"/>
      <c r="M373" s="163" t="s">
        <v>159</v>
      </c>
      <c r="N373" s="163" t="s">
        <v>102</v>
      </c>
      <c r="O373" s="162"/>
      <c r="P373" s="163"/>
      <c r="Q373" s="163" t="str">
        <f t="shared" ca="1" si="46"/>
        <v/>
      </c>
      <c r="R373" s="163" t="str">
        <f t="shared" ca="1" si="47"/>
        <v/>
      </c>
      <c r="S373" s="163" t="s">
        <v>103</v>
      </c>
      <c r="T373" s="164">
        <v>15000</v>
      </c>
      <c r="U373" s="164">
        <v>2065</v>
      </c>
      <c r="V373" s="162">
        <v>46169</v>
      </c>
      <c r="W373" s="163"/>
      <c r="X373" s="163" t="s">
        <v>62</v>
      </c>
      <c r="Y373" s="163" t="s">
        <v>161</v>
      </c>
      <c r="Z373" s="163"/>
      <c r="AA373" s="163"/>
      <c r="AB373" s="195" t="str">
        <f t="shared" si="43"/>
        <v>May-26</v>
      </c>
      <c r="AC373" s="163"/>
      <c r="AD373" s="163" t="str">
        <f t="shared" si="49"/>
        <v/>
      </c>
      <c r="AE373" s="163"/>
    </row>
    <row r="374" spans="1:31" x14ac:dyDescent="0.35">
      <c r="A374" s="162">
        <v>46169</v>
      </c>
      <c r="B374" s="163" t="s">
        <v>125</v>
      </c>
      <c r="C374" s="163" t="s">
        <v>113</v>
      </c>
      <c r="D374" s="163" t="s">
        <v>684</v>
      </c>
      <c r="E374" s="163" t="s">
        <v>106</v>
      </c>
      <c r="F374" s="163" t="s">
        <v>226</v>
      </c>
      <c r="G374" s="163" t="s">
        <v>14</v>
      </c>
      <c r="H374" s="163" t="s">
        <v>226</v>
      </c>
      <c r="I374" s="163" t="s">
        <v>121</v>
      </c>
      <c r="J374" s="163" t="s">
        <v>197</v>
      </c>
      <c r="K374" s="163" t="s">
        <v>685</v>
      </c>
      <c r="L374" s="163"/>
      <c r="M374" s="163" t="s">
        <v>686</v>
      </c>
      <c r="N374" s="163" t="s">
        <v>102</v>
      </c>
      <c r="O374" s="162"/>
      <c r="P374" s="163"/>
      <c r="Q374" s="163" t="str">
        <f t="shared" ca="1" si="46"/>
        <v/>
      </c>
      <c r="R374" s="163" t="str">
        <f t="shared" ca="1" si="47"/>
        <v/>
      </c>
      <c r="S374" s="163" t="s">
        <v>103</v>
      </c>
      <c r="T374" s="164">
        <v>40000</v>
      </c>
      <c r="U374" s="164">
        <v>37550</v>
      </c>
      <c r="V374" s="162">
        <v>46169</v>
      </c>
      <c r="W374" s="163"/>
      <c r="X374" s="163" t="s">
        <v>37</v>
      </c>
      <c r="Y374" s="163" t="s">
        <v>85</v>
      </c>
      <c r="Z374" s="163"/>
      <c r="AA374" s="163"/>
      <c r="AB374" s="195" t="str">
        <f t="shared" si="43"/>
        <v>May-26</v>
      </c>
      <c r="AC374" s="163"/>
      <c r="AD374" s="163" t="str">
        <f t="shared" si="49"/>
        <v/>
      </c>
      <c r="AE374" s="163"/>
    </row>
    <row r="375" spans="1:31" x14ac:dyDescent="0.35">
      <c r="A375" s="162">
        <v>46169</v>
      </c>
      <c r="B375" s="163" t="s">
        <v>125</v>
      </c>
      <c r="C375" s="163" t="s">
        <v>113</v>
      </c>
      <c r="D375" s="163" t="s">
        <v>165</v>
      </c>
      <c r="E375" s="163" t="s">
        <v>95</v>
      </c>
      <c r="F375" s="163" t="s">
        <v>135</v>
      </c>
      <c r="G375" s="163"/>
      <c r="H375" s="163" t="s">
        <v>115</v>
      </c>
      <c r="I375" s="163" t="s">
        <v>98</v>
      </c>
      <c r="J375" s="163" t="s">
        <v>166</v>
      </c>
      <c r="K375" s="163" t="s">
        <v>167</v>
      </c>
      <c r="L375" s="163"/>
      <c r="M375" s="163" t="s">
        <v>159</v>
      </c>
      <c r="N375" s="163" t="s">
        <v>102</v>
      </c>
      <c r="O375" s="162"/>
      <c r="P375" s="163"/>
      <c r="Q375" s="163" t="str">
        <f t="shared" ca="1" si="46"/>
        <v/>
      </c>
      <c r="R375" s="163" t="str">
        <f t="shared" ca="1" si="47"/>
        <v/>
      </c>
      <c r="S375" s="163" t="s">
        <v>103</v>
      </c>
      <c r="T375" s="164">
        <v>20000</v>
      </c>
      <c r="U375" s="164">
        <v>22916</v>
      </c>
      <c r="V375" s="162">
        <v>46169</v>
      </c>
      <c r="W375" s="163" t="s">
        <v>736</v>
      </c>
      <c r="X375" s="163" t="s">
        <v>35</v>
      </c>
      <c r="Y375" s="163" t="s">
        <v>85</v>
      </c>
      <c r="Z375" s="163"/>
      <c r="AA375" s="162"/>
      <c r="AB375" s="195" t="str">
        <f t="shared" si="43"/>
        <v>May-26</v>
      </c>
      <c r="AC375" s="163"/>
      <c r="AD375" s="163" t="str">
        <f t="shared" si="49"/>
        <v/>
      </c>
      <c r="AE375" s="163"/>
    </row>
    <row r="376" spans="1:31" x14ac:dyDescent="0.35">
      <c r="A376" s="162">
        <v>46169</v>
      </c>
      <c r="B376" s="163" t="s">
        <v>125</v>
      </c>
      <c r="C376" s="163" t="s">
        <v>113</v>
      </c>
      <c r="D376" s="163" t="s">
        <v>708</v>
      </c>
      <c r="E376" s="163" t="s">
        <v>106</v>
      </c>
      <c r="F376" s="163" t="s">
        <v>135</v>
      </c>
      <c r="G376" s="163"/>
      <c r="H376" s="163" t="s">
        <v>115</v>
      </c>
      <c r="I376" s="163" t="s">
        <v>121</v>
      </c>
      <c r="J376" s="163" t="s">
        <v>166</v>
      </c>
      <c r="K376" s="163" t="s">
        <v>541</v>
      </c>
      <c r="L376" s="163"/>
      <c r="M376" s="163" t="s">
        <v>159</v>
      </c>
      <c r="N376" s="163" t="s">
        <v>102</v>
      </c>
      <c r="O376" s="162"/>
      <c r="P376" s="163"/>
      <c r="Q376" s="163" t="str">
        <f t="shared" ca="1" si="46"/>
        <v/>
      </c>
      <c r="R376" s="163" t="str">
        <f t="shared" ca="1" si="47"/>
        <v/>
      </c>
      <c r="S376" s="163" t="s">
        <v>103</v>
      </c>
      <c r="T376" s="164">
        <v>50000</v>
      </c>
      <c r="U376" s="164">
        <v>56569</v>
      </c>
      <c r="V376" s="162">
        <v>46169</v>
      </c>
      <c r="W376" s="163"/>
      <c r="X376" s="163" t="s">
        <v>47</v>
      </c>
      <c r="Y376" s="163" t="s">
        <v>85</v>
      </c>
      <c r="Z376" s="163"/>
      <c r="AA376" s="163"/>
      <c r="AB376" s="195" t="str">
        <f t="shared" si="43"/>
        <v>May-26</v>
      </c>
      <c r="AC376" s="163"/>
      <c r="AD376" s="163" t="str">
        <f t="shared" si="49"/>
        <v/>
      </c>
      <c r="AE376" s="163"/>
    </row>
    <row r="377" spans="1:31" x14ac:dyDescent="0.35">
      <c r="A377" s="162">
        <v>46169</v>
      </c>
      <c r="B377" s="163" t="s">
        <v>92</v>
      </c>
      <c r="C377" s="163" t="s">
        <v>93</v>
      </c>
      <c r="D377" s="163" t="s">
        <v>182</v>
      </c>
      <c r="E377" s="163" t="s">
        <v>95</v>
      </c>
      <c r="F377" s="163" t="s">
        <v>96</v>
      </c>
      <c r="G377" s="163" t="s">
        <v>15</v>
      </c>
      <c r="H377" s="163" t="s">
        <v>163</v>
      </c>
      <c r="I377" s="163" t="s">
        <v>121</v>
      </c>
      <c r="J377" s="163" t="s">
        <v>99</v>
      </c>
      <c r="K377" s="163" t="s">
        <v>384</v>
      </c>
      <c r="L377" s="163"/>
      <c r="M377" s="163" t="s">
        <v>159</v>
      </c>
      <c r="N377" s="163" t="s">
        <v>102</v>
      </c>
      <c r="O377" s="162"/>
      <c r="P377" s="163"/>
      <c r="Q377" s="163" t="str">
        <f t="shared" ca="1" si="46"/>
        <v/>
      </c>
      <c r="R377" s="163" t="str">
        <f t="shared" ca="1" si="47"/>
        <v/>
      </c>
      <c r="S377" s="163" t="s">
        <v>103</v>
      </c>
      <c r="T377" s="164">
        <v>60000</v>
      </c>
      <c r="U377" s="164">
        <v>55000</v>
      </c>
      <c r="V377" s="162">
        <v>46169</v>
      </c>
      <c r="W377" s="163"/>
      <c r="X377" s="163" t="s">
        <v>30</v>
      </c>
      <c r="Y377" s="163" t="s">
        <v>85</v>
      </c>
      <c r="Z377" s="163"/>
      <c r="AA377" s="163"/>
      <c r="AB377" s="195" t="str">
        <f t="shared" si="43"/>
        <v>May-26</v>
      </c>
      <c r="AC377" s="163"/>
      <c r="AD377" s="163" t="str">
        <f t="shared" si="49"/>
        <v/>
      </c>
      <c r="AE377" s="163" t="s">
        <v>270</v>
      </c>
    </row>
    <row r="378" spans="1:31" x14ac:dyDescent="0.35">
      <c r="A378" s="162">
        <v>46169</v>
      </c>
      <c r="B378" s="163" t="s">
        <v>92</v>
      </c>
      <c r="C378" s="163" t="s">
        <v>113</v>
      </c>
      <c r="D378" s="163" t="s">
        <v>114</v>
      </c>
      <c r="E378" s="163" t="s">
        <v>95</v>
      </c>
      <c r="F378" s="163" t="s">
        <v>96</v>
      </c>
      <c r="G378" s="163" t="s">
        <v>10</v>
      </c>
      <c r="H378" s="163" t="s">
        <v>115</v>
      </c>
      <c r="I378" s="163" t="s">
        <v>98</v>
      </c>
      <c r="J378" s="163" t="s">
        <v>116</v>
      </c>
      <c r="K378" s="163" t="s">
        <v>117</v>
      </c>
      <c r="L378" s="163"/>
      <c r="M378" s="163" t="s">
        <v>118</v>
      </c>
      <c r="N378" s="163" t="s">
        <v>102</v>
      </c>
      <c r="O378" s="162"/>
      <c r="P378" s="163"/>
      <c r="Q378" s="163" t="str">
        <f t="shared" ca="1" si="46"/>
        <v/>
      </c>
      <c r="R378" s="163" t="str">
        <f t="shared" ca="1" si="47"/>
        <v/>
      </c>
      <c r="S378" s="163" t="s">
        <v>103</v>
      </c>
      <c r="T378" s="164">
        <v>22456</v>
      </c>
      <c r="U378" s="164">
        <v>22916</v>
      </c>
      <c r="V378" s="162">
        <v>46169</v>
      </c>
      <c r="W378" s="163" t="s">
        <v>736</v>
      </c>
      <c r="X378" s="163" t="s">
        <v>35</v>
      </c>
      <c r="Y378" s="163" t="s">
        <v>85</v>
      </c>
      <c r="Z378" s="163"/>
      <c r="AA378" s="162"/>
      <c r="AB378" s="195" t="str">
        <f t="shared" si="43"/>
        <v>May-26</v>
      </c>
      <c r="AC378" s="163"/>
      <c r="AD378" s="163" t="str">
        <f t="shared" si="49"/>
        <v/>
      </c>
      <c r="AE378" s="163" t="s">
        <v>270</v>
      </c>
    </row>
    <row r="379" spans="1:31" x14ac:dyDescent="0.35">
      <c r="A379" s="162">
        <v>46169</v>
      </c>
      <c r="B379" s="163" t="s">
        <v>370</v>
      </c>
      <c r="C379" s="163" t="s">
        <v>93</v>
      </c>
      <c r="D379" s="163" t="s">
        <v>19</v>
      </c>
      <c r="E379" s="163" t="s">
        <v>106</v>
      </c>
      <c r="F379" s="163" t="s">
        <v>96</v>
      </c>
      <c r="G379" s="163" t="s">
        <v>10</v>
      </c>
      <c r="H379" s="163" t="s">
        <v>115</v>
      </c>
      <c r="I379" s="163" t="s">
        <v>121</v>
      </c>
      <c r="J379" s="163" t="s">
        <v>99</v>
      </c>
      <c r="K379" s="163" t="s">
        <v>737</v>
      </c>
      <c r="L379" s="163"/>
      <c r="M379" s="163" t="s">
        <v>738</v>
      </c>
      <c r="N379" s="163" t="s">
        <v>102</v>
      </c>
      <c r="O379" s="162"/>
      <c r="P379" s="163"/>
      <c r="Q379" s="163" t="str">
        <f t="shared" ca="1" si="46"/>
        <v/>
      </c>
      <c r="R379" s="163" t="str">
        <f t="shared" ca="1" si="47"/>
        <v/>
      </c>
      <c r="S379" s="163" t="s">
        <v>103</v>
      </c>
      <c r="T379" s="164">
        <v>0</v>
      </c>
      <c r="U379" s="164">
        <v>0</v>
      </c>
      <c r="V379" s="163"/>
      <c r="W379" s="163"/>
      <c r="X379" s="163"/>
      <c r="Y379" s="163"/>
      <c r="Z379" s="163"/>
      <c r="AA379" s="163"/>
      <c r="AB379" s="195" t="str">
        <f t="shared" si="43"/>
        <v>May-26</v>
      </c>
      <c r="AC379" s="163"/>
      <c r="AD379" s="163" t="str">
        <f t="shared" si="49"/>
        <v/>
      </c>
      <c r="AE379" s="163"/>
    </row>
    <row r="380" spans="1:31" x14ac:dyDescent="0.35">
      <c r="A380" s="162">
        <v>46169</v>
      </c>
      <c r="B380" s="163" t="s">
        <v>370</v>
      </c>
      <c r="C380" s="163" t="s">
        <v>93</v>
      </c>
      <c r="D380" s="163" t="s">
        <v>739</v>
      </c>
      <c r="E380" s="163" t="s">
        <v>106</v>
      </c>
      <c r="F380" s="163" t="s">
        <v>135</v>
      </c>
      <c r="G380" s="163"/>
      <c r="H380" s="163" t="s">
        <v>115</v>
      </c>
      <c r="I380" s="163" t="s">
        <v>121</v>
      </c>
      <c r="J380" s="163" t="s">
        <v>153</v>
      </c>
      <c r="K380" s="163" t="s">
        <v>379</v>
      </c>
      <c r="L380" s="163"/>
      <c r="M380" s="163" t="s">
        <v>575</v>
      </c>
      <c r="N380" s="163" t="s">
        <v>181</v>
      </c>
      <c r="O380" s="162"/>
      <c r="P380" s="163"/>
      <c r="Q380" s="163">
        <f t="shared" ca="1" si="46"/>
        <v>156</v>
      </c>
      <c r="R380" s="163" t="str">
        <f t="shared" ca="1" si="47"/>
        <v/>
      </c>
      <c r="S380" s="163" t="s">
        <v>133</v>
      </c>
      <c r="T380" s="164">
        <v>100000</v>
      </c>
      <c r="U380" s="164"/>
      <c r="V380" s="163"/>
      <c r="W380" s="163"/>
      <c r="X380" s="163"/>
      <c r="Y380" s="163"/>
      <c r="Z380" s="163"/>
      <c r="AA380" s="163"/>
      <c r="AB380" s="195" t="str">
        <f t="shared" si="43"/>
        <v>May-26</v>
      </c>
      <c r="AC380" s="163"/>
      <c r="AD380" s="163" t="str">
        <f t="shared" si="49"/>
        <v/>
      </c>
      <c r="AE380" s="163"/>
    </row>
    <row r="381" spans="1:31" x14ac:dyDescent="0.35">
      <c r="A381" s="162">
        <v>46170</v>
      </c>
      <c r="B381" s="163" t="s">
        <v>370</v>
      </c>
      <c r="C381" s="163" t="s">
        <v>93</v>
      </c>
      <c r="D381" s="163" t="s">
        <v>740</v>
      </c>
      <c r="E381" s="163" t="s">
        <v>106</v>
      </c>
      <c r="F381" s="163" t="s">
        <v>135</v>
      </c>
      <c r="G381" s="163"/>
      <c r="H381" s="163" t="s">
        <v>115</v>
      </c>
      <c r="I381" s="163" t="s">
        <v>121</v>
      </c>
      <c r="J381" s="163" t="s">
        <v>147</v>
      </c>
      <c r="K381" s="163" t="s">
        <v>741</v>
      </c>
      <c r="L381" s="163"/>
      <c r="M381" s="163" t="s">
        <v>575</v>
      </c>
      <c r="N381" s="163" t="s">
        <v>181</v>
      </c>
      <c r="O381" s="162"/>
      <c r="P381" s="163"/>
      <c r="Q381" s="163">
        <f t="shared" ca="1" si="46"/>
        <v>155</v>
      </c>
      <c r="R381" s="163" t="str">
        <f t="shared" ca="1" si="47"/>
        <v/>
      </c>
      <c r="S381" s="163" t="s">
        <v>133</v>
      </c>
      <c r="T381" s="164">
        <v>40000</v>
      </c>
      <c r="U381" s="164"/>
      <c r="V381" s="163"/>
      <c r="W381" s="163"/>
      <c r="X381" s="163"/>
      <c r="Y381" s="163"/>
      <c r="Z381" s="163"/>
      <c r="AA381" s="163"/>
      <c r="AB381" s="195" t="str">
        <f t="shared" si="43"/>
        <v>May-26</v>
      </c>
      <c r="AC381" s="163"/>
      <c r="AD381" s="163" t="str">
        <f t="shared" si="49"/>
        <v/>
      </c>
      <c r="AE381" s="163"/>
    </row>
    <row r="382" spans="1:31" x14ac:dyDescent="0.35">
      <c r="A382" s="162">
        <v>46170</v>
      </c>
      <c r="B382" s="163" t="s">
        <v>125</v>
      </c>
      <c r="C382" s="163" t="s">
        <v>113</v>
      </c>
      <c r="D382" s="163" t="s">
        <v>684</v>
      </c>
      <c r="E382" s="163" t="s">
        <v>106</v>
      </c>
      <c r="F382" s="163" t="s">
        <v>226</v>
      </c>
      <c r="G382" s="163" t="s">
        <v>14</v>
      </c>
      <c r="H382" s="163" t="s">
        <v>226</v>
      </c>
      <c r="I382" s="163" t="s">
        <v>121</v>
      </c>
      <c r="J382" s="163" t="s">
        <v>197</v>
      </c>
      <c r="K382" s="163" t="s">
        <v>685</v>
      </c>
      <c r="L382" s="163"/>
      <c r="M382" s="163" t="s">
        <v>686</v>
      </c>
      <c r="N382" s="163" t="s">
        <v>102</v>
      </c>
      <c r="O382" s="162"/>
      <c r="P382" s="163"/>
      <c r="Q382" s="163" t="str">
        <f t="shared" ca="1" si="46"/>
        <v/>
      </c>
      <c r="R382" s="163" t="str">
        <f t="shared" ca="1" si="47"/>
        <v/>
      </c>
      <c r="S382" s="163" t="s">
        <v>103</v>
      </c>
      <c r="T382" s="164">
        <v>50000</v>
      </c>
      <c r="U382" s="164">
        <v>56450</v>
      </c>
      <c r="V382" s="162">
        <v>46170</v>
      </c>
      <c r="W382" s="163"/>
      <c r="X382" s="163" t="s">
        <v>37</v>
      </c>
      <c r="Y382" s="163" t="s">
        <v>85</v>
      </c>
      <c r="Z382" s="163"/>
      <c r="AA382" s="163"/>
      <c r="AB382" s="195" t="str">
        <f t="shared" si="43"/>
        <v>May-26</v>
      </c>
      <c r="AC382" s="163"/>
      <c r="AD382" s="163" t="str">
        <f t="shared" si="49"/>
        <v/>
      </c>
      <c r="AE382" s="163"/>
    </row>
    <row r="383" spans="1:31" x14ac:dyDescent="0.35">
      <c r="A383" s="162">
        <v>46170</v>
      </c>
      <c r="B383" s="163" t="s">
        <v>125</v>
      </c>
      <c r="C383" s="163" t="s">
        <v>113</v>
      </c>
      <c r="D383" s="163" t="s">
        <v>708</v>
      </c>
      <c r="E383" s="163" t="s">
        <v>106</v>
      </c>
      <c r="F383" s="163" t="s">
        <v>135</v>
      </c>
      <c r="G383" s="163"/>
      <c r="H383" s="163" t="s">
        <v>115</v>
      </c>
      <c r="I383" s="163" t="s">
        <v>121</v>
      </c>
      <c r="J383" s="163" t="s">
        <v>166</v>
      </c>
      <c r="K383" s="163" t="s">
        <v>541</v>
      </c>
      <c r="L383" s="163"/>
      <c r="M383" s="163" t="s">
        <v>159</v>
      </c>
      <c r="N383" s="163" t="s">
        <v>102</v>
      </c>
      <c r="O383" s="162"/>
      <c r="P383" s="163"/>
      <c r="Q383" s="163" t="str">
        <f t="shared" ca="1" si="46"/>
        <v/>
      </c>
      <c r="R383" s="163" t="str">
        <f t="shared" ca="1" si="47"/>
        <v/>
      </c>
      <c r="S383" s="163" t="s">
        <v>103</v>
      </c>
      <c r="T383" s="164">
        <v>50000</v>
      </c>
      <c r="U383" s="164">
        <v>54863</v>
      </c>
      <c r="V383" s="162">
        <v>46170</v>
      </c>
      <c r="W383" s="163"/>
      <c r="X383" s="163" t="s">
        <v>47</v>
      </c>
      <c r="Y383" s="163" t="s">
        <v>85</v>
      </c>
      <c r="Z383" s="163"/>
      <c r="AA383" s="163"/>
      <c r="AB383" s="195" t="str">
        <f t="shared" si="43"/>
        <v>May-26</v>
      </c>
      <c r="AC383" s="163"/>
      <c r="AD383" s="163" t="str">
        <f t="shared" si="49"/>
        <v/>
      </c>
      <c r="AE383" s="163"/>
    </row>
    <row r="384" spans="1:31" x14ac:dyDescent="0.35">
      <c r="A384" s="162">
        <v>46170</v>
      </c>
      <c r="B384" s="163" t="s">
        <v>125</v>
      </c>
      <c r="C384" s="163" t="s">
        <v>113</v>
      </c>
      <c r="D384" s="163" t="s">
        <v>162</v>
      </c>
      <c r="E384" s="163" t="s">
        <v>106</v>
      </c>
      <c r="F384" s="163" t="s">
        <v>135</v>
      </c>
      <c r="G384" s="163"/>
      <c r="H384" s="163" t="s">
        <v>97</v>
      </c>
      <c r="I384" s="163" t="s">
        <v>98</v>
      </c>
      <c r="J384" s="163" t="s">
        <v>166</v>
      </c>
      <c r="K384" s="163" t="s">
        <v>164</v>
      </c>
      <c r="L384" s="163"/>
      <c r="M384" s="163" t="s">
        <v>159</v>
      </c>
      <c r="N384" s="163" t="s">
        <v>102</v>
      </c>
      <c r="O384" s="162"/>
      <c r="P384" s="163"/>
      <c r="Q384" s="163" t="str">
        <f t="shared" ca="1" si="46"/>
        <v/>
      </c>
      <c r="R384" s="163" t="str">
        <f t="shared" ca="1" si="47"/>
        <v/>
      </c>
      <c r="S384" s="163" t="s">
        <v>103</v>
      </c>
      <c r="T384" s="164">
        <v>15000</v>
      </c>
      <c r="U384" s="164">
        <v>13310</v>
      </c>
      <c r="V384" s="162">
        <v>46170</v>
      </c>
      <c r="W384" s="163"/>
      <c r="X384" s="163" t="s">
        <v>62</v>
      </c>
      <c r="Y384" s="163" t="s">
        <v>85</v>
      </c>
      <c r="Z384" s="163"/>
      <c r="AA384" s="162">
        <v>46170</v>
      </c>
      <c r="AB384" s="195" t="str">
        <f t="shared" si="43"/>
        <v>May-26</v>
      </c>
      <c r="AC384" s="163"/>
      <c r="AD384" s="163" t="str">
        <f t="shared" si="49"/>
        <v/>
      </c>
      <c r="AE384" s="163"/>
    </row>
    <row r="385" spans="1:31" x14ac:dyDescent="0.35">
      <c r="A385" s="162">
        <v>46170</v>
      </c>
      <c r="B385" s="163" t="s">
        <v>370</v>
      </c>
      <c r="C385" s="163" t="s">
        <v>93</v>
      </c>
      <c r="D385" s="163" t="s">
        <v>742</v>
      </c>
      <c r="E385" s="163" t="s">
        <v>106</v>
      </c>
      <c r="F385" s="163" t="s">
        <v>135</v>
      </c>
      <c r="G385" s="163"/>
      <c r="H385" s="163" t="s">
        <v>115</v>
      </c>
      <c r="I385" s="163" t="s">
        <v>121</v>
      </c>
      <c r="J385" s="163" t="s">
        <v>147</v>
      </c>
      <c r="K385" s="163" t="s">
        <v>743</v>
      </c>
      <c r="L385" s="163"/>
      <c r="M385" s="163" t="s">
        <v>575</v>
      </c>
      <c r="N385" s="163" t="s">
        <v>181</v>
      </c>
      <c r="O385" s="162"/>
      <c r="P385" s="163"/>
      <c r="Q385" s="163">
        <f t="shared" ca="1" si="46"/>
        <v>155</v>
      </c>
      <c r="R385" s="163" t="str">
        <f t="shared" ca="1" si="47"/>
        <v/>
      </c>
      <c r="S385" s="163" t="s">
        <v>129</v>
      </c>
      <c r="T385" s="164">
        <v>50000</v>
      </c>
      <c r="U385" s="164"/>
      <c r="V385" s="163"/>
      <c r="W385" s="163"/>
      <c r="X385" s="163"/>
      <c r="Y385" s="163"/>
      <c r="Z385" s="163"/>
      <c r="AA385" s="163"/>
      <c r="AB385" s="195" t="str">
        <f t="shared" si="43"/>
        <v>May-26</v>
      </c>
      <c r="AC385" s="163"/>
      <c r="AD385" s="163" t="str">
        <f t="shared" si="49"/>
        <v/>
      </c>
      <c r="AE385" s="163"/>
    </row>
    <row r="386" spans="1:31" x14ac:dyDescent="0.35">
      <c r="A386" s="162">
        <v>46170</v>
      </c>
      <c r="B386" s="163" t="s">
        <v>92</v>
      </c>
      <c r="C386" s="163" t="s">
        <v>93</v>
      </c>
      <c r="D386" s="163" t="s">
        <v>182</v>
      </c>
      <c r="E386" s="163" t="s">
        <v>95</v>
      </c>
      <c r="F386" s="163" t="s">
        <v>96</v>
      </c>
      <c r="G386" s="163" t="s">
        <v>15</v>
      </c>
      <c r="H386" s="163" t="s">
        <v>163</v>
      </c>
      <c r="I386" s="163" t="s">
        <v>121</v>
      </c>
      <c r="J386" s="163" t="s">
        <v>99</v>
      </c>
      <c r="K386" s="163" t="s">
        <v>384</v>
      </c>
      <c r="L386" s="163"/>
      <c r="M386" s="163" t="s">
        <v>159</v>
      </c>
      <c r="N386" s="163" t="s">
        <v>102</v>
      </c>
      <c r="O386" s="162"/>
      <c r="P386" s="163"/>
      <c r="Q386" s="163" t="str">
        <f t="shared" ca="1" si="46"/>
        <v/>
      </c>
      <c r="R386" s="163" t="str">
        <f t="shared" ca="1" si="47"/>
        <v/>
      </c>
      <c r="S386" s="163" t="s">
        <v>103</v>
      </c>
      <c r="T386" s="164">
        <v>60000</v>
      </c>
      <c r="U386" s="164">
        <v>30720</v>
      </c>
      <c r="V386" s="162">
        <v>46170</v>
      </c>
      <c r="W386" s="163" t="s">
        <v>744</v>
      </c>
      <c r="X386" s="163" t="s">
        <v>30</v>
      </c>
      <c r="Y386" s="163" t="s">
        <v>85</v>
      </c>
      <c r="Z386" s="163"/>
      <c r="AA386" s="163"/>
      <c r="AB386" s="195" t="str">
        <f t="shared" ref="AB386:AB449" si="50">IF($V386="",TEXT($A386,"MMM-YY"),TEXT($V386,"MMM-YY"))</f>
        <v>May-26</v>
      </c>
      <c r="AC386" s="163"/>
      <c r="AD386" s="163" t="str">
        <f t="shared" si="49"/>
        <v/>
      </c>
      <c r="AE386" s="163"/>
    </row>
    <row r="387" spans="1:31" x14ac:dyDescent="0.35">
      <c r="A387" s="162">
        <v>46171</v>
      </c>
      <c r="B387" s="163" t="s">
        <v>92</v>
      </c>
      <c r="C387" s="163" t="s">
        <v>93</v>
      </c>
      <c r="D387" s="163" t="s">
        <v>182</v>
      </c>
      <c r="E387" s="163" t="s">
        <v>95</v>
      </c>
      <c r="F387" s="163" t="s">
        <v>96</v>
      </c>
      <c r="G387" s="163" t="s">
        <v>15</v>
      </c>
      <c r="H387" s="163" t="s">
        <v>163</v>
      </c>
      <c r="I387" s="163" t="s">
        <v>98</v>
      </c>
      <c r="J387" s="163" t="s">
        <v>99</v>
      </c>
      <c r="K387" s="163" t="s">
        <v>384</v>
      </c>
      <c r="L387" s="163"/>
      <c r="M387" s="163" t="s">
        <v>159</v>
      </c>
      <c r="N387" s="163" t="s">
        <v>102</v>
      </c>
      <c r="O387" s="162"/>
      <c r="P387" s="163"/>
      <c r="Q387" s="163"/>
      <c r="R387" s="163"/>
      <c r="S387" s="163" t="s">
        <v>103</v>
      </c>
      <c r="T387" s="164">
        <v>60000</v>
      </c>
      <c r="U387" s="164">
        <v>71350</v>
      </c>
      <c r="V387" s="162">
        <v>46171</v>
      </c>
      <c r="W387" s="163" t="s">
        <v>745</v>
      </c>
      <c r="X387" s="163" t="s">
        <v>30</v>
      </c>
      <c r="Y387" s="163" t="s">
        <v>85</v>
      </c>
      <c r="Z387" s="163"/>
      <c r="AA387" s="163"/>
      <c r="AB387" s="195" t="str">
        <f t="shared" si="50"/>
        <v>May-26</v>
      </c>
      <c r="AC387" s="163"/>
      <c r="AD387" s="163"/>
      <c r="AE387" s="163" t="s">
        <v>270</v>
      </c>
    </row>
    <row r="388" spans="1:31" x14ac:dyDescent="0.35">
      <c r="A388" s="162">
        <v>46171</v>
      </c>
      <c r="B388" s="163" t="s">
        <v>370</v>
      </c>
      <c r="C388" s="163" t="s">
        <v>93</v>
      </c>
      <c r="D388" s="163" t="s">
        <v>426</v>
      </c>
      <c r="E388" s="163" t="s">
        <v>106</v>
      </c>
      <c r="F388" s="163" t="s">
        <v>115</v>
      </c>
      <c r="G388" s="163"/>
      <c r="H388" s="163" t="s">
        <v>115</v>
      </c>
      <c r="I388" s="163" t="s">
        <v>121</v>
      </c>
      <c r="J388" s="163" t="s">
        <v>746</v>
      </c>
      <c r="K388" s="163" t="s">
        <v>426</v>
      </c>
      <c r="L388" s="163"/>
      <c r="M388" s="163" t="s">
        <v>747</v>
      </c>
      <c r="N388" s="163" t="s">
        <v>102</v>
      </c>
      <c r="O388" s="162"/>
      <c r="P388" s="163"/>
      <c r="Q388" s="163" t="str">
        <f ca="1">IF(N388="Closed(C4)","",IF(N388="","",TODAY()-A388))</f>
        <v/>
      </c>
      <c r="R388" s="163" t="str">
        <f t="shared" ref="R388:R407" ca="1" si="51">IF(OR(N388="Closed( C4 )",N388="Cancelled"),"",IF(AND(O388&lt;&gt;"",O388&lt;TODAY()),"Yes",""))</f>
        <v/>
      </c>
      <c r="S388" s="163" t="s">
        <v>103</v>
      </c>
      <c r="T388" s="164">
        <v>10000</v>
      </c>
      <c r="U388" s="164">
        <v>2790</v>
      </c>
      <c r="V388" s="162">
        <v>46171</v>
      </c>
      <c r="W388" s="163" t="s">
        <v>748</v>
      </c>
      <c r="X388" s="163" t="s">
        <v>34</v>
      </c>
      <c r="Y388" s="163" t="s">
        <v>161</v>
      </c>
      <c r="Z388" s="163"/>
      <c r="AA388" s="162">
        <v>46171</v>
      </c>
      <c r="AB388" s="195" t="str">
        <f t="shared" si="50"/>
        <v>May-26</v>
      </c>
      <c r="AC388" s="163"/>
      <c r="AD388" s="163" t="str">
        <f t="shared" ref="AD388:AD410" si="52">IF(AC388="Yes",U388*2%,"")</f>
        <v/>
      </c>
      <c r="AE388" s="163" t="s">
        <v>270</v>
      </c>
    </row>
    <row r="389" spans="1:31" x14ac:dyDescent="0.35">
      <c r="A389" s="162">
        <v>46171</v>
      </c>
      <c r="B389" s="163" t="s">
        <v>125</v>
      </c>
      <c r="C389" s="163" t="s">
        <v>113</v>
      </c>
      <c r="D389" s="163" t="s">
        <v>684</v>
      </c>
      <c r="E389" s="163" t="s">
        <v>106</v>
      </c>
      <c r="F389" s="163" t="s">
        <v>226</v>
      </c>
      <c r="G389" s="163" t="s">
        <v>14</v>
      </c>
      <c r="H389" s="163" t="s">
        <v>226</v>
      </c>
      <c r="I389" s="163" t="s">
        <v>121</v>
      </c>
      <c r="J389" s="163" t="s">
        <v>197</v>
      </c>
      <c r="K389" s="163" t="s">
        <v>685</v>
      </c>
      <c r="L389" s="163"/>
      <c r="M389" s="163" t="s">
        <v>686</v>
      </c>
      <c r="N389" s="163" t="s">
        <v>102</v>
      </c>
      <c r="O389" s="162"/>
      <c r="P389" s="163"/>
      <c r="Q389" s="163" t="str">
        <f ca="1">IF(N389="Closed(C4)","",IF(N389="","",TODAY()-A389))</f>
        <v/>
      </c>
      <c r="R389" s="163" t="str">
        <f t="shared" ca="1" si="51"/>
        <v/>
      </c>
      <c r="S389" s="163" t="s">
        <v>103</v>
      </c>
      <c r="T389" s="164">
        <v>40000</v>
      </c>
      <c r="U389" s="164">
        <v>35150</v>
      </c>
      <c r="V389" s="162">
        <v>46171</v>
      </c>
      <c r="W389" s="163"/>
      <c r="X389" s="163" t="s">
        <v>37</v>
      </c>
      <c r="Y389" s="163" t="s">
        <v>85</v>
      </c>
      <c r="Z389" s="163"/>
      <c r="AA389" s="163"/>
      <c r="AB389" s="195" t="str">
        <f t="shared" si="50"/>
        <v>May-26</v>
      </c>
      <c r="AC389" s="163"/>
      <c r="AD389" s="163" t="str">
        <f t="shared" si="52"/>
        <v/>
      </c>
      <c r="AE389" s="163"/>
    </row>
    <row r="390" spans="1:31" x14ac:dyDescent="0.35">
      <c r="A390" s="162">
        <v>46174</v>
      </c>
      <c r="B390" s="163" t="s">
        <v>125</v>
      </c>
      <c r="C390" s="163" t="s">
        <v>113</v>
      </c>
      <c r="D390" s="163" t="s">
        <v>246</v>
      </c>
      <c r="E390" s="163" t="s">
        <v>95</v>
      </c>
      <c r="F390" s="163" t="s">
        <v>96</v>
      </c>
      <c r="G390" s="163" t="s">
        <v>15</v>
      </c>
      <c r="H390" s="163" t="s">
        <v>163</v>
      </c>
      <c r="I390" s="163" t="s">
        <v>98</v>
      </c>
      <c r="J390" s="163" t="s">
        <v>147</v>
      </c>
      <c r="K390" s="163" t="s">
        <v>231</v>
      </c>
      <c r="L390" s="163"/>
      <c r="M390" s="163" t="s">
        <v>390</v>
      </c>
      <c r="N390" s="163" t="s">
        <v>156</v>
      </c>
      <c r="O390" s="162"/>
      <c r="P390" s="163"/>
      <c r="Q390" s="163"/>
      <c r="R390" s="163" t="str">
        <f t="shared" ca="1" si="51"/>
        <v/>
      </c>
      <c r="S390" s="163" t="s">
        <v>103</v>
      </c>
      <c r="T390" s="164"/>
      <c r="U390" s="164"/>
      <c r="V390" s="162"/>
      <c r="W390" s="163"/>
      <c r="X390" s="163" t="s">
        <v>39</v>
      </c>
      <c r="Y390" s="163"/>
      <c r="Z390" s="163"/>
      <c r="AA390" s="163"/>
      <c r="AB390" s="195" t="str">
        <f t="shared" si="50"/>
        <v>Jun-26</v>
      </c>
      <c r="AC390" s="163"/>
      <c r="AD390" s="163" t="str">
        <f t="shared" si="52"/>
        <v/>
      </c>
      <c r="AE390" s="163"/>
    </row>
    <row r="391" spans="1:31" x14ac:dyDescent="0.35">
      <c r="A391" s="162">
        <v>46174</v>
      </c>
      <c r="B391" s="163" t="s">
        <v>125</v>
      </c>
      <c r="C391" s="163" t="s">
        <v>113</v>
      </c>
      <c r="D391" s="163" t="s">
        <v>260</v>
      </c>
      <c r="E391" s="163" t="s">
        <v>95</v>
      </c>
      <c r="F391" s="163" t="s">
        <v>96</v>
      </c>
      <c r="G391" s="163" t="s">
        <v>15</v>
      </c>
      <c r="H391" s="163" t="s">
        <v>163</v>
      </c>
      <c r="I391" s="163" t="s">
        <v>98</v>
      </c>
      <c r="J391" s="163" t="s">
        <v>147</v>
      </c>
      <c r="K391" s="163" t="s">
        <v>231</v>
      </c>
      <c r="L391" s="163"/>
      <c r="M391" s="163" t="s">
        <v>390</v>
      </c>
      <c r="N391" s="163" t="s">
        <v>156</v>
      </c>
      <c r="O391" s="162"/>
      <c r="P391" s="163"/>
      <c r="Q391" s="163"/>
      <c r="R391" s="163" t="str">
        <f t="shared" ca="1" si="51"/>
        <v/>
      </c>
      <c r="S391" s="163" t="s">
        <v>103</v>
      </c>
      <c r="T391" s="164"/>
      <c r="U391" s="164"/>
      <c r="V391" s="162"/>
      <c r="W391" s="163"/>
      <c r="X391" s="163" t="s">
        <v>39</v>
      </c>
      <c r="Y391" s="163"/>
      <c r="Z391" s="163"/>
      <c r="AA391" s="163"/>
      <c r="AB391" s="195" t="str">
        <f t="shared" si="50"/>
        <v>Jun-26</v>
      </c>
      <c r="AC391" s="163"/>
      <c r="AD391" s="163" t="str">
        <f t="shared" si="52"/>
        <v/>
      </c>
      <c r="AE391" s="163"/>
    </row>
    <row r="392" spans="1:31" x14ac:dyDescent="0.35">
      <c r="A392" s="162">
        <v>46174</v>
      </c>
      <c r="B392" s="163" t="s">
        <v>125</v>
      </c>
      <c r="C392" s="163" t="s">
        <v>113</v>
      </c>
      <c r="D392" s="163" t="s">
        <v>554</v>
      </c>
      <c r="E392" s="163" t="s">
        <v>95</v>
      </c>
      <c r="F392" s="163" t="s">
        <v>96</v>
      </c>
      <c r="G392" s="163" t="s">
        <v>15</v>
      </c>
      <c r="H392" s="163" t="s">
        <v>163</v>
      </c>
      <c r="I392" s="163" t="s">
        <v>98</v>
      </c>
      <c r="J392" s="163" t="s">
        <v>147</v>
      </c>
      <c r="K392" s="163" t="s">
        <v>525</v>
      </c>
      <c r="L392" s="163"/>
      <c r="M392" s="163" t="s">
        <v>526</v>
      </c>
      <c r="N392" s="163" t="s">
        <v>156</v>
      </c>
      <c r="O392" s="162"/>
      <c r="P392" s="163"/>
      <c r="Q392" s="163"/>
      <c r="R392" s="163" t="str">
        <f t="shared" ca="1" si="51"/>
        <v/>
      </c>
      <c r="S392" s="163" t="s">
        <v>103</v>
      </c>
      <c r="T392" s="164"/>
      <c r="U392" s="164"/>
      <c r="V392" s="162"/>
      <c r="W392" s="163"/>
      <c r="X392" s="163" t="s">
        <v>47</v>
      </c>
      <c r="Y392" s="163"/>
      <c r="Z392" s="163"/>
      <c r="AA392" s="163"/>
      <c r="AB392" s="195" t="str">
        <f t="shared" si="50"/>
        <v>Jun-26</v>
      </c>
      <c r="AC392" s="163"/>
      <c r="AD392" s="163" t="str">
        <f t="shared" si="52"/>
        <v/>
      </c>
      <c r="AE392" s="163"/>
    </row>
    <row r="393" spans="1:31" x14ac:dyDescent="0.35">
      <c r="A393" s="162">
        <v>46174</v>
      </c>
      <c r="B393" s="163" t="s">
        <v>125</v>
      </c>
      <c r="C393" s="163" t="s">
        <v>113</v>
      </c>
      <c r="D393" s="163" t="s">
        <v>255</v>
      </c>
      <c r="E393" s="163" t="s">
        <v>106</v>
      </c>
      <c r="F393" s="163" t="s">
        <v>135</v>
      </c>
      <c r="G393" s="163"/>
      <c r="H393" s="163" t="s">
        <v>97</v>
      </c>
      <c r="I393" s="163" t="s">
        <v>98</v>
      </c>
      <c r="J393" s="163" t="s">
        <v>166</v>
      </c>
      <c r="K393" s="163" t="s">
        <v>256</v>
      </c>
      <c r="L393" s="163"/>
      <c r="M393" s="163" t="s">
        <v>390</v>
      </c>
      <c r="N393" s="163" t="s">
        <v>156</v>
      </c>
      <c r="O393" s="162"/>
      <c r="P393" s="163"/>
      <c r="Q393" s="163"/>
      <c r="R393" s="163" t="str">
        <f t="shared" ca="1" si="51"/>
        <v/>
      </c>
      <c r="S393" s="163" t="s">
        <v>103</v>
      </c>
      <c r="T393" s="164"/>
      <c r="U393" s="164"/>
      <c r="V393" s="163"/>
      <c r="W393" s="163"/>
      <c r="X393" s="163" t="s">
        <v>62</v>
      </c>
      <c r="Y393" s="163"/>
      <c r="Z393" s="163"/>
      <c r="AA393" s="163"/>
      <c r="AB393" s="195" t="str">
        <f t="shared" si="50"/>
        <v>Jun-26</v>
      </c>
      <c r="AC393" s="163"/>
      <c r="AD393" s="163" t="str">
        <f t="shared" si="52"/>
        <v/>
      </c>
      <c r="AE393" s="163"/>
    </row>
    <row r="394" spans="1:31" x14ac:dyDescent="0.35">
      <c r="A394" s="162">
        <v>46174</v>
      </c>
      <c r="B394" s="163" t="s">
        <v>125</v>
      </c>
      <c r="C394" s="163" t="s">
        <v>113</v>
      </c>
      <c r="D394" s="163" t="s">
        <v>175</v>
      </c>
      <c r="E394" s="163" t="s">
        <v>106</v>
      </c>
      <c r="F394" s="163" t="s">
        <v>135</v>
      </c>
      <c r="G394" s="163"/>
      <c r="H394" s="163" t="s">
        <v>97</v>
      </c>
      <c r="I394" s="163" t="s">
        <v>98</v>
      </c>
      <c r="J394" s="163" t="s">
        <v>166</v>
      </c>
      <c r="K394" s="163" t="s">
        <v>176</v>
      </c>
      <c r="L394" s="163"/>
      <c r="M394" s="163" t="s">
        <v>390</v>
      </c>
      <c r="N394" s="163" t="s">
        <v>156</v>
      </c>
      <c r="O394" s="162"/>
      <c r="P394" s="163"/>
      <c r="Q394" s="163"/>
      <c r="R394" s="163" t="str">
        <f t="shared" ca="1" si="51"/>
        <v/>
      </c>
      <c r="S394" s="163" t="s">
        <v>103</v>
      </c>
      <c r="T394" s="164"/>
      <c r="U394" s="164"/>
      <c r="V394" s="163"/>
      <c r="W394" s="163"/>
      <c r="X394" s="163" t="s">
        <v>62</v>
      </c>
      <c r="Y394" s="163"/>
      <c r="Z394" s="163"/>
      <c r="AA394" s="163"/>
      <c r="AB394" s="195" t="str">
        <f t="shared" si="50"/>
        <v>Jun-26</v>
      </c>
      <c r="AC394" s="163"/>
      <c r="AD394" s="163" t="str">
        <f t="shared" si="52"/>
        <v/>
      </c>
      <c r="AE394" s="163"/>
    </row>
    <row r="395" spans="1:31" x14ac:dyDescent="0.35">
      <c r="A395" s="162">
        <v>46174</v>
      </c>
      <c r="B395" s="163" t="s">
        <v>125</v>
      </c>
      <c r="C395" s="163" t="s">
        <v>113</v>
      </c>
      <c r="D395" s="163" t="s">
        <v>162</v>
      </c>
      <c r="E395" s="163" t="s">
        <v>106</v>
      </c>
      <c r="F395" s="163" t="s">
        <v>135</v>
      </c>
      <c r="G395" s="163"/>
      <c r="H395" s="163" t="s">
        <v>97</v>
      </c>
      <c r="I395" s="163" t="s">
        <v>98</v>
      </c>
      <c r="J395" s="163" t="s">
        <v>166</v>
      </c>
      <c r="K395" s="163" t="s">
        <v>164</v>
      </c>
      <c r="L395" s="163"/>
      <c r="M395" s="163" t="s">
        <v>390</v>
      </c>
      <c r="N395" s="163" t="s">
        <v>156</v>
      </c>
      <c r="O395" s="162"/>
      <c r="P395" s="163"/>
      <c r="Q395" s="163"/>
      <c r="R395" s="163" t="str">
        <f t="shared" ca="1" si="51"/>
        <v/>
      </c>
      <c r="S395" s="163" t="s">
        <v>103</v>
      </c>
      <c r="T395" s="164"/>
      <c r="U395" s="164"/>
      <c r="V395" s="162"/>
      <c r="W395" s="163"/>
      <c r="X395" s="163" t="s">
        <v>62</v>
      </c>
      <c r="Y395" s="163"/>
      <c r="Z395" s="163"/>
      <c r="AA395" s="163"/>
      <c r="AB395" s="195" t="str">
        <f t="shared" si="50"/>
        <v>Jun-26</v>
      </c>
      <c r="AC395" s="163"/>
      <c r="AD395" s="163" t="str">
        <f t="shared" si="52"/>
        <v/>
      </c>
      <c r="AE395" s="163"/>
    </row>
    <row r="396" spans="1:31" x14ac:dyDescent="0.35">
      <c r="A396" s="162">
        <v>46174</v>
      </c>
      <c r="B396" s="163" t="s">
        <v>125</v>
      </c>
      <c r="C396" s="163" t="s">
        <v>113</v>
      </c>
      <c r="D396" s="163" t="s">
        <v>223</v>
      </c>
      <c r="E396" s="163" t="s">
        <v>106</v>
      </c>
      <c r="F396" s="163" t="s">
        <v>135</v>
      </c>
      <c r="G396" s="163"/>
      <c r="H396" s="163" t="s">
        <v>97</v>
      </c>
      <c r="I396" s="163" t="s">
        <v>98</v>
      </c>
      <c r="J396" s="163" t="s">
        <v>166</v>
      </c>
      <c r="K396" s="163" t="s">
        <v>224</v>
      </c>
      <c r="L396" s="163"/>
      <c r="M396" s="163" t="s">
        <v>390</v>
      </c>
      <c r="N396" s="163" t="s">
        <v>156</v>
      </c>
      <c r="O396" s="162"/>
      <c r="P396" s="163"/>
      <c r="Q396" s="163"/>
      <c r="R396" s="163" t="str">
        <f t="shared" ca="1" si="51"/>
        <v/>
      </c>
      <c r="S396" s="163" t="s">
        <v>103</v>
      </c>
      <c r="T396" s="164"/>
      <c r="U396" s="164"/>
      <c r="V396" s="162"/>
      <c r="W396" s="163"/>
      <c r="X396" s="163" t="s">
        <v>62</v>
      </c>
      <c r="Y396" s="163"/>
      <c r="Z396" s="163"/>
      <c r="AA396" s="163"/>
      <c r="AB396" s="195" t="str">
        <f t="shared" si="50"/>
        <v>Jun-26</v>
      </c>
      <c r="AC396" s="163"/>
      <c r="AD396" s="163" t="str">
        <f t="shared" si="52"/>
        <v/>
      </c>
      <c r="AE396" s="163"/>
    </row>
    <row r="397" spans="1:31" x14ac:dyDescent="0.35">
      <c r="A397" s="162">
        <v>46174</v>
      </c>
      <c r="B397" s="163" t="s">
        <v>125</v>
      </c>
      <c r="C397" s="163" t="s">
        <v>113</v>
      </c>
      <c r="D397" s="163" t="s">
        <v>555</v>
      </c>
      <c r="E397" s="163" t="s">
        <v>95</v>
      </c>
      <c r="F397" s="163" t="s">
        <v>135</v>
      </c>
      <c r="G397" s="163"/>
      <c r="H397" s="163" t="s">
        <v>163</v>
      </c>
      <c r="I397" s="163" t="s">
        <v>98</v>
      </c>
      <c r="J397" s="163" t="s">
        <v>147</v>
      </c>
      <c r="K397" s="163" t="s">
        <v>556</v>
      </c>
      <c r="L397" s="163"/>
      <c r="M397" s="163" t="s">
        <v>557</v>
      </c>
      <c r="N397" s="163" t="s">
        <v>156</v>
      </c>
      <c r="O397" s="162"/>
      <c r="P397" s="163"/>
      <c r="Q397" s="163"/>
      <c r="R397" s="163" t="str">
        <f t="shared" ca="1" si="51"/>
        <v/>
      </c>
      <c r="S397" s="163" t="s">
        <v>103</v>
      </c>
      <c r="T397" s="164"/>
      <c r="U397" s="164"/>
      <c r="V397" s="163"/>
      <c r="W397" s="163"/>
      <c r="X397" s="163" t="s">
        <v>46</v>
      </c>
      <c r="Y397" s="163"/>
      <c r="Z397" s="163"/>
      <c r="AA397" s="163"/>
      <c r="AB397" s="195" t="str">
        <f t="shared" si="50"/>
        <v>Jun-26</v>
      </c>
      <c r="AC397" s="163"/>
      <c r="AD397" s="163" t="str">
        <f t="shared" si="52"/>
        <v/>
      </c>
      <c r="AE397" s="163"/>
    </row>
    <row r="398" spans="1:31" x14ac:dyDescent="0.35">
      <c r="A398" s="162">
        <v>46174</v>
      </c>
      <c r="B398" s="163" t="s">
        <v>125</v>
      </c>
      <c r="C398" s="163" t="s">
        <v>93</v>
      </c>
      <c r="D398" s="163" t="s">
        <v>19</v>
      </c>
      <c r="E398" s="163" t="s">
        <v>106</v>
      </c>
      <c r="F398" s="163" t="s">
        <v>96</v>
      </c>
      <c r="G398" s="163" t="s">
        <v>10</v>
      </c>
      <c r="H398" s="163" t="s">
        <v>115</v>
      </c>
      <c r="I398" s="163" t="s">
        <v>121</v>
      </c>
      <c r="J398" s="163" t="s">
        <v>99</v>
      </c>
      <c r="K398" s="163" t="s">
        <v>256</v>
      </c>
      <c r="L398" s="163"/>
      <c r="M398" s="163" t="s">
        <v>159</v>
      </c>
      <c r="N398" s="163" t="s">
        <v>156</v>
      </c>
      <c r="O398" s="162"/>
      <c r="P398" s="163"/>
      <c r="Q398" s="163"/>
      <c r="R398" s="163" t="str">
        <f t="shared" ca="1" si="51"/>
        <v/>
      </c>
      <c r="S398" s="163" t="s">
        <v>103</v>
      </c>
      <c r="T398" s="164"/>
      <c r="U398" s="164"/>
      <c r="V398" s="163"/>
      <c r="W398" s="163"/>
      <c r="X398" s="163"/>
      <c r="Y398" s="163"/>
      <c r="Z398" s="163"/>
      <c r="AA398" s="162"/>
      <c r="AB398" s="195" t="str">
        <f t="shared" si="50"/>
        <v>Jun-26</v>
      </c>
      <c r="AC398" s="163"/>
      <c r="AD398" s="163" t="str">
        <f t="shared" si="52"/>
        <v/>
      </c>
      <c r="AE398" s="163"/>
    </row>
    <row r="399" spans="1:31" x14ac:dyDescent="0.35">
      <c r="A399" s="162">
        <v>46174</v>
      </c>
      <c r="B399" s="163" t="s">
        <v>125</v>
      </c>
      <c r="C399" s="163" t="s">
        <v>113</v>
      </c>
      <c r="D399" s="163" t="s">
        <v>209</v>
      </c>
      <c r="E399" s="163" t="s">
        <v>106</v>
      </c>
      <c r="F399" s="163" t="s">
        <v>96</v>
      </c>
      <c r="G399" s="163" t="s">
        <v>11</v>
      </c>
      <c r="H399" s="163" t="s">
        <v>115</v>
      </c>
      <c r="I399" s="163" t="s">
        <v>98</v>
      </c>
      <c r="J399" s="163" t="s">
        <v>99</v>
      </c>
      <c r="K399" s="163" t="s">
        <v>210</v>
      </c>
      <c r="L399" s="163"/>
      <c r="M399" s="163" t="s">
        <v>228</v>
      </c>
      <c r="N399" s="163" t="s">
        <v>156</v>
      </c>
      <c r="O399" s="162"/>
      <c r="P399" s="163"/>
      <c r="Q399" s="163"/>
      <c r="R399" s="163" t="str">
        <f t="shared" ca="1" si="51"/>
        <v/>
      </c>
      <c r="S399" s="163" t="s">
        <v>103</v>
      </c>
      <c r="T399" s="164"/>
      <c r="U399" s="164"/>
      <c r="V399" s="162"/>
      <c r="W399" s="163"/>
      <c r="X399" s="163" t="s">
        <v>37</v>
      </c>
      <c r="Y399" s="163"/>
      <c r="Z399" s="163"/>
      <c r="AA399" s="163"/>
      <c r="AB399" s="195" t="str">
        <f t="shared" si="50"/>
        <v>Jun-26</v>
      </c>
      <c r="AC399" s="163"/>
      <c r="AD399" s="163" t="str">
        <f t="shared" si="52"/>
        <v/>
      </c>
      <c r="AE399" s="163"/>
    </row>
    <row r="400" spans="1:31" x14ac:dyDescent="0.35">
      <c r="A400" s="162">
        <v>46174</v>
      </c>
      <c r="B400" s="163" t="s">
        <v>125</v>
      </c>
      <c r="C400" s="163" t="s">
        <v>113</v>
      </c>
      <c r="D400" s="163" t="s">
        <v>391</v>
      </c>
      <c r="E400" s="163" t="s">
        <v>95</v>
      </c>
      <c r="F400" s="163" t="s">
        <v>96</v>
      </c>
      <c r="G400" s="163" t="s">
        <v>11</v>
      </c>
      <c r="H400" s="163" t="s">
        <v>163</v>
      </c>
      <c r="I400" s="163" t="s">
        <v>98</v>
      </c>
      <c r="J400" s="163" t="s">
        <v>147</v>
      </c>
      <c r="K400" s="163" t="s">
        <v>210</v>
      </c>
      <c r="L400" s="163"/>
      <c r="M400" s="163" t="s">
        <v>390</v>
      </c>
      <c r="N400" s="163" t="s">
        <v>156</v>
      </c>
      <c r="O400" s="162"/>
      <c r="P400" s="163"/>
      <c r="Q400" s="163"/>
      <c r="R400" s="163" t="str">
        <f t="shared" ca="1" si="51"/>
        <v/>
      </c>
      <c r="S400" s="163" t="s">
        <v>103</v>
      </c>
      <c r="T400" s="164"/>
      <c r="U400" s="164"/>
      <c r="V400" s="162"/>
      <c r="W400" s="163"/>
      <c r="X400" s="163" t="s">
        <v>47</v>
      </c>
      <c r="Y400" s="163"/>
      <c r="Z400" s="163"/>
      <c r="AA400" s="163"/>
      <c r="AB400" s="195" t="str">
        <f t="shared" si="50"/>
        <v>Jun-26</v>
      </c>
      <c r="AC400" s="163"/>
      <c r="AD400" s="163" t="str">
        <f t="shared" si="52"/>
        <v/>
      </c>
      <c r="AE400" s="163"/>
    </row>
    <row r="401" spans="1:31" x14ac:dyDescent="0.35">
      <c r="A401" s="162">
        <v>46174</v>
      </c>
      <c r="B401" s="163" t="s">
        <v>125</v>
      </c>
      <c r="C401" s="163" t="s">
        <v>113</v>
      </c>
      <c r="D401" s="163" t="s">
        <v>749</v>
      </c>
      <c r="E401" s="163" t="s">
        <v>106</v>
      </c>
      <c r="F401" s="163" t="s">
        <v>135</v>
      </c>
      <c r="G401" s="163"/>
      <c r="H401" s="163" t="s">
        <v>115</v>
      </c>
      <c r="I401" s="163" t="s">
        <v>121</v>
      </c>
      <c r="J401" s="163" t="s">
        <v>147</v>
      </c>
      <c r="K401" s="163" t="s">
        <v>750</v>
      </c>
      <c r="L401" s="163"/>
      <c r="M401" s="163" t="s">
        <v>629</v>
      </c>
      <c r="N401" s="163" t="s">
        <v>156</v>
      </c>
      <c r="O401" s="162"/>
      <c r="P401" s="163"/>
      <c r="Q401" s="163"/>
      <c r="R401" s="163" t="str">
        <f t="shared" ca="1" si="51"/>
        <v/>
      </c>
      <c r="S401" s="163" t="s">
        <v>103</v>
      </c>
      <c r="T401" s="164"/>
      <c r="U401" s="164"/>
      <c r="V401" s="162"/>
      <c r="W401" s="163"/>
      <c r="X401" s="163" t="s">
        <v>32</v>
      </c>
      <c r="Y401" s="163"/>
      <c r="Z401" s="163"/>
      <c r="AA401" s="163"/>
      <c r="AB401" s="195" t="str">
        <f t="shared" si="50"/>
        <v>Jun-26</v>
      </c>
      <c r="AC401" s="163"/>
      <c r="AD401" s="163" t="str">
        <f t="shared" si="52"/>
        <v/>
      </c>
      <c r="AE401" s="163"/>
    </row>
    <row r="402" spans="1:31" x14ac:dyDescent="0.35">
      <c r="A402" s="177">
        <v>46174</v>
      </c>
      <c r="B402" s="163" t="s">
        <v>370</v>
      </c>
      <c r="C402" s="163" t="s">
        <v>93</v>
      </c>
      <c r="D402" s="163" t="s">
        <v>751</v>
      </c>
      <c r="E402" s="163" t="s">
        <v>106</v>
      </c>
      <c r="F402" s="163" t="s">
        <v>135</v>
      </c>
      <c r="G402" s="163"/>
      <c r="H402" s="163" t="s">
        <v>115</v>
      </c>
      <c r="I402" s="163" t="s">
        <v>121</v>
      </c>
      <c r="J402" s="163" t="s">
        <v>99</v>
      </c>
      <c r="K402" s="163" t="s">
        <v>122</v>
      </c>
      <c r="L402" s="163"/>
      <c r="M402" s="163" t="s">
        <v>752</v>
      </c>
      <c r="N402" s="163" t="s">
        <v>156</v>
      </c>
      <c r="O402" s="162"/>
      <c r="P402" s="163"/>
      <c r="Q402" s="163">
        <f t="shared" ref="Q402:Q407" ca="1" si="53">IF(N402="Closed(C4)","",IF(N402="","",TODAY()-A402))</f>
        <v>151</v>
      </c>
      <c r="R402" s="163" t="str">
        <f t="shared" ca="1" si="51"/>
        <v/>
      </c>
      <c r="S402" s="163" t="s">
        <v>129</v>
      </c>
      <c r="T402" s="164">
        <v>0</v>
      </c>
      <c r="U402" s="164">
        <v>0</v>
      </c>
      <c r="V402" s="163"/>
      <c r="W402" s="163"/>
      <c r="X402" s="163"/>
      <c r="Y402" s="163"/>
      <c r="Z402" s="163"/>
      <c r="AA402" s="163"/>
      <c r="AB402" s="195" t="str">
        <f t="shared" si="50"/>
        <v>Jun-26</v>
      </c>
      <c r="AC402" s="163"/>
      <c r="AD402" s="163" t="str">
        <f t="shared" si="52"/>
        <v/>
      </c>
      <c r="AE402" s="163"/>
    </row>
    <row r="403" spans="1:31" x14ac:dyDescent="0.35">
      <c r="A403" s="177">
        <v>46174</v>
      </c>
      <c r="B403" s="163" t="s">
        <v>370</v>
      </c>
      <c r="C403" s="163" t="s">
        <v>93</v>
      </c>
      <c r="D403" s="163" t="s">
        <v>753</v>
      </c>
      <c r="E403" s="163" t="s">
        <v>106</v>
      </c>
      <c r="F403" s="163" t="s">
        <v>135</v>
      </c>
      <c r="G403" s="163"/>
      <c r="H403" s="163" t="s">
        <v>115</v>
      </c>
      <c r="I403" s="163" t="s">
        <v>121</v>
      </c>
      <c r="J403" s="163" t="s">
        <v>754</v>
      </c>
      <c r="K403" s="163" t="s">
        <v>755</v>
      </c>
      <c r="L403" s="163"/>
      <c r="M403" s="163" t="s">
        <v>756</v>
      </c>
      <c r="N403" s="163" t="s">
        <v>181</v>
      </c>
      <c r="O403" s="162"/>
      <c r="P403" s="163"/>
      <c r="Q403" s="163">
        <f t="shared" ca="1" si="53"/>
        <v>151</v>
      </c>
      <c r="R403" s="163" t="str">
        <f t="shared" ca="1" si="51"/>
        <v/>
      </c>
      <c r="S403" s="163" t="s">
        <v>129</v>
      </c>
      <c r="T403" s="164">
        <v>60000</v>
      </c>
      <c r="U403" s="164"/>
      <c r="V403" s="163"/>
      <c r="W403" s="163"/>
      <c r="X403" s="163"/>
      <c r="Y403" s="163"/>
      <c r="Z403" s="163"/>
      <c r="AA403" s="163"/>
      <c r="AB403" s="195" t="str">
        <f t="shared" si="50"/>
        <v>Jun-26</v>
      </c>
      <c r="AC403" s="163"/>
      <c r="AD403" s="163" t="str">
        <f t="shared" si="52"/>
        <v/>
      </c>
      <c r="AE403" s="163"/>
    </row>
    <row r="404" spans="1:31" x14ac:dyDescent="0.35">
      <c r="A404" s="177">
        <v>46174</v>
      </c>
      <c r="B404" s="163" t="s">
        <v>370</v>
      </c>
      <c r="C404" s="163" t="s">
        <v>93</v>
      </c>
      <c r="D404" s="163" t="s">
        <v>689</v>
      </c>
      <c r="E404" s="163" t="s">
        <v>106</v>
      </c>
      <c r="F404" s="163" t="s">
        <v>135</v>
      </c>
      <c r="G404" s="163"/>
      <c r="H404" s="163" t="s">
        <v>115</v>
      </c>
      <c r="I404" s="163" t="s">
        <v>121</v>
      </c>
      <c r="J404" s="163" t="s">
        <v>99</v>
      </c>
      <c r="K404" s="163" t="s">
        <v>140</v>
      </c>
      <c r="L404" s="163"/>
      <c r="M404" s="163" t="s">
        <v>575</v>
      </c>
      <c r="N404" s="163" t="s">
        <v>181</v>
      </c>
      <c r="O404" s="162"/>
      <c r="P404" s="163"/>
      <c r="Q404" s="163">
        <f t="shared" ca="1" si="53"/>
        <v>151</v>
      </c>
      <c r="R404" s="163" t="str">
        <f t="shared" ca="1" si="51"/>
        <v/>
      </c>
      <c r="S404" s="163" t="s">
        <v>133</v>
      </c>
      <c r="T404" s="164">
        <v>50000</v>
      </c>
      <c r="U404" s="164"/>
      <c r="V404" s="163"/>
      <c r="W404" s="163"/>
      <c r="X404" s="163"/>
      <c r="Y404" s="163"/>
      <c r="Z404" s="163"/>
      <c r="AA404" s="163"/>
      <c r="AB404" s="195" t="str">
        <f t="shared" si="50"/>
        <v>Jun-26</v>
      </c>
      <c r="AC404" s="163"/>
      <c r="AD404" s="163" t="str">
        <f t="shared" si="52"/>
        <v/>
      </c>
      <c r="AE404" s="163"/>
    </row>
    <row r="405" spans="1:31" x14ac:dyDescent="0.35">
      <c r="A405" s="177">
        <v>46174</v>
      </c>
      <c r="B405" s="163" t="s">
        <v>370</v>
      </c>
      <c r="C405" s="163" t="s">
        <v>93</v>
      </c>
      <c r="D405" s="163" t="s">
        <v>757</v>
      </c>
      <c r="E405" s="163" t="s">
        <v>106</v>
      </c>
      <c r="F405" s="163" t="s">
        <v>135</v>
      </c>
      <c r="G405" s="163"/>
      <c r="H405" s="163" t="s">
        <v>115</v>
      </c>
      <c r="I405" s="163" t="s">
        <v>121</v>
      </c>
      <c r="J405" s="163" t="s">
        <v>99</v>
      </c>
      <c r="K405" s="163" t="s">
        <v>758</v>
      </c>
      <c r="L405" s="163"/>
      <c r="M405" s="163" t="s">
        <v>575</v>
      </c>
      <c r="N405" s="163" t="s">
        <v>181</v>
      </c>
      <c r="O405" s="162"/>
      <c r="P405" s="163"/>
      <c r="Q405" s="163">
        <f t="shared" ca="1" si="53"/>
        <v>151</v>
      </c>
      <c r="R405" s="163" t="str">
        <f t="shared" ca="1" si="51"/>
        <v/>
      </c>
      <c r="S405" s="163" t="s">
        <v>129</v>
      </c>
      <c r="T405" s="164">
        <v>70000</v>
      </c>
      <c r="U405" s="164"/>
      <c r="V405" s="163"/>
      <c r="W405" s="163"/>
      <c r="X405" s="163"/>
      <c r="Y405" s="163"/>
      <c r="Z405" s="163"/>
      <c r="AA405" s="163"/>
      <c r="AB405" s="195" t="str">
        <f t="shared" si="50"/>
        <v>Jun-26</v>
      </c>
      <c r="AC405" s="163"/>
      <c r="AD405" s="163" t="str">
        <f t="shared" si="52"/>
        <v/>
      </c>
      <c r="AE405" s="163"/>
    </row>
    <row r="406" spans="1:31" x14ac:dyDescent="0.35">
      <c r="A406" s="177">
        <v>46174</v>
      </c>
      <c r="B406" s="163" t="s">
        <v>125</v>
      </c>
      <c r="C406" s="163" t="s">
        <v>113</v>
      </c>
      <c r="D406" s="163" t="s">
        <v>759</v>
      </c>
      <c r="E406" s="163" t="s">
        <v>106</v>
      </c>
      <c r="F406" s="163" t="s">
        <v>135</v>
      </c>
      <c r="G406" s="163"/>
      <c r="H406" s="163" t="s">
        <v>115</v>
      </c>
      <c r="I406" s="163" t="s">
        <v>121</v>
      </c>
      <c r="J406" s="163" t="s">
        <v>147</v>
      </c>
      <c r="K406" s="163" t="s">
        <v>760</v>
      </c>
      <c r="L406" s="163"/>
      <c r="M406" s="163" t="s">
        <v>629</v>
      </c>
      <c r="N406" s="163" t="s">
        <v>128</v>
      </c>
      <c r="O406" s="162"/>
      <c r="P406" s="163"/>
      <c r="Q406" s="163">
        <f t="shared" ca="1" si="53"/>
        <v>151</v>
      </c>
      <c r="R406" s="163" t="str">
        <f t="shared" ca="1" si="51"/>
        <v/>
      </c>
      <c r="S406" s="163" t="s">
        <v>103</v>
      </c>
      <c r="T406" s="164"/>
      <c r="U406" s="164"/>
      <c r="V406" s="163"/>
      <c r="W406" s="163"/>
      <c r="X406" s="163"/>
      <c r="Y406" s="163"/>
      <c r="Z406" s="163"/>
      <c r="AA406" s="163"/>
      <c r="AB406" s="195" t="str">
        <f t="shared" si="50"/>
        <v>Jun-26</v>
      </c>
      <c r="AC406" s="163"/>
      <c r="AD406" s="163" t="str">
        <f t="shared" si="52"/>
        <v/>
      </c>
      <c r="AE406" s="163"/>
    </row>
    <row r="407" spans="1:31" x14ac:dyDescent="0.35">
      <c r="A407" s="162">
        <v>46174</v>
      </c>
      <c r="B407" s="163" t="s">
        <v>92</v>
      </c>
      <c r="C407" s="163" t="s">
        <v>93</v>
      </c>
      <c r="D407" s="163" t="s">
        <v>19</v>
      </c>
      <c r="E407" s="163" t="s">
        <v>106</v>
      </c>
      <c r="F407" s="163" t="s">
        <v>96</v>
      </c>
      <c r="G407" s="163" t="s">
        <v>10</v>
      </c>
      <c r="H407" s="163" t="s">
        <v>115</v>
      </c>
      <c r="I407" s="163" t="s">
        <v>121</v>
      </c>
      <c r="J407" s="163" t="s">
        <v>99</v>
      </c>
      <c r="K407" s="163" t="s">
        <v>761</v>
      </c>
      <c r="L407" s="163"/>
      <c r="M407" s="163" t="s">
        <v>762</v>
      </c>
      <c r="N407" s="163" t="s">
        <v>102</v>
      </c>
      <c r="O407" s="162"/>
      <c r="P407" s="163"/>
      <c r="Q407" s="163" t="str">
        <f t="shared" ca="1" si="53"/>
        <v/>
      </c>
      <c r="R407" s="163" t="str">
        <f t="shared" ca="1" si="51"/>
        <v/>
      </c>
      <c r="S407" s="163" t="s">
        <v>103</v>
      </c>
      <c r="T407" s="164">
        <v>0</v>
      </c>
      <c r="U407" s="164">
        <v>0</v>
      </c>
      <c r="V407" s="162"/>
      <c r="W407" s="163"/>
      <c r="X407" s="163"/>
      <c r="Y407" s="163"/>
      <c r="Z407" s="163"/>
      <c r="AA407" s="163"/>
      <c r="AB407" s="195" t="str">
        <f t="shared" si="50"/>
        <v>Jun-26</v>
      </c>
      <c r="AC407" s="163"/>
      <c r="AD407" s="163" t="str">
        <f t="shared" si="52"/>
        <v/>
      </c>
      <c r="AE407" s="163"/>
    </row>
    <row r="408" spans="1:31" x14ac:dyDescent="0.35">
      <c r="A408" s="162">
        <v>46174</v>
      </c>
      <c r="B408" s="163" t="s">
        <v>92</v>
      </c>
      <c r="C408" s="163" t="s">
        <v>93</v>
      </c>
      <c r="D408" s="163" t="s">
        <v>182</v>
      </c>
      <c r="E408" s="163" t="s">
        <v>95</v>
      </c>
      <c r="F408" s="163" t="s">
        <v>96</v>
      </c>
      <c r="G408" s="163" t="s">
        <v>15</v>
      </c>
      <c r="H408" s="163" t="s">
        <v>163</v>
      </c>
      <c r="I408" s="163" t="s">
        <v>98</v>
      </c>
      <c r="J408" s="163" t="s">
        <v>99</v>
      </c>
      <c r="K408" s="163" t="s">
        <v>384</v>
      </c>
      <c r="L408" s="163"/>
      <c r="M408" s="163" t="s">
        <v>159</v>
      </c>
      <c r="N408" s="163" t="s">
        <v>102</v>
      </c>
      <c r="O408" s="162"/>
      <c r="P408" s="163"/>
      <c r="Q408" s="163"/>
      <c r="R408" s="163"/>
      <c r="S408" s="163" t="s">
        <v>103</v>
      </c>
      <c r="T408" s="164">
        <v>35000</v>
      </c>
      <c r="U408" s="164">
        <v>18350</v>
      </c>
      <c r="V408" s="162">
        <v>46174</v>
      </c>
      <c r="W408" s="163" t="s">
        <v>763</v>
      </c>
      <c r="X408" s="163" t="s">
        <v>42</v>
      </c>
      <c r="Y408" s="163" t="s">
        <v>85</v>
      </c>
      <c r="Z408" s="163"/>
      <c r="AA408" s="163"/>
      <c r="AB408" s="195" t="str">
        <f t="shared" si="50"/>
        <v>Jun-26</v>
      </c>
      <c r="AC408" s="163"/>
      <c r="AD408" s="163" t="str">
        <f t="shared" si="52"/>
        <v/>
      </c>
      <c r="AE408" s="163"/>
    </row>
    <row r="409" spans="1:31" x14ac:dyDescent="0.35">
      <c r="A409" s="162">
        <v>46175</v>
      </c>
      <c r="B409" s="163" t="s">
        <v>125</v>
      </c>
      <c r="C409" s="163" t="s">
        <v>113</v>
      </c>
      <c r="D409" s="163" t="s">
        <v>759</v>
      </c>
      <c r="E409" s="163" t="s">
        <v>106</v>
      </c>
      <c r="F409" s="163" t="s">
        <v>135</v>
      </c>
      <c r="G409" s="163"/>
      <c r="H409" s="163" t="s">
        <v>115</v>
      </c>
      <c r="I409" s="163" t="s">
        <v>121</v>
      </c>
      <c r="J409" s="163" t="s">
        <v>147</v>
      </c>
      <c r="K409" s="163" t="s">
        <v>760</v>
      </c>
      <c r="L409" s="163"/>
      <c r="M409" s="163" t="s">
        <v>159</v>
      </c>
      <c r="N409" s="163" t="s">
        <v>102</v>
      </c>
      <c r="O409" s="162"/>
      <c r="P409" s="163"/>
      <c r="Q409" s="163" t="str">
        <f ca="1">IF(N409="Closed(C4)","",IF(N409="","",TODAY()-A409))</f>
        <v/>
      </c>
      <c r="R409" s="163" t="str">
        <f ca="1">IF(OR(N409="Closed( C4 )",N409="Cancelled"),"",IF(AND(O409&lt;&gt;"",O409&lt;TODAY()),"Yes",""))</f>
        <v/>
      </c>
      <c r="S409" s="163" t="s">
        <v>103</v>
      </c>
      <c r="T409" s="164">
        <v>18220</v>
      </c>
      <c r="U409" s="164">
        <v>18220</v>
      </c>
      <c r="V409" s="177">
        <v>46175</v>
      </c>
      <c r="W409" s="163" t="s">
        <v>764</v>
      </c>
      <c r="X409" s="163" t="s">
        <v>25</v>
      </c>
      <c r="Y409" s="163" t="s">
        <v>161</v>
      </c>
      <c r="Z409" s="163"/>
      <c r="AA409" s="177">
        <v>46175</v>
      </c>
      <c r="AB409" s="195" t="str">
        <f t="shared" si="50"/>
        <v>Jun-26</v>
      </c>
      <c r="AC409" s="163"/>
      <c r="AD409" s="163" t="str">
        <f t="shared" si="52"/>
        <v/>
      </c>
      <c r="AE409" s="163"/>
    </row>
    <row r="410" spans="1:31" x14ac:dyDescent="0.35">
      <c r="A410" s="162">
        <v>46175</v>
      </c>
      <c r="B410" s="163" t="s">
        <v>125</v>
      </c>
      <c r="C410" s="163" t="s">
        <v>113</v>
      </c>
      <c r="D410" s="163" t="s">
        <v>223</v>
      </c>
      <c r="E410" s="163" t="s">
        <v>106</v>
      </c>
      <c r="F410" s="163" t="s">
        <v>135</v>
      </c>
      <c r="G410" s="163"/>
      <c r="H410" s="163" t="s">
        <v>97</v>
      </c>
      <c r="I410" s="163" t="s">
        <v>98</v>
      </c>
      <c r="J410" s="163" t="s">
        <v>166</v>
      </c>
      <c r="K410" s="163" t="s">
        <v>224</v>
      </c>
      <c r="L410" s="163"/>
      <c r="M410" s="163" t="s">
        <v>390</v>
      </c>
      <c r="N410" s="163" t="s">
        <v>102</v>
      </c>
      <c r="O410" s="162"/>
      <c r="P410" s="163"/>
      <c r="Q410" s="163"/>
      <c r="R410" s="163" t="str">
        <f ca="1">IF(OR(N410="Closed( C4 )",N410="Cancelled"),"",IF(AND(O410&lt;&gt;"",O410&lt;TODAY()),"Yes",""))</f>
        <v/>
      </c>
      <c r="S410" s="163" t="s">
        <v>103</v>
      </c>
      <c r="T410" s="164">
        <v>15000</v>
      </c>
      <c r="U410" s="164">
        <v>10695</v>
      </c>
      <c r="V410" s="177">
        <v>46175</v>
      </c>
      <c r="W410" s="163" t="s">
        <v>765</v>
      </c>
      <c r="X410" s="163" t="s">
        <v>62</v>
      </c>
      <c r="Y410" s="163" t="s">
        <v>161</v>
      </c>
      <c r="Z410" s="163"/>
      <c r="AA410" s="177">
        <v>46175</v>
      </c>
      <c r="AB410" s="195" t="str">
        <f t="shared" si="50"/>
        <v>Jun-26</v>
      </c>
      <c r="AC410" s="163"/>
      <c r="AD410" s="163" t="str">
        <f t="shared" si="52"/>
        <v/>
      </c>
      <c r="AE410" s="163"/>
    </row>
    <row r="411" spans="1:31" x14ac:dyDescent="0.35">
      <c r="A411" s="162">
        <v>46175</v>
      </c>
      <c r="B411" s="163" t="s">
        <v>370</v>
      </c>
      <c r="C411" s="163" t="s">
        <v>93</v>
      </c>
      <c r="D411" s="163" t="s">
        <v>766</v>
      </c>
      <c r="E411" s="163" t="s">
        <v>106</v>
      </c>
      <c r="F411" s="163" t="s">
        <v>135</v>
      </c>
      <c r="G411" s="163"/>
      <c r="H411" s="163" t="s">
        <v>115</v>
      </c>
      <c r="I411" s="163" t="s">
        <v>121</v>
      </c>
      <c r="J411" s="163" t="s">
        <v>356</v>
      </c>
      <c r="K411" s="163" t="s">
        <v>767</v>
      </c>
      <c r="L411" s="163"/>
      <c r="M411" s="163" t="s">
        <v>575</v>
      </c>
      <c r="N411" s="163" t="s">
        <v>181</v>
      </c>
      <c r="O411" s="162"/>
      <c r="P411" s="163"/>
      <c r="Q411" s="163"/>
      <c r="R411" s="163"/>
      <c r="S411" s="163" t="s">
        <v>129</v>
      </c>
      <c r="T411" s="164">
        <v>40000</v>
      </c>
      <c r="U411" s="164"/>
      <c r="V411" s="177"/>
      <c r="W411" s="163"/>
      <c r="X411" s="163"/>
      <c r="Y411" s="163"/>
      <c r="Z411" s="163"/>
      <c r="AA411" s="177"/>
      <c r="AB411" s="195" t="str">
        <f t="shared" si="50"/>
        <v>Jun-26</v>
      </c>
      <c r="AC411" s="163"/>
      <c r="AD411" s="163"/>
      <c r="AE411" s="163"/>
    </row>
    <row r="412" spans="1:31" x14ac:dyDescent="0.35">
      <c r="A412" s="162">
        <v>46175</v>
      </c>
      <c r="B412" s="163" t="s">
        <v>370</v>
      </c>
      <c r="C412" s="163" t="s">
        <v>93</v>
      </c>
      <c r="D412" s="163" t="s">
        <v>768</v>
      </c>
      <c r="E412" s="163" t="s">
        <v>106</v>
      </c>
      <c r="F412" s="163" t="s">
        <v>135</v>
      </c>
      <c r="G412" s="163"/>
      <c r="H412" s="163" t="s">
        <v>115</v>
      </c>
      <c r="I412" s="163" t="s">
        <v>121</v>
      </c>
      <c r="J412" s="163" t="s">
        <v>432</v>
      </c>
      <c r="K412" s="163" t="s">
        <v>769</v>
      </c>
      <c r="L412" s="163"/>
      <c r="M412" s="163" t="s">
        <v>575</v>
      </c>
      <c r="N412" s="163" t="s">
        <v>181</v>
      </c>
      <c r="O412" s="162">
        <v>46269</v>
      </c>
      <c r="P412" s="163" t="s">
        <v>95</v>
      </c>
      <c r="Q412" s="163"/>
      <c r="R412" s="163"/>
      <c r="S412" s="163" t="s">
        <v>129</v>
      </c>
      <c r="T412" s="164">
        <v>100000</v>
      </c>
      <c r="U412" s="164"/>
      <c r="V412" s="177"/>
      <c r="W412" s="163"/>
      <c r="X412" s="163"/>
      <c r="Y412" s="163"/>
      <c r="Z412" s="163"/>
      <c r="AA412" s="177"/>
      <c r="AB412" s="195" t="str">
        <f t="shared" si="50"/>
        <v>Jun-26</v>
      </c>
      <c r="AC412" s="163"/>
      <c r="AD412" s="163"/>
      <c r="AE412" s="163"/>
    </row>
    <row r="413" spans="1:31" x14ac:dyDescent="0.35">
      <c r="A413" s="162">
        <v>46175</v>
      </c>
      <c r="B413" s="163" t="s">
        <v>370</v>
      </c>
      <c r="C413" s="163" t="s">
        <v>93</v>
      </c>
      <c r="D413" s="163" t="s">
        <v>770</v>
      </c>
      <c r="E413" s="163" t="s">
        <v>106</v>
      </c>
      <c r="F413" s="163" t="s">
        <v>135</v>
      </c>
      <c r="G413" s="163"/>
      <c r="H413" s="163" t="s">
        <v>115</v>
      </c>
      <c r="I413" s="163" t="s">
        <v>121</v>
      </c>
      <c r="J413" s="163" t="s">
        <v>356</v>
      </c>
      <c r="K413" s="163" t="s">
        <v>771</v>
      </c>
      <c r="L413" s="163"/>
      <c r="M413" s="163" t="s">
        <v>575</v>
      </c>
      <c r="N413" s="163" t="s">
        <v>181</v>
      </c>
      <c r="O413" s="162"/>
      <c r="P413" s="163"/>
      <c r="Q413" s="163"/>
      <c r="R413" s="163"/>
      <c r="S413" s="163" t="s">
        <v>103</v>
      </c>
      <c r="T413" s="164">
        <v>25000</v>
      </c>
      <c r="U413" s="164"/>
      <c r="V413" s="177"/>
      <c r="W413" s="163"/>
      <c r="X413" s="163"/>
      <c r="Y413" s="163"/>
      <c r="Z413" s="163"/>
      <c r="AA413" s="177"/>
      <c r="AB413" s="195" t="str">
        <f t="shared" si="50"/>
        <v>Jun-26</v>
      </c>
      <c r="AC413" s="163"/>
      <c r="AD413" s="163"/>
      <c r="AE413" s="163"/>
    </row>
    <row r="414" spans="1:31" x14ac:dyDescent="0.35">
      <c r="A414" s="162">
        <v>46175</v>
      </c>
      <c r="B414" s="163" t="s">
        <v>125</v>
      </c>
      <c r="C414" s="163" t="s">
        <v>113</v>
      </c>
      <c r="D414" s="163" t="s">
        <v>407</v>
      </c>
      <c r="E414" s="163" t="s">
        <v>95</v>
      </c>
      <c r="F414" s="163" t="s">
        <v>96</v>
      </c>
      <c r="G414" s="163" t="s">
        <v>12</v>
      </c>
      <c r="H414" s="163" t="s">
        <v>115</v>
      </c>
      <c r="I414" s="163" t="s">
        <v>121</v>
      </c>
      <c r="J414" s="163"/>
      <c r="K414" s="163" t="s">
        <v>442</v>
      </c>
      <c r="L414" s="163"/>
      <c r="M414" s="163" t="s">
        <v>159</v>
      </c>
      <c r="N414" s="163" t="s">
        <v>102</v>
      </c>
      <c r="O414" s="162"/>
      <c r="P414" s="163"/>
      <c r="Q414" s="163" t="str">
        <f ca="1">IF(N414="Closed(C4)","",IF(N414="","",TODAY()-A414))</f>
        <v/>
      </c>
      <c r="R414" s="163" t="str">
        <f t="shared" ref="R414:R424" ca="1" si="54">IF(OR(N414="Closed( C4 )",N414="Cancelled"),"",IF(AND(O414&lt;&gt;"",O414&lt;TODAY()),"Yes",""))</f>
        <v/>
      </c>
      <c r="S414" s="163" t="s">
        <v>103</v>
      </c>
      <c r="T414" s="164">
        <v>5000</v>
      </c>
      <c r="U414" s="164">
        <v>8250</v>
      </c>
      <c r="V414" s="177">
        <v>46175</v>
      </c>
      <c r="W414" s="214" t="s">
        <v>772</v>
      </c>
      <c r="X414" s="163" t="s">
        <v>37</v>
      </c>
      <c r="Y414" s="163" t="s">
        <v>85</v>
      </c>
      <c r="Z414" s="163"/>
      <c r="AA414" s="177">
        <v>46175</v>
      </c>
      <c r="AB414" s="195" t="str">
        <f t="shared" si="50"/>
        <v>Jun-26</v>
      </c>
      <c r="AC414" s="163"/>
      <c r="AD414" s="163" t="str">
        <f t="shared" ref="AD414:AD426" si="55">IF(AC414="Yes",U414*2%,"")</f>
        <v/>
      </c>
      <c r="AE414" s="163"/>
    </row>
    <row r="415" spans="1:31" x14ac:dyDescent="0.35">
      <c r="A415" s="162">
        <v>46176</v>
      </c>
      <c r="B415" s="163" t="s">
        <v>125</v>
      </c>
      <c r="C415" s="163" t="s">
        <v>113</v>
      </c>
      <c r="D415" s="163" t="s">
        <v>749</v>
      </c>
      <c r="E415" s="163" t="s">
        <v>106</v>
      </c>
      <c r="F415" s="163" t="s">
        <v>135</v>
      </c>
      <c r="G415" s="163"/>
      <c r="H415" s="163" t="s">
        <v>115</v>
      </c>
      <c r="I415" s="163" t="s">
        <v>121</v>
      </c>
      <c r="J415" s="163" t="s">
        <v>147</v>
      </c>
      <c r="K415" s="163" t="s">
        <v>750</v>
      </c>
      <c r="L415" s="163"/>
      <c r="M415" s="163" t="s">
        <v>629</v>
      </c>
      <c r="N415" s="163" t="s">
        <v>102</v>
      </c>
      <c r="O415" s="162"/>
      <c r="P415" s="163"/>
      <c r="Q415" s="163"/>
      <c r="R415" s="163" t="str">
        <f t="shared" ca="1" si="54"/>
        <v/>
      </c>
      <c r="S415" s="163" t="s">
        <v>103</v>
      </c>
      <c r="T415" s="164">
        <v>150000</v>
      </c>
      <c r="U415" s="164">
        <v>192100</v>
      </c>
      <c r="V415" s="177">
        <v>46176</v>
      </c>
      <c r="W415" s="163" t="s">
        <v>773</v>
      </c>
      <c r="X415" s="163" t="s">
        <v>32</v>
      </c>
      <c r="Y415" s="163" t="s">
        <v>161</v>
      </c>
      <c r="Z415" s="163"/>
      <c r="AA415" s="177">
        <v>46176</v>
      </c>
      <c r="AB415" s="195" t="str">
        <f t="shared" si="50"/>
        <v>Jun-26</v>
      </c>
      <c r="AC415" s="163"/>
      <c r="AD415" s="163" t="str">
        <f t="shared" si="55"/>
        <v/>
      </c>
      <c r="AE415" s="163"/>
    </row>
    <row r="416" spans="1:31" x14ac:dyDescent="0.35">
      <c r="A416" s="162">
        <v>46176</v>
      </c>
      <c r="B416" s="163" t="s">
        <v>370</v>
      </c>
      <c r="C416" s="163" t="s">
        <v>93</v>
      </c>
      <c r="D416" s="163" t="s">
        <v>19</v>
      </c>
      <c r="E416" s="163" t="s">
        <v>106</v>
      </c>
      <c r="F416" s="163" t="s">
        <v>96</v>
      </c>
      <c r="G416" s="163" t="s">
        <v>10</v>
      </c>
      <c r="H416" s="163" t="s">
        <v>115</v>
      </c>
      <c r="I416" s="163" t="s">
        <v>121</v>
      </c>
      <c r="J416" s="163" t="s">
        <v>99</v>
      </c>
      <c r="K416" s="163" t="s">
        <v>774</v>
      </c>
      <c r="L416" s="163"/>
      <c r="M416" s="163" t="s">
        <v>629</v>
      </c>
      <c r="N416" s="163" t="s">
        <v>102</v>
      </c>
      <c r="O416" s="162"/>
      <c r="P416" s="163"/>
      <c r="Q416" s="163" t="str">
        <f ca="1">IF(N416="Closed(C4)","",IF(N416="","",TODAY()-A416))</f>
        <v/>
      </c>
      <c r="R416" s="163" t="str">
        <f t="shared" ca="1" si="54"/>
        <v/>
      </c>
      <c r="S416" s="163" t="s">
        <v>103</v>
      </c>
      <c r="T416" s="164">
        <v>0</v>
      </c>
      <c r="U416" s="164">
        <v>0</v>
      </c>
      <c r="V416" s="163"/>
      <c r="W416" s="163"/>
      <c r="X416" s="163"/>
      <c r="Y416" s="163"/>
      <c r="Z416" s="163"/>
      <c r="AA416" s="163"/>
      <c r="AB416" s="195" t="str">
        <f t="shared" si="50"/>
        <v>Jun-26</v>
      </c>
      <c r="AC416" s="163"/>
      <c r="AD416" s="163" t="str">
        <f t="shared" si="55"/>
        <v/>
      </c>
      <c r="AE416" s="163"/>
    </row>
    <row r="417" spans="1:31" x14ac:dyDescent="0.35">
      <c r="A417" s="162">
        <v>46176</v>
      </c>
      <c r="B417" s="163" t="s">
        <v>370</v>
      </c>
      <c r="C417" s="163" t="s">
        <v>93</v>
      </c>
      <c r="D417" s="191" t="s">
        <v>775</v>
      </c>
      <c r="E417" s="163" t="s">
        <v>106</v>
      </c>
      <c r="F417" s="163" t="s">
        <v>135</v>
      </c>
      <c r="G417" s="163"/>
      <c r="H417" s="163" t="s">
        <v>115</v>
      </c>
      <c r="I417" s="163" t="s">
        <v>121</v>
      </c>
      <c r="J417" s="163" t="s">
        <v>147</v>
      </c>
      <c r="K417" s="163" t="s">
        <v>715</v>
      </c>
      <c r="L417" s="163"/>
      <c r="M417" s="163" t="s">
        <v>776</v>
      </c>
      <c r="N417" s="163" t="s">
        <v>181</v>
      </c>
      <c r="O417" s="162"/>
      <c r="P417" s="163"/>
      <c r="Q417" s="163">
        <f ca="1">IF(N417="Closed(C4)","",IF(N417="","",TODAY()-A417))</f>
        <v>149</v>
      </c>
      <c r="R417" s="163" t="str">
        <f t="shared" ca="1" si="54"/>
        <v/>
      </c>
      <c r="S417" s="163" t="s">
        <v>103</v>
      </c>
      <c r="T417" s="164">
        <v>200000</v>
      </c>
      <c r="U417" s="164">
        <v>0</v>
      </c>
      <c r="V417" s="162">
        <v>46184</v>
      </c>
      <c r="W417" s="163"/>
      <c r="X417" s="163"/>
      <c r="Y417" s="163"/>
      <c r="Z417" s="163"/>
      <c r="AA417" s="163"/>
      <c r="AB417" s="195" t="str">
        <f t="shared" si="50"/>
        <v>Jun-26</v>
      </c>
      <c r="AC417" s="163"/>
      <c r="AD417" s="163" t="str">
        <f t="shared" si="55"/>
        <v/>
      </c>
      <c r="AE417" s="163"/>
    </row>
    <row r="418" spans="1:31" x14ac:dyDescent="0.35">
      <c r="A418" s="162">
        <v>46176</v>
      </c>
      <c r="B418" s="163" t="s">
        <v>125</v>
      </c>
      <c r="C418" s="163" t="s">
        <v>113</v>
      </c>
      <c r="D418" s="163" t="s">
        <v>759</v>
      </c>
      <c r="E418" s="163" t="s">
        <v>106</v>
      </c>
      <c r="F418" s="163" t="s">
        <v>135</v>
      </c>
      <c r="G418" s="163"/>
      <c r="H418" s="163" t="s">
        <v>115</v>
      </c>
      <c r="I418" s="163" t="s">
        <v>121</v>
      </c>
      <c r="J418" s="163" t="s">
        <v>147</v>
      </c>
      <c r="K418" s="163" t="s">
        <v>760</v>
      </c>
      <c r="L418" s="163"/>
      <c r="M418" s="163" t="s">
        <v>159</v>
      </c>
      <c r="N418" s="163" t="s">
        <v>102</v>
      </c>
      <c r="O418" s="162"/>
      <c r="P418" s="163"/>
      <c r="Q418" s="163" t="str">
        <f ca="1">IF(N418="Closed(C4)","",IF(N418="","",TODAY()-A418))</f>
        <v/>
      </c>
      <c r="R418" s="163" t="str">
        <f t="shared" ca="1" si="54"/>
        <v/>
      </c>
      <c r="S418" s="163" t="s">
        <v>103</v>
      </c>
      <c r="T418" s="164">
        <v>10000</v>
      </c>
      <c r="U418" s="164">
        <v>9015</v>
      </c>
      <c r="V418" s="177">
        <v>46176</v>
      </c>
      <c r="W418" s="163" t="s">
        <v>777</v>
      </c>
      <c r="X418" s="163" t="s">
        <v>25</v>
      </c>
      <c r="Y418" s="163" t="s">
        <v>161</v>
      </c>
      <c r="Z418" s="163"/>
      <c r="AA418" s="177">
        <v>46176</v>
      </c>
      <c r="AB418" s="195" t="str">
        <f t="shared" si="50"/>
        <v>Jun-26</v>
      </c>
      <c r="AC418" s="163"/>
      <c r="AD418" s="163" t="str">
        <f t="shared" si="55"/>
        <v/>
      </c>
      <c r="AE418" s="163"/>
    </row>
    <row r="419" spans="1:31" x14ac:dyDescent="0.35">
      <c r="A419" s="162">
        <v>46176</v>
      </c>
      <c r="B419" s="163" t="s">
        <v>125</v>
      </c>
      <c r="C419" s="163" t="s">
        <v>113</v>
      </c>
      <c r="D419" s="163" t="s">
        <v>175</v>
      </c>
      <c r="E419" s="163" t="s">
        <v>106</v>
      </c>
      <c r="F419" s="163" t="s">
        <v>135</v>
      </c>
      <c r="G419" s="163"/>
      <c r="H419" s="163" t="s">
        <v>97</v>
      </c>
      <c r="I419" s="163" t="s">
        <v>98</v>
      </c>
      <c r="J419" s="163" t="s">
        <v>166</v>
      </c>
      <c r="K419" s="163" t="s">
        <v>176</v>
      </c>
      <c r="L419" s="163"/>
      <c r="M419" s="163" t="s">
        <v>159</v>
      </c>
      <c r="N419" s="163" t="s">
        <v>102</v>
      </c>
      <c r="O419" s="162"/>
      <c r="P419" s="163"/>
      <c r="Q419" s="163"/>
      <c r="R419" s="163" t="str">
        <f t="shared" ca="1" si="54"/>
        <v/>
      </c>
      <c r="S419" s="163" t="s">
        <v>103</v>
      </c>
      <c r="T419" s="164">
        <v>15000</v>
      </c>
      <c r="U419" s="164">
        <v>14719</v>
      </c>
      <c r="V419" s="177">
        <v>46176</v>
      </c>
      <c r="W419" s="163" t="s">
        <v>778</v>
      </c>
      <c r="X419" s="163" t="s">
        <v>62</v>
      </c>
      <c r="Y419" s="163" t="s">
        <v>161</v>
      </c>
      <c r="Z419" s="163"/>
      <c r="AA419" s="177">
        <v>46176</v>
      </c>
      <c r="AB419" s="195" t="str">
        <f t="shared" si="50"/>
        <v>Jun-26</v>
      </c>
      <c r="AC419" s="163"/>
      <c r="AD419" s="163" t="str">
        <f t="shared" si="55"/>
        <v/>
      </c>
      <c r="AE419" s="163"/>
    </row>
    <row r="420" spans="1:31" x14ac:dyDescent="0.35">
      <c r="A420" s="162">
        <v>46176</v>
      </c>
      <c r="B420" s="163" t="s">
        <v>125</v>
      </c>
      <c r="C420" s="163" t="s">
        <v>113</v>
      </c>
      <c r="D420" s="163" t="s">
        <v>246</v>
      </c>
      <c r="E420" s="163" t="s">
        <v>95</v>
      </c>
      <c r="F420" s="163" t="s">
        <v>96</v>
      </c>
      <c r="G420" s="163" t="s">
        <v>15</v>
      </c>
      <c r="H420" s="163" t="s">
        <v>163</v>
      </c>
      <c r="I420" s="163" t="s">
        <v>98</v>
      </c>
      <c r="J420" s="163" t="s">
        <v>147</v>
      </c>
      <c r="K420" s="163" t="s">
        <v>231</v>
      </c>
      <c r="L420" s="163"/>
      <c r="M420" s="163" t="s">
        <v>390</v>
      </c>
      <c r="N420" s="163" t="s">
        <v>102</v>
      </c>
      <c r="O420" s="162"/>
      <c r="P420" s="163"/>
      <c r="Q420" s="163"/>
      <c r="R420" s="163" t="str">
        <f t="shared" ca="1" si="54"/>
        <v/>
      </c>
      <c r="S420" s="163" t="s">
        <v>103</v>
      </c>
      <c r="T420" s="164">
        <v>10000</v>
      </c>
      <c r="U420" s="164">
        <v>5905</v>
      </c>
      <c r="V420" s="177">
        <v>46176</v>
      </c>
      <c r="W420" s="214" t="s">
        <v>779</v>
      </c>
      <c r="X420" s="163" t="s">
        <v>39</v>
      </c>
      <c r="Y420" s="163" t="s">
        <v>85</v>
      </c>
      <c r="Z420" s="163"/>
      <c r="AA420" s="163"/>
      <c r="AB420" s="195" t="str">
        <f t="shared" si="50"/>
        <v>Jun-26</v>
      </c>
      <c r="AC420" s="163"/>
      <c r="AD420" s="163" t="str">
        <f t="shared" si="55"/>
        <v/>
      </c>
      <c r="AE420" s="163"/>
    </row>
    <row r="421" spans="1:31" x14ac:dyDescent="0.35">
      <c r="A421" s="162">
        <v>46176</v>
      </c>
      <c r="B421" s="163" t="s">
        <v>125</v>
      </c>
      <c r="C421" s="163" t="s">
        <v>113</v>
      </c>
      <c r="D421" s="163" t="s">
        <v>260</v>
      </c>
      <c r="E421" s="163" t="s">
        <v>95</v>
      </c>
      <c r="F421" s="163" t="s">
        <v>96</v>
      </c>
      <c r="G421" s="163" t="s">
        <v>15</v>
      </c>
      <c r="H421" s="163" t="s">
        <v>163</v>
      </c>
      <c r="I421" s="163" t="s">
        <v>98</v>
      </c>
      <c r="J421" s="163" t="s">
        <v>147</v>
      </c>
      <c r="K421" s="163" t="s">
        <v>231</v>
      </c>
      <c r="L421" s="163"/>
      <c r="M421" s="163" t="s">
        <v>390</v>
      </c>
      <c r="N421" s="163" t="s">
        <v>102</v>
      </c>
      <c r="O421" s="162"/>
      <c r="P421" s="163"/>
      <c r="Q421" s="163"/>
      <c r="R421" s="163" t="str">
        <f t="shared" ca="1" si="54"/>
        <v/>
      </c>
      <c r="S421" s="163" t="s">
        <v>103</v>
      </c>
      <c r="T421" s="164">
        <v>15000</v>
      </c>
      <c r="U421" s="164">
        <v>13995</v>
      </c>
      <c r="V421" s="177">
        <v>46176</v>
      </c>
      <c r="W421" s="214" t="s">
        <v>779</v>
      </c>
      <c r="X421" s="163" t="s">
        <v>39</v>
      </c>
      <c r="Y421" s="163" t="s">
        <v>85</v>
      </c>
      <c r="Z421" s="163"/>
      <c r="AA421" s="163"/>
      <c r="AB421" s="195" t="str">
        <f t="shared" si="50"/>
        <v>Jun-26</v>
      </c>
      <c r="AC421" s="163"/>
      <c r="AD421" s="163" t="str">
        <f t="shared" si="55"/>
        <v/>
      </c>
      <c r="AE421" s="163"/>
    </row>
    <row r="422" spans="1:31" x14ac:dyDescent="0.35">
      <c r="A422" s="162">
        <v>46176</v>
      </c>
      <c r="B422" s="163" t="s">
        <v>125</v>
      </c>
      <c r="C422" s="163" t="s">
        <v>113</v>
      </c>
      <c r="D422" s="163" t="s">
        <v>554</v>
      </c>
      <c r="E422" s="163" t="s">
        <v>95</v>
      </c>
      <c r="F422" s="163" t="s">
        <v>96</v>
      </c>
      <c r="G422" s="163" t="s">
        <v>15</v>
      </c>
      <c r="H422" s="163" t="s">
        <v>163</v>
      </c>
      <c r="I422" s="163" t="s">
        <v>98</v>
      </c>
      <c r="J422" s="163" t="s">
        <v>147</v>
      </c>
      <c r="K422" s="163" t="s">
        <v>525</v>
      </c>
      <c r="L422" s="163"/>
      <c r="M422" s="163" t="s">
        <v>526</v>
      </c>
      <c r="N422" s="163" t="s">
        <v>102</v>
      </c>
      <c r="O422" s="162"/>
      <c r="P422" s="163"/>
      <c r="Q422" s="163"/>
      <c r="R422" s="163" t="str">
        <f t="shared" ca="1" si="54"/>
        <v/>
      </c>
      <c r="S422" s="163" t="s">
        <v>103</v>
      </c>
      <c r="T422" s="164">
        <v>10000</v>
      </c>
      <c r="U422" s="164">
        <v>13725</v>
      </c>
      <c r="V422" s="177">
        <v>46176</v>
      </c>
      <c r="W422" s="214" t="s">
        <v>779</v>
      </c>
      <c r="X422" s="163" t="s">
        <v>39</v>
      </c>
      <c r="Y422" s="163" t="s">
        <v>85</v>
      </c>
      <c r="Z422" s="163"/>
      <c r="AA422" s="163"/>
      <c r="AB422" s="195" t="str">
        <f t="shared" si="50"/>
        <v>Jun-26</v>
      </c>
      <c r="AC422" s="163"/>
      <c r="AD422" s="163" t="str">
        <f t="shared" si="55"/>
        <v/>
      </c>
      <c r="AE422" s="163"/>
    </row>
    <row r="423" spans="1:31" x14ac:dyDescent="0.35">
      <c r="A423" s="162">
        <v>46176</v>
      </c>
      <c r="B423" s="163" t="s">
        <v>125</v>
      </c>
      <c r="C423" s="163" t="s">
        <v>93</v>
      </c>
      <c r="D423" s="163" t="s">
        <v>19</v>
      </c>
      <c r="E423" s="163" t="s">
        <v>106</v>
      </c>
      <c r="F423" s="163" t="s">
        <v>96</v>
      </c>
      <c r="G423" s="163" t="s">
        <v>10</v>
      </c>
      <c r="H423" s="163" t="s">
        <v>115</v>
      </c>
      <c r="I423" s="163" t="s">
        <v>121</v>
      </c>
      <c r="J423" s="163" t="s">
        <v>99</v>
      </c>
      <c r="K423" s="163" t="s">
        <v>256</v>
      </c>
      <c r="L423" s="163"/>
      <c r="M423" s="163" t="s">
        <v>159</v>
      </c>
      <c r="N423" s="163" t="s">
        <v>102</v>
      </c>
      <c r="O423" s="162"/>
      <c r="P423" s="163"/>
      <c r="Q423" s="163"/>
      <c r="R423" s="163" t="str">
        <f t="shared" ca="1" si="54"/>
        <v/>
      </c>
      <c r="S423" s="163" t="s">
        <v>103</v>
      </c>
      <c r="T423" s="164">
        <v>700000</v>
      </c>
      <c r="U423" s="164">
        <v>637560</v>
      </c>
      <c r="V423" s="177">
        <v>46176</v>
      </c>
      <c r="W423" s="163" t="s">
        <v>780</v>
      </c>
      <c r="X423" s="163" t="s">
        <v>42</v>
      </c>
      <c r="Y423" s="163" t="s">
        <v>85</v>
      </c>
      <c r="Z423" s="163"/>
      <c r="AA423" s="162"/>
      <c r="AB423" s="195" t="str">
        <f t="shared" si="50"/>
        <v>Jun-26</v>
      </c>
      <c r="AC423" s="163"/>
      <c r="AD423" s="163" t="str">
        <f t="shared" si="55"/>
        <v/>
      </c>
      <c r="AE423" s="163"/>
    </row>
    <row r="424" spans="1:31" x14ac:dyDescent="0.35">
      <c r="A424" s="162">
        <v>46176</v>
      </c>
      <c r="B424" s="163" t="s">
        <v>92</v>
      </c>
      <c r="C424" s="163" t="s">
        <v>93</v>
      </c>
      <c r="D424" s="163" t="s">
        <v>19</v>
      </c>
      <c r="E424" s="163" t="s">
        <v>106</v>
      </c>
      <c r="F424" s="163" t="s">
        <v>96</v>
      </c>
      <c r="G424" s="163" t="s">
        <v>10</v>
      </c>
      <c r="H424" s="163" t="s">
        <v>115</v>
      </c>
      <c r="I424" s="163" t="s">
        <v>121</v>
      </c>
      <c r="J424" s="163" t="s">
        <v>99</v>
      </c>
      <c r="K424" s="163" t="s">
        <v>256</v>
      </c>
      <c r="L424" s="163"/>
      <c r="M424" s="163" t="s">
        <v>159</v>
      </c>
      <c r="N424" s="163" t="s">
        <v>102</v>
      </c>
      <c r="O424" s="162"/>
      <c r="P424" s="163"/>
      <c r="Q424" s="163"/>
      <c r="R424" s="163" t="str">
        <f t="shared" ca="1" si="54"/>
        <v/>
      </c>
      <c r="S424" s="163" t="s">
        <v>103</v>
      </c>
      <c r="T424" s="164">
        <v>700000</v>
      </c>
      <c r="U424" s="164">
        <v>637560</v>
      </c>
      <c r="V424" s="177">
        <v>46176</v>
      </c>
      <c r="W424" s="163" t="s">
        <v>780</v>
      </c>
      <c r="X424" s="163" t="s">
        <v>42</v>
      </c>
      <c r="Y424" s="163" t="s">
        <v>85</v>
      </c>
      <c r="Z424" s="163"/>
      <c r="AA424" s="163"/>
      <c r="AB424" s="195" t="str">
        <f t="shared" si="50"/>
        <v>Jun-26</v>
      </c>
      <c r="AC424" s="163"/>
      <c r="AD424" s="163" t="str">
        <f t="shared" si="55"/>
        <v/>
      </c>
      <c r="AE424" s="163"/>
    </row>
    <row r="425" spans="1:31" x14ac:dyDescent="0.35">
      <c r="A425" s="162">
        <v>46176</v>
      </c>
      <c r="B425" s="163" t="s">
        <v>92</v>
      </c>
      <c r="C425" s="163" t="s">
        <v>93</v>
      </c>
      <c r="D425" s="163" t="s">
        <v>182</v>
      </c>
      <c r="E425" s="163" t="s">
        <v>95</v>
      </c>
      <c r="F425" s="163" t="s">
        <v>96</v>
      </c>
      <c r="G425" s="163" t="s">
        <v>15</v>
      </c>
      <c r="H425" s="163" t="s">
        <v>163</v>
      </c>
      <c r="I425" s="163" t="s">
        <v>98</v>
      </c>
      <c r="J425" s="163" t="s">
        <v>99</v>
      </c>
      <c r="K425" s="163" t="s">
        <v>384</v>
      </c>
      <c r="L425" s="163"/>
      <c r="M425" s="163" t="s">
        <v>159</v>
      </c>
      <c r="N425" s="163" t="s">
        <v>102</v>
      </c>
      <c r="O425" s="162"/>
      <c r="P425" s="163"/>
      <c r="Q425" s="163"/>
      <c r="R425" s="163"/>
      <c r="S425" s="163" t="s">
        <v>103</v>
      </c>
      <c r="T425" s="164">
        <v>60000</v>
      </c>
      <c r="U425" s="164">
        <v>38620</v>
      </c>
      <c r="V425" s="177">
        <v>46176</v>
      </c>
      <c r="W425" s="163" t="s">
        <v>781</v>
      </c>
      <c r="X425" s="163" t="s">
        <v>30</v>
      </c>
      <c r="Y425" s="163" t="s">
        <v>85</v>
      </c>
      <c r="Z425" s="163"/>
      <c r="AA425" s="163"/>
      <c r="AB425" s="195" t="str">
        <f t="shared" si="50"/>
        <v>Jun-26</v>
      </c>
      <c r="AC425" s="163"/>
      <c r="AD425" s="163" t="str">
        <f t="shared" si="55"/>
        <v/>
      </c>
      <c r="AE425" s="163"/>
    </row>
    <row r="426" spans="1:31" x14ac:dyDescent="0.35">
      <c r="A426" s="162">
        <v>46176</v>
      </c>
      <c r="B426" s="163" t="s">
        <v>92</v>
      </c>
      <c r="C426" s="163" t="s">
        <v>93</v>
      </c>
      <c r="D426" s="163" t="s">
        <v>782</v>
      </c>
      <c r="E426" s="163" t="s">
        <v>106</v>
      </c>
      <c r="F426" s="163" t="s">
        <v>135</v>
      </c>
      <c r="G426" s="163"/>
      <c r="H426" s="163" t="s">
        <v>115</v>
      </c>
      <c r="I426" s="163" t="s">
        <v>121</v>
      </c>
      <c r="J426" s="163" t="s">
        <v>432</v>
      </c>
      <c r="K426" s="163" t="s">
        <v>256</v>
      </c>
      <c r="L426" s="163"/>
      <c r="M426" s="163" t="s">
        <v>783</v>
      </c>
      <c r="N426" s="163" t="s">
        <v>181</v>
      </c>
      <c r="O426" s="162"/>
      <c r="P426" s="163"/>
      <c r="Q426" s="163">
        <f ca="1">IF(N426="Closed(C4)","",IF(N426="","",TODAY()-A426))</f>
        <v>149</v>
      </c>
      <c r="R426" s="163" t="str">
        <f ca="1">IF(OR(N426="Closed( C4 )",N426="Cancelled"),"",IF(AND(O426&lt;&gt;"",O426&lt;TODAY()),"Yes",""))</f>
        <v/>
      </c>
      <c r="S426" s="163" t="s">
        <v>103</v>
      </c>
      <c r="T426" s="164">
        <v>50000</v>
      </c>
      <c r="U426" s="164"/>
      <c r="V426" s="163"/>
      <c r="W426" s="163"/>
      <c r="X426" s="163"/>
      <c r="Y426" s="163"/>
      <c r="Z426" s="163"/>
      <c r="AA426" s="163"/>
      <c r="AB426" s="195" t="str">
        <f t="shared" si="50"/>
        <v>Jun-26</v>
      </c>
      <c r="AC426" s="163"/>
      <c r="AD426" s="163" t="str">
        <f t="shared" si="55"/>
        <v/>
      </c>
      <c r="AE426" s="163"/>
    </row>
    <row r="427" spans="1:31" x14ac:dyDescent="0.35">
      <c r="A427" s="162">
        <v>46176</v>
      </c>
      <c r="B427" s="163" t="s">
        <v>370</v>
      </c>
      <c r="C427" s="163" t="s">
        <v>93</v>
      </c>
      <c r="D427" s="163" t="s">
        <v>578</v>
      </c>
      <c r="E427" s="163" t="s">
        <v>106</v>
      </c>
      <c r="F427" s="163" t="s">
        <v>135</v>
      </c>
      <c r="G427" s="163"/>
      <c r="H427" s="163" t="s">
        <v>115</v>
      </c>
      <c r="I427" s="163" t="s">
        <v>121</v>
      </c>
      <c r="J427" s="163" t="s">
        <v>432</v>
      </c>
      <c r="K427" s="163" t="s">
        <v>578</v>
      </c>
      <c r="L427" s="163"/>
      <c r="M427" s="163" t="s">
        <v>159</v>
      </c>
      <c r="N427" s="163" t="s">
        <v>102</v>
      </c>
      <c r="O427" s="162"/>
      <c r="P427" s="163"/>
      <c r="Q427" s="163"/>
      <c r="R427" s="163"/>
      <c r="S427" s="163" t="s">
        <v>103</v>
      </c>
      <c r="T427" s="164">
        <v>5000</v>
      </c>
      <c r="U427" s="164">
        <v>973</v>
      </c>
      <c r="V427" s="177">
        <v>46176</v>
      </c>
      <c r="W427" s="163" t="s">
        <v>784</v>
      </c>
      <c r="X427" s="163" t="s">
        <v>56</v>
      </c>
      <c r="Y427" s="163" t="s">
        <v>161</v>
      </c>
      <c r="Z427" s="163"/>
      <c r="AA427" s="177">
        <v>46176</v>
      </c>
      <c r="AB427" s="195" t="str">
        <f t="shared" si="50"/>
        <v>Jun-26</v>
      </c>
      <c r="AC427" s="163"/>
      <c r="AD427" s="163"/>
      <c r="AE427" s="163" t="s">
        <v>270</v>
      </c>
    </row>
    <row r="428" spans="1:31" x14ac:dyDescent="0.35">
      <c r="A428" s="162">
        <v>46176</v>
      </c>
      <c r="B428" s="163" t="s">
        <v>125</v>
      </c>
      <c r="C428" s="163" t="s">
        <v>143</v>
      </c>
      <c r="D428" s="163" t="s">
        <v>441</v>
      </c>
      <c r="E428" s="163" t="s">
        <v>95</v>
      </c>
      <c r="F428" s="163" t="s">
        <v>96</v>
      </c>
      <c r="G428" s="163" t="s">
        <v>12</v>
      </c>
      <c r="H428" s="163" t="s">
        <v>163</v>
      </c>
      <c r="I428" s="163" t="s">
        <v>121</v>
      </c>
      <c r="J428" s="163" t="s">
        <v>99</v>
      </c>
      <c r="K428" s="163" t="s">
        <v>785</v>
      </c>
      <c r="L428" s="163"/>
      <c r="M428" s="163" t="s">
        <v>783</v>
      </c>
      <c r="N428" s="163" t="s">
        <v>130</v>
      </c>
      <c r="O428" s="162">
        <v>46283</v>
      </c>
      <c r="P428" s="163" t="s">
        <v>106</v>
      </c>
      <c r="Q428" s="163">
        <f t="shared" ref="Q428:Q433" ca="1" si="56">IF(N428="Closed(C4)","",IF(N428="","",TODAY()-A428))</f>
        <v>149</v>
      </c>
      <c r="R428" s="163" t="str">
        <f t="shared" ref="R428:R433" ca="1" si="57">IF(OR(N428="Closed( C4 )",N428="Cancelled"),"",IF(AND(O428&lt;&gt;"",O428&lt;TODAY()),"Yes",""))</f>
        <v>Yes</v>
      </c>
      <c r="S428" s="163" t="s">
        <v>129</v>
      </c>
      <c r="T428" s="164"/>
      <c r="U428" s="164"/>
      <c r="V428" s="163"/>
      <c r="W428" s="163"/>
      <c r="X428" s="163"/>
      <c r="Y428" s="163"/>
      <c r="Z428" s="163"/>
      <c r="AA428" s="163"/>
      <c r="AB428" s="195" t="str">
        <f t="shared" si="50"/>
        <v>Jun-26</v>
      </c>
      <c r="AC428" s="163"/>
      <c r="AD428" s="163" t="str">
        <f>IF(AC428="Yes",U428*2%,"")</f>
        <v/>
      </c>
      <c r="AE428" s="163"/>
    </row>
    <row r="429" spans="1:31" x14ac:dyDescent="0.35">
      <c r="A429" s="162">
        <v>46176</v>
      </c>
      <c r="B429" s="163" t="s">
        <v>125</v>
      </c>
      <c r="C429" s="163" t="s">
        <v>113</v>
      </c>
      <c r="D429" s="163" t="s">
        <v>786</v>
      </c>
      <c r="E429" s="163" t="s">
        <v>106</v>
      </c>
      <c r="F429" s="163" t="s">
        <v>96</v>
      </c>
      <c r="G429" s="163" t="s">
        <v>13</v>
      </c>
      <c r="H429" s="163" t="s">
        <v>226</v>
      </c>
      <c r="I429" s="163" t="s">
        <v>121</v>
      </c>
      <c r="J429" s="163" t="s">
        <v>99</v>
      </c>
      <c r="K429" s="163" t="s">
        <v>361</v>
      </c>
      <c r="L429" s="163"/>
      <c r="M429" s="163" t="s">
        <v>783</v>
      </c>
      <c r="N429" s="163" t="s">
        <v>130</v>
      </c>
      <c r="O429" s="162">
        <v>46283</v>
      </c>
      <c r="P429" s="163" t="s">
        <v>95</v>
      </c>
      <c r="Q429" s="163">
        <f t="shared" ca="1" si="56"/>
        <v>149</v>
      </c>
      <c r="R429" s="163" t="str">
        <f t="shared" ca="1" si="57"/>
        <v>Yes</v>
      </c>
      <c r="S429" s="163" t="s">
        <v>129</v>
      </c>
      <c r="T429" s="164"/>
      <c r="U429" s="164"/>
      <c r="V429" s="163"/>
      <c r="W429" s="163"/>
      <c r="X429" s="163"/>
      <c r="Y429" s="163"/>
      <c r="Z429" s="163"/>
      <c r="AA429" s="163"/>
      <c r="AB429" s="195" t="str">
        <f t="shared" si="50"/>
        <v>Jun-26</v>
      </c>
      <c r="AC429" s="163"/>
      <c r="AD429" s="163" t="str">
        <f>IF(AC429="Yes",U429*2%,"")</f>
        <v/>
      </c>
      <c r="AE429" s="163"/>
    </row>
    <row r="430" spans="1:31" x14ac:dyDescent="0.35">
      <c r="A430" s="162">
        <v>46176</v>
      </c>
      <c r="B430" s="163" t="s">
        <v>125</v>
      </c>
      <c r="C430" s="163" t="s">
        <v>113</v>
      </c>
      <c r="D430" s="163" t="s">
        <v>165</v>
      </c>
      <c r="E430" s="163" t="s">
        <v>95</v>
      </c>
      <c r="F430" s="163" t="s">
        <v>135</v>
      </c>
      <c r="G430" s="163"/>
      <c r="H430" s="163" t="s">
        <v>115</v>
      </c>
      <c r="I430" s="163" t="s">
        <v>98</v>
      </c>
      <c r="J430" s="163" t="s">
        <v>166</v>
      </c>
      <c r="K430" s="163" t="s">
        <v>167</v>
      </c>
      <c r="L430" s="163"/>
      <c r="M430" s="163" t="s">
        <v>159</v>
      </c>
      <c r="N430" s="163" t="s">
        <v>102</v>
      </c>
      <c r="O430" s="162"/>
      <c r="P430" s="163"/>
      <c r="Q430" s="163" t="str">
        <f t="shared" ca="1" si="56"/>
        <v/>
      </c>
      <c r="R430" s="163" t="str">
        <f t="shared" ca="1" si="57"/>
        <v/>
      </c>
      <c r="S430" s="163" t="s">
        <v>103</v>
      </c>
      <c r="T430" s="164">
        <v>20000</v>
      </c>
      <c r="U430" s="164">
        <v>22916</v>
      </c>
      <c r="V430" s="162">
        <v>46176</v>
      </c>
      <c r="W430" s="163" t="s">
        <v>787</v>
      </c>
      <c r="X430" s="163" t="s">
        <v>35</v>
      </c>
      <c r="Y430" s="163" t="s">
        <v>85</v>
      </c>
      <c r="Z430" s="163"/>
      <c r="AA430" s="162"/>
      <c r="AB430" s="195" t="str">
        <f t="shared" si="50"/>
        <v>Jun-26</v>
      </c>
      <c r="AC430" s="163"/>
      <c r="AD430" s="163" t="str">
        <f>IF(AC430="Yes",U430*2%,"")</f>
        <v/>
      </c>
      <c r="AE430" s="163"/>
    </row>
    <row r="431" spans="1:31" x14ac:dyDescent="0.35">
      <c r="A431" s="162">
        <v>46176</v>
      </c>
      <c r="B431" s="163" t="s">
        <v>92</v>
      </c>
      <c r="C431" s="163" t="s">
        <v>113</v>
      </c>
      <c r="D431" s="163" t="s">
        <v>114</v>
      </c>
      <c r="E431" s="163" t="s">
        <v>95</v>
      </c>
      <c r="F431" s="163" t="s">
        <v>96</v>
      </c>
      <c r="G431" s="163" t="s">
        <v>10</v>
      </c>
      <c r="H431" s="163" t="s">
        <v>115</v>
      </c>
      <c r="I431" s="163" t="s">
        <v>98</v>
      </c>
      <c r="J431" s="163" t="s">
        <v>116</v>
      </c>
      <c r="K431" s="163" t="s">
        <v>117</v>
      </c>
      <c r="L431" s="163"/>
      <c r="M431" s="163" t="s">
        <v>788</v>
      </c>
      <c r="N431" s="163" t="s">
        <v>102</v>
      </c>
      <c r="O431" s="162"/>
      <c r="P431" s="163"/>
      <c r="Q431" s="163" t="str">
        <f t="shared" ca="1" si="56"/>
        <v/>
      </c>
      <c r="R431" s="163" t="str">
        <f t="shared" ca="1" si="57"/>
        <v/>
      </c>
      <c r="S431" s="163" t="s">
        <v>103</v>
      </c>
      <c r="T431" s="164">
        <v>22687</v>
      </c>
      <c r="U431" s="164">
        <v>22916</v>
      </c>
      <c r="V431" s="162">
        <v>46176</v>
      </c>
      <c r="W431" s="163" t="s">
        <v>787</v>
      </c>
      <c r="X431" s="163" t="s">
        <v>35</v>
      </c>
      <c r="Y431" s="163" t="s">
        <v>85</v>
      </c>
      <c r="Z431" s="163"/>
      <c r="AA431" s="163"/>
      <c r="AB431" s="195" t="str">
        <f t="shared" si="50"/>
        <v>Jun-26</v>
      </c>
      <c r="AC431" s="163"/>
      <c r="AD431" s="163"/>
      <c r="AE431" s="163"/>
    </row>
    <row r="432" spans="1:31" x14ac:dyDescent="0.35">
      <c r="A432" s="162">
        <v>46177</v>
      </c>
      <c r="B432" s="163" t="s">
        <v>370</v>
      </c>
      <c r="C432" s="163" t="s">
        <v>93</v>
      </c>
      <c r="D432" s="163" t="s">
        <v>146</v>
      </c>
      <c r="E432" s="163" t="s">
        <v>106</v>
      </c>
      <c r="F432" s="163" t="s">
        <v>135</v>
      </c>
      <c r="G432" s="163"/>
      <c r="H432" s="163" t="s">
        <v>115</v>
      </c>
      <c r="I432" s="163" t="s">
        <v>121</v>
      </c>
      <c r="J432" s="163" t="s">
        <v>147</v>
      </c>
      <c r="K432" s="163" t="s">
        <v>525</v>
      </c>
      <c r="L432" s="163"/>
      <c r="M432" s="163" t="s">
        <v>159</v>
      </c>
      <c r="N432" s="163" t="s">
        <v>102</v>
      </c>
      <c r="O432" s="162"/>
      <c r="P432" s="163"/>
      <c r="Q432" s="163" t="str">
        <f t="shared" ca="1" si="56"/>
        <v/>
      </c>
      <c r="R432" s="163" t="str">
        <f t="shared" ca="1" si="57"/>
        <v/>
      </c>
      <c r="S432" s="163" t="s">
        <v>103</v>
      </c>
      <c r="T432" s="164">
        <v>10000</v>
      </c>
      <c r="U432" s="164">
        <v>8005</v>
      </c>
      <c r="V432" s="177">
        <v>46177</v>
      </c>
      <c r="W432" s="163" t="s">
        <v>789</v>
      </c>
      <c r="X432" s="163" t="s">
        <v>26</v>
      </c>
      <c r="Y432" s="163" t="s">
        <v>161</v>
      </c>
      <c r="Z432" s="163"/>
      <c r="AA432" s="177">
        <v>46177</v>
      </c>
      <c r="AB432" s="195" t="str">
        <f t="shared" si="50"/>
        <v>Jun-26</v>
      </c>
      <c r="AC432" s="163"/>
      <c r="AD432" s="163" t="str">
        <f t="shared" ref="AD432:AD446" si="58">IF(AC432="Yes",U432*2%,"")</f>
        <v/>
      </c>
      <c r="AE432" s="163" t="s">
        <v>270</v>
      </c>
    </row>
    <row r="433" spans="1:31" x14ac:dyDescent="0.35">
      <c r="A433" s="162">
        <v>46177</v>
      </c>
      <c r="B433" s="163" t="s">
        <v>370</v>
      </c>
      <c r="C433" s="163" t="s">
        <v>93</v>
      </c>
      <c r="D433" s="163" t="s">
        <v>431</v>
      </c>
      <c r="E433" s="163" t="s">
        <v>106</v>
      </c>
      <c r="F433" s="163" t="s">
        <v>135</v>
      </c>
      <c r="G433" s="163"/>
      <c r="H433" s="163" t="s">
        <v>115</v>
      </c>
      <c r="I433" s="163" t="s">
        <v>121</v>
      </c>
      <c r="J433" s="163" t="s">
        <v>147</v>
      </c>
      <c r="K433" s="163" t="s">
        <v>790</v>
      </c>
      <c r="L433" s="163"/>
      <c r="M433" s="163" t="s">
        <v>159</v>
      </c>
      <c r="N433" s="163" t="s">
        <v>102</v>
      </c>
      <c r="O433" s="162"/>
      <c r="P433" s="163"/>
      <c r="Q433" s="163" t="str">
        <f t="shared" ca="1" si="56"/>
        <v/>
      </c>
      <c r="R433" s="163" t="str">
        <f t="shared" ca="1" si="57"/>
        <v/>
      </c>
      <c r="S433" s="163" t="s">
        <v>103</v>
      </c>
      <c r="T433" s="164">
        <v>15000</v>
      </c>
      <c r="U433" s="164">
        <v>5553</v>
      </c>
      <c r="V433" s="177">
        <v>46177</v>
      </c>
      <c r="W433" s="163" t="s">
        <v>791</v>
      </c>
      <c r="X433" s="163" t="s">
        <v>45</v>
      </c>
      <c r="Y433" s="163" t="s">
        <v>161</v>
      </c>
      <c r="Z433" s="163"/>
      <c r="AA433" s="177">
        <v>46177</v>
      </c>
      <c r="AB433" s="195" t="str">
        <f t="shared" si="50"/>
        <v>Jun-26</v>
      </c>
      <c r="AC433" s="163"/>
      <c r="AD433" s="163" t="str">
        <f t="shared" si="58"/>
        <v/>
      </c>
      <c r="AE433" s="163" t="s">
        <v>270</v>
      </c>
    </row>
    <row r="434" spans="1:31" x14ac:dyDescent="0.35">
      <c r="A434" s="162">
        <v>46177</v>
      </c>
      <c r="B434" s="163" t="s">
        <v>92</v>
      </c>
      <c r="C434" s="163" t="s">
        <v>93</v>
      </c>
      <c r="D434" s="163" t="s">
        <v>182</v>
      </c>
      <c r="E434" s="163" t="s">
        <v>95</v>
      </c>
      <c r="F434" s="163" t="s">
        <v>96</v>
      </c>
      <c r="G434" s="163" t="s">
        <v>15</v>
      </c>
      <c r="H434" s="163" t="s">
        <v>163</v>
      </c>
      <c r="I434" s="163" t="s">
        <v>98</v>
      </c>
      <c r="J434" s="163" t="s">
        <v>99</v>
      </c>
      <c r="K434" s="163" t="s">
        <v>384</v>
      </c>
      <c r="L434" s="163"/>
      <c r="M434" s="163" t="s">
        <v>159</v>
      </c>
      <c r="N434" s="163" t="s">
        <v>102</v>
      </c>
      <c r="O434" s="162"/>
      <c r="P434" s="163"/>
      <c r="Q434" s="163"/>
      <c r="R434" s="163"/>
      <c r="S434" s="163" t="s">
        <v>103</v>
      </c>
      <c r="T434" s="164">
        <v>60000</v>
      </c>
      <c r="U434" s="164">
        <v>58650</v>
      </c>
      <c r="V434" s="162">
        <v>46177</v>
      </c>
      <c r="W434" s="163" t="s">
        <v>792</v>
      </c>
      <c r="X434" s="163" t="s">
        <v>30</v>
      </c>
      <c r="Y434" s="163" t="s">
        <v>85</v>
      </c>
      <c r="Z434" s="163"/>
      <c r="AA434" s="163"/>
      <c r="AB434" s="195" t="str">
        <f t="shared" si="50"/>
        <v>Jun-26</v>
      </c>
      <c r="AC434" s="163"/>
      <c r="AD434" s="163" t="str">
        <f t="shared" si="58"/>
        <v/>
      </c>
      <c r="AE434" s="163" t="s">
        <v>270</v>
      </c>
    </row>
    <row r="435" spans="1:31" x14ac:dyDescent="0.35">
      <c r="A435" s="162">
        <v>46177</v>
      </c>
      <c r="B435" s="163" t="s">
        <v>92</v>
      </c>
      <c r="C435" s="163" t="s">
        <v>93</v>
      </c>
      <c r="D435" s="163" t="s">
        <v>793</v>
      </c>
      <c r="E435" s="163" t="s">
        <v>106</v>
      </c>
      <c r="F435" s="163" t="s">
        <v>135</v>
      </c>
      <c r="G435" s="163"/>
      <c r="H435" s="163" t="s">
        <v>115</v>
      </c>
      <c r="I435" s="163" t="s">
        <v>121</v>
      </c>
      <c r="J435" s="163" t="s">
        <v>432</v>
      </c>
      <c r="K435" s="163" t="s">
        <v>794</v>
      </c>
      <c r="L435" s="163"/>
      <c r="M435" s="163" t="s">
        <v>575</v>
      </c>
      <c r="N435" s="163" t="s">
        <v>181</v>
      </c>
      <c r="O435" s="162"/>
      <c r="P435" s="163"/>
      <c r="Q435" s="163">
        <f ca="1">IF(N435="Closed(C4)","",IF(N435="","",TODAY()-A435))</f>
        <v>148</v>
      </c>
      <c r="R435" s="163" t="str">
        <f ca="1">IF(OR(N435="Closed( C4 )",N435="Cancelled"),"",IF(AND(O435&lt;&gt;"",O435&lt;TODAY()),"Yes",""))</f>
        <v/>
      </c>
      <c r="S435" s="163" t="s">
        <v>133</v>
      </c>
      <c r="T435" s="164">
        <v>50000</v>
      </c>
      <c r="U435" s="164"/>
      <c r="V435" s="163"/>
      <c r="W435" s="163"/>
      <c r="X435" s="163"/>
      <c r="Y435" s="163"/>
      <c r="Z435" s="163"/>
      <c r="AA435" s="163"/>
      <c r="AB435" s="195" t="str">
        <f t="shared" si="50"/>
        <v>Jun-26</v>
      </c>
      <c r="AC435" s="163"/>
      <c r="AD435" s="163" t="str">
        <f t="shared" si="58"/>
        <v/>
      </c>
      <c r="AE435" s="163"/>
    </row>
    <row r="436" spans="1:31" x14ac:dyDescent="0.35">
      <c r="A436" s="162">
        <v>46177</v>
      </c>
      <c r="B436" s="163" t="s">
        <v>370</v>
      </c>
      <c r="C436" s="163" t="s">
        <v>93</v>
      </c>
      <c r="D436" s="163" t="s">
        <v>532</v>
      </c>
      <c r="E436" s="163" t="s">
        <v>106</v>
      </c>
      <c r="F436" s="163" t="s">
        <v>135</v>
      </c>
      <c r="G436" s="163"/>
      <c r="H436" s="163" t="s">
        <v>115</v>
      </c>
      <c r="I436" s="163" t="s">
        <v>121</v>
      </c>
      <c r="J436" s="163" t="s">
        <v>432</v>
      </c>
      <c r="K436" s="163" t="s">
        <v>533</v>
      </c>
      <c r="L436" s="163"/>
      <c r="M436" s="163" t="s">
        <v>795</v>
      </c>
      <c r="N436" s="163" t="s">
        <v>181</v>
      </c>
      <c r="O436" s="162"/>
      <c r="P436" s="163"/>
      <c r="Q436" s="163">
        <f ca="1">IF(N436="Closed(C4)","",IF(N436="","",TODAY()-A436))</f>
        <v>148</v>
      </c>
      <c r="R436" s="163" t="str">
        <f ca="1">IF(OR(N436="Closed( C4 )",N436="Cancelled"),"",IF(AND(O436&lt;&gt;"",O436&lt;TODAY()),"Yes",""))</f>
        <v/>
      </c>
      <c r="S436" s="163" t="s">
        <v>103</v>
      </c>
      <c r="T436" s="164">
        <v>280000</v>
      </c>
      <c r="U436" s="164"/>
      <c r="V436" s="163"/>
      <c r="W436" s="163"/>
      <c r="X436" s="163"/>
      <c r="Y436" s="163"/>
      <c r="Z436" s="163"/>
      <c r="AA436" s="163"/>
      <c r="AB436" s="195" t="str">
        <f t="shared" si="50"/>
        <v>Jun-26</v>
      </c>
      <c r="AC436" s="163"/>
      <c r="AD436" s="163" t="str">
        <f t="shared" si="58"/>
        <v/>
      </c>
      <c r="AE436" s="163"/>
    </row>
    <row r="437" spans="1:31" x14ac:dyDescent="0.35">
      <c r="A437" s="162">
        <v>46177</v>
      </c>
      <c r="B437" s="163" t="s">
        <v>370</v>
      </c>
      <c r="C437" s="163" t="s">
        <v>93</v>
      </c>
      <c r="D437" s="163" t="s">
        <v>796</v>
      </c>
      <c r="E437" s="163" t="s">
        <v>106</v>
      </c>
      <c r="F437" s="163" t="s">
        <v>135</v>
      </c>
      <c r="G437" s="163"/>
      <c r="H437" s="163" t="s">
        <v>115</v>
      </c>
      <c r="I437" s="163" t="s">
        <v>121</v>
      </c>
      <c r="J437" s="163" t="s">
        <v>698</v>
      </c>
      <c r="K437" s="163" t="s">
        <v>577</v>
      </c>
      <c r="L437" s="163"/>
      <c r="M437" s="163" t="s">
        <v>575</v>
      </c>
      <c r="N437" s="163" t="s">
        <v>181</v>
      </c>
      <c r="O437" s="162">
        <v>46256</v>
      </c>
      <c r="P437" s="163" t="s">
        <v>95</v>
      </c>
      <c r="Q437" s="163">
        <f ca="1">IF(N437="Closed(C4)","",IF(N437="","",TODAY()-A437))</f>
        <v>148</v>
      </c>
      <c r="R437" s="163" t="str">
        <f ca="1">IF(OR(N437="Closed( C4 )",N437="Cancelled"),"",IF(AND(O437&lt;&gt;"",O437&lt;TODAY()),"Yes",""))</f>
        <v/>
      </c>
      <c r="S437" s="163" t="s">
        <v>129</v>
      </c>
      <c r="T437" s="164">
        <v>55000</v>
      </c>
      <c r="U437" s="164"/>
      <c r="V437" s="163"/>
      <c r="W437" s="163"/>
      <c r="X437" s="163"/>
      <c r="Y437" s="163"/>
      <c r="Z437" s="163"/>
      <c r="AA437" s="163"/>
      <c r="AB437" s="195" t="str">
        <f t="shared" si="50"/>
        <v>Jun-26</v>
      </c>
      <c r="AC437" s="163"/>
      <c r="AD437" s="163" t="str">
        <f t="shared" si="58"/>
        <v/>
      </c>
      <c r="AE437" s="163"/>
    </row>
    <row r="438" spans="1:31" x14ac:dyDescent="0.35">
      <c r="A438" s="162">
        <v>46177</v>
      </c>
      <c r="B438" s="163" t="s">
        <v>370</v>
      </c>
      <c r="C438" s="163" t="s">
        <v>93</v>
      </c>
      <c r="D438" s="189" t="s">
        <v>797</v>
      </c>
      <c r="E438" s="163" t="s">
        <v>106</v>
      </c>
      <c r="F438" s="163" t="s">
        <v>135</v>
      </c>
      <c r="G438" s="163"/>
      <c r="H438" s="163" t="s">
        <v>115</v>
      </c>
      <c r="I438" s="163" t="s">
        <v>121</v>
      </c>
      <c r="J438" s="163" t="s">
        <v>356</v>
      </c>
      <c r="K438" s="163" t="s">
        <v>798</v>
      </c>
      <c r="L438" s="163"/>
      <c r="M438" s="163" t="s">
        <v>575</v>
      </c>
      <c r="N438" s="163" t="s">
        <v>181</v>
      </c>
      <c r="O438" s="162"/>
      <c r="P438" s="163"/>
      <c r="Q438" s="163">
        <f ca="1">IF(N438="Closed(C4)","",IF(N438="","",TODAY()-A438))</f>
        <v>148</v>
      </c>
      <c r="R438" s="163" t="str">
        <f ca="1">IF(OR(N438="Closed( C4 )",N438="Cancelled"),"",IF(AND(O438&lt;&gt;"",O438&lt;TODAY()),"Yes",""))</f>
        <v/>
      </c>
      <c r="S438" s="163" t="s">
        <v>129</v>
      </c>
      <c r="T438" s="164">
        <v>60000</v>
      </c>
      <c r="U438" s="164"/>
      <c r="V438" s="163"/>
      <c r="W438" s="163"/>
      <c r="X438" s="163"/>
      <c r="Y438" s="163"/>
      <c r="Z438" s="163"/>
      <c r="AA438" s="163"/>
      <c r="AB438" s="195" t="str">
        <f t="shared" si="50"/>
        <v>Jun-26</v>
      </c>
      <c r="AC438" s="163"/>
      <c r="AD438" s="163" t="str">
        <f t="shared" si="58"/>
        <v/>
      </c>
      <c r="AE438" s="163"/>
    </row>
    <row r="439" spans="1:31" x14ac:dyDescent="0.35">
      <c r="A439" s="162">
        <v>46178</v>
      </c>
      <c r="B439" s="163" t="s">
        <v>92</v>
      </c>
      <c r="C439" s="163" t="s">
        <v>93</v>
      </c>
      <c r="D439" s="163" t="s">
        <v>182</v>
      </c>
      <c r="E439" s="163" t="s">
        <v>95</v>
      </c>
      <c r="F439" s="163" t="s">
        <v>96</v>
      </c>
      <c r="G439" s="163" t="s">
        <v>15</v>
      </c>
      <c r="H439" s="163" t="s">
        <v>163</v>
      </c>
      <c r="I439" s="163" t="s">
        <v>98</v>
      </c>
      <c r="J439" s="163" t="s">
        <v>99</v>
      </c>
      <c r="K439" s="163" t="s">
        <v>384</v>
      </c>
      <c r="L439" s="163"/>
      <c r="M439" s="163" t="s">
        <v>159</v>
      </c>
      <c r="N439" s="163" t="s">
        <v>181</v>
      </c>
      <c r="O439" s="162"/>
      <c r="P439" s="163"/>
      <c r="Q439" s="163"/>
      <c r="R439" s="163"/>
      <c r="S439" s="163" t="s">
        <v>103</v>
      </c>
      <c r="T439" s="164">
        <v>60000</v>
      </c>
      <c r="U439" s="164">
        <v>65940</v>
      </c>
      <c r="V439" s="162">
        <v>46178</v>
      </c>
      <c r="W439" s="163" t="s">
        <v>799</v>
      </c>
      <c r="X439" s="163" t="s">
        <v>30</v>
      </c>
      <c r="Y439" s="163" t="s">
        <v>85</v>
      </c>
      <c r="Z439" s="163"/>
      <c r="AA439" s="163"/>
      <c r="AB439" s="195" t="str">
        <f t="shared" si="50"/>
        <v>Jun-26</v>
      </c>
      <c r="AC439" s="163"/>
      <c r="AD439" s="163" t="str">
        <f t="shared" si="58"/>
        <v/>
      </c>
      <c r="AE439" s="163"/>
    </row>
    <row r="440" spans="1:31" x14ac:dyDescent="0.35">
      <c r="A440" s="162">
        <v>46178</v>
      </c>
      <c r="B440" s="163" t="s">
        <v>125</v>
      </c>
      <c r="C440" s="163" t="s">
        <v>93</v>
      </c>
      <c r="D440" s="163" t="s">
        <v>19</v>
      </c>
      <c r="E440" s="163" t="s">
        <v>106</v>
      </c>
      <c r="F440" s="163" t="s">
        <v>96</v>
      </c>
      <c r="G440" s="163" t="s">
        <v>10</v>
      </c>
      <c r="H440" s="163" t="s">
        <v>115</v>
      </c>
      <c r="I440" s="163" t="s">
        <v>121</v>
      </c>
      <c r="J440" s="163" t="s">
        <v>99</v>
      </c>
      <c r="K440" s="163" t="s">
        <v>256</v>
      </c>
      <c r="L440" s="163"/>
      <c r="M440" s="163" t="s">
        <v>783</v>
      </c>
      <c r="N440" s="163" t="s">
        <v>156</v>
      </c>
      <c r="O440" s="162"/>
      <c r="P440" s="163"/>
      <c r="Q440" s="163"/>
      <c r="R440" s="163" t="str">
        <f t="shared" ref="R440:R445" ca="1" si="59">IF(OR(N440="Closed( C4 )",N440="Cancelled"),"",IF(AND(O440&lt;&gt;"",O440&lt;TODAY()),"Yes",""))</f>
        <v/>
      </c>
      <c r="S440" s="163" t="s">
        <v>103</v>
      </c>
      <c r="T440" s="164"/>
      <c r="U440" s="164"/>
      <c r="V440" s="162"/>
      <c r="W440" s="163"/>
      <c r="X440" s="163"/>
      <c r="Y440" s="163"/>
      <c r="Z440" s="163"/>
      <c r="AA440" s="163"/>
      <c r="AB440" s="195" t="str">
        <f t="shared" si="50"/>
        <v>Jun-26</v>
      </c>
      <c r="AC440" s="163"/>
      <c r="AD440" s="163" t="str">
        <f t="shared" si="58"/>
        <v/>
      </c>
      <c r="AE440" s="163"/>
    </row>
    <row r="441" spans="1:31" x14ac:dyDescent="0.35">
      <c r="A441" s="162">
        <v>46178</v>
      </c>
      <c r="B441" s="163" t="s">
        <v>370</v>
      </c>
      <c r="C441" s="163" t="s">
        <v>93</v>
      </c>
      <c r="D441" s="163" t="s">
        <v>800</v>
      </c>
      <c r="E441" s="163" t="s">
        <v>106</v>
      </c>
      <c r="F441" s="163" t="s">
        <v>135</v>
      </c>
      <c r="G441" s="163"/>
      <c r="H441" s="163" t="s">
        <v>115</v>
      </c>
      <c r="I441" s="163" t="s">
        <v>121</v>
      </c>
      <c r="J441" s="163" t="s">
        <v>432</v>
      </c>
      <c r="K441" s="163" t="s">
        <v>801</v>
      </c>
      <c r="L441" s="163"/>
      <c r="M441" s="163" t="s">
        <v>575</v>
      </c>
      <c r="N441" s="163" t="s">
        <v>181</v>
      </c>
      <c r="O441" s="162">
        <v>46256</v>
      </c>
      <c r="P441" s="163" t="s">
        <v>95</v>
      </c>
      <c r="Q441" s="163">
        <f ca="1">IF(N441="Closed(C4)","",IF(N441="","",TODAY()-A441))</f>
        <v>147</v>
      </c>
      <c r="R441" s="163" t="str">
        <f t="shared" ca="1" si="59"/>
        <v/>
      </c>
      <c r="S441" s="163" t="s">
        <v>129</v>
      </c>
      <c r="T441" s="164">
        <v>100000</v>
      </c>
      <c r="U441" s="164"/>
      <c r="V441" s="163"/>
      <c r="W441" s="163"/>
      <c r="X441" s="163"/>
      <c r="Y441" s="163"/>
      <c r="Z441" s="163"/>
      <c r="AA441" s="163"/>
      <c r="AB441" s="195" t="str">
        <f t="shared" si="50"/>
        <v>Jun-26</v>
      </c>
      <c r="AC441" s="163"/>
      <c r="AD441" s="163" t="str">
        <f t="shared" si="58"/>
        <v/>
      </c>
      <c r="AE441" s="163"/>
    </row>
    <row r="442" spans="1:31" x14ac:dyDescent="0.35">
      <c r="A442" s="162">
        <v>46178</v>
      </c>
      <c r="B442" s="163" t="s">
        <v>370</v>
      </c>
      <c r="C442" s="163" t="s">
        <v>93</v>
      </c>
      <c r="D442" s="163" t="s">
        <v>802</v>
      </c>
      <c r="E442" s="163" t="s">
        <v>106</v>
      </c>
      <c r="F442" s="163" t="s">
        <v>135</v>
      </c>
      <c r="G442" s="163"/>
      <c r="H442" s="163" t="s">
        <v>115</v>
      </c>
      <c r="I442" s="163" t="s">
        <v>121</v>
      </c>
      <c r="J442" s="163" t="s">
        <v>432</v>
      </c>
      <c r="K442" s="163" t="s">
        <v>533</v>
      </c>
      <c r="L442" s="163"/>
      <c r="M442" s="163" t="s">
        <v>803</v>
      </c>
      <c r="N442" s="163" t="s">
        <v>181</v>
      </c>
      <c r="O442" s="162"/>
      <c r="P442" s="163"/>
      <c r="Q442" s="163">
        <f ca="1">IF(N442="Closed(C4)","",IF(N442="","",TODAY()-A442))</f>
        <v>147</v>
      </c>
      <c r="R442" s="163" t="str">
        <f t="shared" ca="1" si="59"/>
        <v/>
      </c>
      <c r="S442" s="163" t="s">
        <v>103</v>
      </c>
      <c r="T442" s="164">
        <v>250000</v>
      </c>
      <c r="U442" s="164"/>
      <c r="V442" s="163"/>
      <c r="W442" s="163"/>
      <c r="X442" s="163"/>
      <c r="Y442" s="163"/>
      <c r="Z442" s="163"/>
      <c r="AA442" s="163"/>
      <c r="AB442" s="195" t="str">
        <f t="shared" si="50"/>
        <v>Jun-26</v>
      </c>
      <c r="AC442" s="163"/>
      <c r="AD442" s="163" t="str">
        <f t="shared" si="58"/>
        <v/>
      </c>
      <c r="AE442" s="163"/>
    </row>
    <row r="443" spans="1:31" x14ac:dyDescent="0.35">
      <c r="A443" s="162">
        <v>46178</v>
      </c>
      <c r="B443" s="163" t="s">
        <v>370</v>
      </c>
      <c r="C443" s="163" t="s">
        <v>93</v>
      </c>
      <c r="D443" s="163" t="s">
        <v>804</v>
      </c>
      <c r="E443" s="163" t="s">
        <v>106</v>
      </c>
      <c r="F443" s="163" t="s">
        <v>135</v>
      </c>
      <c r="G443" s="163"/>
      <c r="H443" s="163" t="s">
        <v>115</v>
      </c>
      <c r="I443" s="163" t="s">
        <v>121</v>
      </c>
      <c r="J443" s="163" t="s">
        <v>147</v>
      </c>
      <c r="K443" s="163" t="s">
        <v>423</v>
      </c>
      <c r="L443" s="163"/>
      <c r="M443" s="163" t="s">
        <v>575</v>
      </c>
      <c r="N443" s="163" t="s">
        <v>181</v>
      </c>
      <c r="O443" s="162"/>
      <c r="P443" s="163"/>
      <c r="Q443" s="163">
        <f ca="1">IF(N443="Closed(C4)","",IF(N443="","",TODAY()-A443))</f>
        <v>147</v>
      </c>
      <c r="R443" s="163" t="str">
        <f t="shared" ca="1" si="59"/>
        <v/>
      </c>
      <c r="S443" s="163" t="s">
        <v>129</v>
      </c>
      <c r="T443" s="164">
        <v>60000</v>
      </c>
      <c r="U443" s="164"/>
      <c r="V443" s="163"/>
      <c r="W443" s="163"/>
      <c r="X443" s="163"/>
      <c r="Y443" s="163"/>
      <c r="Z443" s="163"/>
      <c r="AA443" s="163"/>
      <c r="AB443" s="195" t="str">
        <f t="shared" si="50"/>
        <v>Jun-26</v>
      </c>
      <c r="AC443" s="163"/>
      <c r="AD443" s="163" t="str">
        <f t="shared" si="58"/>
        <v/>
      </c>
      <c r="AE443" s="163"/>
    </row>
    <row r="444" spans="1:31" x14ac:dyDescent="0.35">
      <c r="A444" s="162">
        <v>46178</v>
      </c>
      <c r="B444" s="163" t="s">
        <v>370</v>
      </c>
      <c r="C444" s="163" t="s">
        <v>93</v>
      </c>
      <c r="D444" s="163" t="s">
        <v>805</v>
      </c>
      <c r="E444" s="163" t="s">
        <v>106</v>
      </c>
      <c r="F444" s="163" t="s">
        <v>135</v>
      </c>
      <c r="G444" s="163"/>
      <c r="H444" s="163" t="s">
        <v>115</v>
      </c>
      <c r="I444" s="163" t="s">
        <v>121</v>
      </c>
      <c r="J444" s="163" t="s">
        <v>432</v>
      </c>
      <c r="K444" s="163" t="s">
        <v>423</v>
      </c>
      <c r="L444" s="163"/>
      <c r="M444" s="163" t="s">
        <v>575</v>
      </c>
      <c r="N444" s="163" t="s">
        <v>181</v>
      </c>
      <c r="O444" s="162"/>
      <c r="P444" s="163"/>
      <c r="Q444" s="163">
        <f ca="1">IF(N444="Closed(C4)","",IF(N444="","",TODAY()-A444))</f>
        <v>147</v>
      </c>
      <c r="R444" s="163" t="str">
        <f t="shared" ca="1" si="59"/>
        <v/>
      </c>
      <c r="S444" s="163" t="s">
        <v>133</v>
      </c>
      <c r="T444" s="164">
        <v>50000</v>
      </c>
      <c r="U444" s="164"/>
      <c r="V444" s="163"/>
      <c r="W444" s="163"/>
      <c r="X444" s="163"/>
      <c r="Y444" s="163"/>
      <c r="Z444" s="163"/>
      <c r="AA444" s="163"/>
      <c r="AB444" s="195" t="str">
        <f t="shared" si="50"/>
        <v>Jun-26</v>
      </c>
      <c r="AC444" s="163"/>
      <c r="AD444" s="163" t="str">
        <f t="shared" si="58"/>
        <v/>
      </c>
      <c r="AE444" s="163"/>
    </row>
    <row r="445" spans="1:31" x14ac:dyDescent="0.35">
      <c r="A445" s="162">
        <v>46178</v>
      </c>
      <c r="B445" s="163" t="s">
        <v>370</v>
      </c>
      <c r="C445" s="163" t="s">
        <v>93</v>
      </c>
      <c r="D445" s="163" t="s">
        <v>806</v>
      </c>
      <c r="E445" s="163" t="s">
        <v>106</v>
      </c>
      <c r="F445" s="163" t="s">
        <v>135</v>
      </c>
      <c r="G445" s="163"/>
      <c r="H445" s="163" t="s">
        <v>115</v>
      </c>
      <c r="I445" s="163" t="s">
        <v>121</v>
      </c>
      <c r="J445" s="163" t="s">
        <v>147</v>
      </c>
      <c r="K445" s="163" t="s">
        <v>807</v>
      </c>
      <c r="L445" s="163"/>
      <c r="M445" s="163" t="s">
        <v>575</v>
      </c>
      <c r="N445" s="163" t="s">
        <v>181</v>
      </c>
      <c r="O445" s="162"/>
      <c r="P445" s="163"/>
      <c r="Q445" s="163">
        <f ca="1">IF(N445="Closed(C4)","",IF(N445="","",TODAY()-A445))</f>
        <v>147</v>
      </c>
      <c r="R445" s="163" t="str">
        <f t="shared" ca="1" si="59"/>
        <v/>
      </c>
      <c r="S445" s="163" t="s">
        <v>133</v>
      </c>
      <c r="T445" s="164">
        <v>50000</v>
      </c>
      <c r="U445" s="164"/>
      <c r="V445" s="163"/>
      <c r="W445" s="163"/>
      <c r="X445" s="163"/>
      <c r="Y445" s="163"/>
      <c r="Z445" s="163"/>
      <c r="AA445" s="163"/>
      <c r="AB445" s="195" t="str">
        <f t="shared" si="50"/>
        <v>Jun-26</v>
      </c>
      <c r="AC445" s="163"/>
      <c r="AD445" s="163" t="str">
        <f t="shared" si="58"/>
        <v/>
      </c>
      <c r="AE445" s="163"/>
    </row>
    <row r="446" spans="1:31" x14ac:dyDescent="0.35">
      <c r="A446" s="162">
        <v>46181</v>
      </c>
      <c r="B446" s="163" t="s">
        <v>92</v>
      </c>
      <c r="C446" s="163" t="s">
        <v>93</v>
      </c>
      <c r="D446" s="163" t="s">
        <v>182</v>
      </c>
      <c r="E446" s="163" t="s">
        <v>95</v>
      </c>
      <c r="F446" s="163" t="s">
        <v>96</v>
      </c>
      <c r="G446" s="163" t="s">
        <v>15</v>
      </c>
      <c r="H446" s="163" t="s">
        <v>163</v>
      </c>
      <c r="I446" s="163" t="s">
        <v>98</v>
      </c>
      <c r="J446" s="163" t="s">
        <v>99</v>
      </c>
      <c r="K446" s="163" t="s">
        <v>384</v>
      </c>
      <c r="L446" s="163"/>
      <c r="M446" s="163" t="s">
        <v>159</v>
      </c>
      <c r="N446" s="163" t="s">
        <v>102</v>
      </c>
      <c r="O446" s="162"/>
      <c r="P446" s="163"/>
      <c r="Q446" s="163"/>
      <c r="R446" s="163"/>
      <c r="S446" s="163" t="s">
        <v>103</v>
      </c>
      <c r="T446" s="164">
        <v>30000</v>
      </c>
      <c r="U446" s="164">
        <v>36640</v>
      </c>
      <c r="V446" s="162">
        <v>46181</v>
      </c>
      <c r="W446" s="163" t="s">
        <v>808</v>
      </c>
      <c r="X446" s="163" t="s">
        <v>30</v>
      </c>
      <c r="Y446" s="163" t="s">
        <v>85</v>
      </c>
      <c r="Z446" s="163"/>
      <c r="AA446" s="163"/>
      <c r="AB446" s="195" t="str">
        <f t="shared" si="50"/>
        <v>Jun-26</v>
      </c>
      <c r="AC446" s="163"/>
      <c r="AD446" s="163" t="str">
        <f t="shared" si="58"/>
        <v/>
      </c>
      <c r="AE446" s="163" t="s">
        <v>270</v>
      </c>
    </row>
    <row r="447" spans="1:31" x14ac:dyDescent="0.35">
      <c r="A447" s="162">
        <v>46181</v>
      </c>
      <c r="B447" s="163" t="s">
        <v>92</v>
      </c>
      <c r="C447" s="163" t="s">
        <v>93</v>
      </c>
      <c r="D447" s="163" t="s">
        <v>809</v>
      </c>
      <c r="E447" s="163" t="s">
        <v>106</v>
      </c>
      <c r="F447" s="163" t="s">
        <v>135</v>
      </c>
      <c r="G447" s="163"/>
      <c r="H447" s="163" t="s">
        <v>115</v>
      </c>
      <c r="I447" s="163" t="s">
        <v>121</v>
      </c>
      <c r="J447" s="163" t="s">
        <v>147</v>
      </c>
      <c r="K447" s="163" t="s">
        <v>810</v>
      </c>
      <c r="L447" s="163"/>
      <c r="M447" s="163" t="s">
        <v>575</v>
      </c>
      <c r="N447" s="163" t="s">
        <v>181</v>
      </c>
      <c r="O447" s="162"/>
      <c r="P447" s="163"/>
      <c r="Q447" s="163"/>
      <c r="R447" s="163"/>
      <c r="S447" s="163"/>
      <c r="T447" s="164"/>
      <c r="U447" s="164"/>
      <c r="V447" s="162"/>
      <c r="W447" s="163"/>
      <c r="X447" s="163"/>
      <c r="Y447" s="163"/>
      <c r="Z447" s="163"/>
      <c r="AA447" s="163"/>
      <c r="AB447" s="195" t="str">
        <f t="shared" si="50"/>
        <v>Jun-26</v>
      </c>
      <c r="AC447" s="163"/>
      <c r="AD447" s="163"/>
      <c r="AE447" s="163"/>
    </row>
    <row r="448" spans="1:31" x14ac:dyDescent="0.35">
      <c r="A448" s="162">
        <v>46181</v>
      </c>
      <c r="B448" s="163" t="s">
        <v>92</v>
      </c>
      <c r="C448" s="163" t="s">
        <v>93</v>
      </c>
      <c r="D448" s="163" t="s">
        <v>811</v>
      </c>
      <c r="E448" s="163" t="s">
        <v>106</v>
      </c>
      <c r="F448" s="163" t="s">
        <v>135</v>
      </c>
      <c r="G448" s="163"/>
      <c r="H448" s="163" t="s">
        <v>115</v>
      </c>
      <c r="I448" s="163" t="s">
        <v>121</v>
      </c>
      <c r="J448" s="163" t="s">
        <v>147</v>
      </c>
      <c r="K448" s="163" t="s">
        <v>812</v>
      </c>
      <c r="L448" s="163"/>
      <c r="M448" s="163" t="s">
        <v>575</v>
      </c>
      <c r="N448" s="163" t="s">
        <v>181</v>
      </c>
      <c r="O448" s="162"/>
      <c r="P448" s="163"/>
      <c r="Q448" s="163"/>
      <c r="R448" s="163"/>
      <c r="S448" s="163"/>
      <c r="T448" s="164"/>
      <c r="U448" s="164"/>
      <c r="V448" s="162"/>
      <c r="W448" s="163"/>
      <c r="X448" s="163"/>
      <c r="Y448" s="163"/>
      <c r="Z448" s="163"/>
      <c r="AA448" s="163"/>
      <c r="AB448" s="195" t="str">
        <f t="shared" si="50"/>
        <v>Jun-26</v>
      </c>
      <c r="AC448" s="163"/>
      <c r="AD448" s="163"/>
      <c r="AE448" s="163"/>
    </row>
    <row r="449" spans="1:31" x14ac:dyDescent="0.35">
      <c r="A449" s="162">
        <v>46181</v>
      </c>
      <c r="B449" s="163" t="s">
        <v>92</v>
      </c>
      <c r="C449" s="163" t="s">
        <v>93</v>
      </c>
      <c r="D449" s="163" t="s">
        <v>813</v>
      </c>
      <c r="E449" s="163" t="s">
        <v>106</v>
      </c>
      <c r="F449" s="163" t="s">
        <v>135</v>
      </c>
      <c r="G449" s="163"/>
      <c r="H449" s="163" t="s">
        <v>115</v>
      </c>
      <c r="I449" s="163" t="s">
        <v>121</v>
      </c>
      <c r="J449" s="163" t="s">
        <v>438</v>
      </c>
      <c r="K449" s="163" t="s">
        <v>814</v>
      </c>
      <c r="L449" s="163"/>
      <c r="M449" s="163" t="s">
        <v>575</v>
      </c>
      <c r="N449" s="163" t="s">
        <v>130</v>
      </c>
      <c r="O449" s="162"/>
      <c r="P449" s="163"/>
      <c r="Q449" s="163"/>
      <c r="R449" s="163"/>
      <c r="S449" s="163"/>
      <c r="T449" s="164"/>
      <c r="U449" s="164"/>
      <c r="V449" s="162"/>
      <c r="W449" s="163"/>
      <c r="X449" s="163"/>
      <c r="Y449" s="163"/>
      <c r="Z449" s="163"/>
      <c r="AA449" s="163"/>
      <c r="AB449" s="195" t="str">
        <f t="shared" si="50"/>
        <v>Jun-26</v>
      </c>
      <c r="AC449" s="163"/>
      <c r="AD449" s="163"/>
      <c r="AE449" s="163"/>
    </row>
    <row r="450" spans="1:31" x14ac:dyDescent="0.35">
      <c r="A450" s="162">
        <v>46181</v>
      </c>
      <c r="B450" s="163" t="s">
        <v>370</v>
      </c>
      <c r="C450" s="163" t="s">
        <v>93</v>
      </c>
      <c r="D450" s="163" t="s">
        <v>815</v>
      </c>
      <c r="E450" s="163" t="s">
        <v>106</v>
      </c>
      <c r="F450" s="163" t="s">
        <v>135</v>
      </c>
      <c r="G450" s="163"/>
      <c r="H450" s="163" t="s">
        <v>115</v>
      </c>
      <c r="I450" s="163" t="s">
        <v>121</v>
      </c>
      <c r="J450" s="163" t="s">
        <v>432</v>
      </c>
      <c r="K450" s="163" t="s">
        <v>533</v>
      </c>
      <c r="L450" s="163"/>
      <c r="M450" s="163" t="s">
        <v>803</v>
      </c>
      <c r="N450" s="163" t="s">
        <v>181</v>
      </c>
      <c r="O450" s="162"/>
      <c r="P450" s="163"/>
      <c r="Q450" s="163">
        <f t="shared" ref="Q450:Q455" ca="1" si="60">IF(N450="Closed(C4)","",IF(N450="","",TODAY()-A450))</f>
        <v>144</v>
      </c>
      <c r="R450" s="163" t="str">
        <f t="shared" ref="R450:R455" ca="1" si="61">IF(OR(N450="Closed( C4 )",N450="Cancelled"),"",IF(AND(O450&lt;&gt;"",O450&lt;TODAY()),"Yes",""))</f>
        <v/>
      </c>
      <c r="S450" s="163" t="s">
        <v>133</v>
      </c>
      <c r="T450" s="164">
        <v>250000</v>
      </c>
      <c r="U450" s="164"/>
      <c r="V450" s="163"/>
      <c r="W450" s="163"/>
      <c r="X450" s="163"/>
      <c r="Y450" s="163"/>
      <c r="Z450" s="163"/>
      <c r="AA450" s="163"/>
      <c r="AB450" s="195" t="str">
        <f t="shared" ref="AB450:AB513" si="62">IF($V450="",TEXT($A450,"MMM-YY"),TEXT($V450,"MMM-YY"))</f>
        <v>Jun-26</v>
      </c>
      <c r="AC450" s="163"/>
      <c r="AD450" s="163" t="str">
        <f t="shared" ref="AD450:AD455" si="63">IF(AC450="Yes",U450*2%,"")</f>
        <v/>
      </c>
      <c r="AE450" s="163"/>
    </row>
    <row r="451" spans="1:31" x14ac:dyDescent="0.35">
      <c r="A451" s="162">
        <v>46181</v>
      </c>
      <c r="B451" s="163" t="s">
        <v>370</v>
      </c>
      <c r="C451" s="163" t="s">
        <v>93</v>
      </c>
      <c r="D451" s="163" t="s">
        <v>500</v>
      </c>
      <c r="E451" s="163" t="s">
        <v>106</v>
      </c>
      <c r="F451" s="163" t="s">
        <v>135</v>
      </c>
      <c r="G451" s="163"/>
      <c r="H451" s="163" t="s">
        <v>115</v>
      </c>
      <c r="I451" s="163" t="s">
        <v>121</v>
      </c>
      <c r="J451" s="163" t="s">
        <v>356</v>
      </c>
      <c r="K451" s="163" t="s">
        <v>501</v>
      </c>
      <c r="L451" s="163"/>
      <c r="M451" s="163" t="s">
        <v>575</v>
      </c>
      <c r="N451" s="163" t="s">
        <v>181</v>
      </c>
      <c r="O451" s="162">
        <v>46267</v>
      </c>
      <c r="P451" s="163" t="s">
        <v>95</v>
      </c>
      <c r="Q451" s="163">
        <f t="shared" ca="1" si="60"/>
        <v>144</v>
      </c>
      <c r="R451" s="163" t="str">
        <f t="shared" ca="1" si="61"/>
        <v/>
      </c>
      <c r="S451" s="163" t="s">
        <v>133</v>
      </c>
      <c r="T451" s="164">
        <v>40000</v>
      </c>
      <c r="U451" s="164"/>
      <c r="V451" s="163"/>
      <c r="W451" s="163"/>
      <c r="X451" s="163"/>
      <c r="Y451" s="163"/>
      <c r="Z451" s="163"/>
      <c r="AA451" s="163"/>
      <c r="AB451" s="195" t="str">
        <f t="shared" si="62"/>
        <v>Jun-26</v>
      </c>
      <c r="AC451" s="163"/>
      <c r="AD451" s="163" t="str">
        <f t="shared" si="63"/>
        <v/>
      </c>
      <c r="AE451" s="163"/>
    </row>
    <row r="452" spans="1:31" x14ac:dyDescent="0.35">
      <c r="A452" s="162">
        <v>46181</v>
      </c>
      <c r="B452" s="163" t="s">
        <v>370</v>
      </c>
      <c r="C452" s="163" t="s">
        <v>93</v>
      </c>
      <c r="D452" s="163" t="s">
        <v>816</v>
      </c>
      <c r="E452" s="163" t="s">
        <v>106</v>
      </c>
      <c r="F452" s="163" t="s">
        <v>135</v>
      </c>
      <c r="G452" s="163"/>
      <c r="H452" s="163" t="s">
        <v>115</v>
      </c>
      <c r="I452" s="163" t="s">
        <v>121</v>
      </c>
      <c r="J452" s="163" t="s">
        <v>153</v>
      </c>
      <c r="K452" s="163" t="s">
        <v>817</v>
      </c>
      <c r="L452" s="163"/>
      <c r="M452" s="163" t="s">
        <v>818</v>
      </c>
      <c r="N452" s="163" t="s">
        <v>102</v>
      </c>
      <c r="O452" s="162"/>
      <c r="P452" s="163"/>
      <c r="Q452" s="163" t="str">
        <f t="shared" ca="1" si="60"/>
        <v/>
      </c>
      <c r="R452" s="163" t="str">
        <f t="shared" ca="1" si="61"/>
        <v/>
      </c>
      <c r="S452" s="163" t="s">
        <v>103</v>
      </c>
      <c r="T452" s="164">
        <v>40000</v>
      </c>
      <c r="U452" s="164"/>
      <c r="V452" s="163"/>
      <c r="W452" s="163"/>
      <c r="X452" s="163"/>
      <c r="Y452" s="163"/>
      <c r="Z452" s="163"/>
      <c r="AA452" s="163"/>
      <c r="AB452" s="195" t="str">
        <f t="shared" si="62"/>
        <v>Jun-26</v>
      </c>
      <c r="AC452" s="163"/>
      <c r="AD452" s="163" t="str">
        <f t="shared" si="63"/>
        <v/>
      </c>
      <c r="AE452" s="163"/>
    </row>
    <row r="453" spans="1:31" x14ac:dyDescent="0.35">
      <c r="A453" s="162">
        <v>46181</v>
      </c>
      <c r="B453" s="163" t="s">
        <v>370</v>
      </c>
      <c r="C453" s="163" t="s">
        <v>93</v>
      </c>
      <c r="D453" s="163" t="s">
        <v>637</v>
      </c>
      <c r="E453" s="163" t="s">
        <v>106</v>
      </c>
      <c r="F453" s="163" t="s">
        <v>135</v>
      </c>
      <c r="G453" s="163"/>
      <c r="H453" s="163" t="s">
        <v>115</v>
      </c>
      <c r="I453" s="163" t="s">
        <v>121</v>
      </c>
      <c r="J453" s="163" t="s">
        <v>638</v>
      </c>
      <c r="K453" s="163" t="s">
        <v>715</v>
      </c>
      <c r="L453" s="163"/>
      <c r="M453" s="163" t="s">
        <v>819</v>
      </c>
      <c r="N453" s="163" t="s">
        <v>102</v>
      </c>
      <c r="O453" s="162"/>
      <c r="P453" s="163"/>
      <c r="Q453" s="163" t="str">
        <f t="shared" ca="1" si="60"/>
        <v/>
      </c>
      <c r="R453" s="163" t="str">
        <f t="shared" ca="1" si="61"/>
        <v/>
      </c>
      <c r="S453" s="163" t="s">
        <v>103</v>
      </c>
      <c r="T453" s="164">
        <v>25000</v>
      </c>
      <c r="U453" s="164">
        <v>18360</v>
      </c>
      <c r="V453" s="162">
        <v>46181</v>
      </c>
      <c r="W453" s="163" t="s">
        <v>820</v>
      </c>
      <c r="X453" s="163" t="s">
        <v>42</v>
      </c>
      <c r="Y453" s="163" t="s">
        <v>161</v>
      </c>
      <c r="Z453" s="163"/>
      <c r="AA453" s="162">
        <v>46181</v>
      </c>
      <c r="AB453" s="195" t="str">
        <f t="shared" si="62"/>
        <v>Jun-26</v>
      </c>
      <c r="AC453" s="163"/>
      <c r="AD453" s="163" t="str">
        <f t="shared" si="63"/>
        <v/>
      </c>
      <c r="AE453" s="163" t="s">
        <v>270</v>
      </c>
    </row>
    <row r="454" spans="1:31" x14ac:dyDescent="0.35">
      <c r="A454" s="162">
        <v>46181</v>
      </c>
      <c r="B454" s="163" t="s">
        <v>370</v>
      </c>
      <c r="C454" s="163" t="s">
        <v>93</v>
      </c>
      <c r="D454" s="163" t="s">
        <v>637</v>
      </c>
      <c r="E454" s="163" t="s">
        <v>106</v>
      </c>
      <c r="F454" s="163" t="s">
        <v>135</v>
      </c>
      <c r="G454" s="163"/>
      <c r="H454" s="163" t="s">
        <v>115</v>
      </c>
      <c r="I454" s="163" t="s">
        <v>121</v>
      </c>
      <c r="J454" s="163" t="s">
        <v>638</v>
      </c>
      <c r="K454" s="163" t="s">
        <v>715</v>
      </c>
      <c r="L454" s="163"/>
      <c r="M454" s="163" t="s">
        <v>819</v>
      </c>
      <c r="N454" s="163" t="s">
        <v>102</v>
      </c>
      <c r="O454" s="162"/>
      <c r="P454" s="163"/>
      <c r="Q454" s="163" t="str">
        <f t="shared" ca="1" si="60"/>
        <v/>
      </c>
      <c r="R454" s="163" t="str">
        <f t="shared" ca="1" si="61"/>
        <v/>
      </c>
      <c r="S454" s="163" t="s">
        <v>103</v>
      </c>
      <c r="T454" s="164">
        <v>20000</v>
      </c>
      <c r="U454" s="164">
        <v>4260</v>
      </c>
      <c r="V454" s="162">
        <v>46181</v>
      </c>
      <c r="W454" s="163" t="s">
        <v>821</v>
      </c>
      <c r="X454" s="163" t="s">
        <v>42</v>
      </c>
      <c r="Y454" s="163" t="s">
        <v>161</v>
      </c>
      <c r="Z454" s="163"/>
      <c r="AA454" s="162">
        <v>46181</v>
      </c>
      <c r="AB454" s="195" t="str">
        <f t="shared" si="62"/>
        <v>Jun-26</v>
      </c>
      <c r="AC454" s="163"/>
      <c r="AD454" s="163" t="str">
        <f t="shared" si="63"/>
        <v/>
      </c>
      <c r="AE454" s="163" t="s">
        <v>270</v>
      </c>
    </row>
    <row r="455" spans="1:31" x14ac:dyDescent="0.35">
      <c r="A455" s="162">
        <v>46182</v>
      </c>
      <c r="B455" s="163" t="s">
        <v>92</v>
      </c>
      <c r="C455" s="163" t="s">
        <v>93</v>
      </c>
      <c r="D455" s="163" t="s">
        <v>822</v>
      </c>
      <c r="E455" s="163" t="s">
        <v>106</v>
      </c>
      <c r="F455" s="163" t="s">
        <v>135</v>
      </c>
      <c r="G455" s="163"/>
      <c r="H455" s="163" t="s">
        <v>115</v>
      </c>
      <c r="I455" s="163" t="s">
        <v>121</v>
      </c>
      <c r="J455" s="163" t="s">
        <v>153</v>
      </c>
      <c r="K455" s="163" t="s">
        <v>823</v>
      </c>
      <c r="L455" s="163"/>
      <c r="M455" s="163" t="s">
        <v>824</v>
      </c>
      <c r="N455" s="163" t="s">
        <v>495</v>
      </c>
      <c r="O455" s="162"/>
      <c r="P455" s="163"/>
      <c r="Q455" s="163">
        <f t="shared" ca="1" si="60"/>
        <v>143</v>
      </c>
      <c r="R455" s="163" t="str">
        <f t="shared" ca="1" si="61"/>
        <v/>
      </c>
      <c r="S455" s="163"/>
      <c r="T455" s="164"/>
      <c r="U455" s="164"/>
      <c r="V455" s="163"/>
      <c r="W455" s="163"/>
      <c r="X455" s="163"/>
      <c r="Y455" s="163"/>
      <c r="Z455" s="163"/>
      <c r="AA455" s="163"/>
      <c r="AB455" s="195" t="str">
        <f t="shared" si="62"/>
        <v>Jun-26</v>
      </c>
      <c r="AC455" s="163"/>
      <c r="AD455" s="163" t="str">
        <f t="shared" si="63"/>
        <v/>
      </c>
      <c r="AE455" s="163"/>
    </row>
    <row r="456" spans="1:31" x14ac:dyDescent="0.35">
      <c r="A456" s="162">
        <v>46182</v>
      </c>
      <c r="B456" s="163" t="s">
        <v>370</v>
      </c>
      <c r="C456" s="163" t="s">
        <v>93</v>
      </c>
      <c r="D456" s="163" t="s">
        <v>637</v>
      </c>
      <c r="E456" s="163" t="s">
        <v>106</v>
      </c>
      <c r="F456" s="163" t="s">
        <v>135</v>
      </c>
      <c r="G456" s="163"/>
      <c r="H456" s="163" t="s">
        <v>115</v>
      </c>
      <c r="I456" s="163" t="s">
        <v>121</v>
      </c>
      <c r="J456" s="163" t="s">
        <v>638</v>
      </c>
      <c r="K456" s="163" t="s">
        <v>825</v>
      </c>
      <c r="L456" s="163"/>
      <c r="M456" s="163" t="s">
        <v>159</v>
      </c>
      <c r="N456" s="163" t="s">
        <v>102</v>
      </c>
      <c r="O456" s="162"/>
      <c r="P456" s="163"/>
      <c r="Q456" s="163"/>
      <c r="R456" s="163"/>
      <c r="S456" s="163" t="s">
        <v>103</v>
      </c>
      <c r="T456" s="164">
        <v>5000</v>
      </c>
      <c r="U456" s="164">
        <v>3905</v>
      </c>
      <c r="V456" s="162">
        <v>46182</v>
      </c>
      <c r="W456" s="163" t="s">
        <v>826</v>
      </c>
      <c r="X456" s="163" t="s">
        <v>42</v>
      </c>
      <c r="Y456" s="163" t="s">
        <v>161</v>
      </c>
      <c r="Z456" s="163"/>
      <c r="AA456" s="162">
        <v>46182</v>
      </c>
      <c r="AB456" s="195" t="str">
        <f t="shared" si="62"/>
        <v>Jun-26</v>
      </c>
      <c r="AC456" s="163"/>
      <c r="AD456" s="163"/>
      <c r="AE456" s="163" t="s">
        <v>270</v>
      </c>
    </row>
    <row r="457" spans="1:31" x14ac:dyDescent="0.35">
      <c r="A457" s="162">
        <v>46182</v>
      </c>
      <c r="B457" s="163" t="s">
        <v>92</v>
      </c>
      <c r="C457" s="163" t="s">
        <v>93</v>
      </c>
      <c r="D457" s="163" t="s">
        <v>182</v>
      </c>
      <c r="E457" s="163" t="s">
        <v>95</v>
      </c>
      <c r="F457" s="163" t="s">
        <v>96</v>
      </c>
      <c r="G457" s="163" t="s">
        <v>15</v>
      </c>
      <c r="H457" s="163" t="s">
        <v>163</v>
      </c>
      <c r="I457" s="163" t="s">
        <v>98</v>
      </c>
      <c r="J457" s="163" t="s">
        <v>99</v>
      </c>
      <c r="K457" s="163" t="s">
        <v>384</v>
      </c>
      <c r="L457" s="163"/>
      <c r="M457" s="163" t="s">
        <v>159</v>
      </c>
      <c r="N457" s="163" t="s">
        <v>102</v>
      </c>
      <c r="O457" s="162"/>
      <c r="P457" s="163"/>
      <c r="Q457" s="163"/>
      <c r="R457" s="163"/>
      <c r="S457" s="163" t="s">
        <v>103</v>
      </c>
      <c r="T457" s="164">
        <v>50000</v>
      </c>
      <c r="U457" s="164">
        <v>48030</v>
      </c>
      <c r="V457" s="162">
        <v>46181</v>
      </c>
      <c r="W457" s="163" t="s">
        <v>827</v>
      </c>
      <c r="X457" s="163" t="s">
        <v>30</v>
      </c>
      <c r="Y457" s="163" t="s">
        <v>85</v>
      </c>
      <c r="Z457" s="163"/>
      <c r="AA457" s="163"/>
      <c r="AB457" s="195" t="str">
        <f t="shared" si="62"/>
        <v>Jun-26</v>
      </c>
      <c r="AC457" s="163"/>
      <c r="AD457" s="163" t="str">
        <f>IF(AC457="Yes",U457*2%,"")</f>
        <v/>
      </c>
      <c r="AE457" s="163" t="s">
        <v>270</v>
      </c>
    </row>
    <row r="458" spans="1:31" x14ac:dyDescent="0.35">
      <c r="A458" s="162">
        <v>46182</v>
      </c>
      <c r="B458" s="163" t="s">
        <v>92</v>
      </c>
      <c r="C458" s="163" t="s">
        <v>93</v>
      </c>
      <c r="D458" s="163" t="s">
        <v>828</v>
      </c>
      <c r="E458" s="163" t="s">
        <v>106</v>
      </c>
      <c r="F458" s="163" t="s">
        <v>135</v>
      </c>
      <c r="G458" s="163"/>
      <c r="H458" s="163" t="s">
        <v>163</v>
      </c>
      <c r="I458" s="163" t="s">
        <v>121</v>
      </c>
      <c r="J458" s="163" t="s">
        <v>153</v>
      </c>
      <c r="K458" s="163" t="s">
        <v>829</v>
      </c>
      <c r="L458" s="163"/>
      <c r="M458" s="163" t="s">
        <v>830</v>
      </c>
      <c r="N458" s="163" t="s">
        <v>495</v>
      </c>
      <c r="O458" s="162"/>
      <c r="P458" s="163"/>
      <c r="Q458" s="163">
        <f ca="1">IF(N458="Closed(C4)","",IF(N458="","",TODAY()-A458))</f>
        <v>143</v>
      </c>
      <c r="R458" s="163" t="str">
        <f ca="1">IF(OR(N458="Closed( C4 )",N458="Cancelled"),"",IF(AND(O458&lt;&gt;"",O458&lt;TODAY()),"Yes",""))</f>
        <v/>
      </c>
      <c r="S458" s="163" t="s">
        <v>103</v>
      </c>
      <c r="T458" s="164">
        <v>100000</v>
      </c>
      <c r="U458" s="164"/>
      <c r="V458" s="163"/>
      <c r="W458" s="163"/>
      <c r="X458" s="163"/>
      <c r="Y458" s="163"/>
      <c r="Z458" s="163"/>
      <c r="AA458" s="163"/>
      <c r="AB458" s="195" t="str">
        <f t="shared" si="62"/>
        <v>Jun-26</v>
      </c>
      <c r="AC458" s="163"/>
      <c r="AD458" s="163" t="str">
        <f>IF(AC458="Yes",U458*2%,"")</f>
        <v/>
      </c>
      <c r="AE458" s="163"/>
    </row>
    <row r="459" spans="1:31" x14ac:dyDescent="0.35">
      <c r="A459" s="162">
        <v>46182</v>
      </c>
      <c r="B459" s="163" t="s">
        <v>370</v>
      </c>
      <c r="C459" s="163" t="s">
        <v>93</v>
      </c>
      <c r="D459" s="163" t="s">
        <v>637</v>
      </c>
      <c r="E459" s="163" t="s">
        <v>106</v>
      </c>
      <c r="F459" s="163" t="s">
        <v>135</v>
      </c>
      <c r="G459" s="163"/>
      <c r="H459" s="163" t="s">
        <v>115</v>
      </c>
      <c r="I459" s="163" t="s">
        <v>121</v>
      </c>
      <c r="J459" s="163" t="s">
        <v>638</v>
      </c>
      <c r="K459" s="163" t="s">
        <v>825</v>
      </c>
      <c r="L459" s="163"/>
      <c r="M459" s="163" t="s">
        <v>159</v>
      </c>
      <c r="N459" s="163" t="s">
        <v>102</v>
      </c>
      <c r="O459" s="162"/>
      <c r="P459" s="163"/>
      <c r="Q459" s="163"/>
      <c r="R459" s="163"/>
      <c r="S459" s="163" t="s">
        <v>103</v>
      </c>
      <c r="T459" s="164">
        <v>15000</v>
      </c>
      <c r="U459" s="164">
        <v>3905</v>
      </c>
      <c r="V459" s="162">
        <v>46182</v>
      </c>
      <c r="W459" s="163" t="s">
        <v>831</v>
      </c>
      <c r="X459" s="163" t="s">
        <v>42</v>
      </c>
      <c r="Y459" s="163" t="s">
        <v>161</v>
      </c>
      <c r="Z459" s="163"/>
      <c r="AA459" s="162">
        <v>46182</v>
      </c>
      <c r="AB459" s="195" t="str">
        <f t="shared" si="62"/>
        <v>Jun-26</v>
      </c>
      <c r="AC459" s="163"/>
      <c r="AD459" s="163"/>
      <c r="AE459" s="163" t="s">
        <v>270</v>
      </c>
    </row>
    <row r="460" spans="1:31" x14ac:dyDescent="0.35">
      <c r="A460" s="162">
        <v>46182</v>
      </c>
      <c r="B460" s="163" t="s">
        <v>125</v>
      </c>
      <c r="C460" s="163" t="s">
        <v>113</v>
      </c>
      <c r="D460" s="163" t="s">
        <v>832</v>
      </c>
      <c r="E460" s="163" t="s">
        <v>106</v>
      </c>
      <c r="F460" s="163" t="s">
        <v>135</v>
      </c>
      <c r="G460" s="163"/>
      <c r="H460" s="163" t="s">
        <v>115</v>
      </c>
      <c r="I460" s="163" t="s">
        <v>121</v>
      </c>
      <c r="J460" s="163" t="s">
        <v>136</v>
      </c>
      <c r="K460" s="163" t="s">
        <v>444</v>
      </c>
      <c r="L460" s="163"/>
      <c r="M460" s="163" t="s">
        <v>228</v>
      </c>
      <c r="N460" s="163" t="s">
        <v>156</v>
      </c>
      <c r="O460" s="162"/>
      <c r="P460" s="163"/>
      <c r="Q460" s="163">
        <f ca="1">IF(N460="Closed(C4)","",IF(N460="","",TODAY()-A460))</f>
        <v>143</v>
      </c>
      <c r="R460" s="163" t="str">
        <f t="shared" ref="R460:R469" ca="1" si="64">IF(OR(N460="Closed( C4 )",N460="Cancelled"),"",IF(AND(O460&lt;&gt;"",O460&lt;TODAY()),"Yes",""))</f>
        <v/>
      </c>
      <c r="S460" s="163" t="s">
        <v>103</v>
      </c>
      <c r="T460" s="164"/>
      <c r="U460" s="164"/>
      <c r="V460" s="162"/>
      <c r="W460" s="163"/>
      <c r="X460" s="163"/>
      <c r="Y460" s="163"/>
      <c r="Z460" s="163"/>
      <c r="AA460" s="163"/>
      <c r="AB460" s="195" t="str">
        <f t="shared" si="62"/>
        <v>Jun-26</v>
      </c>
      <c r="AC460" s="163"/>
      <c r="AD460" s="163" t="str">
        <f t="shared" ref="AD460:AD472" si="65">IF(AC460="Yes",U460*2%,"")</f>
        <v/>
      </c>
      <c r="AE460" s="163"/>
    </row>
    <row r="461" spans="1:31" x14ac:dyDescent="0.35">
      <c r="A461" s="162">
        <v>46182</v>
      </c>
      <c r="B461" s="163" t="s">
        <v>125</v>
      </c>
      <c r="C461" s="163" t="s">
        <v>113</v>
      </c>
      <c r="D461" s="163" t="s">
        <v>162</v>
      </c>
      <c r="E461" s="163" t="s">
        <v>106</v>
      </c>
      <c r="F461" s="163" t="s">
        <v>135</v>
      </c>
      <c r="G461" s="163"/>
      <c r="H461" s="163" t="s">
        <v>97</v>
      </c>
      <c r="I461" s="163" t="s">
        <v>98</v>
      </c>
      <c r="J461" s="163" t="s">
        <v>166</v>
      </c>
      <c r="K461" s="163" t="s">
        <v>164</v>
      </c>
      <c r="L461" s="163"/>
      <c r="M461" s="163" t="s">
        <v>390</v>
      </c>
      <c r="N461" s="163" t="s">
        <v>102</v>
      </c>
      <c r="O461" s="162"/>
      <c r="P461" s="163"/>
      <c r="Q461" s="163"/>
      <c r="R461" s="163" t="str">
        <f t="shared" ca="1" si="64"/>
        <v/>
      </c>
      <c r="S461" s="163" t="s">
        <v>103</v>
      </c>
      <c r="T461" s="164">
        <v>10000</v>
      </c>
      <c r="U461" s="164">
        <v>10142</v>
      </c>
      <c r="V461" s="162">
        <v>46182</v>
      </c>
      <c r="W461" s="163" t="s">
        <v>833</v>
      </c>
      <c r="X461" s="163" t="s">
        <v>62</v>
      </c>
      <c r="Y461" s="163" t="s">
        <v>161</v>
      </c>
      <c r="Z461" s="163"/>
      <c r="AA461" s="162">
        <v>46182</v>
      </c>
      <c r="AB461" s="195" t="str">
        <f t="shared" si="62"/>
        <v>Jun-26</v>
      </c>
      <c r="AC461" s="163"/>
      <c r="AD461" s="163" t="str">
        <f t="shared" si="65"/>
        <v/>
      </c>
      <c r="AE461" s="163"/>
    </row>
    <row r="462" spans="1:31" x14ac:dyDescent="0.35">
      <c r="A462" s="162">
        <v>46183</v>
      </c>
      <c r="B462" s="163" t="s">
        <v>125</v>
      </c>
      <c r="C462" s="163" t="s">
        <v>93</v>
      </c>
      <c r="D462" s="163" t="s">
        <v>19</v>
      </c>
      <c r="E462" s="163" t="s">
        <v>106</v>
      </c>
      <c r="F462" s="163" t="s">
        <v>96</v>
      </c>
      <c r="G462" s="163" t="s">
        <v>10</v>
      </c>
      <c r="H462" s="163" t="s">
        <v>115</v>
      </c>
      <c r="I462" s="163" t="s">
        <v>121</v>
      </c>
      <c r="J462" s="163" t="s">
        <v>99</v>
      </c>
      <c r="K462" s="163" t="s">
        <v>256</v>
      </c>
      <c r="L462" s="163"/>
      <c r="M462" s="163" t="s">
        <v>159</v>
      </c>
      <c r="N462" s="163" t="s">
        <v>102</v>
      </c>
      <c r="O462" s="162"/>
      <c r="P462" s="163"/>
      <c r="Q462" s="163"/>
      <c r="R462" s="163" t="str">
        <f t="shared" ca="1" si="64"/>
        <v/>
      </c>
      <c r="S462" s="163" t="s">
        <v>103</v>
      </c>
      <c r="T462" s="164">
        <v>600000</v>
      </c>
      <c r="U462" s="164">
        <v>617400</v>
      </c>
      <c r="V462" s="162">
        <v>46183</v>
      </c>
      <c r="W462" s="163" t="s">
        <v>834</v>
      </c>
      <c r="X462" s="163" t="s">
        <v>42</v>
      </c>
      <c r="Y462" s="163" t="s">
        <v>85</v>
      </c>
      <c r="Z462" s="163"/>
      <c r="AA462" s="163"/>
      <c r="AB462" s="195" t="str">
        <f t="shared" si="62"/>
        <v>Jun-26</v>
      </c>
      <c r="AC462" s="163"/>
      <c r="AD462" s="163" t="str">
        <f t="shared" si="65"/>
        <v/>
      </c>
      <c r="AE462" s="163"/>
    </row>
    <row r="463" spans="1:31" x14ac:dyDescent="0.35">
      <c r="A463" s="162">
        <v>46183</v>
      </c>
      <c r="B463" s="163" t="s">
        <v>125</v>
      </c>
      <c r="C463" s="163" t="s">
        <v>113</v>
      </c>
      <c r="D463" s="163" t="s">
        <v>832</v>
      </c>
      <c r="E463" s="163" t="s">
        <v>106</v>
      </c>
      <c r="F463" s="163" t="s">
        <v>135</v>
      </c>
      <c r="G463" s="163"/>
      <c r="H463" s="163" t="s">
        <v>115</v>
      </c>
      <c r="I463" s="163" t="s">
        <v>121</v>
      </c>
      <c r="J463" s="163" t="s">
        <v>136</v>
      </c>
      <c r="K463" s="163" t="s">
        <v>444</v>
      </c>
      <c r="L463" s="163"/>
      <c r="M463" s="163" t="s">
        <v>228</v>
      </c>
      <c r="N463" s="163" t="s">
        <v>102</v>
      </c>
      <c r="O463" s="162"/>
      <c r="P463" s="163"/>
      <c r="Q463" s="163" t="str">
        <f ca="1">IF(N463="Closed(C4)","",IF(N463="","",TODAY()-A463))</f>
        <v/>
      </c>
      <c r="R463" s="163" t="str">
        <f t="shared" ca="1" si="64"/>
        <v/>
      </c>
      <c r="S463" s="163" t="s">
        <v>103</v>
      </c>
      <c r="T463" s="164">
        <v>30000</v>
      </c>
      <c r="U463" s="164">
        <v>31570</v>
      </c>
      <c r="V463" s="162">
        <v>46183</v>
      </c>
      <c r="W463" s="214" t="s">
        <v>835</v>
      </c>
      <c r="X463" s="163" t="s">
        <v>62</v>
      </c>
      <c r="Y463" s="163" t="s">
        <v>161</v>
      </c>
      <c r="Z463" s="163"/>
      <c r="AA463" s="162">
        <v>46183</v>
      </c>
      <c r="AB463" s="195" t="str">
        <f t="shared" si="62"/>
        <v>Jun-26</v>
      </c>
      <c r="AC463" s="163"/>
      <c r="AD463" s="163" t="str">
        <f t="shared" si="65"/>
        <v/>
      </c>
      <c r="AE463" s="163"/>
    </row>
    <row r="464" spans="1:31" x14ac:dyDescent="0.35">
      <c r="A464" s="162">
        <v>46183</v>
      </c>
      <c r="B464" s="163" t="s">
        <v>125</v>
      </c>
      <c r="C464" s="163" t="s">
        <v>113</v>
      </c>
      <c r="D464" s="163" t="s">
        <v>255</v>
      </c>
      <c r="E464" s="163" t="s">
        <v>106</v>
      </c>
      <c r="F464" s="163" t="s">
        <v>135</v>
      </c>
      <c r="G464" s="163"/>
      <c r="H464" s="163" t="s">
        <v>97</v>
      </c>
      <c r="I464" s="163" t="s">
        <v>98</v>
      </c>
      <c r="J464" s="163" t="s">
        <v>166</v>
      </c>
      <c r="K464" s="163" t="s">
        <v>256</v>
      </c>
      <c r="L464" s="163"/>
      <c r="M464" s="163" t="s">
        <v>390</v>
      </c>
      <c r="N464" s="163" t="s">
        <v>102</v>
      </c>
      <c r="O464" s="162"/>
      <c r="P464" s="163"/>
      <c r="Q464" s="163"/>
      <c r="R464" s="163" t="str">
        <f t="shared" ca="1" si="64"/>
        <v/>
      </c>
      <c r="S464" s="163" t="s">
        <v>103</v>
      </c>
      <c r="T464" s="164">
        <v>15000</v>
      </c>
      <c r="U464" s="164">
        <v>20120</v>
      </c>
      <c r="V464" s="162">
        <v>46183</v>
      </c>
      <c r="W464" s="163" t="s">
        <v>836</v>
      </c>
      <c r="X464" s="163" t="s">
        <v>62</v>
      </c>
      <c r="Y464" s="163" t="s">
        <v>161</v>
      </c>
      <c r="Z464" s="163"/>
      <c r="AA464" s="162">
        <v>46183</v>
      </c>
      <c r="AB464" s="195" t="str">
        <f t="shared" si="62"/>
        <v>Jun-26</v>
      </c>
      <c r="AC464" s="163"/>
      <c r="AD464" s="163" t="str">
        <f t="shared" si="65"/>
        <v/>
      </c>
      <c r="AE464" s="163"/>
    </row>
    <row r="465" spans="1:31" x14ac:dyDescent="0.35">
      <c r="A465" s="162">
        <v>46183</v>
      </c>
      <c r="B465" s="163" t="s">
        <v>370</v>
      </c>
      <c r="C465" s="163" t="s">
        <v>93</v>
      </c>
      <c r="D465" s="163" t="s">
        <v>715</v>
      </c>
      <c r="E465" s="163" t="s">
        <v>106</v>
      </c>
      <c r="F465" s="163" t="s">
        <v>135</v>
      </c>
      <c r="G465" s="163"/>
      <c r="H465" s="163" t="s">
        <v>115</v>
      </c>
      <c r="I465" s="163" t="s">
        <v>121</v>
      </c>
      <c r="J465" s="163" t="s">
        <v>147</v>
      </c>
      <c r="K465" s="163" t="s">
        <v>837</v>
      </c>
      <c r="L465" s="163"/>
      <c r="M465" s="163" t="s">
        <v>159</v>
      </c>
      <c r="N465" s="163" t="s">
        <v>102</v>
      </c>
      <c r="O465" s="162"/>
      <c r="P465" s="163"/>
      <c r="Q465" s="163" t="str">
        <f ca="1">IF(N465="Closed(C4)","",IF(N465="","",TODAY()-A465))</f>
        <v/>
      </c>
      <c r="R465" s="163" t="str">
        <f t="shared" ca="1" si="64"/>
        <v/>
      </c>
      <c r="S465" s="163" t="s">
        <v>103</v>
      </c>
      <c r="T465" s="164">
        <v>5000</v>
      </c>
      <c r="U465" s="164">
        <v>3905</v>
      </c>
      <c r="V465" s="162">
        <v>46183</v>
      </c>
      <c r="W465" s="163" t="s">
        <v>838</v>
      </c>
      <c r="X465" s="163" t="s">
        <v>42</v>
      </c>
      <c r="Y465" s="163" t="s">
        <v>161</v>
      </c>
      <c r="Z465" s="163"/>
      <c r="AA465" s="162">
        <v>46183</v>
      </c>
      <c r="AB465" s="195" t="str">
        <f t="shared" si="62"/>
        <v>Jun-26</v>
      </c>
      <c r="AC465" s="163"/>
      <c r="AD465" s="163" t="str">
        <f t="shared" si="65"/>
        <v/>
      </c>
      <c r="AE465" s="163"/>
    </row>
    <row r="466" spans="1:31" x14ac:dyDescent="0.35">
      <c r="A466" s="162">
        <v>46183</v>
      </c>
      <c r="B466" s="163" t="s">
        <v>370</v>
      </c>
      <c r="C466" s="163" t="s">
        <v>93</v>
      </c>
      <c r="D466" s="163" t="s">
        <v>839</v>
      </c>
      <c r="E466" s="163" t="s">
        <v>106</v>
      </c>
      <c r="F466" s="163" t="s">
        <v>135</v>
      </c>
      <c r="G466" s="163"/>
      <c r="H466" s="163" t="s">
        <v>115</v>
      </c>
      <c r="I466" s="163" t="s">
        <v>121</v>
      </c>
      <c r="J466" s="163" t="s">
        <v>432</v>
      </c>
      <c r="K466" s="163" t="s">
        <v>840</v>
      </c>
      <c r="L466" s="163"/>
      <c r="M466" s="163" t="s">
        <v>575</v>
      </c>
      <c r="N466" s="163" t="s">
        <v>181</v>
      </c>
      <c r="O466" s="162">
        <v>46262</v>
      </c>
      <c r="P466" s="163" t="s">
        <v>95</v>
      </c>
      <c r="Q466" s="163">
        <f ca="1">IF(N466="Closed(C4)","",IF(N466="","",TODAY()-A466))</f>
        <v>142</v>
      </c>
      <c r="R466" s="163" t="str">
        <f t="shared" ca="1" si="64"/>
        <v/>
      </c>
      <c r="S466" s="163" t="s">
        <v>133</v>
      </c>
      <c r="T466" s="164">
        <v>40000</v>
      </c>
      <c r="U466" s="164"/>
      <c r="V466" s="163"/>
      <c r="W466" s="163"/>
      <c r="X466" s="163"/>
      <c r="Y466" s="163"/>
      <c r="Z466" s="163"/>
      <c r="AA466" s="163"/>
      <c r="AB466" s="195" t="str">
        <f t="shared" si="62"/>
        <v>Jun-26</v>
      </c>
      <c r="AC466" s="163"/>
      <c r="AD466" s="163" t="str">
        <f t="shared" si="65"/>
        <v/>
      </c>
      <c r="AE466" s="163"/>
    </row>
    <row r="467" spans="1:31" x14ac:dyDescent="0.35">
      <c r="A467" s="162">
        <v>46183</v>
      </c>
      <c r="B467" s="163" t="s">
        <v>370</v>
      </c>
      <c r="C467" s="163" t="s">
        <v>93</v>
      </c>
      <c r="D467" s="163" t="s">
        <v>841</v>
      </c>
      <c r="E467" s="163" t="s">
        <v>106</v>
      </c>
      <c r="F467" s="163" t="s">
        <v>135</v>
      </c>
      <c r="G467" s="163"/>
      <c r="H467" s="163" t="s">
        <v>115</v>
      </c>
      <c r="I467" s="163" t="s">
        <v>121</v>
      </c>
      <c r="J467" s="163" t="s">
        <v>432</v>
      </c>
      <c r="K467" s="163" t="s">
        <v>842</v>
      </c>
      <c r="L467" s="163"/>
      <c r="M467" s="163" t="s">
        <v>575</v>
      </c>
      <c r="N467" s="163" t="s">
        <v>181</v>
      </c>
      <c r="O467" s="162">
        <v>46256</v>
      </c>
      <c r="P467" s="163" t="s">
        <v>95</v>
      </c>
      <c r="Q467" s="163">
        <f ca="1">IF(N467="Closed(C4)","",IF(N467="","",TODAY()-A467))</f>
        <v>142</v>
      </c>
      <c r="R467" s="163" t="str">
        <f t="shared" ca="1" si="64"/>
        <v/>
      </c>
      <c r="S467" s="163" t="s">
        <v>129</v>
      </c>
      <c r="T467" s="164">
        <v>70000</v>
      </c>
      <c r="U467" s="164"/>
      <c r="V467" s="163"/>
      <c r="W467" s="163"/>
      <c r="X467" s="163"/>
      <c r="Y467" s="163"/>
      <c r="Z467" s="163"/>
      <c r="AA467" s="163"/>
      <c r="AB467" s="195" t="str">
        <f t="shared" si="62"/>
        <v>Jun-26</v>
      </c>
      <c r="AC467" s="163"/>
      <c r="AD467" s="163" t="str">
        <f t="shared" si="65"/>
        <v/>
      </c>
      <c r="AE467" s="163"/>
    </row>
    <row r="468" spans="1:31" x14ac:dyDescent="0.35">
      <c r="A468" s="162">
        <v>46183</v>
      </c>
      <c r="B468" s="163" t="s">
        <v>370</v>
      </c>
      <c r="C468" s="163" t="s">
        <v>93</v>
      </c>
      <c r="D468" s="163" t="s">
        <v>843</v>
      </c>
      <c r="E468" s="163" t="s">
        <v>106</v>
      </c>
      <c r="F468" s="163" t="s">
        <v>135</v>
      </c>
      <c r="G468" s="163"/>
      <c r="H468" s="163" t="s">
        <v>115</v>
      </c>
      <c r="I468" s="163" t="s">
        <v>121</v>
      </c>
      <c r="J468" s="163" t="s">
        <v>153</v>
      </c>
      <c r="K468" s="163" t="s">
        <v>843</v>
      </c>
      <c r="L468" s="163"/>
      <c r="M468" s="163" t="s">
        <v>844</v>
      </c>
      <c r="N468" s="163" t="s">
        <v>181</v>
      </c>
      <c r="O468" s="162"/>
      <c r="P468" s="163"/>
      <c r="Q468" s="163">
        <f ca="1">IF(N468="Closed(C4)","",IF(N468="","",TODAY()-A468))</f>
        <v>142</v>
      </c>
      <c r="R468" s="163" t="str">
        <f t="shared" ca="1" si="64"/>
        <v/>
      </c>
      <c r="S468" s="163" t="s">
        <v>129</v>
      </c>
      <c r="T468" s="164">
        <v>25000</v>
      </c>
      <c r="U468" s="164"/>
      <c r="V468" s="163"/>
      <c r="W468" s="163"/>
      <c r="X468" s="163"/>
      <c r="Y468" s="163"/>
      <c r="Z468" s="163"/>
      <c r="AA468" s="163"/>
      <c r="AB468" s="195" t="str">
        <f t="shared" si="62"/>
        <v>Jun-26</v>
      </c>
      <c r="AC468" s="163"/>
      <c r="AD468" s="163" t="str">
        <f t="shared" si="65"/>
        <v/>
      </c>
      <c r="AE468" s="163"/>
    </row>
    <row r="469" spans="1:31" x14ac:dyDescent="0.35">
      <c r="A469" s="162">
        <v>46183</v>
      </c>
      <c r="B469" s="163" t="s">
        <v>92</v>
      </c>
      <c r="C469" s="163" t="s">
        <v>93</v>
      </c>
      <c r="D469" s="163" t="s">
        <v>475</v>
      </c>
      <c r="E469" s="163" t="s">
        <v>106</v>
      </c>
      <c r="F469" s="163" t="s">
        <v>135</v>
      </c>
      <c r="G469" s="163"/>
      <c r="H469" s="163" t="s">
        <v>115</v>
      </c>
      <c r="I469" s="163" t="s">
        <v>121</v>
      </c>
      <c r="J469" s="163" t="s">
        <v>262</v>
      </c>
      <c r="K469" s="163" t="s">
        <v>475</v>
      </c>
      <c r="L469" s="163"/>
      <c r="M469" s="163" t="s">
        <v>844</v>
      </c>
      <c r="N469" s="163" t="s">
        <v>495</v>
      </c>
      <c r="O469" s="162"/>
      <c r="P469" s="163"/>
      <c r="Q469" s="163">
        <f ca="1">IF(N469="Closed(C4)","",IF(N469="","",TODAY()-A469))</f>
        <v>142</v>
      </c>
      <c r="R469" s="163" t="str">
        <f t="shared" ca="1" si="64"/>
        <v/>
      </c>
      <c r="S469" s="163" t="s">
        <v>129</v>
      </c>
      <c r="T469" s="164">
        <v>20000</v>
      </c>
      <c r="U469" s="164"/>
      <c r="V469" s="163"/>
      <c r="W469" s="163"/>
      <c r="X469" s="163"/>
      <c r="Y469" s="163"/>
      <c r="Z469" s="163"/>
      <c r="AA469" s="163"/>
      <c r="AB469" s="195" t="str">
        <f t="shared" si="62"/>
        <v>Jun-26</v>
      </c>
      <c r="AC469" s="163"/>
      <c r="AD469" s="163" t="str">
        <f t="shared" si="65"/>
        <v/>
      </c>
      <c r="AE469" s="163"/>
    </row>
    <row r="470" spans="1:31" x14ac:dyDescent="0.35">
      <c r="A470" s="162">
        <v>46183</v>
      </c>
      <c r="B470" s="163" t="s">
        <v>92</v>
      </c>
      <c r="C470" s="163" t="s">
        <v>93</v>
      </c>
      <c r="D470" s="163" t="s">
        <v>182</v>
      </c>
      <c r="E470" s="163" t="s">
        <v>95</v>
      </c>
      <c r="F470" s="163" t="s">
        <v>96</v>
      </c>
      <c r="G470" s="163" t="s">
        <v>15</v>
      </c>
      <c r="H470" s="163" t="s">
        <v>163</v>
      </c>
      <c r="I470" s="163" t="s">
        <v>98</v>
      </c>
      <c r="J470" s="163" t="s">
        <v>99</v>
      </c>
      <c r="K470" s="163" t="s">
        <v>384</v>
      </c>
      <c r="L470" s="163"/>
      <c r="M470" s="163" t="s">
        <v>159</v>
      </c>
      <c r="N470" s="163" t="s">
        <v>102</v>
      </c>
      <c r="O470" s="162"/>
      <c r="P470" s="163"/>
      <c r="Q470" s="163"/>
      <c r="R470" s="163"/>
      <c r="S470" s="163" t="s">
        <v>103</v>
      </c>
      <c r="T470" s="164">
        <v>50000</v>
      </c>
      <c r="U470" s="164">
        <v>47930</v>
      </c>
      <c r="V470" s="162">
        <v>46183</v>
      </c>
      <c r="W470" s="163" t="s">
        <v>845</v>
      </c>
      <c r="X470" s="163" t="s">
        <v>30</v>
      </c>
      <c r="Y470" s="163" t="s">
        <v>85</v>
      </c>
      <c r="Z470" s="163"/>
      <c r="AA470" s="163"/>
      <c r="AB470" s="195" t="str">
        <f t="shared" si="62"/>
        <v>Jun-26</v>
      </c>
      <c r="AC470" s="163"/>
      <c r="AD470" s="163" t="str">
        <f t="shared" si="65"/>
        <v/>
      </c>
      <c r="AE470" s="163" t="s">
        <v>270</v>
      </c>
    </row>
    <row r="471" spans="1:31" x14ac:dyDescent="0.35">
      <c r="A471" s="162">
        <v>46183</v>
      </c>
      <c r="B471" s="163" t="s">
        <v>92</v>
      </c>
      <c r="C471" s="163" t="s">
        <v>93</v>
      </c>
      <c r="D471" s="163" t="s">
        <v>19</v>
      </c>
      <c r="E471" s="163" t="s">
        <v>106</v>
      </c>
      <c r="F471" s="163" t="s">
        <v>96</v>
      </c>
      <c r="G471" s="163" t="s">
        <v>10</v>
      </c>
      <c r="H471" s="163" t="s">
        <v>115</v>
      </c>
      <c r="I471" s="163" t="s">
        <v>121</v>
      </c>
      <c r="J471" s="163" t="s">
        <v>99</v>
      </c>
      <c r="K471" s="163" t="s">
        <v>256</v>
      </c>
      <c r="L471" s="163"/>
      <c r="M471" s="163" t="s">
        <v>159</v>
      </c>
      <c r="N471" s="163" t="s">
        <v>102</v>
      </c>
      <c r="O471" s="162"/>
      <c r="P471" s="163"/>
      <c r="Q471" s="163"/>
      <c r="R471" s="163" t="str">
        <f t="shared" ref="R471:R477" ca="1" si="66">IF(OR(N471="Closed( C4 )",N471="Cancelled"),"",IF(AND(O471&lt;&gt;"",O471&lt;TODAY()),"Yes",""))</f>
        <v/>
      </c>
      <c r="S471" s="163" t="s">
        <v>103</v>
      </c>
      <c r="T471" s="164">
        <v>600000</v>
      </c>
      <c r="U471" s="164">
        <v>617400</v>
      </c>
      <c r="V471" s="162">
        <v>46183</v>
      </c>
      <c r="W471" s="163" t="s">
        <v>834</v>
      </c>
      <c r="X471" s="163" t="s">
        <v>42</v>
      </c>
      <c r="Y471" s="163" t="s">
        <v>85</v>
      </c>
      <c r="Z471" s="163"/>
      <c r="AA471" s="163"/>
      <c r="AB471" s="195" t="str">
        <f t="shared" si="62"/>
        <v>Jun-26</v>
      </c>
      <c r="AC471" s="163"/>
      <c r="AD471" s="163" t="str">
        <f t="shared" si="65"/>
        <v/>
      </c>
      <c r="AE471" s="163"/>
    </row>
    <row r="472" spans="1:31" x14ac:dyDescent="0.35">
      <c r="A472" s="162">
        <v>46183</v>
      </c>
      <c r="B472" s="163" t="s">
        <v>125</v>
      </c>
      <c r="C472" s="163" t="s">
        <v>113</v>
      </c>
      <c r="D472" s="163" t="s">
        <v>165</v>
      </c>
      <c r="E472" s="163" t="s">
        <v>95</v>
      </c>
      <c r="F472" s="163" t="s">
        <v>135</v>
      </c>
      <c r="G472" s="163"/>
      <c r="H472" s="163" t="s">
        <v>115</v>
      </c>
      <c r="I472" s="163" t="s">
        <v>98</v>
      </c>
      <c r="J472" s="163" t="s">
        <v>166</v>
      </c>
      <c r="K472" s="163" t="s">
        <v>167</v>
      </c>
      <c r="L472" s="163"/>
      <c r="M472" s="163" t="s">
        <v>159</v>
      </c>
      <c r="N472" s="163" t="s">
        <v>102</v>
      </c>
      <c r="O472" s="162"/>
      <c r="P472" s="163"/>
      <c r="Q472" s="163" t="str">
        <f t="shared" ref="Q472:Q477" ca="1" si="67">IF(N472="Closed(C4)","",IF(N472="","",TODAY()-A472))</f>
        <v/>
      </c>
      <c r="R472" s="163" t="str">
        <f t="shared" ca="1" si="66"/>
        <v/>
      </c>
      <c r="S472" s="163" t="s">
        <v>103</v>
      </c>
      <c r="T472" s="164">
        <v>20000</v>
      </c>
      <c r="U472" s="164">
        <v>25666</v>
      </c>
      <c r="V472" s="162">
        <v>46183</v>
      </c>
      <c r="W472" s="163" t="s">
        <v>846</v>
      </c>
      <c r="X472" s="163" t="s">
        <v>35</v>
      </c>
      <c r="Y472" s="163" t="s">
        <v>85</v>
      </c>
      <c r="Z472" s="163"/>
      <c r="AA472" s="162"/>
      <c r="AB472" s="195" t="str">
        <f t="shared" si="62"/>
        <v>Jun-26</v>
      </c>
      <c r="AC472" s="163"/>
      <c r="AD472" s="163" t="str">
        <f t="shared" si="65"/>
        <v/>
      </c>
      <c r="AE472" s="163"/>
    </row>
    <row r="473" spans="1:31" x14ac:dyDescent="0.35">
      <c r="A473" s="162">
        <v>46183</v>
      </c>
      <c r="B473" s="163" t="s">
        <v>92</v>
      </c>
      <c r="C473" s="163" t="s">
        <v>113</v>
      </c>
      <c r="D473" s="163" t="s">
        <v>114</v>
      </c>
      <c r="E473" s="163" t="s">
        <v>95</v>
      </c>
      <c r="F473" s="163" t="s">
        <v>96</v>
      </c>
      <c r="G473" s="163" t="s">
        <v>10</v>
      </c>
      <c r="H473" s="163" t="s">
        <v>115</v>
      </c>
      <c r="I473" s="163" t="s">
        <v>98</v>
      </c>
      <c r="J473" s="163" t="s">
        <v>116</v>
      </c>
      <c r="K473" s="163" t="s">
        <v>117</v>
      </c>
      <c r="L473" s="163"/>
      <c r="M473" s="163" t="s">
        <v>788</v>
      </c>
      <c r="N473" s="163" t="s">
        <v>102</v>
      </c>
      <c r="O473" s="162"/>
      <c r="P473" s="163"/>
      <c r="Q473" s="163" t="str">
        <f t="shared" ca="1" si="67"/>
        <v/>
      </c>
      <c r="R473" s="163" t="str">
        <f t="shared" ca="1" si="66"/>
        <v/>
      </c>
      <c r="S473" s="163" t="s">
        <v>103</v>
      </c>
      <c r="T473" s="164">
        <v>22687</v>
      </c>
      <c r="U473" s="164">
        <v>25666</v>
      </c>
      <c r="V473" s="162">
        <v>46183</v>
      </c>
      <c r="W473" s="163" t="s">
        <v>846</v>
      </c>
      <c r="X473" s="163" t="s">
        <v>35</v>
      </c>
      <c r="Y473" s="163" t="s">
        <v>85</v>
      </c>
      <c r="Z473" s="163"/>
      <c r="AA473" s="163"/>
      <c r="AB473" s="195" t="str">
        <f t="shared" si="62"/>
        <v>Jun-26</v>
      </c>
      <c r="AC473" s="163"/>
      <c r="AD473" s="163"/>
      <c r="AE473" s="163"/>
    </row>
    <row r="474" spans="1:31" x14ac:dyDescent="0.35">
      <c r="A474" s="162">
        <v>46184</v>
      </c>
      <c r="B474" s="163" t="s">
        <v>370</v>
      </c>
      <c r="C474" s="163" t="s">
        <v>93</v>
      </c>
      <c r="D474" s="163" t="s">
        <v>637</v>
      </c>
      <c r="E474" s="163" t="s">
        <v>106</v>
      </c>
      <c r="F474" s="163" t="s">
        <v>135</v>
      </c>
      <c r="G474" s="163"/>
      <c r="H474" s="163" t="s">
        <v>115</v>
      </c>
      <c r="I474" s="163" t="s">
        <v>121</v>
      </c>
      <c r="J474" s="163" t="s">
        <v>638</v>
      </c>
      <c r="K474" s="163" t="s">
        <v>847</v>
      </c>
      <c r="L474" s="163"/>
      <c r="M474" s="163" t="s">
        <v>159</v>
      </c>
      <c r="N474" s="163" t="s">
        <v>102</v>
      </c>
      <c r="O474" s="162"/>
      <c r="P474" s="163"/>
      <c r="Q474" s="163" t="str">
        <f t="shared" ca="1" si="67"/>
        <v/>
      </c>
      <c r="R474" s="163" t="str">
        <f t="shared" ca="1" si="66"/>
        <v/>
      </c>
      <c r="S474" s="163" t="s">
        <v>103</v>
      </c>
      <c r="T474" s="164">
        <v>25000</v>
      </c>
      <c r="U474" s="164">
        <v>3660</v>
      </c>
      <c r="V474" s="162">
        <v>46184</v>
      </c>
      <c r="W474" s="163" t="s">
        <v>848</v>
      </c>
      <c r="X474" s="163" t="s">
        <v>42</v>
      </c>
      <c r="Y474" s="163" t="s">
        <v>161</v>
      </c>
      <c r="Z474" s="163"/>
      <c r="AA474" s="162">
        <v>46184</v>
      </c>
      <c r="AB474" s="195" t="str">
        <f t="shared" si="62"/>
        <v>Jun-26</v>
      </c>
      <c r="AC474" s="163"/>
      <c r="AD474" s="163" t="str">
        <f t="shared" ref="AD474:AD480" si="68">IF(AC474="Yes",U474*2%,"")</f>
        <v/>
      </c>
      <c r="AE474" s="163" t="s">
        <v>270</v>
      </c>
    </row>
    <row r="475" spans="1:31" x14ac:dyDescent="0.35">
      <c r="A475" s="162">
        <v>46184</v>
      </c>
      <c r="B475" s="163" t="s">
        <v>370</v>
      </c>
      <c r="C475" s="163" t="s">
        <v>93</v>
      </c>
      <c r="D475" s="163" t="s">
        <v>849</v>
      </c>
      <c r="E475" s="163" t="s">
        <v>106</v>
      </c>
      <c r="F475" s="163" t="s">
        <v>135</v>
      </c>
      <c r="G475" s="163"/>
      <c r="H475" s="163" t="s">
        <v>115</v>
      </c>
      <c r="I475" s="163" t="s">
        <v>121</v>
      </c>
      <c r="J475" s="163" t="s">
        <v>147</v>
      </c>
      <c r="K475" s="163" t="s">
        <v>122</v>
      </c>
      <c r="L475" s="163"/>
      <c r="M475" s="163" t="s">
        <v>850</v>
      </c>
      <c r="N475" s="163" t="s">
        <v>181</v>
      </c>
      <c r="O475" s="162"/>
      <c r="P475" s="163"/>
      <c r="Q475" s="163">
        <f t="shared" ca="1" si="67"/>
        <v>141</v>
      </c>
      <c r="R475" s="163" t="str">
        <f t="shared" ca="1" si="66"/>
        <v/>
      </c>
      <c r="S475" s="163" t="s">
        <v>103</v>
      </c>
      <c r="T475" s="164">
        <v>60000</v>
      </c>
      <c r="U475" s="164"/>
      <c r="V475" s="163"/>
      <c r="W475" s="163"/>
      <c r="X475" s="163"/>
      <c r="Y475" s="163"/>
      <c r="Z475" s="163"/>
      <c r="AA475" s="163"/>
      <c r="AB475" s="195" t="str">
        <f t="shared" si="62"/>
        <v>Jun-26</v>
      </c>
      <c r="AC475" s="163"/>
      <c r="AD475" s="163" t="str">
        <f t="shared" si="68"/>
        <v/>
      </c>
      <c r="AE475" s="163"/>
    </row>
    <row r="476" spans="1:31" x14ac:dyDescent="0.35">
      <c r="A476" s="162">
        <v>46184</v>
      </c>
      <c r="B476" s="163" t="s">
        <v>370</v>
      </c>
      <c r="C476" s="163" t="s">
        <v>93</v>
      </c>
      <c r="D476" s="163" t="s">
        <v>851</v>
      </c>
      <c r="E476" s="163" t="s">
        <v>106</v>
      </c>
      <c r="F476" s="163" t="s">
        <v>135</v>
      </c>
      <c r="G476" s="163"/>
      <c r="H476" s="163" t="s">
        <v>115</v>
      </c>
      <c r="I476" s="163" t="s">
        <v>121</v>
      </c>
      <c r="J476" s="163" t="s">
        <v>638</v>
      </c>
      <c r="K476" s="163" t="s">
        <v>852</v>
      </c>
      <c r="L476" s="163"/>
      <c r="M476" s="163" t="s">
        <v>159</v>
      </c>
      <c r="N476" s="163" t="s">
        <v>102</v>
      </c>
      <c r="O476" s="162"/>
      <c r="P476" s="163"/>
      <c r="Q476" s="163" t="str">
        <f t="shared" ca="1" si="67"/>
        <v/>
      </c>
      <c r="R476" s="163" t="str">
        <f t="shared" ca="1" si="66"/>
        <v/>
      </c>
      <c r="S476" s="163" t="s">
        <v>103</v>
      </c>
      <c r="T476" s="164">
        <v>30000</v>
      </c>
      <c r="U476" s="164">
        <v>8873</v>
      </c>
      <c r="V476" s="162">
        <v>46184</v>
      </c>
      <c r="W476" s="163" t="s">
        <v>853</v>
      </c>
      <c r="X476" s="163" t="s">
        <v>56</v>
      </c>
      <c r="Y476" s="163" t="s">
        <v>161</v>
      </c>
      <c r="Z476" s="163"/>
      <c r="AA476" s="162">
        <v>46184</v>
      </c>
      <c r="AB476" s="195" t="str">
        <f t="shared" si="62"/>
        <v>Jun-26</v>
      </c>
      <c r="AC476" s="163"/>
      <c r="AD476" s="163" t="str">
        <f t="shared" si="68"/>
        <v/>
      </c>
      <c r="AE476" s="163" t="s">
        <v>636</v>
      </c>
    </row>
    <row r="477" spans="1:31" x14ac:dyDescent="0.35">
      <c r="A477" s="162">
        <v>46184</v>
      </c>
      <c r="B477" s="163" t="s">
        <v>370</v>
      </c>
      <c r="C477" s="163" t="s">
        <v>93</v>
      </c>
      <c r="D477" s="163" t="s">
        <v>854</v>
      </c>
      <c r="E477" s="163" t="s">
        <v>106</v>
      </c>
      <c r="F477" s="163" t="s">
        <v>135</v>
      </c>
      <c r="G477" s="163"/>
      <c r="H477" s="163" t="s">
        <v>115</v>
      </c>
      <c r="I477" s="163" t="s">
        <v>121</v>
      </c>
      <c r="J477" s="163" t="s">
        <v>147</v>
      </c>
      <c r="K477" s="163" t="s">
        <v>668</v>
      </c>
      <c r="L477" s="163"/>
      <c r="M477" s="163" t="s">
        <v>855</v>
      </c>
      <c r="N477" s="163" t="s">
        <v>102</v>
      </c>
      <c r="O477" s="162"/>
      <c r="P477" s="163"/>
      <c r="Q477" s="163" t="str">
        <f t="shared" ca="1" si="67"/>
        <v/>
      </c>
      <c r="R477" s="163" t="str">
        <f t="shared" ca="1" si="66"/>
        <v/>
      </c>
      <c r="S477" s="163" t="s">
        <v>103</v>
      </c>
      <c r="T477" s="164">
        <v>25000</v>
      </c>
      <c r="U477" s="164">
        <v>7952</v>
      </c>
      <c r="V477" s="162">
        <v>46185</v>
      </c>
      <c r="W477" s="214" t="s">
        <v>856</v>
      </c>
      <c r="X477" s="163" t="s">
        <v>56</v>
      </c>
      <c r="Y477" s="163" t="s">
        <v>161</v>
      </c>
      <c r="Z477" s="163"/>
      <c r="AA477" s="162">
        <v>46185</v>
      </c>
      <c r="AB477" s="195" t="str">
        <f t="shared" si="62"/>
        <v>Jun-26</v>
      </c>
      <c r="AC477" s="163"/>
      <c r="AD477" s="163" t="str">
        <f t="shared" si="68"/>
        <v/>
      </c>
      <c r="AE477" s="163" t="s">
        <v>270</v>
      </c>
    </row>
    <row r="478" spans="1:31" x14ac:dyDescent="0.35">
      <c r="A478" s="162">
        <v>46184</v>
      </c>
      <c r="B478" s="163" t="s">
        <v>92</v>
      </c>
      <c r="C478" s="163" t="s">
        <v>93</v>
      </c>
      <c r="D478" s="163" t="s">
        <v>182</v>
      </c>
      <c r="E478" s="163" t="s">
        <v>95</v>
      </c>
      <c r="F478" s="163" t="s">
        <v>96</v>
      </c>
      <c r="G478" s="163" t="s">
        <v>15</v>
      </c>
      <c r="H478" s="163" t="s">
        <v>163</v>
      </c>
      <c r="I478" s="163" t="s">
        <v>98</v>
      </c>
      <c r="J478" s="163" t="s">
        <v>99</v>
      </c>
      <c r="K478" s="163" t="s">
        <v>384</v>
      </c>
      <c r="L478" s="163"/>
      <c r="M478" s="163" t="s">
        <v>159</v>
      </c>
      <c r="N478" s="163" t="s">
        <v>102</v>
      </c>
      <c r="O478" s="162"/>
      <c r="P478" s="163"/>
      <c r="Q478" s="163"/>
      <c r="R478" s="163"/>
      <c r="S478" s="163" t="s">
        <v>103</v>
      </c>
      <c r="T478" s="164">
        <v>50000</v>
      </c>
      <c r="U478" s="164">
        <v>60220</v>
      </c>
      <c r="V478" s="162">
        <v>46184</v>
      </c>
      <c r="W478" s="163" t="s">
        <v>857</v>
      </c>
      <c r="X478" s="163" t="s">
        <v>30</v>
      </c>
      <c r="Y478" s="163" t="s">
        <v>85</v>
      </c>
      <c r="Z478" s="163"/>
      <c r="AA478" s="163"/>
      <c r="AB478" s="195" t="str">
        <f t="shared" si="62"/>
        <v>Jun-26</v>
      </c>
      <c r="AC478" s="163"/>
      <c r="AD478" s="163" t="str">
        <f t="shared" si="68"/>
        <v/>
      </c>
      <c r="AE478" s="163" t="s">
        <v>270</v>
      </c>
    </row>
    <row r="479" spans="1:31" x14ac:dyDescent="0.35">
      <c r="A479" s="162">
        <v>46184</v>
      </c>
      <c r="B479" s="163" t="s">
        <v>125</v>
      </c>
      <c r="C479" s="163" t="s">
        <v>113</v>
      </c>
      <c r="D479" s="163" t="s">
        <v>223</v>
      </c>
      <c r="E479" s="163" t="s">
        <v>106</v>
      </c>
      <c r="F479" s="163" t="s">
        <v>135</v>
      </c>
      <c r="G479" s="163"/>
      <c r="H479" s="163" t="s">
        <v>97</v>
      </c>
      <c r="I479" s="163" t="s">
        <v>98</v>
      </c>
      <c r="J479" s="163" t="s">
        <v>166</v>
      </c>
      <c r="K479" s="163" t="s">
        <v>224</v>
      </c>
      <c r="L479" s="163"/>
      <c r="M479" s="163" t="s">
        <v>390</v>
      </c>
      <c r="N479" s="163" t="s">
        <v>102</v>
      </c>
      <c r="O479" s="162"/>
      <c r="P479" s="163"/>
      <c r="Q479" s="163"/>
      <c r="R479" s="163" t="str">
        <f ca="1">IF(OR(N479="Closed( C4 )",N479="Cancelled"),"",IF(AND(O479&lt;&gt;"",O479&lt;TODAY()),"Yes",""))</f>
        <v/>
      </c>
      <c r="S479" s="163" t="s">
        <v>103</v>
      </c>
      <c r="T479" s="164">
        <v>15000</v>
      </c>
      <c r="U479" s="164">
        <v>12348</v>
      </c>
      <c r="V479" s="162">
        <v>46184</v>
      </c>
      <c r="W479" s="163" t="s">
        <v>858</v>
      </c>
      <c r="X479" s="163" t="s">
        <v>62</v>
      </c>
      <c r="Y479" s="163" t="s">
        <v>161</v>
      </c>
      <c r="Z479" s="163"/>
      <c r="AA479" s="162">
        <v>46184</v>
      </c>
      <c r="AB479" s="195" t="str">
        <f t="shared" si="62"/>
        <v>Jun-26</v>
      </c>
      <c r="AC479" s="163"/>
      <c r="AD479" s="163" t="str">
        <f t="shared" si="68"/>
        <v/>
      </c>
      <c r="AE479" s="163"/>
    </row>
    <row r="480" spans="1:31" x14ac:dyDescent="0.35">
      <c r="A480" s="162">
        <v>46184</v>
      </c>
      <c r="B480" s="163" t="s">
        <v>125</v>
      </c>
      <c r="C480" s="163" t="s">
        <v>143</v>
      </c>
      <c r="D480" s="163" t="s">
        <v>859</v>
      </c>
      <c r="E480" s="163" t="s">
        <v>95</v>
      </c>
      <c r="F480" s="163" t="s">
        <v>135</v>
      </c>
      <c r="G480" s="163"/>
      <c r="H480" s="163" t="s">
        <v>97</v>
      </c>
      <c r="I480" s="163" t="s">
        <v>121</v>
      </c>
      <c r="J480" s="163"/>
      <c r="K480" s="163" t="s">
        <v>785</v>
      </c>
      <c r="L480" s="163"/>
      <c r="M480" s="163" t="s">
        <v>159</v>
      </c>
      <c r="N480" s="163" t="s">
        <v>102</v>
      </c>
      <c r="O480" s="162"/>
      <c r="P480" s="163"/>
      <c r="Q480" s="163" t="str">
        <f ca="1">IF(N480="Closed(C4)","",IF(N480="","",TODAY()-A480))</f>
        <v/>
      </c>
      <c r="R480" s="163" t="str">
        <f ca="1">IF(OR(N480="Closed( C4 )",N480="Cancelled"),"",IF(AND(O480&lt;&gt;"",O480&lt;TODAY()),"Yes",""))</f>
        <v/>
      </c>
      <c r="S480" s="163" t="s">
        <v>103</v>
      </c>
      <c r="T480" s="164">
        <v>100000</v>
      </c>
      <c r="U480" s="164">
        <v>105592</v>
      </c>
      <c r="V480" s="162">
        <v>46184</v>
      </c>
      <c r="W480" s="163" t="s">
        <v>860</v>
      </c>
      <c r="X480" s="163" t="s">
        <v>43</v>
      </c>
      <c r="Y480" s="163" t="s">
        <v>85</v>
      </c>
      <c r="Z480" s="163"/>
      <c r="AA480" s="162">
        <v>46184</v>
      </c>
      <c r="AB480" s="195" t="str">
        <f t="shared" si="62"/>
        <v>Jun-26</v>
      </c>
      <c r="AC480" s="163"/>
      <c r="AD480" s="163" t="str">
        <f t="shared" si="68"/>
        <v/>
      </c>
      <c r="AE480" s="163"/>
    </row>
    <row r="481" spans="1:31" x14ac:dyDescent="0.35">
      <c r="A481" s="162">
        <v>46185</v>
      </c>
      <c r="B481" s="163" t="s">
        <v>370</v>
      </c>
      <c r="C481" s="163" t="s">
        <v>93</v>
      </c>
      <c r="D481" s="163" t="s">
        <v>861</v>
      </c>
      <c r="E481" s="163" t="s">
        <v>106</v>
      </c>
      <c r="F481" s="163" t="s">
        <v>135</v>
      </c>
      <c r="G481" s="163"/>
      <c r="H481" s="163" t="s">
        <v>115</v>
      </c>
      <c r="I481" s="163" t="s">
        <v>121</v>
      </c>
      <c r="J481" s="163" t="s">
        <v>438</v>
      </c>
      <c r="K481" s="163" t="s">
        <v>433</v>
      </c>
      <c r="L481" s="163"/>
      <c r="M481" s="163" t="s">
        <v>601</v>
      </c>
      <c r="N481" s="163" t="s">
        <v>181</v>
      </c>
      <c r="O481" s="162"/>
      <c r="P481" s="163"/>
      <c r="Q481" s="163"/>
      <c r="R481" s="163"/>
      <c r="S481" s="163" t="s">
        <v>129</v>
      </c>
      <c r="T481" s="164">
        <v>60000</v>
      </c>
      <c r="U481" s="164">
        <v>0</v>
      </c>
      <c r="V481" s="162"/>
      <c r="W481" s="163"/>
      <c r="X481" s="163"/>
      <c r="Y481" s="163"/>
      <c r="Z481" s="163"/>
      <c r="AA481" s="162"/>
      <c r="AB481" s="195" t="str">
        <f t="shared" si="62"/>
        <v>Jun-26</v>
      </c>
      <c r="AC481" s="163"/>
      <c r="AD481" s="163"/>
      <c r="AE481" s="163"/>
    </row>
    <row r="482" spans="1:31" x14ac:dyDescent="0.35">
      <c r="A482" s="162">
        <v>46185</v>
      </c>
      <c r="B482" s="163" t="s">
        <v>370</v>
      </c>
      <c r="C482" s="163" t="s">
        <v>93</v>
      </c>
      <c r="D482" s="163" t="s">
        <v>862</v>
      </c>
      <c r="E482" s="163" t="s">
        <v>106</v>
      </c>
      <c r="F482" s="163" t="s">
        <v>135</v>
      </c>
      <c r="G482" s="163"/>
      <c r="H482" s="163" t="s">
        <v>115</v>
      </c>
      <c r="I482" s="163" t="s">
        <v>121</v>
      </c>
      <c r="J482" s="163" t="s">
        <v>147</v>
      </c>
      <c r="K482" s="163" t="s">
        <v>863</v>
      </c>
      <c r="L482" s="163"/>
      <c r="M482" s="163" t="s">
        <v>864</v>
      </c>
      <c r="N482" s="163" t="s">
        <v>181</v>
      </c>
      <c r="O482" s="162"/>
      <c r="P482" s="163"/>
      <c r="Q482" s="163"/>
      <c r="R482" s="163"/>
      <c r="S482" s="163" t="s">
        <v>129</v>
      </c>
      <c r="T482" s="164">
        <v>40000</v>
      </c>
      <c r="U482" s="164">
        <v>0</v>
      </c>
      <c r="V482" s="162"/>
      <c r="W482" s="163"/>
      <c r="X482" s="163"/>
      <c r="Y482" s="163"/>
      <c r="Z482" s="163"/>
      <c r="AA482" s="162"/>
      <c r="AB482" s="195" t="str">
        <f t="shared" si="62"/>
        <v>Jun-26</v>
      </c>
      <c r="AC482" s="163"/>
      <c r="AD482" s="163"/>
      <c r="AE482" s="163"/>
    </row>
    <row r="483" spans="1:31" x14ac:dyDescent="0.35">
      <c r="A483" s="162">
        <v>46185</v>
      </c>
      <c r="B483" s="163" t="s">
        <v>370</v>
      </c>
      <c r="C483" s="163" t="s">
        <v>93</v>
      </c>
      <c r="D483" s="163" t="s">
        <v>865</v>
      </c>
      <c r="E483" s="163" t="s">
        <v>95</v>
      </c>
      <c r="F483" s="163" t="s">
        <v>135</v>
      </c>
      <c r="G483" s="163"/>
      <c r="H483" s="163" t="s">
        <v>115</v>
      </c>
      <c r="I483" s="163" t="s">
        <v>121</v>
      </c>
      <c r="J483" s="163" t="s">
        <v>147</v>
      </c>
      <c r="K483" s="163" t="s">
        <v>866</v>
      </c>
      <c r="L483" s="163"/>
      <c r="M483" s="163" t="s">
        <v>669</v>
      </c>
      <c r="N483" s="163" t="s">
        <v>102</v>
      </c>
      <c r="O483" s="162"/>
      <c r="P483" s="163"/>
      <c r="Q483" s="163" t="str">
        <f ca="1">IF(N483="Closed(C4)","",IF(N483="","",TODAY()-A483))</f>
        <v/>
      </c>
      <c r="R483" s="163" t="str">
        <f ca="1">IF(OR(N483="Closed( C4 )",N483="Cancelled"),"",IF(AND(O483&lt;&gt;"",O483&lt;TODAY()),"Yes",""))</f>
        <v/>
      </c>
      <c r="S483" s="163" t="s">
        <v>103</v>
      </c>
      <c r="T483" s="164">
        <v>0</v>
      </c>
      <c r="U483" s="164">
        <v>0</v>
      </c>
      <c r="V483" s="162"/>
      <c r="W483" s="163"/>
      <c r="X483" s="163"/>
      <c r="Y483" s="163"/>
      <c r="Z483" s="163"/>
      <c r="AA483" s="162"/>
      <c r="AB483" s="195" t="str">
        <f t="shared" si="62"/>
        <v>Jun-26</v>
      </c>
      <c r="AC483" s="163"/>
      <c r="AD483" s="163" t="str">
        <f>IF(AC483="Yes",U483*2%,"")</f>
        <v/>
      </c>
      <c r="AE483" s="163"/>
    </row>
    <row r="484" spans="1:31" x14ac:dyDescent="0.35">
      <c r="A484" s="162">
        <v>46185</v>
      </c>
      <c r="B484" s="163" t="s">
        <v>370</v>
      </c>
      <c r="C484" s="163" t="s">
        <v>93</v>
      </c>
      <c r="D484" s="163" t="s">
        <v>727</v>
      </c>
      <c r="E484" s="163" t="s">
        <v>95</v>
      </c>
      <c r="F484" s="163" t="s">
        <v>135</v>
      </c>
      <c r="G484" s="163"/>
      <c r="H484" s="163" t="s">
        <v>115</v>
      </c>
      <c r="I484" s="163" t="s">
        <v>121</v>
      </c>
      <c r="J484" s="163" t="s">
        <v>147</v>
      </c>
      <c r="K484" s="163" t="s">
        <v>867</v>
      </c>
      <c r="L484" s="163"/>
      <c r="M484" s="163" t="s">
        <v>575</v>
      </c>
      <c r="N484" s="163" t="s">
        <v>181</v>
      </c>
      <c r="O484" s="162"/>
      <c r="P484" s="163"/>
      <c r="Q484" s="163"/>
      <c r="R484" s="163"/>
      <c r="S484" s="163" t="s">
        <v>129</v>
      </c>
      <c r="T484" s="164">
        <v>100000</v>
      </c>
      <c r="U484" s="164"/>
      <c r="V484" s="162"/>
      <c r="W484" s="163"/>
      <c r="X484" s="163"/>
      <c r="Y484" s="163"/>
      <c r="Z484" s="163"/>
      <c r="AA484" s="162"/>
      <c r="AB484" s="195" t="str">
        <f t="shared" si="62"/>
        <v>Jun-26</v>
      </c>
      <c r="AC484" s="163"/>
      <c r="AD484" s="163"/>
      <c r="AE484" s="163"/>
    </row>
    <row r="485" spans="1:31" x14ac:dyDescent="0.35">
      <c r="A485" s="162">
        <v>46185</v>
      </c>
      <c r="B485" s="163" t="s">
        <v>92</v>
      </c>
      <c r="C485" s="163" t="s">
        <v>93</v>
      </c>
      <c r="D485" s="163" t="s">
        <v>182</v>
      </c>
      <c r="E485" s="163" t="s">
        <v>95</v>
      </c>
      <c r="F485" s="163" t="s">
        <v>96</v>
      </c>
      <c r="G485" s="163" t="s">
        <v>15</v>
      </c>
      <c r="H485" s="163" t="s">
        <v>163</v>
      </c>
      <c r="I485" s="163" t="s">
        <v>98</v>
      </c>
      <c r="J485" s="163" t="s">
        <v>99</v>
      </c>
      <c r="K485" s="163" t="s">
        <v>384</v>
      </c>
      <c r="L485" s="163"/>
      <c r="M485" s="163" t="s">
        <v>159</v>
      </c>
      <c r="N485" s="163" t="s">
        <v>102</v>
      </c>
      <c r="O485" s="162"/>
      <c r="P485" s="163"/>
      <c r="Q485" s="163"/>
      <c r="R485" s="163"/>
      <c r="S485" s="163" t="s">
        <v>103</v>
      </c>
      <c r="T485" s="164">
        <v>70000</v>
      </c>
      <c r="U485" s="164">
        <v>61250</v>
      </c>
      <c r="V485" s="162">
        <v>46185</v>
      </c>
      <c r="W485" s="163" t="s">
        <v>868</v>
      </c>
      <c r="X485" s="163" t="s">
        <v>30</v>
      </c>
      <c r="Y485" s="163" t="s">
        <v>85</v>
      </c>
      <c r="Z485" s="163"/>
      <c r="AA485" s="163"/>
      <c r="AB485" s="195" t="str">
        <f t="shared" si="62"/>
        <v>Jun-26</v>
      </c>
      <c r="AC485" s="163"/>
      <c r="AD485" s="163" t="str">
        <f>IF(AC485="Yes",U485*2%,"")</f>
        <v/>
      </c>
      <c r="AE485" s="163" t="s">
        <v>270</v>
      </c>
    </row>
    <row r="486" spans="1:31" x14ac:dyDescent="0.35">
      <c r="A486" s="162">
        <v>46186</v>
      </c>
      <c r="B486" s="163" t="s">
        <v>370</v>
      </c>
      <c r="C486" s="163" t="s">
        <v>93</v>
      </c>
      <c r="D486" s="163" t="s">
        <v>865</v>
      </c>
      <c r="E486" s="163" t="s">
        <v>95</v>
      </c>
      <c r="F486" s="163" t="s">
        <v>135</v>
      </c>
      <c r="G486" s="163"/>
      <c r="H486" s="163" t="s">
        <v>115</v>
      </c>
      <c r="I486" s="163" t="s">
        <v>121</v>
      </c>
      <c r="J486" s="163" t="s">
        <v>147</v>
      </c>
      <c r="K486" s="163" t="s">
        <v>866</v>
      </c>
      <c r="L486" s="163"/>
      <c r="M486" s="163" t="s">
        <v>159</v>
      </c>
      <c r="N486" s="163" t="s">
        <v>102</v>
      </c>
      <c r="O486" s="162"/>
      <c r="P486" s="163"/>
      <c r="Q486" s="163" t="str">
        <f ca="1">IF(N486="Closed(C4)","",IF(N486="","",TODAY()-A486))</f>
        <v/>
      </c>
      <c r="R486" s="163" t="str">
        <f ca="1">IF(OR(N486="Closed( C4 )",N486="Cancelled"),"",IF(AND(O486&lt;&gt;"",O486&lt;TODAY()),"Yes",""))</f>
        <v/>
      </c>
      <c r="S486" s="163" t="s">
        <v>103</v>
      </c>
      <c r="T486" s="164">
        <v>20000</v>
      </c>
      <c r="U486" s="164">
        <v>24004</v>
      </c>
      <c r="V486" s="162">
        <v>46186</v>
      </c>
      <c r="W486" s="163" t="s">
        <v>869</v>
      </c>
      <c r="X486" s="163" t="s">
        <v>26</v>
      </c>
      <c r="Y486" s="163" t="s">
        <v>85</v>
      </c>
      <c r="Z486" s="163"/>
      <c r="AA486" s="162">
        <v>46186</v>
      </c>
      <c r="AB486" s="195" t="str">
        <f t="shared" si="62"/>
        <v>Jun-26</v>
      </c>
      <c r="AC486" s="163"/>
      <c r="AD486" s="163" t="str">
        <f>IF(AC486="Yes",U486*2%,"")</f>
        <v/>
      </c>
      <c r="AE486" s="163" t="s">
        <v>270</v>
      </c>
    </row>
    <row r="487" spans="1:31" x14ac:dyDescent="0.35">
      <c r="A487" s="162">
        <v>46186</v>
      </c>
      <c r="B487" s="163" t="s">
        <v>125</v>
      </c>
      <c r="C487" s="163" t="s">
        <v>113</v>
      </c>
      <c r="D487" s="163" t="s">
        <v>870</v>
      </c>
      <c r="E487" s="163" t="s">
        <v>95</v>
      </c>
      <c r="F487" s="163" t="s">
        <v>135</v>
      </c>
      <c r="G487" s="163"/>
      <c r="H487" s="163" t="s">
        <v>115</v>
      </c>
      <c r="I487" s="163" t="s">
        <v>121</v>
      </c>
      <c r="J487" s="163" t="s">
        <v>147</v>
      </c>
      <c r="K487" s="163" t="s">
        <v>871</v>
      </c>
      <c r="L487" s="163"/>
      <c r="M487" s="163" t="s">
        <v>159</v>
      </c>
      <c r="N487" s="163" t="s">
        <v>102</v>
      </c>
      <c r="O487" s="162"/>
      <c r="P487" s="163"/>
      <c r="Q487" s="163"/>
      <c r="R487" s="163"/>
      <c r="S487" s="163" t="s">
        <v>103</v>
      </c>
      <c r="T487" s="164">
        <v>5000</v>
      </c>
      <c r="U487" s="164">
        <v>6030</v>
      </c>
      <c r="V487" s="162">
        <v>46186</v>
      </c>
      <c r="W487" s="163" t="s">
        <v>872</v>
      </c>
      <c r="X487" s="163" t="s">
        <v>37</v>
      </c>
      <c r="Y487" s="163" t="s">
        <v>161</v>
      </c>
      <c r="Z487" s="163"/>
      <c r="AA487" s="162">
        <v>46186</v>
      </c>
      <c r="AB487" s="195" t="str">
        <f t="shared" si="62"/>
        <v>Jun-26</v>
      </c>
      <c r="AC487" s="163"/>
      <c r="AD487" s="163"/>
      <c r="AE487" s="163"/>
    </row>
    <row r="488" spans="1:31" x14ac:dyDescent="0.35">
      <c r="A488" s="162">
        <v>46188</v>
      </c>
      <c r="B488" s="163" t="s">
        <v>92</v>
      </c>
      <c r="C488" s="163" t="s">
        <v>93</v>
      </c>
      <c r="D488" s="163" t="s">
        <v>873</v>
      </c>
      <c r="E488" s="163" t="s">
        <v>106</v>
      </c>
      <c r="F488" s="163" t="s">
        <v>135</v>
      </c>
      <c r="G488" s="163"/>
      <c r="H488" s="163" t="s">
        <v>115</v>
      </c>
      <c r="I488" s="163" t="s">
        <v>121</v>
      </c>
      <c r="J488" s="163" t="s">
        <v>388</v>
      </c>
      <c r="K488" s="163" t="s">
        <v>151</v>
      </c>
      <c r="L488" s="163"/>
      <c r="M488" s="163" t="s">
        <v>874</v>
      </c>
      <c r="N488" s="163" t="s">
        <v>495</v>
      </c>
      <c r="O488" s="162"/>
      <c r="P488" s="163"/>
      <c r="Q488" s="163">
        <f t="shared" ref="Q488:Q494" ca="1" si="69">IF(N488="Closed(C4)","",IF(N488="","",TODAY()-A488))</f>
        <v>137</v>
      </c>
      <c r="R488" s="163" t="str">
        <f t="shared" ref="R488:R519" ca="1" si="70">IF(OR(N488="Closed( C4 )",N488="Cancelled"),"",IF(AND(O488&lt;&gt;"",O488&lt;TODAY()),"Yes",""))</f>
        <v/>
      </c>
      <c r="S488" s="163" t="s">
        <v>103</v>
      </c>
      <c r="T488" s="164">
        <v>200000</v>
      </c>
      <c r="U488" s="164"/>
      <c r="V488" s="162">
        <v>46191</v>
      </c>
      <c r="W488" s="163"/>
      <c r="X488" s="163"/>
      <c r="Y488" s="163"/>
      <c r="Z488" s="163"/>
      <c r="AA488" s="163"/>
      <c r="AB488" s="195" t="str">
        <f t="shared" si="62"/>
        <v>Jun-26</v>
      </c>
      <c r="AC488" s="163"/>
      <c r="AD488" s="163" t="str">
        <f t="shared" ref="AD488:AD494" si="71">IF(AC488="Yes",U488*2%,"")</f>
        <v/>
      </c>
      <c r="AE488" s="163"/>
    </row>
    <row r="489" spans="1:31" x14ac:dyDescent="0.35">
      <c r="A489" s="162">
        <v>46188</v>
      </c>
      <c r="B489" s="163" t="s">
        <v>370</v>
      </c>
      <c r="C489" s="163" t="s">
        <v>93</v>
      </c>
      <c r="D489" s="163" t="s">
        <v>875</v>
      </c>
      <c r="E489" s="163" t="s">
        <v>106</v>
      </c>
      <c r="F489" s="163" t="s">
        <v>135</v>
      </c>
      <c r="G489" s="163"/>
      <c r="H489" s="163" t="s">
        <v>115</v>
      </c>
      <c r="I489" s="163" t="s">
        <v>121</v>
      </c>
      <c r="J489" s="163" t="s">
        <v>147</v>
      </c>
      <c r="K489" s="163" t="s">
        <v>876</v>
      </c>
      <c r="L489" s="163"/>
      <c r="M489" s="163" t="s">
        <v>877</v>
      </c>
      <c r="N489" s="163" t="s">
        <v>102</v>
      </c>
      <c r="O489" s="162"/>
      <c r="P489" s="163"/>
      <c r="Q489" s="163" t="str">
        <f t="shared" ca="1" si="69"/>
        <v/>
      </c>
      <c r="R489" s="163" t="str">
        <f t="shared" ca="1" si="70"/>
        <v/>
      </c>
      <c r="S489" s="163" t="s">
        <v>129</v>
      </c>
      <c r="T489" s="164">
        <v>15000</v>
      </c>
      <c r="U489" s="164"/>
      <c r="V489" s="163"/>
      <c r="W489" s="163"/>
      <c r="X489" s="163"/>
      <c r="Y489" s="163"/>
      <c r="Z489" s="163"/>
      <c r="AA489" s="163"/>
      <c r="AB489" s="195" t="str">
        <f t="shared" si="62"/>
        <v>Jun-26</v>
      </c>
      <c r="AC489" s="163"/>
      <c r="AD489" s="163" t="str">
        <f t="shared" si="71"/>
        <v/>
      </c>
      <c r="AE489" s="163"/>
    </row>
    <row r="490" spans="1:31" x14ac:dyDescent="0.35">
      <c r="A490" s="162">
        <v>46188</v>
      </c>
      <c r="B490" s="163" t="s">
        <v>370</v>
      </c>
      <c r="C490" s="163" t="s">
        <v>93</v>
      </c>
      <c r="D490" s="163" t="s">
        <v>262</v>
      </c>
      <c r="E490" s="163" t="s">
        <v>106</v>
      </c>
      <c r="F490" s="163" t="s">
        <v>135</v>
      </c>
      <c r="G490" s="163"/>
      <c r="H490" s="163" t="s">
        <v>115</v>
      </c>
      <c r="I490" s="163" t="s">
        <v>121</v>
      </c>
      <c r="J490" s="163" t="s">
        <v>262</v>
      </c>
      <c r="K490" s="163" t="s">
        <v>878</v>
      </c>
      <c r="L490" s="163"/>
      <c r="M490" s="163" t="s">
        <v>879</v>
      </c>
      <c r="N490" s="163" t="s">
        <v>181</v>
      </c>
      <c r="O490" s="162"/>
      <c r="P490" s="163"/>
      <c r="Q490" s="163">
        <f t="shared" ca="1" si="69"/>
        <v>137</v>
      </c>
      <c r="R490" s="163" t="str">
        <f t="shared" ca="1" si="70"/>
        <v/>
      </c>
      <c r="S490" s="163" t="s">
        <v>129</v>
      </c>
      <c r="T490" s="164">
        <v>25000</v>
      </c>
      <c r="U490" s="164"/>
      <c r="V490" s="163"/>
      <c r="W490" s="163"/>
      <c r="X490" s="163"/>
      <c r="Y490" s="163"/>
      <c r="Z490" s="163"/>
      <c r="AA490" s="163"/>
      <c r="AB490" s="195" t="str">
        <f t="shared" si="62"/>
        <v>Jun-26</v>
      </c>
      <c r="AC490" s="163"/>
      <c r="AD490" s="163" t="str">
        <f t="shared" si="71"/>
        <v/>
      </c>
      <c r="AE490" s="163"/>
    </row>
    <row r="491" spans="1:31" x14ac:dyDescent="0.35">
      <c r="A491" s="162">
        <v>46188</v>
      </c>
      <c r="B491" s="163" t="s">
        <v>370</v>
      </c>
      <c r="C491" s="163" t="s">
        <v>93</v>
      </c>
      <c r="D491" s="163" t="s">
        <v>880</v>
      </c>
      <c r="E491" s="163" t="s">
        <v>106</v>
      </c>
      <c r="F491" s="163" t="s">
        <v>135</v>
      </c>
      <c r="G491" s="163"/>
      <c r="H491" s="163" t="s">
        <v>115</v>
      </c>
      <c r="I491" s="163" t="s">
        <v>121</v>
      </c>
      <c r="J491" s="163" t="s">
        <v>147</v>
      </c>
      <c r="K491" s="163" t="s">
        <v>881</v>
      </c>
      <c r="L491" s="163"/>
      <c r="M491" s="163" t="s">
        <v>575</v>
      </c>
      <c r="N491" s="163" t="s">
        <v>181</v>
      </c>
      <c r="O491" s="162">
        <v>46263</v>
      </c>
      <c r="P491" s="163" t="s">
        <v>95</v>
      </c>
      <c r="Q491" s="163">
        <f t="shared" ca="1" si="69"/>
        <v>137</v>
      </c>
      <c r="R491" s="163" t="str">
        <f t="shared" ca="1" si="70"/>
        <v/>
      </c>
      <c r="S491" s="163" t="s">
        <v>133</v>
      </c>
      <c r="T491" s="164">
        <v>45000</v>
      </c>
      <c r="U491" s="164"/>
      <c r="V491" s="163"/>
      <c r="W491" s="163"/>
      <c r="X491" s="163"/>
      <c r="Y491" s="163"/>
      <c r="Z491" s="163"/>
      <c r="AA491" s="163"/>
      <c r="AB491" s="195" t="str">
        <f t="shared" si="62"/>
        <v>Jun-26</v>
      </c>
      <c r="AC491" s="163"/>
      <c r="AD491" s="163" t="str">
        <f t="shared" si="71"/>
        <v/>
      </c>
      <c r="AE491" s="163"/>
    </row>
    <row r="492" spans="1:31" x14ac:dyDescent="0.35">
      <c r="A492" s="162">
        <v>46189</v>
      </c>
      <c r="B492" s="163" t="s">
        <v>370</v>
      </c>
      <c r="C492" s="163" t="s">
        <v>93</v>
      </c>
      <c r="D492" s="163" t="s">
        <v>882</v>
      </c>
      <c r="E492" s="163" t="s">
        <v>106</v>
      </c>
      <c r="F492" s="163" t="s">
        <v>135</v>
      </c>
      <c r="G492" s="163"/>
      <c r="H492" s="163" t="s">
        <v>115</v>
      </c>
      <c r="I492" s="163" t="s">
        <v>121</v>
      </c>
      <c r="J492" s="163" t="s">
        <v>147</v>
      </c>
      <c r="K492" s="163" t="s">
        <v>883</v>
      </c>
      <c r="L492" s="163"/>
      <c r="M492" s="163" t="s">
        <v>575</v>
      </c>
      <c r="N492" s="163" t="s">
        <v>181</v>
      </c>
      <c r="O492" s="162"/>
      <c r="P492" s="163"/>
      <c r="Q492" s="163">
        <f t="shared" ca="1" si="69"/>
        <v>136</v>
      </c>
      <c r="R492" s="163" t="str">
        <f t="shared" ca="1" si="70"/>
        <v/>
      </c>
      <c r="S492" s="163" t="s">
        <v>129</v>
      </c>
      <c r="T492" s="164">
        <v>55000</v>
      </c>
      <c r="U492" s="164"/>
      <c r="V492" s="163"/>
      <c r="W492" s="163"/>
      <c r="X492" s="163"/>
      <c r="Y492" s="163"/>
      <c r="Z492" s="163"/>
      <c r="AA492" s="163"/>
      <c r="AB492" s="195" t="str">
        <f t="shared" si="62"/>
        <v>Jun-26</v>
      </c>
      <c r="AC492" s="163"/>
      <c r="AD492" s="163" t="str">
        <f t="shared" si="71"/>
        <v/>
      </c>
      <c r="AE492" s="163"/>
    </row>
    <row r="493" spans="1:31" x14ac:dyDescent="0.35">
      <c r="A493" s="162">
        <v>46189</v>
      </c>
      <c r="B493" s="163" t="s">
        <v>370</v>
      </c>
      <c r="C493" s="163" t="s">
        <v>93</v>
      </c>
      <c r="D493" s="163" t="s">
        <v>884</v>
      </c>
      <c r="E493" s="163" t="s">
        <v>106</v>
      </c>
      <c r="F493" s="163" t="s">
        <v>135</v>
      </c>
      <c r="G493" s="163"/>
      <c r="H493" s="163" t="s">
        <v>115</v>
      </c>
      <c r="I493" s="163" t="s">
        <v>121</v>
      </c>
      <c r="J493" s="163" t="s">
        <v>147</v>
      </c>
      <c r="K493" s="163" t="s">
        <v>885</v>
      </c>
      <c r="L493" s="163"/>
      <c r="M493" s="163" t="s">
        <v>575</v>
      </c>
      <c r="N493" s="163" t="s">
        <v>181</v>
      </c>
      <c r="O493" s="162"/>
      <c r="P493" s="163"/>
      <c r="Q493" s="163">
        <f t="shared" ca="1" si="69"/>
        <v>136</v>
      </c>
      <c r="R493" s="163" t="str">
        <f t="shared" ca="1" si="70"/>
        <v/>
      </c>
      <c r="S493" s="163" t="s">
        <v>129</v>
      </c>
      <c r="T493" s="164">
        <v>35000</v>
      </c>
      <c r="U493" s="164"/>
      <c r="V493" s="163"/>
      <c r="W493" s="163"/>
      <c r="X493" s="163"/>
      <c r="Y493" s="163"/>
      <c r="Z493" s="163"/>
      <c r="AA493" s="163"/>
      <c r="AB493" s="195" t="str">
        <f t="shared" si="62"/>
        <v>Jun-26</v>
      </c>
      <c r="AC493" s="163"/>
      <c r="AD493" s="163" t="str">
        <f t="shared" si="71"/>
        <v/>
      </c>
      <c r="AE493" s="163"/>
    </row>
    <row r="494" spans="1:31" x14ac:dyDescent="0.35">
      <c r="A494" s="162">
        <v>46189</v>
      </c>
      <c r="B494" s="163" t="s">
        <v>370</v>
      </c>
      <c r="C494" s="163" t="s">
        <v>93</v>
      </c>
      <c r="D494" s="163" t="s">
        <v>886</v>
      </c>
      <c r="E494" s="163" t="s">
        <v>106</v>
      </c>
      <c r="F494" s="163" t="s">
        <v>135</v>
      </c>
      <c r="G494" s="163"/>
      <c r="H494" s="163" t="s">
        <v>115</v>
      </c>
      <c r="I494" s="163" t="s">
        <v>121</v>
      </c>
      <c r="J494" s="163" t="s">
        <v>432</v>
      </c>
      <c r="K494" s="163" t="s">
        <v>829</v>
      </c>
      <c r="L494" s="163"/>
      <c r="M494" s="163" t="s">
        <v>575</v>
      </c>
      <c r="N494" s="163" t="s">
        <v>181</v>
      </c>
      <c r="O494" s="162"/>
      <c r="P494" s="163"/>
      <c r="Q494" s="163">
        <f t="shared" ca="1" si="69"/>
        <v>136</v>
      </c>
      <c r="R494" s="163" t="str">
        <f t="shared" ca="1" si="70"/>
        <v/>
      </c>
      <c r="S494" s="163" t="s">
        <v>133</v>
      </c>
      <c r="T494" s="164">
        <v>60000</v>
      </c>
      <c r="U494" s="164"/>
      <c r="V494" s="163"/>
      <c r="W494" s="163"/>
      <c r="X494" s="163"/>
      <c r="Y494" s="163"/>
      <c r="Z494" s="163"/>
      <c r="AA494" s="163"/>
      <c r="AB494" s="195" t="str">
        <f t="shared" si="62"/>
        <v>Jun-26</v>
      </c>
      <c r="AC494" s="163"/>
      <c r="AD494" s="163" t="str">
        <f t="shared" si="71"/>
        <v/>
      </c>
      <c r="AE494" s="163"/>
    </row>
    <row r="495" spans="1:31" x14ac:dyDescent="0.35">
      <c r="A495" s="162">
        <v>46189</v>
      </c>
      <c r="B495" s="163" t="s">
        <v>125</v>
      </c>
      <c r="C495" s="163" t="s">
        <v>113</v>
      </c>
      <c r="D495" s="163" t="s">
        <v>887</v>
      </c>
      <c r="E495" s="163" t="s">
        <v>95</v>
      </c>
      <c r="F495" s="163" t="s">
        <v>96</v>
      </c>
      <c r="G495" s="163" t="s">
        <v>15</v>
      </c>
      <c r="H495" s="163" t="s">
        <v>163</v>
      </c>
      <c r="I495" s="163" t="s">
        <v>98</v>
      </c>
      <c r="J495" s="163" t="s">
        <v>147</v>
      </c>
      <c r="K495" s="163" t="s">
        <v>525</v>
      </c>
      <c r="L495" s="163"/>
      <c r="M495" s="163" t="s">
        <v>526</v>
      </c>
      <c r="N495" s="163" t="s">
        <v>102</v>
      </c>
      <c r="O495" s="162"/>
      <c r="P495" s="163"/>
      <c r="Q495" s="163"/>
      <c r="R495" s="163" t="str">
        <f t="shared" ca="1" si="70"/>
        <v/>
      </c>
      <c r="S495" s="163" t="s">
        <v>103</v>
      </c>
      <c r="T495" s="164">
        <v>15000</v>
      </c>
      <c r="U495" s="164">
        <v>22603</v>
      </c>
      <c r="V495" s="162">
        <v>46189</v>
      </c>
      <c r="W495" s="214" t="s">
        <v>779</v>
      </c>
      <c r="X495" s="163" t="s">
        <v>39</v>
      </c>
      <c r="Y495" s="163" t="s">
        <v>85</v>
      </c>
      <c r="Z495" s="163"/>
      <c r="AA495" s="162">
        <v>46189</v>
      </c>
      <c r="AB495" s="195" t="str">
        <f t="shared" si="62"/>
        <v>Jun-26</v>
      </c>
      <c r="AC495" s="163"/>
      <c r="AD495" s="163" t="str">
        <f>IF(AC495="Yes",#REF!*2%,"")</f>
        <v/>
      </c>
      <c r="AE495" s="163"/>
    </row>
    <row r="496" spans="1:31" x14ac:dyDescent="0.35">
      <c r="A496" s="162">
        <v>46190</v>
      </c>
      <c r="B496" s="163" t="s">
        <v>370</v>
      </c>
      <c r="C496" s="163" t="s">
        <v>93</v>
      </c>
      <c r="D496" s="163" t="s">
        <v>888</v>
      </c>
      <c r="E496" s="163" t="s">
        <v>106</v>
      </c>
      <c r="F496" s="163" t="s">
        <v>135</v>
      </c>
      <c r="G496" s="163"/>
      <c r="H496" s="163" t="s">
        <v>115</v>
      </c>
      <c r="I496" s="163" t="s">
        <v>121</v>
      </c>
      <c r="J496" s="163" t="s">
        <v>356</v>
      </c>
      <c r="K496" s="163" t="s">
        <v>368</v>
      </c>
      <c r="L496" s="163"/>
      <c r="M496" s="163" t="s">
        <v>640</v>
      </c>
      <c r="N496" s="163" t="s">
        <v>102</v>
      </c>
      <c r="O496" s="162"/>
      <c r="P496" s="163"/>
      <c r="Q496" s="163" t="str">
        <f ca="1">IF(N496="Closed(C4)","",IF(N496="","",TODAY()-A496))</f>
        <v/>
      </c>
      <c r="R496" s="163" t="str">
        <f t="shared" ca="1" si="70"/>
        <v/>
      </c>
      <c r="S496" s="163" t="s">
        <v>103</v>
      </c>
      <c r="T496" s="164">
        <v>15000</v>
      </c>
      <c r="U496" s="164">
        <v>7494</v>
      </c>
      <c r="V496" s="162">
        <v>46190</v>
      </c>
      <c r="W496" s="163" t="s">
        <v>889</v>
      </c>
      <c r="X496" s="163"/>
      <c r="Y496" s="163" t="s">
        <v>161</v>
      </c>
      <c r="Z496" s="163"/>
      <c r="AA496" s="162">
        <v>46190</v>
      </c>
      <c r="AB496" s="195" t="str">
        <f t="shared" si="62"/>
        <v>Jun-26</v>
      </c>
      <c r="AC496" s="163"/>
      <c r="AD496" s="163" t="str">
        <f t="shared" ref="AD496:AD501" si="72">IF(AC496="Yes",U496*2%,"")</f>
        <v/>
      </c>
      <c r="AE496" s="163" t="s">
        <v>270</v>
      </c>
    </row>
    <row r="497" spans="1:31" x14ac:dyDescent="0.35">
      <c r="A497" s="162">
        <v>46190</v>
      </c>
      <c r="B497" s="163" t="s">
        <v>370</v>
      </c>
      <c r="C497" s="163" t="s">
        <v>93</v>
      </c>
      <c r="D497" s="163" t="s">
        <v>890</v>
      </c>
      <c r="E497" s="163" t="s">
        <v>106</v>
      </c>
      <c r="F497" s="163" t="s">
        <v>135</v>
      </c>
      <c r="G497" s="163"/>
      <c r="H497" s="163" t="s">
        <v>115</v>
      </c>
      <c r="I497" s="163" t="s">
        <v>121</v>
      </c>
      <c r="J497" s="163" t="s">
        <v>356</v>
      </c>
      <c r="K497" s="163" t="s">
        <v>347</v>
      </c>
      <c r="L497" s="163"/>
      <c r="M497" s="163" t="s">
        <v>640</v>
      </c>
      <c r="N497" s="163" t="s">
        <v>102</v>
      </c>
      <c r="O497" s="162"/>
      <c r="P497" s="163"/>
      <c r="Q497" s="163" t="str">
        <f ca="1">IF(N497="Closed(C4)","",IF(N497="","",TODAY()-A497))</f>
        <v/>
      </c>
      <c r="R497" s="163" t="str">
        <f t="shared" ca="1" si="70"/>
        <v/>
      </c>
      <c r="S497" s="163" t="s">
        <v>103</v>
      </c>
      <c r="T497" s="164">
        <v>30000</v>
      </c>
      <c r="U497" s="164">
        <v>28000</v>
      </c>
      <c r="V497" s="162">
        <v>46190</v>
      </c>
      <c r="W497" s="163" t="s">
        <v>891</v>
      </c>
      <c r="X497" s="163" t="s">
        <v>53</v>
      </c>
      <c r="Y497" s="163" t="s">
        <v>161</v>
      </c>
      <c r="Z497" s="163"/>
      <c r="AA497" s="162">
        <v>46190</v>
      </c>
      <c r="AB497" s="195" t="str">
        <f t="shared" si="62"/>
        <v>Jun-26</v>
      </c>
      <c r="AC497" s="163"/>
      <c r="AD497" s="163" t="str">
        <f t="shared" si="72"/>
        <v/>
      </c>
      <c r="AE497" s="163" t="s">
        <v>270</v>
      </c>
    </row>
    <row r="498" spans="1:31" x14ac:dyDescent="0.35">
      <c r="A498" s="162">
        <v>46190</v>
      </c>
      <c r="B498" s="163" t="s">
        <v>125</v>
      </c>
      <c r="C498" s="163" t="s">
        <v>93</v>
      </c>
      <c r="D498" s="163" t="s">
        <v>19</v>
      </c>
      <c r="E498" s="163" t="s">
        <v>106</v>
      </c>
      <c r="F498" s="163" t="s">
        <v>96</v>
      </c>
      <c r="G498" s="163" t="s">
        <v>10</v>
      </c>
      <c r="H498" s="163" t="s">
        <v>115</v>
      </c>
      <c r="I498" s="163" t="s">
        <v>121</v>
      </c>
      <c r="J498" s="163" t="s">
        <v>99</v>
      </c>
      <c r="K498" s="163" t="s">
        <v>256</v>
      </c>
      <c r="L498" s="163"/>
      <c r="M498" s="163" t="s">
        <v>159</v>
      </c>
      <c r="N498" s="163" t="s">
        <v>102</v>
      </c>
      <c r="O498" s="162"/>
      <c r="P498" s="163"/>
      <c r="Q498" s="163"/>
      <c r="R498" s="163" t="str">
        <f t="shared" ca="1" si="70"/>
        <v/>
      </c>
      <c r="S498" s="163" t="s">
        <v>103</v>
      </c>
      <c r="T498" s="164">
        <v>600000</v>
      </c>
      <c r="U498" s="164">
        <v>602875</v>
      </c>
      <c r="V498" s="162">
        <v>46190</v>
      </c>
      <c r="W498" s="163" t="s">
        <v>892</v>
      </c>
      <c r="X498" s="163" t="s">
        <v>42</v>
      </c>
      <c r="Y498" s="163" t="s">
        <v>85</v>
      </c>
      <c r="Z498" s="163"/>
      <c r="AA498" s="163"/>
      <c r="AB498" s="195" t="str">
        <f t="shared" si="62"/>
        <v>Jun-26</v>
      </c>
      <c r="AC498" s="163"/>
      <c r="AD498" s="163" t="str">
        <f t="shared" si="72"/>
        <v/>
      </c>
      <c r="AE498" s="163"/>
    </row>
    <row r="499" spans="1:31" x14ac:dyDescent="0.35">
      <c r="A499" s="162">
        <v>46190</v>
      </c>
      <c r="B499" s="163" t="s">
        <v>370</v>
      </c>
      <c r="C499" s="163" t="s">
        <v>93</v>
      </c>
      <c r="D499" s="163" t="s">
        <v>19</v>
      </c>
      <c r="E499" s="163" t="s">
        <v>106</v>
      </c>
      <c r="F499" s="163" t="s">
        <v>96</v>
      </c>
      <c r="G499" s="163" t="s">
        <v>10</v>
      </c>
      <c r="H499" s="163" t="s">
        <v>115</v>
      </c>
      <c r="I499" s="163" t="s">
        <v>121</v>
      </c>
      <c r="J499" s="163" t="s">
        <v>99</v>
      </c>
      <c r="K499" s="163" t="s">
        <v>256</v>
      </c>
      <c r="L499" s="163"/>
      <c r="M499" s="163" t="s">
        <v>159</v>
      </c>
      <c r="N499" s="163" t="s">
        <v>102</v>
      </c>
      <c r="O499" s="162"/>
      <c r="P499" s="163"/>
      <c r="Q499" s="163"/>
      <c r="R499" s="163" t="str">
        <f t="shared" ca="1" si="70"/>
        <v/>
      </c>
      <c r="S499" s="163" t="s">
        <v>103</v>
      </c>
      <c r="T499" s="164">
        <v>600000</v>
      </c>
      <c r="U499" s="164">
        <v>602875</v>
      </c>
      <c r="V499" s="162">
        <v>46190</v>
      </c>
      <c r="W499" s="163" t="s">
        <v>892</v>
      </c>
      <c r="X499" s="163" t="s">
        <v>42</v>
      </c>
      <c r="Y499" s="163" t="s">
        <v>85</v>
      </c>
      <c r="Z499" s="163"/>
      <c r="AA499" s="163"/>
      <c r="AB499" s="195" t="str">
        <f t="shared" si="62"/>
        <v>Jun-26</v>
      </c>
      <c r="AC499" s="163"/>
      <c r="AD499" s="163" t="str">
        <f t="shared" si="72"/>
        <v/>
      </c>
      <c r="AE499" s="163"/>
    </row>
    <row r="500" spans="1:31" x14ac:dyDescent="0.35">
      <c r="A500" s="162">
        <v>46190</v>
      </c>
      <c r="B500" s="163" t="s">
        <v>125</v>
      </c>
      <c r="C500" s="163" t="s">
        <v>113</v>
      </c>
      <c r="D500" s="163" t="s">
        <v>175</v>
      </c>
      <c r="E500" s="163" t="s">
        <v>106</v>
      </c>
      <c r="F500" s="163" t="s">
        <v>135</v>
      </c>
      <c r="G500" s="163"/>
      <c r="H500" s="163" t="s">
        <v>97</v>
      </c>
      <c r="I500" s="163" t="s">
        <v>98</v>
      </c>
      <c r="J500" s="163" t="s">
        <v>166</v>
      </c>
      <c r="K500" s="163" t="s">
        <v>176</v>
      </c>
      <c r="L500" s="163"/>
      <c r="M500" s="163" t="s">
        <v>159</v>
      </c>
      <c r="N500" s="163" t="s">
        <v>102</v>
      </c>
      <c r="O500" s="162"/>
      <c r="P500" s="163"/>
      <c r="Q500" s="163"/>
      <c r="R500" s="163" t="str">
        <f t="shared" ca="1" si="70"/>
        <v/>
      </c>
      <c r="S500" s="163" t="s">
        <v>103</v>
      </c>
      <c r="T500" s="164">
        <v>15000</v>
      </c>
      <c r="U500" s="164">
        <v>13898</v>
      </c>
      <c r="V500" s="162">
        <v>46190</v>
      </c>
      <c r="W500" s="163" t="s">
        <v>893</v>
      </c>
      <c r="X500" s="163" t="s">
        <v>62</v>
      </c>
      <c r="Y500" s="163" t="s">
        <v>161</v>
      </c>
      <c r="Z500" s="163"/>
      <c r="AA500" s="162">
        <v>46190</v>
      </c>
      <c r="AB500" s="195" t="str">
        <f t="shared" si="62"/>
        <v>Jun-26</v>
      </c>
      <c r="AC500" s="163"/>
      <c r="AD500" s="163" t="str">
        <f t="shared" si="72"/>
        <v/>
      </c>
      <c r="AE500" s="163"/>
    </row>
    <row r="501" spans="1:31" x14ac:dyDescent="0.35">
      <c r="A501" s="162">
        <v>46190</v>
      </c>
      <c r="B501" s="163" t="s">
        <v>125</v>
      </c>
      <c r="C501" s="163" t="s">
        <v>113</v>
      </c>
      <c r="D501" s="163" t="s">
        <v>165</v>
      </c>
      <c r="E501" s="163" t="s">
        <v>95</v>
      </c>
      <c r="F501" s="163" t="s">
        <v>135</v>
      </c>
      <c r="G501" s="163"/>
      <c r="H501" s="163" t="s">
        <v>115</v>
      </c>
      <c r="I501" s="163" t="s">
        <v>98</v>
      </c>
      <c r="J501" s="163" t="s">
        <v>166</v>
      </c>
      <c r="K501" s="163" t="s">
        <v>167</v>
      </c>
      <c r="L501" s="163"/>
      <c r="M501" s="163" t="s">
        <v>159</v>
      </c>
      <c r="N501" s="163" t="s">
        <v>102</v>
      </c>
      <c r="O501" s="162"/>
      <c r="P501" s="163"/>
      <c r="Q501" s="163" t="str">
        <f ca="1">IF(N501="Closed(C4)","",IF(N501="","",TODAY()-A501))</f>
        <v/>
      </c>
      <c r="R501" s="163" t="str">
        <f t="shared" ca="1" si="70"/>
        <v/>
      </c>
      <c r="S501" s="163" t="s">
        <v>103</v>
      </c>
      <c r="T501" s="164">
        <v>20000</v>
      </c>
      <c r="U501" s="164">
        <v>34832</v>
      </c>
      <c r="V501" s="162">
        <v>46190</v>
      </c>
      <c r="W501" s="163" t="s">
        <v>894</v>
      </c>
      <c r="X501" s="163" t="s">
        <v>35</v>
      </c>
      <c r="Y501" s="163" t="s">
        <v>85</v>
      </c>
      <c r="Z501" s="163"/>
      <c r="AA501" s="162"/>
      <c r="AB501" s="195" t="str">
        <f t="shared" si="62"/>
        <v>Jun-26</v>
      </c>
      <c r="AC501" s="163"/>
      <c r="AD501" s="163" t="str">
        <f t="shared" si="72"/>
        <v/>
      </c>
      <c r="AE501" s="163"/>
    </row>
    <row r="502" spans="1:31" x14ac:dyDescent="0.35">
      <c r="A502" s="162">
        <v>46190</v>
      </c>
      <c r="B502" s="163" t="s">
        <v>92</v>
      </c>
      <c r="C502" s="163" t="s">
        <v>113</v>
      </c>
      <c r="D502" s="163" t="s">
        <v>165</v>
      </c>
      <c r="E502" s="163" t="s">
        <v>95</v>
      </c>
      <c r="F502" s="163" t="s">
        <v>96</v>
      </c>
      <c r="G502" s="163" t="s">
        <v>10</v>
      </c>
      <c r="H502" s="163" t="s">
        <v>115</v>
      </c>
      <c r="I502" s="163" t="s">
        <v>98</v>
      </c>
      <c r="J502" s="163" t="s">
        <v>116</v>
      </c>
      <c r="K502" s="163" t="s">
        <v>117</v>
      </c>
      <c r="L502" s="163"/>
      <c r="M502" s="163" t="s">
        <v>788</v>
      </c>
      <c r="N502" s="163" t="s">
        <v>102</v>
      </c>
      <c r="O502" s="162"/>
      <c r="P502" s="163"/>
      <c r="Q502" s="163" t="str">
        <f ca="1">IF(N502="Closed(C4)","",IF(N502="","",TODAY()-A502))</f>
        <v/>
      </c>
      <c r="R502" s="163" t="str">
        <f t="shared" ca="1" si="70"/>
        <v/>
      </c>
      <c r="S502" s="163" t="s">
        <v>103</v>
      </c>
      <c r="T502" s="164">
        <v>22687</v>
      </c>
      <c r="U502" s="164">
        <v>34832</v>
      </c>
      <c r="V502" s="162">
        <v>46190</v>
      </c>
      <c r="W502" s="163" t="s">
        <v>895</v>
      </c>
      <c r="X502" s="163" t="s">
        <v>35</v>
      </c>
      <c r="Y502" s="163" t="s">
        <v>85</v>
      </c>
      <c r="Z502" s="163"/>
      <c r="AA502" s="163"/>
      <c r="AB502" s="195" t="str">
        <f t="shared" si="62"/>
        <v>Jun-26</v>
      </c>
      <c r="AC502" s="163"/>
      <c r="AD502" s="163"/>
      <c r="AE502" s="163"/>
    </row>
    <row r="503" spans="1:31" x14ac:dyDescent="0.35">
      <c r="A503" s="162">
        <v>46191</v>
      </c>
      <c r="B503" s="163" t="s">
        <v>370</v>
      </c>
      <c r="C503" s="163" t="s">
        <v>93</v>
      </c>
      <c r="D503" s="163" t="s">
        <v>896</v>
      </c>
      <c r="E503" s="163" t="s">
        <v>106</v>
      </c>
      <c r="F503" s="163" t="s">
        <v>115</v>
      </c>
      <c r="G503" s="163"/>
      <c r="H503" s="163" t="s">
        <v>115</v>
      </c>
      <c r="I503" s="163" t="s">
        <v>121</v>
      </c>
      <c r="J503" s="163" t="s">
        <v>897</v>
      </c>
      <c r="K503" s="163" t="s">
        <v>898</v>
      </c>
      <c r="L503" s="163"/>
      <c r="M503" s="163" t="s">
        <v>159</v>
      </c>
      <c r="N503" s="163" t="s">
        <v>102</v>
      </c>
      <c r="O503" s="162"/>
      <c r="P503" s="163"/>
      <c r="Q503" s="163" t="str">
        <f ca="1">IF(N503="Closed(C4)","",IF(N503="","",TODAY()-A503))</f>
        <v/>
      </c>
      <c r="R503" s="163" t="str">
        <f t="shared" ca="1" si="70"/>
        <v/>
      </c>
      <c r="S503" s="163" t="s">
        <v>103</v>
      </c>
      <c r="T503" s="164">
        <v>25000</v>
      </c>
      <c r="U503" s="164">
        <v>13492</v>
      </c>
      <c r="V503" s="162">
        <v>46191</v>
      </c>
      <c r="W503" s="163" t="s">
        <v>899</v>
      </c>
      <c r="X503" s="163" t="s">
        <v>42</v>
      </c>
      <c r="Y503" s="163" t="s">
        <v>161</v>
      </c>
      <c r="Z503" s="163"/>
      <c r="AA503" s="162">
        <v>46191</v>
      </c>
      <c r="AB503" s="195" t="str">
        <f t="shared" si="62"/>
        <v>Jun-26</v>
      </c>
      <c r="AC503" s="163"/>
      <c r="AD503" s="163" t="str">
        <f t="shared" ref="AD503:AD519" si="73">IF(AC503="Yes",U503*2%,"")</f>
        <v/>
      </c>
      <c r="AE503" s="163" t="s">
        <v>270</v>
      </c>
    </row>
    <row r="504" spans="1:31" x14ac:dyDescent="0.35">
      <c r="A504" s="162">
        <v>46191</v>
      </c>
      <c r="B504" s="163" t="s">
        <v>370</v>
      </c>
      <c r="C504" s="163" t="s">
        <v>93</v>
      </c>
      <c r="D504" s="163" t="s">
        <v>900</v>
      </c>
      <c r="E504" s="163" t="s">
        <v>106</v>
      </c>
      <c r="F504" s="163" t="s">
        <v>135</v>
      </c>
      <c r="G504" s="163"/>
      <c r="H504" s="163" t="s">
        <v>115</v>
      </c>
      <c r="I504" s="163" t="s">
        <v>121</v>
      </c>
      <c r="J504" s="163" t="s">
        <v>422</v>
      </c>
      <c r="K504" s="163" t="s">
        <v>901</v>
      </c>
      <c r="L504" s="163"/>
      <c r="M504" s="163" t="s">
        <v>902</v>
      </c>
      <c r="N504" s="163" t="s">
        <v>181</v>
      </c>
      <c r="O504" s="162"/>
      <c r="P504" s="163"/>
      <c r="Q504" s="163">
        <f ca="1">IF(N504="Closed(C4)","",IF(N504="","",TODAY()-A504))</f>
        <v>134</v>
      </c>
      <c r="R504" s="163" t="str">
        <f t="shared" ca="1" si="70"/>
        <v/>
      </c>
      <c r="S504" s="163" t="s">
        <v>129</v>
      </c>
      <c r="T504" s="164">
        <v>30000</v>
      </c>
      <c r="U504" s="164"/>
      <c r="V504" s="163"/>
      <c r="W504" s="163"/>
      <c r="X504" s="163"/>
      <c r="Y504" s="163"/>
      <c r="Z504" s="163"/>
      <c r="AA504" s="163"/>
      <c r="AB504" s="195" t="str">
        <f t="shared" si="62"/>
        <v>Jun-26</v>
      </c>
      <c r="AC504" s="163"/>
      <c r="AD504" s="163" t="str">
        <f t="shared" si="73"/>
        <v/>
      </c>
      <c r="AE504" s="163"/>
    </row>
    <row r="505" spans="1:31" x14ac:dyDescent="0.35">
      <c r="A505" s="162">
        <v>46191</v>
      </c>
      <c r="B505" s="163" t="s">
        <v>370</v>
      </c>
      <c r="C505" s="163" t="s">
        <v>93</v>
      </c>
      <c r="D505" s="163" t="s">
        <v>903</v>
      </c>
      <c r="E505" s="163" t="s">
        <v>106</v>
      </c>
      <c r="F505" s="163" t="s">
        <v>135</v>
      </c>
      <c r="G505" s="163"/>
      <c r="H505" s="163" t="s">
        <v>115</v>
      </c>
      <c r="I505" s="163" t="s">
        <v>121</v>
      </c>
      <c r="J505" s="163" t="s">
        <v>147</v>
      </c>
      <c r="K505" s="163" t="s">
        <v>904</v>
      </c>
      <c r="L505" s="163"/>
      <c r="M505" s="163" t="s">
        <v>640</v>
      </c>
      <c r="N505" s="163" t="s">
        <v>181</v>
      </c>
      <c r="O505" s="162"/>
      <c r="P505" s="163"/>
      <c r="Q505" s="163">
        <f ca="1">IF(N505="Closed(C4)","",IF(N505="","",TODAY()-A505))</f>
        <v>134</v>
      </c>
      <c r="R505" s="163" t="str">
        <f t="shared" ca="1" si="70"/>
        <v/>
      </c>
      <c r="S505" s="163" t="s">
        <v>129</v>
      </c>
      <c r="T505" s="164"/>
      <c r="U505" s="164"/>
      <c r="V505" s="163"/>
      <c r="W505" s="163"/>
      <c r="X505" s="163"/>
      <c r="Y505" s="163"/>
      <c r="Z505" s="163"/>
      <c r="AA505" s="163"/>
      <c r="AB505" s="195" t="str">
        <f t="shared" si="62"/>
        <v>Jun-26</v>
      </c>
      <c r="AC505" s="163"/>
      <c r="AD505" s="163" t="str">
        <f t="shared" si="73"/>
        <v/>
      </c>
      <c r="AE505" s="163"/>
    </row>
    <row r="506" spans="1:31" x14ac:dyDescent="0.35">
      <c r="A506" s="162">
        <v>46191</v>
      </c>
      <c r="B506" s="163" t="s">
        <v>125</v>
      </c>
      <c r="C506" s="163" t="s">
        <v>113</v>
      </c>
      <c r="D506" s="163" t="s">
        <v>255</v>
      </c>
      <c r="E506" s="163" t="s">
        <v>106</v>
      </c>
      <c r="F506" s="163" t="s">
        <v>135</v>
      </c>
      <c r="G506" s="163"/>
      <c r="H506" s="163" t="s">
        <v>97</v>
      </c>
      <c r="I506" s="163" t="s">
        <v>98</v>
      </c>
      <c r="J506" s="163" t="s">
        <v>166</v>
      </c>
      <c r="K506" s="163" t="s">
        <v>256</v>
      </c>
      <c r="L506" s="163"/>
      <c r="M506" s="163" t="s">
        <v>390</v>
      </c>
      <c r="N506" s="163" t="s">
        <v>102</v>
      </c>
      <c r="O506" s="162"/>
      <c r="P506" s="163"/>
      <c r="Q506" s="163"/>
      <c r="R506" s="163" t="str">
        <f t="shared" ca="1" si="70"/>
        <v/>
      </c>
      <c r="S506" s="163" t="s">
        <v>103</v>
      </c>
      <c r="T506" s="164">
        <v>15000</v>
      </c>
      <c r="U506" s="164">
        <v>21245</v>
      </c>
      <c r="V506" s="162">
        <v>46191</v>
      </c>
      <c r="W506" s="163" t="s">
        <v>905</v>
      </c>
      <c r="X506" s="163" t="s">
        <v>62</v>
      </c>
      <c r="Y506" s="163" t="s">
        <v>161</v>
      </c>
      <c r="Z506" s="163"/>
      <c r="AA506" s="162">
        <v>46191</v>
      </c>
      <c r="AB506" s="195" t="str">
        <f t="shared" si="62"/>
        <v>Jun-26</v>
      </c>
      <c r="AC506" s="163"/>
      <c r="AD506" s="163" t="str">
        <f t="shared" si="73"/>
        <v/>
      </c>
      <c r="AE506" s="163"/>
    </row>
    <row r="507" spans="1:31" x14ac:dyDescent="0.35">
      <c r="A507" s="162">
        <v>46192</v>
      </c>
      <c r="B507" s="163" t="s">
        <v>370</v>
      </c>
      <c r="C507" s="163" t="s">
        <v>93</v>
      </c>
      <c r="D507" s="163" t="s">
        <v>822</v>
      </c>
      <c r="E507" s="163" t="s">
        <v>106</v>
      </c>
      <c r="F507" s="163" t="s">
        <v>135</v>
      </c>
      <c r="G507" s="163"/>
      <c r="H507" s="163" t="s">
        <v>115</v>
      </c>
      <c r="I507" s="163" t="s">
        <v>121</v>
      </c>
      <c r="J507" s="163" t="s">
        <v>153</v>
      </c>
      <c r="K507" s="163" t="s">
        <v>823</v>
      </c>
      <c r="L507" s="163"/>
      <c r="M507" s="163" t="s">
        <v>640</v>
      </c>
      <c r="N507" s="163" t="s">
        <v>102</v>
      </c>
      <c r="O507" s="162"/>
      <c r="P507" s="163"/>
      <c r="Q507" s="163" t="str">
        <f ca="1">IF(N507="Closed(C4)","",IF(N507="","",TODAY()-A507))</f>
        <v/>
      </c>
      <c r="R507" s="163" t="str">
        <f t="shared" ca="1" si="70"/>
        <v/>
      </c>
      <c r="S507" s="163" t="s">
        <v>103</v>
      </c>
      <c r="T507" s="164">
        <v>50000</v>
      </c>
      <c r="U507" s="164">
        <v>37580</v>
      </c>
      <c r="V507" s="162">
        <v>46192</v>
      </c>
      <c r="W507" s="163" t="s">
        <v>906</v>
      </c>
      <c r="X507" s="163" t="s">
        <v>56</v>
      </c>
      <c r="Y507" s="163" t="s">
        <v>161</v>
      </c>
      <c r="Z507" s="163"/>
      <c r="AA507" s="162">
        <v>46192</v>
      </c>
      <c r="AB507" s="195" t="str">
        <f t="shared" si="62"/>
        <v>Jun-26</v>
      </c>
      <c r="AC507" s="163"/>
      <c r="AD507" s="163" t="str">
        <f t="shared" si="73"/>
        <v/>
      </c>
      <c r="AE507" s="163" t="s">
        <v>270</v>
      </c>
    </row>
    <row r="508" spans="1:31" x14ac:dyDescent="0.35">
      <c r="A508" s="162">
        <v>46192</v>
      </c>
      <c r="B508" s="163" t="s">
        <v>370</v>
      </c>
      <c r="C508" s="163" t="s">
        <v>93</v>
      </c>
      <c r="D508" s="163" t="s">
        <v>907</v>
      </c>
      <c r="E508" s="163" t="s">
        <v>106</v>
      </c>
      <c r="F508" s="163" t="s">
        <v>135</v>
      </c>
      <c r="G508" s="163"/>
      <c r="H508" s="163" t="s">
        <v>115</v>
      </c>
      <c r="I508" s="163" t="s">
        <v>121</v>
      </c>
      <c r="J508" s="163" t="s">
        <v>438</v>
      </c>
      <c r="K508" s="163" t="s">
        <v>908</v>
      </c>
      <c r="L508" s="163"/>
      <c r="M508" s="163" t="s">
        <v>909</v>
      </c>
      <c r="N508" s="163" t="s">
        <v>181</v>
      </c>
      <c r="O508" s="162"/>
      <c r="P508" s="163"/>
      <c r="Q508" s="163">
        <f ca="1">IF(N508="Closed(C4)","",IF(N508="","",TODAY()-A508))</f>
        <v>133</v>
      </c>
      <c r="R508" s="163" t="str">
        <f t="shared" ca="1" si="70"/>
        <v/>
      </c>
      <c r="S508" s="163" t="s">
        <v>103</v>
      </c>
      <c r="T508" s="164">
        <v>100000</v>
      </c>
      <c r="U508" s="164"/>
      <c r="V508" s="163"/>
      <c r="W508" s="163"/>
      <c r="X508" s="163"/>
      <c r="Y508" s="163"/>
      <c r="Z508" s="163"/>
      <c r="AA508" s="163"/>
      <c r="AB508" s="195" t="str">
        <f t="shared" si="62"/>
        <v>Jun-26</v>
      </c>
      <c r="AC508" s="163"/>
      <c r="AD508" s="163" t="str">
        <f t="shared" si="73"/>
        <v/>
      </c>
      <c r="AE508" s="163"/>
    </row>
    <row r="509" spans="1:31" x14ac:dyDescent="0.35">
      <c r="A509" s="162">
        <v>46192</v>
      </c>
      <c r="B509" s="163" t="s">
        <v>370</v>
      </c>
      <c r="C509" s="163" t="s">
        <v>93</v>
      </c>
      <c r="D509" s="163" t="s">
        <v>910</v>
      </c>
      <c r="E509" s="163" t="s">
        <v>106</v>
      </c>
      <c r="F509" s="163" t="s">
        <v>135</v>
      </c>
      <c r="G509" s="163"/>
      <c r="H509" s="163" t="s">
        <v>115</v>
      </c>
      <c r="I509" s="163" t="s">
        <v>121</v>
      </c>
      <c r="J509" s="163" t="s">
        <v>897</v>
      </c>
      <c r="K509" s="163" t="s">
        <v>911</v>
      </c>
      <c r="L509" s="163"/>
      <c r="M509" s="163" t="s">
        <v>575</v>
      </c>
      <c r="N509" s="163" t="s">
        <v>181</v>
      </c>
      <c r="O509" s="162">
        <v>46280</v>
      </c>
      <c r="P509" s="163" t="s">
        <v>95</v>
      </c>
      <c r="Q509" s="163">
        <f ca="1">IF(N509="Closed(C4)","",IF(N509="","",TODAY()-A509))</f>
        <v>133</v>
      </c>
      <c r="R509" s="163" t="str">
        <f t="shared" ca="1" si="70"/>
        <v/>
      </c>
      <c r="S509" s="163" t="s">
        <v>129</v>
      </c>
      <c r="T509" s="164">
        <v>60000</v>
      </c>
      <c r="U509" s="164"/>
      <c r="V509" s="163"/>
      <c r="W509" s="163"/>
      <c r="X509" s="163"/>
      <c r="Y509" s="163"/>
      <c r="Z509" s="163"/>
      <c r="AA509" s="163"/>
      <c r="AB509" s="195" t="str">
        <f t="shared" si="62"/>
        <v>Jun-26</v>
      </c>
      <c r="AC509" s="163"/>
      <c r="AD509" s="163" t="str">
        <f t="shared" si="73"/>
        <v/>
      </c>
      <c r="AE509" s="163"/>
    </row>
    <row r="510" spans="1:31" x14ac:dyDescent="0.35">
      <c r="A510" s="162">
        <v>46192</v>
      </c>
      <c r="B510" s="163" t="s">
        <v>370</v>
      </c>
      <c r="C510" s="163" t="s">
        <v>93</v>
      </c>
      <c r="D510" s="163" t="s">
        <v>912</v>
      </c>
      <c r="E510" s="163" t="s">
        <v>106</v>
      </c>
      <c r="F510" s="163" t="s">
        <v>135</v>
      </c>
      <c r="G510" s="163"/>
      <c r="H510" s="163" t="s">
        <v>115</v>
      </c>
      <c r="I510" s="163" t="s">
        <v>121</v>
      </c>
      <c r="J510" s="163" t="s">
        <v>147</v>
      </c>
      <c r="K510" s="163" t="s">
        <v>913</v>
      </c>
      <c r="L510" s="163"/>
      <c r="M510" s="163" t="s">
        <v>914</v>
      </c>
      <c r="N510" s="163" t="s">
        <v>181</v>
      </c>
      <c r="O510" s="162"/>
      <c r="P510" s="163"/>
      <c r="Q510" s="163">
        <f ca="1">IF(N510="Closed(C4)","",IF(N510="","",TODAY()-A510))</f>
        <v>133</v>
      </c>
      <c r="R510" s="163" t="str">
        <f t="shared" ca="1" si="70"/>
        <v/>
      </c>
      <c r="S510" s="163" t="s">
        <v>133</v>
      </c>
      <c r="T510" s="164">
        <v>50000</v>
      </c>
      <c r="U510" s="164"/>
      <c r="V510" s="163"/>
      <c r="W510" s="163"/>
      <c r="X510" s="163"/>
      <c r="Y510" s="163"/>
      <c r="Z510" s="163"/>
      <c r="AA510" s="163"/>
      <c r="AB510" s="195" t="str">
        <f t="shared" si="62"/>
        <v>Jun-26</v>
      </c>
      <c r="AC510" s="163"/>
      <c r="AD510" s="163" t="str">
        <f t="shared" si="73"/>
        <v/>
      </c>
      <c r="AE510" s="163"/>
    </row>
    <row r="511" spans="1:31" x14ac:dyDescent="0.35">
      <c r="A511" s="162">
        <v>46192</v>
      </c>
      <c r="B511" s="163" t="s">
        <v>125</v>
      </c>
      <c r="C511" s="163" t="s">
        <v>113</v>
      </c>
      <c r="D511" s="163" t="s">
        <v>246</v>
      </c>
      <c r="E511" s="163" t="s">
        <v>95</v>
      </c>
      <c r="F511" s="163" t="s">
        <v>96</v>
      </c>
      <c r="G511" s="163" t="s">
        <v>15</v>
      </c>
      <c r="H511" s="163" t="s">
        <v>163</v>
      </c>
      <c r="I511" s="163" t="s">
        <v>98</v>
      </c>
      <c r="J511" s="163" t="s">
        <v>147</v>
      </c>
      <c r="K511" s="163" t="s">
        <v>231</v>
      </c>
      <c r="L511" s="163"/>
      <c r="M511" s="163" t="s">
        <v>526</v>
      </c>
      <c r="N511" s="163" t="s">
        <v>102</v>
      </c>
      <c r="O511" s="162"/>
      <c r="P511" s="163"/>
      <c r="Q511" s="163"/>
      <c r="R511" s="163" t="str">
        <f t="shared" ca="1" si="70"/>
        <v/>
      </c>
      <c r="S511" s="163" t="s">
        <v>103</v>
      </c>
      <c r="T511" s="164">
        <v>15000</v>
      </c>
      <c r="U511" s="164">
        <v>19190</v>
      </c>
      <c r="V511" s="162">
        <v>46192</v>
      </c>
      <c r="W511" s="214" t="s">
        <v>779</v>
      </c>
      <c r="X511" s="163" t="s">
        <v>39</v>
      </c>
      <c r="Y511" s="163" t="s">
        <v>85</v>
      </c>
      <c r="Z511" s="163"/>
      <c r="AA511" s="163"/>
      <c r="AB511" s="195" t="str">
        <f t="shared" si="62"/>
        <v>Jun-26</v>
      </c>
      <c r="AC511" s="163"/>
      <c r="AD511" s="163" t="str">
        <f t="shared" si="73"/>
        <v/>
      </c>
      <c r="AE511" s="163"/>
    </row>
    <row r="512" spans="1:31" x14ac:dyDescent="0.35">
      <c r="A512" s="162">
        <v>46192</v>
      </c>
      <c r="B512" s="163" t="s">
        <v>125</v>
      </c>
      <c r="C512" s="163" t="s">
        <v>113</v>
      </c>
      <c r="D512" s="163" t="s">
        <v>260</v>
      </c>
      <c r="E512" s="163" t="s">
        <v>95</v>
      </c>
      <c r="F512" s="163" t="s">
        <v>96</v>
      </c>
      <c r="G512" s="163" t="s">
        <v>15</v>
      </c>
      <c r="H512" s="163" t="s">
        <v>163</v>
      </c>
      <c r="I512" s="163" t="s">
        <v>98</v>
      </c>
      <c r="J512" s="163" t="s">
        <v>147</v>
      </c>
      <c r="K512" s="163" t="s">
        <v>231</v>
      </c>
      <c r="L512" s="163"/>
      <c r="M512" s="163" t="s">
        <v>526</v>
      </c>
      <c r="N512" s="163" t="s">
        <v>102</v>
      </c>
      <c r="O512" s="162"/>
      <c r="P512" s="163"/>
      <c r="Q512" s="163"/>
      <c r="R512" s="163" t="str">
        <f t="shared" ca="1" si="70"/>
        <v/>
      </c>
      <c r="S512" s="163" t="s">
        <v>103</v>
      </c>
      <c r="T512" s="164">
        <v>15000</v>
      </c>
      <c r="U512" s="164">
        <v>22290</v>
      </c>
      <c r="V512" s="162">
        <v>46192</v>
      </c>
      <c r="W512" s="214" t="s">
        <v>915</v>
      </c>
      <c r="X512" s="163" t="s">
        <v>39</v>
      </c>
      <c r="Y512" s="163" t="s">
        <v>85</v>
      </c>
      <c r="Z512" s="163"/>
      <c r="AA512" s="163"/>
      <c r="AB512" s="195" t="str">
        <f t="shared" si="62"/>
        <v>Jun-26</v>
      </c>
      <c r="AC512" s="163"/>
      <c r="AD512" s="163" t="str">
        <f t="shared" si="73"/>
        <v/>
      </c>
      <c r="AE512" s="163"/>
    </row>
    <row r="513" spans="1:31" x14ac:dyDescent="0.35">
      <c r="A513" s="162">
        <v>46192</v>
      </c>
      <c r="B513" s="163" t="s">
        <v>125</v>
      </c>
      <c r="C513" s="163" t="s">
        <v>113</v>
      </c>
      <c r="D513" s="163" t="s">
        <v>887</v>
      </c>
      <c r="E513" s="163" t="s">
        <v>95</v>
      </c>
      <c r="F513" s="163" t="s">
        <v>96</v>
      </c>
      <c r="G513" s="163" t="s">
        <v>15</v>
      </c>
      <c r="H513" s="163" t="s">
        <v>163</v>
      </c>
      <c r="I513" s="163" t="s">
        <v>98</v>
      </c>
      <c r="J513" s="163" t="s">
        <v>147</v>
      </c>
      <c r="K513" s="163" t="s">
        <v>525</v>
      </c>
      <c r="L513" s="163"/>
      <c r="M513" s="163" t="s">
        <v>526</v>
      </c>
      <c r="N513" s="163" t="s">
        <v>102</v>
      </c>
      <c r="O513" s="162"/>
      <c r="P513" s="163"/>
      <c r="Q513" s="163"/>
      <c r="R513" s="163" t="str">
        <f t="shared" ca="1" si="70"/>
        <v/>
      </c>
      <c r="S513" s="163" t="s">
        <v>103</v>
      </c>
      <c r="T513" s="164">
        <v>15000</v>
      </c>
      <c r="U513" s="164">
        <v>25460</v>
      </c>
      <c r="V513" s="162">
        <v>46192</v>
      </c>
      <c r="W513" s="214" t="s">
        <v>915</v>
      </c>
      <c r="X513" s="163" t="s">
        <v>39</v>
      </c>
      <c r="Y513" s="163" t="s">
        <v>85</v>
      </c>
      <c r="Z513" s="163"/>
      <c r="AA513" s="163"/>
      <c r="AB513" s="195" t="str">
        <f t="shared" si="62"/>
        <v>Jun-26</v>
      </c>
      <c r="AC513" s="163"/>
      <c r="AD513" s="163" t="str">
        <f t="shared" si="73"/>
        <v/>
      </c>
      <c r="AE513" s="163"/>
    </row>
    <row r="514" spans="1:31" x14ac:dyDescent="0.35">
      <c r="A514" s="162">
        <v>46195</v>
      </c>
      <c r="B514" s="163" t="s">
        <v>370</v>
      </c>
      <c r="C514" s="163" t="s">
        <v>93</v>
      </c>
      <c r="D514" s="163" t="s">
        <v>916</v>
      </c>
      <c r="E514" s="163" t="s">
        <v>106</v>
      </c>
      <c r="F514" s="163" t="s">
        <v>135</v>
      </c>
      <c r="G514" s="163"/>
      <c r="H514" s="163" t="s">
        <v>115</v>
      </c>
      <c r="I514" s="163" t="s">
        <v>121</v>
      </c>
      <c r="J514" s="163" t="s">
        <v>432</v>
      </c>
      <c r="K514" s="163" t="s">
        <v>913</v>
      </c>
      <c r="L514" s="163"/>
      <c r="M514" s="163" t="s">
        <v>914</v>
      </c>
      <c r="N514" s="163" t="s">
        <v>181</v>
      </c>
      <c r="O514" s="162"/>
      <c r="P514" s="163"/>
      <c r="Q514" s="163">
        <f t="shared" ref="Q514:Q519" ca="1" si="74">IF(N514="Closed(C4)","",IF(N514="","",TODAY()-A514))</f>
        <v>130</v>
      </c>
      <c r="R514" s="163" t="str">
        <f t="shared" ca="1" si="70"/>
        <v/>
      </c>
      <c r="S514" s="163" t="s">
        <v>103</v>
      </c>
      <c r="T514" s="164">
        <v>60000</v>
      </c>
      <c r="U514" s="164"/>
      <c r="V514" s="163"/>
      <c r="W514" s="163"/>
      <c r="X514" s="163"/>
      <c r="Y514" s="163"/>
      <c r="Z514" s="163"/>
      <c r="AA514" s="163"/>
      <c r="AB514" s="195" t="str">
        <f t="shared" ref="AB514:AB577" si="75">IF($V514="",TEXT($A514,"MMM-YY"),TEXT($V514,"MMM-YY"))</f>
        <v>Jun-26</v>
      </c>
      <c r="AC514" s="163"/>
      <c r="AD514" s="163" t="str">
        <f t="shared" si="73"/>
        <v/>
      </c>
      <c r="AE514" s="163"/>
    </row>
    <row r="515" spans="1:31" x14ac:dyDescent="0.35">
      <c r="A515" s="162">
        <v>46195</v>
      </c>
      <c r="B515" s="163" t="s">
        <v>370</v>
      </c>
      <c r="C515" s="163" t="s">
        <v>93</v>
      </c>
      <c r="D515" s="163" t="s">
        <v>21</v>
      </c>
      <c r="E515" s="163" t="s">
        <v>106</v>
      </c>
      <c r="F515" s="163" t="s">
        <v>135</v>
      </c>
      <c r="G515" s="163"/>
      <c r="H515" s="163" t="s">
        <v>115</v>
      </c>
      <c r="I515" s="163" t="s">
        <v>98</v>
      </c>
      <c r="J515" s="163" t="s">
        <v>356</v>
      </c>
      <c r="K515" s="163" t="s">
        <v>423</v>
      </c>
      <c r="L515" s="163"/>
      <c r="M515" s="163" t="s">
        <v>917</v>
      </c>
      <c r="N515" s="163" t="s">
        <v>102</v>
      </c>
      <c r="O515" s="162"/>
      <c r="P515" s="163"/>
      <c r="Q515" s="163" t="str">
        <f t="shared" ca="1" si="74"/>
        <v/>
      </c>
      <c r="R515" s="163" t="str">
        <f t="shared" ca="1" si="70"/>
        <v/>
      </c>
      <c r="S515" s="163" t="s">
        <v>103</v>
      </c>
      <c r="T515" s="164"/>
      <c r="U515" s="164">
        <v>0</v>
      </c>
      <c r="V515" s="163"/>
      <c r="W515" s="163"/>
      <c r="X515" s="163"/>
      <c r="Y515" s="163"/>
      <c r="Z515" s="163"/>
      <c r="AA515" s="163"/>
      <c r="AB515" s="195" t="str">
        <f t="shared" si="75"/>
        <v>Jun-26</v>
      </c>
      <c r="AC515" s="163"/>
      <c r="AD515" s="163" t="str">
        <f t="shared" si="73"/>
        <v/>
      </c>
      <c r="AE515" s="163"/>
    </row>
    <row r="516" spans="1:31" x14ac:dyDescent="0.35">
      <c r="A516" s="162">
        <v>46195</v>
      </c>
      <c r="B516" s="163" t="s">
        <v>370</v>
      </c>
      <c r="C516" s="163" t="s">
        <v>93</v>
      </c>
      <c r="D516" s="163" t="s">
        <v>918</v>
      </c>
      <c r="E516" s="163" t="s">
        <v>106</v>
      </c>
      <c r="F516" s="163" t="s">
        <v>135</v>
      </c>
      <c r="G516" s="163"/>
      <c r="H516" s="163" t="s">
        <v>115</v>
      </c>
      <c r="I516" s="163" t="s">
        <v>121</v>
      </c>
      <c r="J516" s="163" t="s">
        <v>416</v>
      </c>
      <c r="K516" s="163" t="s">
        <v>919</v>
      </c>
      <c r="L516" s="163"/>
      <c r="M516" s="163" t="s">
        <v>914</v>
      </c>
      <c r="N516" s="163" t="s">
        <v>181</v>
      </c>
      <c r="O516" s="162"/>
      <c r="P516" s="163"/>
      <c r="Q516" s="163">
        <f t="shared" ca="1" si="74"/>
        <v>130</v>
      </c>
      <c r="R516" s="163" t="str">
        <f t="shared" ca="1" si="70"/>
        <v/>
      </c>
      <c r="S516" s="163" t="s">
        <v>129</v>
      </c>
      <c r="T516" s="164">
        <v>60000</v>
      </c>
      <c r="U516" s="164"/>
      <c r="V516" s="163"/>
      <c r="W516" s="163"/>
      <c r="X516" s="163"/>
      <c r="Y516" s="163"/>
      <c r="Z516" s="163"/>
      <c r="AA516" s="163"/>
      <c r="AB516" s="195" t="str">
        <f t="shared" si="75"/>
        <v>Jun-26</v>
      </c>
      <c r="AC516" s="163"/>
      <c r="AD516" s="163" t="str">
        <f t="shared" si="73"/>
        <v/>
      </c>
      <c r="AE516" s="163"/>
    </row>
    <row r="517" spans="1:31" x14ac:dyDescent="0.35">
      <c r="A517" s="162">
        <v>46195</v>
      </c>
      <c r="B517" s="163" t="s">
        <v>370</v>
      </c>
      <c r="C517" s="163" t="s">
        <v>93</v>
      </c>
      <c r="D517" s="163" t="s">
        <v>920</v>
      </c>
      <c r="E517" s="163" t="s">
        <v>106</v>
      </c>
      <c r="F517" s="163" t="s">
        <v>135</v>
      </c>
      <c r="G517" s="163"/>
      <c r="H517" s="163" t="s">
        <v>115</v>
      </c>
      <c r="I517" s="163" t="s">
        <v>121</v>
      </c>
      <c r="J517" s="163" t="s">
        <v>147</v>
      </c>
      <c r="K517" s="163" t="s">
        <v>921</v>
      </c>
      <c r="L517" s="163"/>
      <c r="M517" s="163" t="s">
        <v>914</v>
      </c>
      <c r="N517" s="163" t="s">
        <v>181</v>
      </c>
      <c r="O517" s="162"/>
      <c r="P517" s="163"/>
      <c r="Q517" s="163">
        <f t="shared" ca="1" si="74"/>
        <v>130</v>
      </c>
      <c r="R517" s="163" t="str">
        <f t="shared" ca="1" si="70"/>
        <v/>
      </c>
      <c r="S517" s="163" t="s">
        <v>129</v>
      </c>
      <c r="T517" s="164">
        <v>35000</v>
      </c>
      <c r="U517" s="164"/>
      <c r="V517" s="163"/>
      <c r="W517" s="163"/>
      <c r="X517" s="163"/>
      <c r="Y517" s="163"/>
      <c r="Z517" s="163"/>
      <c r="AA517" s="163"/>
      <c r="AB517" s="195" t="str">
        <f t="shared" si="75"/>
        <v>Jun-26</v>
      </c>
      <c r="AC517" s="163"/>
      <c r="AD517" s="163" t="str">
        <f t="shared" si="73"/>
        <v/>
      </c>
      <c r="AE517" s="163"/>
    </row>
    <row r="518" spans="1:31" x14ac:dyDescent="0.35">
      <c r="A518" s="162">
        <v>46195</v>
      </c>
      <c r="B518" s="163" t="s">
        <v>370</v>
      </c>
      <c r="C518" s="163" t="s">
        <v>93</v>
      </c>
      <c r="D518" s="163" t="s">
        <v>922</v>
      </c>
      <c r="E518" s="163" t="s">
        <v>106</v>
      </c>
      <c r="F518" s="163" t="s">
        <v>135</v>
      </c>
      <c r="G518" s="163"/>
      <c r="H518" s="163" t="s">
        <v>115</v>
      </c>
      <c r="I518" s="163" t="s">
        <v>121</v>
      </c>
      <c r="J518" s="163" t="s">
        <v>923</v>
      </c>
      <c r="K518" s="163" t="s">
        <v>924</v>
      </c>
      <c r="L518" s="163"/>
      <c r="M518" s="163" t="s">
        <v>617</v>
      </c>
      <c r="N518" s="163" t="s">
        <v>181</v>
      </c>
      <c r="O518" s="162"/>
      <c r="P518" s="163"/>
      <c r="Q518" s="163">
        <f t="shared" ca="1" si="74"/>
        <v>130</v>
      </c>
      <c r="R518" s="163" t="str">
        <f t="shared" ca="1" si="70"/>
        <v/>
      </c>
      <c r="S518" s="163" t="s">
        <v>129</v>
      </c>
      <c r="T518" s="164">
        <v>55000</v>
      </c>
      <c r="U518" s="164"/>
      <c r="V518" s="163"/>
      <c r="W518" s="163"/>
      <c r="X518" s="163"/>
      <c r="Y518" s="163"/>
      <c r="Z518" s="163"/>
      <c r="AA518" s="163"/>
      <c r="AB518" s="195" t="str">
        <f t="shared" si="75"/>
        <v>Jun-26</v>
      </c>
      <c r="AC518" s="163"/>
      <c r="AD518" s="163" t="str">
        <f t="shared" si="73"/>
        <v/>
      </c>
      <c r="AE518" s="163"/>
    </row>
    <row r="519" spans="1:31" x14ac:dyDescent="0.35">
      <c r="A519" s="162">
        <v>46195</v>
      </c>
      <c r="B519" s="163" t="s">
        <v>92</v>
      </c>
      <c r="C519" s="163" t="s">
        <v>93</v>
      </c>
      <c r="D519" s="163" t="s">
        <v>21</v>
      </c>
      <c r="E519" s="163" t="s">
        <v>106</v>
      </c>
      <c r="F519" s="163" t="s">
        <v>135</v>
      </c>
      <c r="G519" s="163"/>
      <c r="H519" s="163" t="s">
        <v>115</v>
      </c>
      <c r="I519" s="163" t="s">
        <v>98</v>
      </c>
      <c r="J519" s="163" t="s">
        <v>356</v>
      </c>
      <c r="K519" s="163" t="s">
        <v>423</v>
      </c>
      <c r="L519" s="163"/>
      <c r="M519" s="163" t="s">
        <v>925</v>
      </c>
      <c r="N519" s="163" t="s">
        <v>156</v>
      </c>
      <c r="O519" s="162"/>
      <c r="P519" s="163"/>
      <c r="Q519" s="163">
        <f t="shared" ca="1" si="74"/>
        <v>130</v>
      </c>
      <c r="R519" s="163" t="str">
        <f t="shared" ca="1" si="70"/>
        <v/>
      </c>
      <c r="S519" s="163" t="s">
        <v>103</v>
      </c>
      <c r="T519" s="164"/>
      <c r="U519" s="164">
        <v>0</v>
      </c>
      <c r="V519" s="163"/>
      <c r="W519" s="163"/>
      <c r="X519" s="163"/>
      <c r="Y519" s="163"/>
      <c r="Z519" s="163"/>
      <c r="AA519" s="163"/>
      <c r="AB519" s="195" t="str">
        <f t="shared" si="75"/>
        <v>Jun-26</v>
      </c>
      <c r="AC519" s="163"/>
      <c r="AD519" s="163" t="str">
        <f t="shared" si="73"/>
        <v/>
      </c>
      <c r="AE519" s="163"/>
    </row>
    <row r="520" spans="1:31" x14ac:dyDescent="0.35">
      <c r="A520" s="162">
        <v>46196</v>
      </c>
      <c r="B520" s="163" t="s">
        <v>370</v>
      </c>
      <c r="C520" s="163" t="s">
        <v>93</v>
      </c>
      <c r="D520" s="163" t="s">
        <v>926</v>
      </c>
      <c r="E520" s="163" t="s">
        <v>106</v>
      </c>
      <c r="F520" s="163" t="s">
        <v>135</v>
      </c>
      <c r="G520" s="163"/>
      <c r="H520" s="163" t="s">
        <v>115</v>
      </c>
      <c r="I520" s="163" t="s">
        <v>121</v>
      </c>
      <c r="J520" s="163" t="s">
        <v>356</v>
      </c>
      <c r="K520" s="163" t="s">
        <v>927</v>
      </c>
      <c r="L520" s="163"/>
      <c r="M520" s="163" t="s">
        <v>914</v>
      </c>
      <c r="N520" s="163" t="s">
        <v>181</v>
      </c>
      <c r="O520" s="162"/>
      <c r="P520" s="163"/>
      <c r="Q520" s="163"/>
      <c r="R520" s="163"/>
      <c r="S520" s="163" t="s">
        <v>129</v>
      </c>
      <c r="T520" s="164">
        <v>55000</v>
      </c>
      <c r="U520" s="164"/>
      <c r="V520" s="163"/>
      <c r="W520" s="163"/>
      <c r="X520" s="163"/>
      <c r="Y520" s="163"/>
      <c r="Z520" s="163"/>
      <c r="AA520" s="163"/>
      <c r="AB520" s="195" t="str">
        <f t="shared" si="75"/>
        <v>Jun-26</v>
      </c>
      <c r="AC520" s="163"/>
      <c r="AD520" s="163"/>
      <c r="AE520" s="163"/>
    </row>
    <row r="521" spans="1:31" x14ac:dyDescent="0.35">
      <c r="A521" s="162">
        <v>46196</v>
      </c>
      <c r="B521" s="163" t="s">
        <v>370</v>
      </c>
      <c r="C521" s="163" t="s">
        <v>93</v>
      </c>
      <c r="D521" s="163" t="s">
        <v>928</v>
      </c>
      <c r="E521" s="163" t="s">
        <v>106</v>
      </c>
      <c r="F521" s="163" t="s">
        <v>135</v>
      </c>
      <c r="G521" s="163"/>
      <c r="H521" s="163" t="s">
        <v>115</v>
      </c>
      <c r="I521" s="163" t="s">
        <v>121</v>
      </c>
      <c r="J521" s="163" t="s">
        <v>432</v>
      </c>
      <c r="K521" s="163" t="s">
        <v>929</v>
      </c>
      <c r="L521" s="163"/>
      <c r="M521" s="163" t="s">
        <v>914</v>
      </c>
      <c r="N521" s="163" t="s">
        <v>181</v>
      </c>
      <c r="O521" s="162"/>
      <c r="P521" s="163"/>
      <c r="Q521" s="163"/>
      <c r="R521" s="163"/>
      <c r="S521" s="163" t="s">
        <v>133</v>
      </c>
      <c r="T521" s="164">
        <v>25000</v>
      </c>
      <c r="U521" s="164"/>
      <c r="V521" s="163"/>
      <c r="W521" s="163"/>
      <c r="X521" s="163"/>
      <c r="Y521" s="163"/>
      <c r="Z521" s="163"/>
      <c r="AA521" s="163"/>
      <c r="AB521" s="195" t="str">
        <f t="shared" si="75"/>
        <v>Jun-26</v>
      </c>
      <c r="AC521" s="163"/>
      <c r="AD521" s="163"/>
      <c r="AE521" s="163"/>
    </row>
    <row r="522" spans="1:31" x14ac:dyDescent="0.35">
      <c r="A522" s="162">
        <v>46196</v>
      </c>
      <c r="B522" s="163" t="s">
        <v>370</v>
      </c>
      <c r="C522" s="163" t="s">
        <v>93</v>
      </c>
      <c r="D522" s="163" t="s">
        <v>930</v>
      </c>
      <c r="E522" s="163" t="s">
        <v>106</v>
      </c>
      <c r="F522" s="163" t="s">
        <v>135</v>
      </c>
      <c r="G522" s="163"/>
      <c r="H522" s="163" t="s">
        <v>115</v>
      </c>
      <c r="I522" s="163" t="s">
        <v>121</v>
      </c>
      <c r="J522" s="163" t="s">
        <v>147</v>
      </c>
      <c r="K522" s="163" t="s">
        <v>931</v>
      </c>
      <c r="L522" s="163"/>
      <c r="M522" s="163" t="s">
        <v>617</v>
      </c>
      <c r="N522" s="163" t="s">
        <v>181</v>
      </c>
      <c r="O522" s="162"/>
      <c r="P522" s="163"/>
      <c r="Q522" s="163"/>
      <c r="R522" s="163"/>
      <c r="S522" s="163" t="s">
        <v>129</v>
      </c>
      <c r="T522" s="164">
        <v>42000</v>
      </c>
      <c r="U522" s="164"/>
      <c r="V522" s="163"/>
      <c r="W522" s="163"/>
      <c r="X522" s="163"/>
      <c r="Y522" s="163"/>
      <c r="Z522" s="163"/>
      <c r="AA522" s="163"/>
      <c r="AB522" s="195" t="str">
        <f t="shared" si="75"/>
        <v>Jun-26</v>
      </c>
      <c r="AC522" s="163"/>
      <c r="AD522" s="163"/>
      <c r="AE522" s="163"/>
    </row>
    <row r="523" spans="1:31" x14ac:dyDescent="0.35">
      <c r="A523" s="162">
        <v>46196</v>
      </c>
      <c r="B523" s="163" t="s">
        <v>370</v>
      </c>
      <c r="C523" s="163" t="s">
        <v>93</v>
      </c>
      <c r="D523" s="163" t="s">
        <v>932</v>
      </c>
      <c r="E523" s="163" t="s">
        <v>106</v>
      </c>
      <c r="F523" s="163" t="s">
        <v>135</v>
      </c>
      <c r="G523" s="163"/>
      <c r="H523" s="163" t="s">
        <v>115</v>
      </c>
      <c r="I523" s="163" t="s">
        <v>121</v>
      </c>
      <c r="J523" s="163" t="s">
        <v>432</v>
      </c>
      <c r="K523" s="163" t="s">
        <v>812</v>
      </c>
      <c r="L523" s="163"/>
      <c r="M523" s="163" t="s">
        <v>914</v>
      </c>
      <c r="N523" s="163" t="s">
        <v>181</v>
      </c>
      <c r="O523" s="162"/>
      <c r="P523" s="163"/>
      <c r="Q523" s="163"/>
      <c r="R523" s="163"/>
      <c r="S523" s="163" t="s">
        <v>129</v>
      </c>
      <c r="T523" s="164">
        <v>30000</v>
      </c>
      <c r="U523" s="164"/>
      <c r="V523" s="163"/>
      <c r="W523" s="163"/>
      <c r="X523" s="163"/>
      <c r="Y523" s="163"/>
      <c r="Z523" s="163"/>
      <c r="AA523" s="163"/>
      <c r="AB523" s="195" t="str">
        <f t="shared" si="75"/>
        <v>Jun-26</v>
      </c>
      <c r="AC523" s="163"/>
      <c r="AD523" s="163"/>
      <c r="AE523" s="163"/>
    </row>
    <row r="524" spans="1:31" x14ac:dyDescent="0.35">
      <c r="A524" s="162">
        <v>46197</v>
      </c>
      <c r="B524" s="163" t="s">
        <v>125</v>
      </c>
      <c r="C524" s="163" t="s">
        <v>113</v>
      </c>
      <c r="D524" s="163" t="s">
        <v>165</v>
      </c>
      <c r="E524" s="163" t="s">
        <v>95</v>
      </c>
      <c r="F524" s="163" t="s">
        <v>135</v>
      </c>
      <c r="G524" s="163"/>
      <c r="H524" s="163" t="s">
        <v>115</v>
      </c>
      <c r="I524" s="163" t="s">
        <v>98</v>
      </c>
      <c r="J524" s="163" t="s">
        <v>166</v>
      </c>
      <c r="K524" s="163" t="s">
        <v>167</v>
      </c>
      <c r="L524" s="163"/>
      <c r="M524" s="163" t="s">
        <v>159</v>
      </c>
      <c r="N524" s="163" t="s">
        <v>102</v>
      </c>
      <c r="O524" s="162"/>
      <c r="P524" s="163"/>
      <c r="Q524" s="163" t="str">
        <f ca="1">IF(N524="Closed(C4)","",IF(N524="","",TODAY()-A524))</f>
        <v/>
      </c>
      <c r="R524" s="163" t="str">
        <f ca="1">IF(OR(N524="Closed( C4 )",N524="Cancelled"),"",IF(AND(O524&lt;&gt;"",O524&lt;TODAY()),"Yes",""))</f>
        <v/>
      </c>
      <c r="S524" s="163" t="s">
        <v>103</v>
      </c>
      <c r="T524" s="164">
        <v>20000</v>
      </c>
      <c r="U524" s="164">
        <v>26812</v>
      </c>
      <c r="V524" s="162">
        <v>46197</v>
      </c>
      <c r="W524" s="163" t="s">
        <v>933</v>
      </c>
      <c r="X524" s="163" t="s">
        <v>35</v>
      </c>
      <c r="Y524" s="163" t="s">
        <v>85</v>
      </c>
      <c r="Z524" s="163"/>
      <c r="AA524" s="162"/>
      <c r="AB524" s="195" t="str">
        <f t="shared" si="75"/>
        <v>Jun-26</v>
      </c>
      <c r="AC524" s="163"/>
      <c r="AD524" s="163"/>
      <c r="AE524" s="163"/>
    </row>
    <row r="525" spans="1:31" x14ac:dyDescent="0.35">
      <c r="A525" s="162">
        <v>46197</v>
      </c>
      <c r="B525" s="163" t="s">
        <v>92</v>
      </c>
      <c r="C525" s="163" t="s">
        <v>113</v>
      </c>
      <c r="D525" s="163" t="s">
        <v>165</v>
      </c>
      <c r="E525" s="163" t="s">
        <v>95</v>
      </c>
      <c r="F525" s="163" t="s">
        <v>96</v>
      </c>
      <c r="G525" s="163" t="s">
        <v>10</v>
      </c>
      <c r="H525" s="163" t="s">
        <v>115</v>
      </c>
      <c r="I525" s="163" t="s">
        <v>98</v>
      </c>
      <c r="J525" s="163" t="s">
        <v>116</v>
      </c>
      <c r="K525" s="163" t="s">
        <v>117</v>
      </c>
      <c r="L525" s="163"/>
      <c r="M525" s="163" t="s">
        <v>788</v>
      </c>
      <c r="N525" s="163" t="s">
        <v>102</v>
      </c>
      <c r="O525" s="162"/>
      <c r="P525" s="163"/>
      <c r="Q525" s="163" t="str">
        <f ca="1">IF(N525="Closed(C4)","",IF(N525="","",TODAY()-A525))</f>
        <v/>
      </c>
      <c r="R525" s="163" t="str">
        <f ca="1">IF(OR(N525="Closed( C4 )",N525="Cancelled"),"",IF(AND(O525&lt;&gt;"",O525&lt;TODAY()),"Yes",""))</f>
        <v/>
      </c>
      <c r="S525" s="163" t="s">
        <v>103</v>
      </c>
      <c r="T525" s="164">
        <v>22687</v>
      </c>
      <c r="U525" s="164">
        <v>26812</v>
      </c>
      <c r="V525" s="162">
        <v>46197</v>
      </c>
      <c r="W525" s="163" t="s">
        <v>933</v>
      </c>
      <c r="X525" s="163" t="s">
        <v>35</v>
      </c>
      <c r="Y525" s="163" t="s">
        <v>85</v>
      </c>
      <c r="Z525" s="163"/>
      <c r="AA525" s="163"/>
      <c r="AB525" s="195" t="str">
        <f t="shared" si="75"/>
        <v>Jun-26</v>
      </c>
      <c r="AC525" s="163"/>
      <c r="AD525" s="163"/>
      <c r="AE525" s="163"/>
    </row>
    <row r="526" spans="1:31" x14ac:dyDescent="0.35">
      <c r="A526" s="162">
        <v>46197</v>
      </c>
      <c r="B526" s="163" t="s">
        <v>125</v>
      </c>
      <c r="C526" s="163" t="s">
        <v>93</v>
      </c>
      <c r="D526" s="163" t="s">
        <v>19</v>
      </c>
      <c r="E526" s="163" t="s">
        <v>106</v>
      </c>
      <c r="F526" s="163" t="s">
        <v>96</v>
      </c>
      <c r="G526" s="163" t="s">
        <v>10</v>
      </c>
      <c r="H526" s="163" t="s">
        <v>115</v>
      </c>
      <c r="I526" s="163" t="s">
        <v>121</v>
      </c>
      <c r="J526" s="163" t="s">
        <v>99</v>
      </c>
      <c r="K526" s="163" t="s">
        <v>256</v>
      </c>
      <c r="L526" s="163"/>
      <c r="M526" s="163" t="s">
        <v>159</v>
      </c>
      <c r="N526" s="163" t="s">
        <v>102</v>
      </c>
      <c r="O526" s="162"/>
      <c r="P526" s="163"/>
      <c r="Q526" s="163"/>
      <c r="R526" s="163" t="str">
        <f ca="1">IF(OR(N526="Closed( C4 )",N526="Cancelled"),"",IF(AND(O526&lt;&gt;"",O526&lt;TODAY()),"Yes",""))</f>
        <v/>
      </c>
      <c r="S526" s="163" t="s">
        <v>103</v>
      </c>
      <c r="T526" s="164">
        <v>700000</v>
      </c>
      <c r="U526" s="164">
        <v>792400</v>
      </c>
      <c r="V526" s="162">
        <v>46197</v>
      </c>
      <c r="W526" s="163" t="s">
        <v>934</v>
      </c>
      <c r="X526" s="163" t="s">
        <v>42</v>
      </c>
      <c r="Y526" s="163" t="s">
        <v>85</v>
      </c>
      <c r="Z526" s="163"/>
      <c r="AA526" s="163"/>
      <c r="AB526" s="195" t="str">
        <f t="shared" si="75"/>
        <v>Jun-26</v>
      </c>
      <c r="AC526" s="163"/>
      <c r="AD526" s="163" t="str">
        <f>IF(AC526="Yes",U526*2%,"")</f>
        <v/>
      </c>
      <c r="AE526" s="163"/>
    </row>
    <row r="527" spans="1:31" x14ac:dyDescent="0.35">
      <c r="A527" s="162">
        <v>46197</v>
      </c>
      <c r="B527" s="163" t="s">
        <v>92</v>
      </c>
      <c r="C527" s="163" t="s">
        <v>93</v>
      </c>
      <c r="D527" s="163" t="s">
        <v>19</v>
      </c>
      <c r="E527" s="163" t="s">
        <v>106</v>
      </c>
      <c r="F527" s="163" t="s">
        <v>96</v>
      </c>
      <c r="G527" s="163" t="s">
        <v>10</v>
      </c>
      <c r="H527" s="163" t="s">
        <v>115</v>
      </c>
      <c r="I527" s="163" t="s">
        <v>121</v>
      </c>
      <c r="J527" s="163" t="s">
        <v>99</v>
      </c>
      <c r="K527" s="163" t="s">
        <v>256</v>
      </c>
      <c r="L527" s="163"/>
      <c r="M527" s="163" t="s">
        <v>159</v>
      </c>
      <c r="N527" s="163" t="s">
        <v>102</v>
      </c>
      <c r="O527" s="162"/>
      <c r="P527" s="163"/>
      <c r="Q527" s="163"/>
      <c r="R527" s="163" t="str">
        <f ca="1">IF(OR(N527="Closed( C4 )",N527="Cancelled"),"",IF(AND(O527&lt;&gt;"",O527&lt;TODAY()),"Yes",""))</f>
        <v/>
      </c>
      <c r="S527" s="163" t="s">
        <v>103</v>
      </c>
      <c r="T527" s="164">
        <v>700000</v>
      </c>
      <c r="U527" s="164">
        <v>792400</v>
      </c>
      <c r="V527" s="162">
        <v>46197</v>
      </c>
      <c r="W527" s="163" t="s">
        <v>934</v>
      </c>
      <c r="X527" s="163" t="s">
        <v>42</v>
      </c>
      <c r="Y527" s="163" t="s">
        <v>85</v>
      </c>
      <c r="Z527" s="163"/>
      <c r="AA527" s="163"/>
      <c r="AB527" s="195" t="str">
        <f t="shared" si="75"/>
        <v>Jun-26</v>
      </c>
      <c r="AC527" s="163"/>
      <c r="AD527" s="163" t="str">
        <f>IF(AC527="Yes",U527*2%,"")</f>
        <v/>
      </c>
      <c r="AE527" s="163"/>
    </row>
    <row r="528" spans="1:31" x14ac:dyDescent="0.35">
      <c r="A528" s="162">
        <v>46197</v>
      </c>
      <c r="B528" s="163" t="s">
        <v>125</v>
      </c>
      <c r="C528" s="163" t="s">
        <v>113</v>
      </c>
      <c r="D528" s="163" t="s">
        <v>223</v>
      </c>
      <c r="E528" s="163" t="s">
        <v>106</v>
      </c>
      <c r="F528" s="163" t="s">
        <v>135</v>
      </c>
      <c r="G528" s="163"/>
      <c r="H528" s="163" t="s">
        <v>97</v>
      </c>
      <c r="I528" s="163" t="s">
        <v>98</v>
      </c>
      <c r="J528" s="163" t="s">
        <v>166</v>
      </c>
      <c r="K528" s="163" t="s">
        <v>224</v>
      </c>
      <c r="L528" s="163"/>
      <c r="M528" s="163" t="s">
        <v>390</v>
      </c>
      <c r="N528" s="163" t="s">
        <v>102</v>
      </c>
      <c r="O528" s="162"/>
      <c r="P528" s="163"/>
      <c r="Q528" s="163"/>
      <c r="R528" s="163" t="str">
        <f ca="1">IF(OR(N528="Closed( C4 )",N528="Cancelled"),"",IF(AND(O528&lt;&gt;"",O528&lt;TODAY()),"Yes",""))</f>
        <v/>
      </c>
      <c r="S528" s="163" t="s">
        <v>103</v>
      </c>
      <c r="T528" s="164">
        <v>15000</v>
      </c>
      <c r="U528" s="164">
        <v>12853</v>
      </c>
      <c r="V528" s="162">
        <v>46197</v>
      </c>
      <c r="W528" s="163" t="s">
        <v>935</v>
      </c>
      <c r="X528" s="163" t="s">
        <v>62</v>
      </c>
      <c r="Y528" s="163" t="s">
        <v>161</v>
      </c>
      <c r="Z528" s="163"/>
      <c r="AA528" s="162">
        <v>46197</v>
      </c>
      <c r="AB528" s="195" t="str">
        <f t="shared" si="75"/>
        <v>Jun-26</v>
      </c>
      <c r="AC528" s="163"/>
      <c r="AD528" s="163" t="str">
        <f>IF(AC528="Yes",U528*2%,"")</f>
        <v/>
      </c>
      <c r="AE528" s="163"/>
    </row>
    <row r="529" spans="1:31" x14ac:dyDescent="0.35">
      <c r="A529" s="162">
        <v>46197</v>
      </c>
      <c r="B529" s="163" t="s">
        <v>370</v>
      </c>
      <c r="C529" s="163" t="s">
        <v>93</v>
      </c>
      <c r="D529" s="163" t="s">
        <v>936</v>
      </c>
      <c r="E529" s="163" t="s">
        <v>106</v>
      </c>
      <c r="F529" s="163" t="s">
        <v>135</v>
      </c>
      <c r="G529" s="163"/>
      <c r="H529" s="163" t="s">
        <v>115</v>
      </c>
      <c r="I529" s="163" t="s">
        <v>121</v>
      </c>
      <c r="J529" s="163" t="s">
        <v>147</v>
      </c>
      <c r="K529" s="163" t="s">
        <v>937</v>
      </c>
      <c r="L529" s="163"/>
      <c r="M529" s="163" t="s">
        <v>914</v>
      </c>
      <c r="N529" s="163" t="s">
        <v>181</v>
      </c>
      <c r="O529" s="162">
        <v>46254</v>
      </c>
      <c r="P529" s="163" t="s">
        <v>95</v>
      </c>
      <c r="Q529" s="163"/>
      <c r="R529" s="163"/>
      <c r="S529" s="163" t="s">
        <v>129</v>
      </c>
      <c r="T529" s="164">
        <v>100000</v>
      </c>
      <c r="U529" s="164"/>
      <c r="V529" s="162"/>
      <c r="W529" s="163"/>
      <c r="X529" s="163"/>
      <c r="Y529" s="163"/>
      <c r="Z529" s="163"/>
      <c r="AA529" s="162"/>
      <c r="AB529" s="195" t="str">
        <f t="shared" si="75"/>
        <v>Jun-26</v>
      </c>
      <c r="AC529" s="163"/>
      <c r="AD529" s="163"/>
      <c r="AE529" s="163"/>
    </row>
    <row r="530" spans="1:31" x14ac:dyDescent="0.35">
      <c r="A530" s="162">
        <v>46197</v>
      </c>
      <c r="B530" s="163" t="s">
        <v>370</v>
      </c>
      <c r="C530" s="163" t="s">
        <v>93</v>
      </c>
      <c r="D530" s="163" t="s">
        <v>938</v>
      </c>
      <c r="E530" s="163" t="s">
        <v>106</v>
      </c>
      <c r="F530" s="163" t="s">
        <v>135</v>
      </c>
      <c r="G530" s="163"/>
      <c r="H530" s="163" t="s">
        <v>115</v>
      </c>
      <c r="I530" s="163" t="s">
        <v>121</v>
      </c>
      <c r="J530" s="163" t="s">
        <v>147</v>
      </c>
      <c r="K530" s="163" t="s">
        <v>939</v>
      </c>
      <c r="L530" s="163"/>
      <c r="M530" s="163" t="s">
        <v>617</v>
      </c>
      <c r="N530" s="163" t="s">
        <v>181</v>
      </c>
      <c r="O530" s="162"/>
      <c r="P530" s="163"/>
      <c r="Q530" s="163"/>
      <c r="R530" s="163"/>
      <c r="S530" s="163" t="s">
        <v>129</v>
      </c>
      <c r="T530" s="164">
        <v>40000</v>
      </c>
      <c r="U530" s="164"/>
      <c r="V530" s="162"/>
      <c r="W530" s="163"/>
      <c r="X530" s="163"/>
      <c r="Y530" s="163"/>
      <c r="Z530" s="163"/>
      <c r="AA530" s="162"/>
      <c r="AB530" s="195" t="str">
        <f t="shared" si="75"/>
        <v>Jun-26</v>
      </c>
      <c r="AC530" s="163"/>
      <c r="AD530" s="163"/>
      <c r="AE530" s="163"/>
    </row>
    <row r="531" spans="1:31" x14ac:dyDescent="0.35">
      <c r="A531" s="162">
        <v>46197</v>
      </c>
      <c r="B531" s="163" t="s">
        <v>370</v>
      </c>
      <c r="C531" s="163" t="s">
        <v>93</v>
      </c>
      <c r="D531" s="163" t="s">
        <v>940</v>
      </c>
      <c r="E531" s="163" t="s">
        <v>106</v>
      </c>
      <c r="F531" s="163" t="s">
        <v>135</v>
      </c>
      <c r="G531" s="163"/>
      <c r="H531" s="163" t="s">
        <v>115</v>
      </c>
      <c r="I531" s="163" t="s">
        <v>121</v>
      </c>
      <c r="J531" s="163" t="s">
        <v>432</v>
      </c>
      <c r="K531" s="163" t="s">
        <v>433</v>
      </c>
      <c r="L531" s="163"/>
      <c r="M531" s="163" t="s">
        <v>914</v>
      </c>
      <c r="N531" s="163" t="s">
        <v>181</v>
      </c>
      <c r="O531" s="162"/>
      <c r="P531" s="163"/>
      <c r="Q531" s="163"/>
      <c r="R531" s="163"/>
      <c r="S531" s="163" t="s">
        <v>129</v>
      </c>
      <c r="T531" s="164">
        <v>70000</v>
      </c>
      <c r="U531" s="164"/>
      <c r="V531" s="162"/>
      <c r="W531" s="163"/>
      <c r="X531" s="163"/>
      <c r="Y531" s="163"/>
      <c r="Z531" s="163"/>
      <c r="AA531" s="162"/>
      <c r="AB531" s="195" t="str">
        <f t="shared" si="75"/>
        <v>Jun-26</v>
      </c>
      <c r="AC531" s="163"/>
      <c r="AD531" s="163"/>
      <c r="AE531" s="163"/>
    </row>
    <row r="532" spans="1:31" x14ac:dyDescent="0.35">
      <c r="A532" s="162">
        <v>46197</v>
      </c>
      <c r="B532" s="163" t="s">
        <v>370</v>
      </c>
      <c r="C532" s="163" t="s">
        <v>93</v>
      </c>
      <c r="D532" s="163" t="s">
        <v>941</v>
      </c>
      <c r="E532" s="163" t="s">
        <v>106</v>
      </c>
      <c r="F532" s="163" t="s">
        <v>135</v>
      </c>
      <c r="G532" s="163"/>
      <c r="H532" s="163" t="s">
        <v>115</v>
      </c>
      <c r="I532" s="163" t="s">
        <v>121</v>
      </c>
      <c r="J532" s="163" t="s">
        <v>432</v>
      </c>
      <c r="K532" s="163" t="s">
        <v>942</v>
      </c>
      <c r="L532" s="163"/>
      <c r="M532" s="163" t="s">
        <v>914</v>
      </c>
      <c r="N532" s="163" t="s">
        <v>181</v>
      </c>
      <c r="O532" s="162"/>
      <c r="P532" s="163"/>
      <c r="Q532" s="163"/>
      <c r="R532" s="163"/>
      <c r="S532" s="163" t="s">
        <v>103</v>
      </c>
      <c r="T532" s="164">
        <v>35000</v>
      </c>
      <c r="U532" s="164"/>
      <c r="V532" s="162"/>
      <c r="W532" s="163"/>
      <c r="X532" s="163"/>
      <c r="Y532" s="163"/>
      <c r="Z532" s="163"/>
      <c r="AA532" s="162"/>
      <c r="AB532" s="195" t="str">
        <f t="shared" si="75"/>
        <v>Jun-26</v>
      </c>
      <c r="AC532" s="163"/>
      <c r="AD532" s="163"/>
      <c r="AE532" s="163"/>
    </row>
    <row r="533" spans="1:31" x14ac:dyDescent="0.35">
      <c r="A533" s="162">
        <v>46198</v>
      </c>
      <c r="B533" s="163" t="s">
        <v>370</v>
      </c>
      <c r="C533" s="163" t="s">
        <v>93</v>
      </c>
      <c r="D533" s="163" t="s">
        <v>943</v>
      </c>
      <c r="E533" s="163" t="s">
        <v>106</v>
      </c>
      <c r="F533" s="163" t="s">
        <v>135</v>
      </c>
      <c r="G533" s="163"/>
      <c r="H533" s="163" t="s">
        <v>115</v>
      </c>
      <c r="I533" s="163" t="s">
        <v>121</v>
      </c>
      <c r="J533" s="163" t="s">
        <v>432</v>
      </c>
      <c r="K533" s="163" t="s">
        <v>944</v>
      </c>
      <c r="L533" s="163"/>
      <c r="M533" s="163" t="s">
        <v>945</v>
      </c>
      <c r="N533" s="163" t="s">
        <v>102</v>
      </c>
      <c r="O533" s="162"/>
      <c r="P533" s="163"/>
      <c r="Q533" s="163"/>
      <c r="R533" s="163"/>
      <c r="S533" s="163" t="s">
        <v>103</v>
      </c>
      <c r="T533" s="164">
        <v>0</v>
      </c>
      <c r="U533" s="164">
        <v>0</v>
      </c>
      <c r="V533" s="162"/>
      <c r="W533" s="163"/>
      <c r="X533" s="163"/>
      <c r="Y533" s="163"/>
      <c r="Z533" s="163"/>
      <c r="AA533" s="162"/>
      <c r="AB533" s="195" t="str">
        <f t="shared" si="75"/>
        <v>Jun-26</v>
      </c>
      <c r="AC533" s="163"/>
      <c r="AD533" s="163"/>
      <c r="AE533" s="163"/>
    </row>
    <row r="534" spans="1:31" x14ac:dyDescent="0.35">
      <c r="A534" s="162">
        <v>46198</v>
      </c>
      <c r="B534" s="163" t="s">
        <v>148</v>
      </c>
      <c r="C534" s="163" t="s">
        <v>113</v>
      </c>
      <c r="D534" s="163" t="s">
        <v>946</v>
      </c>
      <c r="E534" s="163" t="s">
        <v>106</v>
      </c>
      <c r="F534" s="163" t="s">
        <v>135</v>
      </c>
      <c r="G534" s="163"/>
      <c r="H534" s="163" t="s">
        <v>115</v>
      </c>
      <c r="I534" s="163" t="s">
        <v>121</v>
      </c>
      <c r="J534" s="163" t="s">
        <v>356</v>
      </c>
      <c r="K534" s="163" t="s">
        <v>947</v>
      </c>
      <c r="L534" s="163"/>
      <c r="M534" s="163" t="s">
        <v>948</v>
      </c>
      <c r="N534" s="163" t="s">
        <v>102</v>
      </c>
      <c r="O534" s="162"/>
      <c r="P534" s="163"/>
      <c r="Q534" s="163" t="str">
        <f ca="1">IF(N534="Closed(C4)","",IF(N534="","",TODAY()-A534))</f>
        <v/>
      </c>
      <c r="R534" s="163" t="str">
        <f ca="1">IF(OR(N534="Closed( C4 )",N534="Cancelled"),"",IF(AND(O534&lt;&gt;"",O534&lt;TODAY()),"Yes",""))</f>
        <v/>
      </c>
      <c r="S534" s="163" t="s">
        <v>103</v>
      </c>
      <c r="T534" s="164">
        <v>15000</v>
      </c>
      <c r="U534" s="164">
        <v>24300</v>
      </c>
      <c r="V534" s="162">
        <v>46198</v>
      </c>
      <c r="W534" s="214" t="s">
        <v>949</v>
      </c>
      <c r="X534" s="163" t="s">
        <v>37</v>
      </c>
      <c r="Y534" s="163" t="s">
        <v>161</v>
      </c>
      <c r="Z534" s="163"/>
      <c r="AA534" s="162">
        <v>46198</v>
      </c>
      <c r="AB534" s="195" t="str">
        <f t="shared" si="75"/>
        <v>Jun-26</v>
      </c>
      <c r="AC534" s="163"/>
      <c r="AD534" s="163" t="str">
        <f>IF(AC534="Yes",U534*2%,"")</f>
        <v/>
      </c>
      <c r="AE534" s="163"/>
    </row>
    <row r="535" spans="1:31" x14ac:dyDescent="0.35">
      <c r="A535" s="162">
        <v>46198</v>
      </c>
      <c r="B535" s="163" t="s">
        <v>125</v>
      </c>
      <c r="C535" s="163" t="s">
        <v>113</v>
      </c>
      <c r="D535" s="163" t="s">
        <v>255</v>
      </c>
      <c r="E535" s="163" t="s">
        <v>106</v>
      </c>
      <c r="F535" s="163" t="s">
        <v>135</v>
      </c>
      <c r="G535" s="163"/>
      <c r="H535" s="163" t="s">
        <v>97</v>
      </c>
      <c r="I535" s="163" t="s">
        <v>98</v>
      </c>
      <c r="J535" s="163" t="s">
        <v>166</v>
      </c>
      <c r="K535" s="163" t="s">
        <v>256</v>
      </c>
      <c r="L535" s="163"/>
      <c r="M535" s="163" t="s">
        <v>390</v>
      </c>
      <c r="N535" s="163" t="s">
        <v>102</v>
      </c>
      <c r="O535" s="162"/>
      <c r="P535" s="163"/>
      <c r="Q535" s="163"/>
      <c r="R535" s="163" t="str">
        <f ca="1">IF(OR(N535="Closed( C4 )",N535="Cancelled"),"",IF(AND(O535&lt;&gt;"",O535&lt;TODAY()),"Yes",""))</f>
        <v/>
      </c>
      <c r="S535" s="163" t="s">
        <v>103</v>
      </c>
      <c r="T535" s="164">
        <v>15000</v>
      </c>
      <c r="U535" s="164">
        <v>20287</v>
      </c>
      <c r="V535" s="162">
        <v>46198</v>
      </c>
      <c r="W535" s="163" t="s">
        <v>950</v>
      </c>
      <c r="X535" s="163" t="s">
        <v>62</v>
      </c>
      <c r="Y535" s="163" t="s">
        <v>161</v>
      </c>
      <c r="Z535" s="163"/>
      <c r="AA535" s="162">
        <v>46198</v>
      </c>
      <c r="AB535" s="195" t="str">
        <f t="shared" si="75"/>
        <v>Jun-26</v>
      </c>
      <c r="AC535" s="163"/>
      <c r="AD535" s="163" t="str">
        <f>IF(AC535="Yes",U535*2%,"")</f>
        <v/>
      </c>
      <c r="AE535" s="163"/>
    </row>
    <row r="536" spans="1:31" x14ac:dyDescent="0.35">
      <c r="A536" s="162">
        <v>46198</v>
      </c>
      <c r="B536" s="163" t="s">
        <v>370</v>
      </c>
      <c r="C536" s="163" t="s">
        <v>93</v>
      </c>
      <c r="D536" s="163" t="s">
        <v>951</v>
      </c>
      <c r="E536" s="163" t="s">
        <v>106</v>
      </c>
      <c r="F536" s="163" t="s">
        <v>135</v>
      </c>
      <c r="G536" s="163"/>
      <c r="H536" s="163" t="s">
        <v>115</v>
      </c>
      <c r="I536" s="163" t="s">
        <v>121</v>
      </c>
      <c r="J536" s="163" t="s">
        <v>698</v>
      </c>
      <c r="K536" s="163" t="s">
        <v>952</v>
      </c>
      <c r="L536" s="163"/>
      <c r="M536" s="163" t="s">
        <v>914</v>
      </c>
      <c r="N536" s="163" t="s">
        <v>181</v>
      </c>
      <c r="O536" s="162"/>
      <c r="P536" s="163"/>
      <c r="Q536" s="163"/>
      <c r="R536" s="163"/>
      <c r="S536" s="163" t="s">
        <v>133</v>
      </c>
      <c r="T536" s="164">
        <v>40000</v>
      </c>
      <c r="U536" s="164"/>
      <c r="V536" s="162"/>
      <c r="W536" s="163"/>
      <c r="X536" s="163"/>
      <c r="Y536" s="163"/>
      <c r="Z536" s="163"/>
      <c r="AA536" s="162"/>
      <c r="AB536" s="195" t="str">
        <f t="shared" si="75"/>
        <v>Jun-26</v>
      </c>
      <c r="AC536" s="163"/>
      <c r="AD536" s="163"/>
      <c r="AE536" s="163"/>
    </row>
    <row r="537" spans="1:31" x14ac:dyDescent="0.35">
      <c r="A537" s="162">
        <v>46198</v>
      </c>
      <c r="B537" s="163" t="s">
        <v>370</v>
      </c>
      <c r="C537" s="163" t="s">
        <v>93</v>
      </c>
      <c r="D537" s="163" t="s">
        <v>953</v>
      </c>
      <c r="E537" s="163" t="s">
        <v>106</v>
      </c>
      <c r="F537" s="163" t="s">
        <v>135</v>
      </c>
      <c r="G537" s="163"/>
      <c r="H537" s="163" t="s">
        <v>115</v>
      </c>
      <c r="I537" s="163" t="s">
        <v>121</v>
      </c>
      <c r="J537" s="163" t="s">
        <v>147</v>
      </c>
      <c r="K537" s="163" t="s">
        <v>423</v>
      </c>
      <c r="L537" s="163"/>
      <c r="M537" s="163" t="s">
        <v>948</v>
      </c>
      <c r="N537" s="163" t="s">
        <v>181</v>
      </c>
      <c r="O537" s="162"/>
      <c r="P537" s="163"/>
      <c r="Q537" s="163"/>
      <c r="R537" s="163"/>
      <c r="S537" s="163" t="s">
        <v>129</v>
      </c>
      <c r="T537" s="164">
        <v>65000</v>
      </c>
      <c r="U537" s="164"/>
      <c r="V537" s="162"/>
      <c r="W537" s="163"/>
      <c r="X537" s="163"/>
      <c r="Y537" s="163"/>
      <c r="Z537" s="163"/>
      <c r="AA537" s="162"/>
      <c r="AB537" s="195" t="str">
        <f t="shared" si="75"/>
        <v>Jun-26</v>
      </c>
      <c r="AC537" s="163"/>
      <c r="AD537" s="163"/>
      <c r="AE537" s="163"/>
    </row>
    <row r="538" spans="1:31" x14ac:dyDescent="0.35">
      <c r="A538" s="162">
        <v>46198</v>
      </c>
      <c r="B538" s="163" t="s">
        <v>370</v>
      </c>
      <c r="C538" s="163" t="s">
        <v>93</v>
      </c>
      <c r="D538" s="163" t="s">
        <v>954</v>
      </c>
      <c r="E538" s="163" t="s">
        <v>106</v>
      </c>
      <c r="F538" s="163" t="s">
        <v>135</v>
      </c>
      <c r="G538" s="163"/>
      <c r="H538" s="163" t="s">
        <v>115</v>
      </c>
      <c r="I538" s="163" t="s">
        <v>121</v>
      </c>
      <c r="J538" s="163" t="s">
        <v>147</v>
      </c>
      <c r="K538" s="163" t="s">
        <v>955</v>
      </c>
      <c r="L538" s="163"/>
      <c r="M538" s="163" t="s">
        <v>914</v>
      </c>
      <c r="N538" s="163" t="s">
        <v>181</v>
      </c>
      <c r="O538" s="162"/>
      <c r="P538" s="163"/>
      <c r="Q538" s="163"/>
      <c r="R538" s="163"/>
      <c r="S538" s="163" t="s">
        <v>133</v>
      </c>
      <c r="T538" s="164">
        <v>40000</v>
      </c>
      <c r="U538" s="164"/>
      <c r="V538" s="162"/>
      <c r="W538" s="163"/>
      <c r="X538" s="163"/>
      <c r="Y538" s="163"/>
      <c r="Z538" s="163"/>
      <c r="AA538" s="162"/>
      <c r="AB538" s="195" t="str">
        <f t="shared" si="75"/>
        <v>Jun-26</v>
      </c>
      <c r="AC538" s="163"/>
      <c r="AD538" s="163"/>
      <c r="AE538" s="163"/>
    </row>
    <row r="539" spans="1:31" x14ac:dyDescent="0.35">
      <c r="A539" s="162">
        <v>46199</v>
      </c>
      <c r="B539" s="163" t="s">
        <v>370</v>
      </c>
      <c r="C539" s="163" t="s">
        <v>93</v>
      </c>
      <c r="D539" s="163" t="s">
        <v>943</v>
      </c>
      <c r="E539" s="163" t="s">
        <v>106</v>
      </c>
      <c r="F539" s="163" t="s">
        <v>135</v>
      </c>
      <c r="G539" s="163"/>
      <c r="H539" s="163" t="s">
        <v>115</v>
      </c>
      <c r="I539" s="163" t="s">
        <v>121</v>
      </c>
      <c r="J539" s="163" t="s">
        <v>432</v>
      </c>
      <c r="K539" s="163" t="s">
        <v>944</v>
      </c>
      <c r="L539" s="163"/>
      <c r="M539" s="163" t="s">
        <v>159</v>
      </c>
      <c r="N539" s="163" t="s">
        <v>102</v>
      </c>
      <c r="O539" s="162"/>
      <c r="P539" s="163"/>
      <c r="Q539" s="163"/>
      <c r="R539" s="163"/>
      <c r="S539" s="163" t="s">
        <v>103</v>
      </c>
      <c r="T539" s="164">
        <v>20000</v>
      </c>
      <c r="U539" s="164">
        <v>11487</v>
      </c>
      <c r="V539" s="162">
        <v>46198</v>
      </c>
      <c r="W539" s="163" t="s">
        <v>956</v>
      </c>
      <c r="X539" s="163" t="s">
        <v>26</v>
      </c>
      <c r="Y539" s="163" t="s">
        <v>161</v>
      </c>
      <c r="Z539" s="163"/>
      <c r="AA539" s="162">
        <v>46198</v>
      </c>
      <c r="AB539" s="195" t="str">
        <f t="shared" si="75"/>
        <v>Jun-26</v>
      </c>
      <c r="AC539" s="163"/>
      <c r="AD539" s="163"/>
      <c r="AE539" s="163" t="s">
        <v>270</v>
      </c>
    </row>
    <row r="540" spans="1:31" x14ac:dyDescent="0.35">
      <c r="A540" s="162">
        <v>46199</v>
      </c>
      <c r="B540" s="163" t="s">
        <v>370</v>
      </c>
      <c r="C540" s="163" t="s">
        <v>93</v>
      </c>
      <c r="D540" s="163" t="s">
        <v>957</v>
      </c>
      <c r="E540" s="163" t="s">
        <v>106</v>
      </c>
      <c r="F540" s="163" t="s">
        <v>135</v>
      </c>
      <c r="G540" s="163"/>
      <c r="H540" s="163" t="s">
        <v>115</v>
      </c>
      <c r="I540" s="163" t="s">
        <v>121</v>
      </c>
      <c r="J540" s="163" t="s">
        <v>166</v>
      </c>
      <c r="K540" s="163" t="s">
        <v>958</v>
      </c>
      <c r="L540" s="163"/>
      <c r="M540" s="163" t="s">
        <v>159</v>
      </c>
      <c r="N540" s="163" t="s">
        <v>102</v>
      </c>
      <c r="O540" s="162"/>
      <c r="P540" s="163"/>
      <c r="Q540" s="163" t="str">
        <f ca="1">IF(N540="Closed(C4)","",IF(N540="","",TODAY()-A540))</f>
        <v/>
      </c>
      <c r="R540" s="163" t="str">
        <f ca="1">IF(OR(N540="Closed( C4 )",N540="Cancelled"),"",IF(AND(O540&lt;&gt;"",O540&lt;TODAY()),"Yes",""))</f>
        <v/>
      </c>
      <c r="S540" s="163" t="s">
        <v>103</v>
      </c>
      <c r="T540" s="164">
        <v>15000</v>
      </c>
      <c r="U540" s="164">
        <v>11917</v>
      </c>
      <c r="V540" s="162">
        <v>46199</v>
      </c>
      <c r="W540" s="163" t="s">
        <v>959</v>
      </c>
      <c r="X540" s="163" t="s">
        <v>30</v>
      </c>
      <c r="Y540" s="163" t="s">
        <v>161</v>
      </c>
      <c r="Z540" s="163"/>
      <c r="AA540" s="162">
        <v>46199</v>
      </c>
      <c r="AB540" s="195" t="str">
        <f t="shared" si="75"/>
        <v>Jun-26</v>
      </c>
      <c r="AC540" s="163"/>
      <c r="AD540" s="163" t="str">
        <f>IF(AC540="Yes",U540*2%,"")</f>
        <v/>
      </c>
      <c r="AE540" s="163" t="s">
        <v>270</v>
      </c>
    </row>
    <row r="541" spans="1:31" x14ac:dyDescent="0.35">
      <c r="A541" s="162">
        <v>46199</v>
      </c>
      <c r="B541" s="163" t="s">
        <v>370</v>
      </c>
      <c r="C541" s="163" t="s">
        <v>93</v>
      </c>
      <c r="D541" s="163" t="s">
        <v>262</v>
      </c>
      <c r="E541" s="163" t="s">
        <v>106</v>
      </c>
      <c r="F541" s="163" t="s">
        <v>135</v>
      </c>
      <c r="G541" s="163"/>
      <c r="H541" s="163" t="s">
        <v>115</v>
      </c>
      <c r="I541" s="163" t="s">
        <v>121</v>
      </c>
      <c r="J541" s="163" t="s">
        <v>960</v>
      </c>
      <c r="K541" s="163" t="s">
        <v>961</v>
      </c>
      <c r="L541" s="163"/>
      <c r="M541" s="163" t="s">
        <v>159</v>
      </c>
      <c r="N541" s="163" t="s">
        <v>102</v>
      </c>
      <c r="O541" s="162"/>
      <c r="P541" s="163"/>
      <c r="Q541" s="163" t="str">
        <f ca="1">IF(N541="Closed(C4)","",IF(N541="","",TODAY()-A541))</f>
        <v/>
      </c>
      <c r="R541" s="163" t="str">
        <f ca="1">IF(OR(N541="Closed( C4 )",N541="Cancelled"),"",IF(AND(O541&lt;&gt;"",O541&lt;TODAY()),"Yes",""))</f>
        <v/>
      </c>
      <c r="S541" s="163" t="s">
        <v>103</v>
      </c>
      <c r="T541" s="164">
        <v>20000</v>
      </c>
      <c r="U541" s="164">
        <v>18507</v>
      </c>
      <c r="V541" s="162">
        <v>46199</v>
      </c>
      <c r="W541" s="163" t="s">
        <v>962</v>
      </c>
      <c r="X541" s="163" t="s">
        <v>26</v>
      </c>
      <c r="Y541" s="163" t="s">
        <v>161</v>
      </c>
      <c r="Z541" s="163"/>
      <c r="AA541" s="162">
        <v>46199</v>
      </c>
      <c r="AB541" s="195" t="str">
        <f t="shared" si="75"/>
        <v>Jun-26</v>
      </c>
      <c r="AC541" s="163"/>
      <c r="AD541" s="163" t="str">
        <f>IF(AC541="Yes",U541*2%,"")</f>
        <v/>
      </c>
      <c r="AE541" s="163" t="s">
        <v>270</v>
      </c>
    </row>
    <row r="542" spans="1:31" x14ac:dyDescent="0.35">
      <c r="A542" s="162">
        <v>46199</v>
      </c>
      <c r="B542" s="163" t="s">
        <v>370</v>
      </c>
      <c r="C542" s="163" t="s">
        <v>93</v>
      </c>
      <c r="D542" s="163" t="s">
        <v>963</v>
      </c>
      <c r="E542" s="163" t="s">
        <v>106</v>
      </c>
      <c r="F542" s="163" t="s">
        <v>135</v>
      </c>
      <c r="G542" s="163"/>
      <c r="H542" s="163" t="s">
        <v>115</v>
      </c>
      <c r="I542" s="163" t="s">
        <v>121</v>
      </c>
      <c r="J542" s="163" t="s">
        <v>147</v>
      </c>
      <c r="K542" s="163" t="s">
        <v>964</v>
      </c>
      <c r="L542" s="163"/>
      <c r="M542" s="163" t="s">
        <v>914</v>
      </c>
      <c r="N542" s="163" t="s">
        <v>181</v>
      </c>
      <c r="O542" s="162"/>
      <c r="P542" s="163"/>
      <c r="Q542" s="163">
        <f ca="1">IF(N542="Closed(C4)","",IF(N542="","",TODAY()-A542))</f>
        <v>126</v>
      </c>
      <c r="R542" s="163" t="str">
        <f ca="1">IF(OR(N542="Closed( C4 )",N542="Cancelled"),"",IF(AND(O542&lt;&gt;"",O542&lt;TODAY()),"Yes",""))</f>
        <v/>
      </c>
      <c r="S542" s="163" t="s">
        <v>133</v>
      </c>
      <c r="T542" s="164">
        <v>100000</v>
      </c>
      <c r="U542" s="164"/>
      <c r="V542" s="163"/>
      <c r="W542" s="163"/>
      <c r="X542" s="163"/>
      <c r="Y542" s="163"/>
      <c r="Z542" s="163"/>
      <c r="AA542" s="163"/>
      <c r="AB542" s="195" t="str">
        <f t="shared" si="75"/>
        <v>Jun-26</v>
      </c>
      <c r="AC542" s="163"/>
      <c r="AD542" s="163" t="str">
        <f>IF(AC542="Yes",U542*2%,"")</f>
        <v/>
      </c>
      <c r="AE542" s="163"/>
    </row>
    <row r="543" spans="1:31" x14ac:dyDescent="0.35">
      <c r="A543" s="162">
        <v>46199</v>
      </c>
      <c r="B543" s="163" t="s">
        <v>370</v>
      </c>
      <c r="C543" s="163" t="s">
        <v>93</v>
      </c>
      <c r="D543" s="163" t="s">
        <v>965</v>
      </c>
      <c r="E543" s="163" t="s">
        <v>106</v>
      </c>
      <c r="F543" s="163" t="s">
        <v>135</v>
      </c>
      <c r="G543" s="163"/>
      <c r="H543" s="163" t="s">
        <v>115</v>
      </c>
      <c r="I543" s="163" t="s">
        <v>121</v>
      </c>
      <c r="J543" s="163" t="s">
        <v>356</v>
      </c>
      <c r="K543" s="163" t="s">
        <v>966</v>
      </c>
      <c r="L543" s="163"/>
      <c r="M543" s="163" t="s">
        <v>967</v>
      </c>
      <c r="N543" s="163" t="s">
        <v>181</v>
      </c>
      <c r="O543" s="162"/>
      <c r="P543" s="163"/>
      <c r="Q543" s="163">
        <f ca="1">IF(N543="Closed(C4)","",IF(N543="","",TODAY()-A543))</f>
        <v>126</v>
      </c>
      <c r="R543" s="163" t="str">
        <f ca="1">IF(OR(N543="Closed( C4 )",N543="Cancelled"),"",IF(AND(O543&lt;&gt;"",O543&lt;TODAY()),"Yes",""))</f>
        <v/>
      </c>
      <c r="S543" s="163" t="s">
        <v>129</v>
      </c>
      <c r="T543" s="164">
        <v>50000</v>
      </c>
      <c r="U543" s="164"/>
      <c r="V543" s="163"/>
      <c r="W543" s="163"/>
      <c r="X543" s="163"/>
      <c r="Y543" s="163"/>
      <c r="Z543" s="163"/>
      <c r="AA543" s="163"/>
      <c r="AB543" s="195" t="str">
        <f t="shared" si="75"/>
        <v>Jun-26</v>
      </c>
      <c r="AC543" s="163"/>
      <c r="AD543" s="163" t="str">
        <f>IF(AC543="Yes",U543*2%,"")</f>
        <v/>
      </c>
      <c r="AE543" s="163"/>
    </row>
    <row r="544" spans="1:31" x14ac:dyDescent="0.35">
      <c r="A544" s="162">
        <v>46199</v>
      </c>
      <c r="B544" s="163" t="s">
        <v>370</v>
      </c>
      <c r="C544" s="163" t="s">
        <v>93</v>
      </c>
      <c r="D544" s="163" t="s">
        <v>775</v>
      </c>
      <c r="E544" s="163" t="s">
        <v>106</v>
      </c>
      <c r="F544" s="163" t="s">
        <v>135</v>
      </c>
      <c r="G544" s="163"/>
      <c r="H544" s="163" t="s">
        <v>115</v>
      </c>
      <c r="I544" s="163" t="s">
        <v>121</v>
      </c>
      <c r="J544" s="163" t="s">
        <v>147</v>
      </c>
      <c r="K544" s="163" t="s">
        <v>122</v>
      </c>
      <c r="L544" s="163"/>
      <c r="M544" s="163" t="s">
        <v>968</v>
      </c>
      <c r="N544" s="163" t="s">
        <v>181</v>
      </c>
      <c r="O544" s="162"/>
      <c r="P544" s="163"/>
      <c r="Q544" s="163"/>
      <c r="R544" s="163"/>
      <c r="S544" s="163" t="s">
        <v>103</v>
      </c>
      <c r="T544" s="164">
        <v>200000</v>
      </c>
      <c r="U544" s="164"/>
      <c r="V544" s="163"/>
      <c r="W544" s="163"/>
      <c r="X544" s="163"/>
      <c r="Y544" s="163"/>
      <c r="Z544" s="163"/>
      <c r="AA544" s="163"/>
      <c r="AB544" s="195" t="str">
        <f t="shared" si="75"/>
        <v>Jun-26</v>
      </c>
      <c r="AC544" s="163"/>
      <c r="AD544" s="163"/>
      <c r="AE544" s="163"/>
    </row>
    <row r="545" spans="1:31" x14ac:dyDescent="0.35">
      <c r="A545" s="162">
        <v>46201</v>
      </c>
      <c r="B545" s="163" t="s">
        <v>148</v>
      </c>
      <c r="C545" s="163" t="s">
        <v>113</v>
      </c>
      <c r="D545" s="163" t="s">
        <v>969</v>
      </c>
      <c r="E545" s="163" t="s">
        <v>106</v>
      </c>
      <c r="F545" s="163" t="s">
        <v>135</v>
      </c>
      <c r="G545" s="163"/>
      <c r="H545" s="163" t="s">
        <v>115</v>
      </c>
      <c r="I545" s="163" t="s">
        <v>121</v>
      </c>
      <c r="J545" s="163" t="s">
        <v>153</v>
      </c>
      <c r="K545" s="163" t="s">
        <v>970</v>
      </c>
      <c r="L545" s="163"/>
      <c r="M545" s="163" t="s">
        <v>159</v>
      </c>
      <c r="N545" s="163" t="s">
        <v>102</v>
      </c>
      <c r="O545" s="162"/>
      <c r="P545" s="163"/>
      <c r="Q545" s="163" t="str">
        <f t="shared" ref="Q545:Q553" ca="1" si="76">IF(N545="Closed(C4)","",IF(N545="","",TODAY()-A545))</f>
        <v/>
      </c>
      <c r="R545" s="163" t="str">
        <f t="shared" ref="R545:R554" ca="1" si="77">IF(OR(N545="Closed( C4 )",N545="Cancelled"),"",IF(AND(O545&lt;&gt;"",O545&lt;TODAY()),"Yes",""))</f>
        <v/>
      </c>
      <c r="S545" s="163" t="s">
        <v>103</v>
      </c>
      <c r="T545" s="213">
        <v>7000</v>
      </c>
      <c r="U545" s="164">
        <v>5388</v>
      </c>
      <c r="V545" s="162">
        <v>46201</v>
      </c>
      <c r="W545" s="163" t="s">
        <v>971</v>
      </c>
      <c r="X545" s="163" t="s">
        <v>29</v>
      </c>
      <c r="Y545" s="163" t="s">
        <v>85</v>
      </c>
      <c r="Z545" s="163"/>
      <c r="AA545" s="162">
        <v>46201</v>
      </c>
      <c r="AB545" s="195" t="str">
        <f t="shared" si="75"/>
        <v>Jun-26</v>
      </c>
      <c r="AC545" s="163"/>
      <c r="AD545" s="163" t="str">
        <f t="shared" ref="AD545:AD554" si="78">IF(AC545="Yes",U545*2%,"")</f>
        <v/>
      </c>
      <c r="AE545" s="163" t="s">
        <v>270</v>
      </c>
    </row>
    <row r="546" spans="1:31" x14ac:dyDescent="0.35">
      <c r="A546" s="162">
        <v>46201</v>
      </c>
      <c r="B546" s="163" t="s">
        <v>148</v>
      </c>
      <c r="C546" s="163" t="s">
        <v>113</v>
      </c>
      <c r="D546" s="163" t="s">
        <v>969</v>
      </c>
      <c r="E546" s="163" t="s">
        <v>106</v>
      </c>
      <c r="F546" s="163" t="s">
        <v>135</v>
      </c>
      <c r="G546" s="163"/>
      <c r="H546" s="163" t="s">
        <v>115</v>
      </c>
      <c r="I546" s="163" t="s">
        <v>121</v>
      </c>
      <c r="J546" s="163" t="s">
        <v>153</v>
      </c>
      <c r="K546" s="163" t="s">
        <v>970</v>
      </c>
      <c r="L546" s="163"/>
      <c r="M546" s="163" t="s">
        <v>159</v>
      </c>
      <c r="N546" s="163" t="s">
        <v>102</v>
      </c>
      <c r="O546" s="162"/>
      <c r="P546" s="163"/>
      <c r="Q546" s="163" t="str">
        <f t="shared" ca="1" si="76"/>
        <v/>
      </c>
      <c r="R546" s="163" t="str">
        <f t="shared" ca="1" si="77"/>
        <v/>
      </c>
      <c r="S546" s="163" t="s">
        <v>103</v>
      </c>
      <c r="T546" s="213">
        <v>7000</v>
      </c>
      <c r="U546" s="164">
        <v>8783</v>
      </c>
      <c r="V546" s="162">
        <v>46201</v>
      </c>
      <c r="W546" s="163" t="s">
        <v>972</v>
      </c>
      <c r="X546" s="163" t="s">
        <v>29</v>
      </c>
      <c r="Y546" s="163" t="s">
        <v>85</v>
      </c>
      <c r="Z546" s="163"/>
      <c r="AA546" s="162">
        <v>46201</v>
      </c>
      <c r="AB546" s="195" t="str">
        <f t="shared" si="75"/>
        <v>Jun-26</v>
      </c>
      <c r="AC546" s="163"/>
      <c r="AD546" s="163" t="str">
        <f t="shared" si="78"/>
        <v/>
      </c>
      <c r="AE546" s="163" t="s">
        <v>270</v>
      </c>
    </row>
    <row r="547" spans="1:31" x14ac:dyDescent="0.35">
      <c r="A547" s="162">
        <v>46202</v>
      </c>
      <c r="B547" s="163" t="s">
        <v>370</v>
      </c>
      <c r="C547" s="163" t="s">
        <v>93</v>
      </c>
      <c r="D547" s="191" t="s">
        <v>973</v>
      </c>
      <c r="E547" s="163" t="s">
        <v>106</v>
      </c>
      <c r="F547" s="163" t="s">
        <v>135</v>
      </c>
      <c r="G547" s="163"/>
      <c r="H547" s="163" t="s">
        <v>115</v>
      </c>
      <c r="I547" s="163" t="s">
        <v>121</v>
      </c>
      <c r="J547" s="163" t="s">
        <v>147</v>
      </c>
      <c r="K547" s="163" t="s">
        <v>974</v>
      </c>
      <c r="L547" s="163"/>
      <c r="M547" s="163" t="s">
        <v>975</v>
      </c>
      <c r="N547" s="163" t="s">
        <v>181</v>
      </c>
      <c r="O547" s="162">
        <v>46255</v>
      </c>
      <c r="P547" s="163" t="s">
        <v>95</v>
      </c>
      <c r="Q547" s="163">
        <f t="shared" ca="1" si="76"/>
        <v>123</v>
      </c>
      <c r="R547" s="163" t="str">
        <f t="shared" ca="1" si="77"/>
        <v/>
      </c>
      <c r="S547" s="163" t="s">
        <v>133</v>
      </c>
      <c r="T547" s="164">
        <v>30000</v>
      </c>
      <c r="U547" s="164"/>
      <c r="V547" s="163"/>
      <c r="W547" s="163"/>
      <c r="X547" s="163"/>
      <c r="Y547" s="163"/>
      <c r="Z547" s="163"/>
      <c r="AA547" s="163"/>
      <c r="AB547" s="195" t="str">
        <f t="shared" si="75"/>
        <v>Jun-26</v>
      </c>
      <c r="AC547" s="163"/>
      <c r="AD547" s="163" t="str">
        <f t="shared" si="78"/>
        <v/>
      </c>
      <c r="AE547" s="163"/>
    </row>
    <row r="548" spans="1:31" x14ac:dyDescent="0.35">
      <c r="A548" s="162">
        <v>46202</v>
      </c>
      <c r="B548" s="163" t="s">
        <v>370</v>
      </c>
      <c r="C548" s="163" t="s">
        <v>93</v>
      </c>
      <c r="D548" s="163" t="s">
        <v>976</v>
      </c>
      <c r="E548" s="163" t="s">
        <v>106</v>
      </c>
      <c r="F548" s="163" t="s">
        <v>135</v>
      </c>
      <c r="G548" s="163"/>
      <c r="H548" s="163" t="s">
        <v>115</v>
      </c>
      <c r="I548" s="163" t="s">
        <v>121</v>
      </c>
      <c r="J548" s="163" t="s">
        <v>147</v>
      </c>
      <c r="K548" s="163" t="s">
        <v>977</v>
      </c>
      <c r="L548" s="163"/>
      <c r="M548" s="163" t="s">
        <v>914</v>
      </c>
      <c r="N548" s="163" t="s">
        <v>181</v>
      </c>
      <c r="O548" s="162"/>
      <c r="P548" s="163" t="s">
        <v>95</v>
      </c>
      <c r="Q548" s="163">
        <f t="shared" ca="1" si="76"/>
        <v>123</v>
      </c>
      <c r="R548" s="163" t="str">
        <f t="shared" ca="1" si="77"/>
        <v/>
      </c>
      <c r="S548" s="163" t="s">
        <v>129</v>
      </c>
      <c r="T548" s="164">
        <v>60000</v>
      </c>
      <c r="U548" s="164"/>
      <c r="V548" s="163"/>
      <c r="W548" s="163"/>
      <c r="X548" s="163"/>
      <c r="Y548" s="163"/>
      <c r="Z548" s="163"/>
      <c r="AA548" s="163"/>
      <c r="AB548" s="195" t="str">
        <f t="shared" si="75"/>
        <v>Jun-26</v>
      </c>
      <c r="AC548" s="163"/>
      <c r="AD548" s="163" t="str">
        <f t="shared" si="78"/>
        <v/>
      </c>
      <c r="AE548" s="163"/>
    </row>
    <row r="549" spans="1:31" x14ac:dyDescent="0.35">
      <c r="A549" s="162">
        <v>46202</v>
      </c>
      <c r="B549" s="163" t="s">
        <v>370</v>
      </c>
      <c r="C549" s="163" t="s">
        <v>93</v>
      </c>
      <c r="D549" s="163" t="s">
        <v>978</v>
      </c>
      <c r="E549" s="163" t="s">
        <v>106</v>
      </c>
      <c r="F549" s="163" t="s">
        <v>135</v>
      </c>
      <c r="G549" s="163"/>
      <c r="H549" s="163" t="s">
        <v>115</v>
      </c>
      <c r="I549" s="163" t="s">
        <v>121</v>
      </c>
      <c r="J549" s="163" t="s">
        <v>147</v>
      </c>
      <c r="K549" s="163" t="s">
        <v>979</v>
      </c>
      <c r="L549" s="163"/>
      <c r="M549" s="163" t="s">
        <v>914</v>
      </c>
      <c r="N549" s="163" t="s">
        <v>181</v>
      </c>
      <c r="O549" s="162"/>
      <c r="P549" s="163"/>
      <c r="Q549" s="163">
        <f t="shared" ca="1" si="76"/>
        <v>123</v>
      </c>
      <c r="R549" s="163" t="str">
        <f t="shared" ca="1" si="77"/>
        <v/>
      </c>
      <c r="S549" s="163" t="s">
        <v>133</v>
      </c>
      <c r="T549" s="164">
        <v>50000</v>
      </c>
      <c r="U549" s="164"/>
      <c r="V549" s="163"/>
      <c r="W549" s="163"/>
      <c r="X549" s="163"/>
      <c r="Y549" s="163"/>
      <c r="Z549" s="163"/>
      <c r="AA549" s="163"/>
      <c r="AB549" s="195" t="str">
        <f t="shared" si="75"/>
        <v>Jun-26</v>
      </c>
      <c r="AC549" s="163"/>
      <c r="AD549" s="163" t="str">
        <f t="shared" si="78"/>
        <v/>
      </c>
      <c r="AE549" s="163"/>
    </row>
    <row r="550" spans="1:31" x14ac:dyDescent="0.35">
      <c r="A550" s="162">
        <v>46202</v>
      </c>
      <c r="B550" s="163" t="s">
        <v>370</v>
      </c>
      <c r="C550" s="163" t="s">
        <v>93</v>
      </c>
      <c r="D550" s="163" t="s">
        <v>980</v>
      </c>
      <c r="E550" s="163" t="s">
        <v>106</v>
      </c>
      <c r="F550" s="163" t="s">
        <v>96</v>
      </c>
      <c r="G550" s="163" t="s">
        <v>14</v>
      </c>
      <c r="H550" s="163" t="s">
        <v>115</v>
      </c>
      <c r="I550" s="163" t="s">
        <v>121</v>
      </c>
      <c r="J550" s="163" t="s">
        <v>153</v>
      </c>
      <c r="K550" s="163" t="s">
        <v>981</v>
      </c>
      <c r="L550" s="163"/>
      <c r="M550" s="163" t="s">
        <v>982</v>
      </c>
      <c r="N550" s="163" t="s">
        <v>102</v>
      </c>
      <c r="O550" s="162"/>
      <c r="P550" s="163"/>
      <c r="Q550" s="163" t="str">
        <f t="shared" ca="1" si="76"/>
        <v/>
      </c>
      <c r="R550" s="163" t="str">
        <f t="shared" ca="1" si="77"/>
        <v/>
      </c>
      <c r="S550" s="163" t="s">
        <v>103</v>
      </c>
      <c r="T550" s="164">
        <v>40000</v>
      </c>
      <c r="U550" s="164"/>
      <c r="V550" s="163"/>
      <c r="W550" s="163"/>
      <c r="X550" s="163"/>
      <c r="Y550" s="163"/>
      <c r="Z550" s="163"/>
      <c r="AA550" s="162"/>
      <c r="AB550" s="195" t="str">
        <f t="shared" si="75"/>
        <v>Jun-26</v>
      </c>
      <c r="AC550" s="163"/>
      <c r="AD550" s="163" t="str">
        <f t="shared" si="78"/>
        <v/>
      </c>
      <c r="AE550" s="163"/>
    </row>
    <row r="551" spans="1:31" x14ac:dyDescent="0.35">
      <c r="A551" s="162">
        <v>46202</v>
      </c>
      <c r="B551" s="163" t="s">
        <v>370</v>
      </c>
      <c r="C551" s="163" t="s">
        <v>93</v>
      </c>
      <c r="D551" s="189" t="s">
        <v>983</v>
      </c>
      <c r="E551" s="163" t="s">
        <v>106</v>
      </c>
      <c r="F551" s="163" t="s">
        <v>135</v>
      </c>
      <c r="G551" s="163"/>
      <c r="H551" s="163" t="s">
        <v>115</v>
      </c>
      <c r="I551" s="163" t="s">
        <v>121</v>
      </c>
      <c r="J551" s="163" t="s">
        <v>147</v>
      </c>
      <c r="K551" s="163" t="s">
        <v>984</v>
      </c>
      <c r="L551" s="163"/>
      <c r="M551" s="163" t="s">
        <v>914</v>
      </c>
      <c r="N551" s="163" t="s">
        <v>181</v>
      </c>
      <c r="O551" s="162"/>
      <c r="P551" s="163"/>
      <c r="Q551" s="163">
        <f t="shared" ca="1" si="76"/>
        <v>123</v>
      </c>
      <c r="R551" s="163" t="str">
        <f t="shared" ca="1" si="77"/>
        <v/>
      </c>
      <c r="S551" s="163" t="s">
        <v>129</v>
      </c>
      <c r="T551" s="164">
        <v>40000</v>
      </c>
      <c r="U551" s="164"/>
      <c r="V551" s="163"/>
      <c r="W551" s="163"/>
      <c r="X551" s="163"/>
      <c r="Y551" s="163"/>
      <c r="Z551" s="163"/>
      <c r="AA551" s="163"/>
      <c r="AB551" s="195" t="str">
        <f t="shared" si="75"/>
        <v>Jun-26</v>
      </c>
      <c r="AC551" s="163"/>
      <c r="AD551" s="163" t="str">
        <f t="shared" si="78"/>
        <v/>
      </c>
      <c r="AE551" s="163"/>
    </row>
    <row r="552" spans="1:31" x14ac:dyDescent="0.35">
      <c r="A552" s="162">
        <v>46203</v>
      </c>
      <c r="B552" s="163" t="s">
        <v>92</v>
      </c>
      <c r="C552" s="163" t="s">
        <v>93</v>
      </c>
      <c r="D552" s="163" t="s">
        <v>985</v>
      </c>
      <c r="E552" s="163" t="s">
        <v>106</v>
      </c>
      <c r="F552" s="163" t="s">
        <v>96</v>
      </c>
      <c r="G552" s="163" t="s">
        <v>11</v>
      </c>
      <c r="H552" s="163" t="s">
        <v>163</v>
      </c>
      <c r="I552" s="163" t="s">
        <v>121</v>
      </c>
      <c r="J552" s="163" t="s">
        <v>147</v>
      </c>
      <c r="K552" s="163" t="s">
        <v>986</v>
      </c>
      <c r="L552" s="163"/>
      <c r="M552" s="163" t="s">
        <v>97</v>
      </c>
      <c r="N552" s="163" t="s">
        <v>102</v>
      </c>
      <c r="O552" s="162"/>
      <c r="P552" s="163"/>
      <c r="Q552" s="163" t="str">
        <f t="shared" ca="1" si="76"/>
        <v/>
      </c>
      <c r="R552" s="163" t="str">
        <f t="shared" ca="1" si="77"/>
        <v/>
      </c>
      <c r="S552" s="163" t="s">
        <v>103</v>
      </c>
      <c r="T552" s="164">
        <v>10000</v>
      </c>
      <c r="U552" s="164">
        <v>13003</v>
      </c>
      <c r="V552" s="162">
        <v>46203</v>
      </c>
      <c r="W552" s="163" t="s">
        <v>987</v>
      </c>
      <c r="X552" s="163" t="s">
        <v>30</v>
      </c>
      <c r="Y552" s="163" t="s">
        <v>85</v>
      </c>
      <c r="Z552" s="163"/>
      <c r="AA552" s="163"/>
      <c r="AB552" s="195" t="str">
        <f t="shared" si="75"/>
        <v>Jun-26</v>
      </c>
      <c r="AC552" s="163"/>
      <c r="AD552" s="163" t="str">
        <f t="shared" si="78"/>
        <v/>
      </c>
      <c r="AE552" s="163"/>
    </row>
    <row r="553" spans="1:31" x14ac:dyDescent="0.35">
      <c r="A553" s="162">
        <v>46203</v>
      </c>
      <c r="B553" s="163" t="s">
        <v>92</v>
      </c>
      <c r="C553" s="163" t="s">
        <v>93</v>
      </c>
      <c r="D553" s="163" t="s">
        <v>988</v>
      </c>
      <c r="E553" s="163" t="s">
        <v>106</v>
      </c>
      <c r="F553" s="163" t="s">
        <v>96</v>
      </c>
      <c r="G553" s="163" t="s">
        <v>11</v>
      </c>
      <c r="H553" s="163" t="s">
        <v>163</v>
      </c>
      <c r="I553" s="163" t="s">
        <v>121</v>
      </c>
      <c r="J553" s="163" t="s">
        <v>147</v>
      </c>
      <c r="K553" s="163" t="s">
        <v>989</v>
      </c>
      <c r="L553" s="163"/>
      <c r="M553" s="163" t="s">
        <v>97</v>
      </c>
      <c r="N553" s="163" t="s">
        <v>102</v>
      </c>
      <c r="O553" s="162"/>
      <c r="P553" s="163"/>
      <c r="Q553" s="163" t="str">
        <f t="shared" ca="1" si="76"/>
        <v/>
      </c>
      <c r="R553" s="163" t="str">
        <f t="shared" ca="1" si="77"/>
        <v/>
      </c>
      <c r="S553" s="163" t="s">
        <v>103</v>
      </c>
      <c r="T553" s="164">
        <v>12000</v>
      </c>
      <c r="U553" s="164">
        <v>13441</v>
      </c>
      <c r="V553" s="162">
        <v>46203</v>
      </c>
      <c r="W553" s="163" t="s">
        <v>990</v>
      </c>
      <c r="X553" s="163" t="s">
        <v>30</v>
      </c>
      <c r="Y553" s="163" t="s">
        <v>85</v>
      </c>
      <c r="Z553" s="163"/>
      <c r="AA553" s="163"/>
      <c r="AB553" s="195" t="str">
        <f t="shared" si="75"/>
        <v>Jun-26</v>
      </c>
      <c r="AC553" s="163"/>
      <c r="AD553" s="163" t="str">
        <f t="shared" si="78"/>
        <v/>
      </c>
      <c r="AE553" s="163"/>
    </row>
    <row r="554" spans="1:31" x14ac:dyDescent="0.35">
      <c r="A554" s="162">
        <v>46203</v>
      </c>
      <c r="B554" s="163" t="s">
        <v>125</v>
      </c>
      <c r="C554" s="163" t="s">
        <v>113</v>
      </c>
      <c r="D554" s="163" t="s">
        <v>223</v>
      </c>
      <c r="E554" s="163" t="s">
        <v>106</v>
      </c>
      <c r="F554" s="163" t="s">
        <v>135</v>
      </c>
      <c r="G554" s="163"/>
      <c r="H554" s="163" t="s">
        <v>97</v>
      </c>
      <c r="I554" s="163" t="s">
        <v>98</v>
      </c>
      <c r="J554" s="163" t="s">
        <v>166</v>
      </c>
      <c r="K554" s="163" t="s">
        <v>224</v>
      </c>
      <c r="L554" s="163"/>
      <c r="M554" s="163" t="s">
        <v>390</v>
      </c>
      <c r="N554" s="163" t="s">
        <v>102</v>
      </c>
      <c r="O554" s="162"/>
      <c r="P554" s="163"/>
      <c r="Q554" s="163"/>
      <c r="R554" s="163" t="str">
        <f t="shared" ca="1" si="77"/>
        <v/>
      </c>
      <c r="S554" s="163" t="s">
        <v>103</v>
      </c>
      <c r="T554" s="164">
        <v>15000</v>
      </c>
      <c r="U554" s="164">
        <v>8440</v>
      </c>
      <c r="V554" s="162">
        <v>46203</v>
      </c>
      <c r="W554" s="163" t="s">
        <v>991</v>
      </c>
      <c r="X554" s="163" t="s">
        <v>62</v>
      </c>
      <c r="Y554" s="163" t="s">
        <v>161</v>
      </c>
      <c r="Z554" s="163"/>
      <c r="AA554" s="162">
        <v>46203</v>
      </c>
      <c r="AB554" s="195" t="str">
        <f t="shared" si="75"/>
        <v>Jun-26</v>
      </c>
      <c r="AC554" s="163"/>
      <c r="AD554" s="163" t="str">
        <f t="shared" si="78"/>
        <v/>
      </c>
      <c r="AE554" s="163"/>
    </row>
    <row r="555" spans="1:31" x14ac:dyDescent="0.35">
      <c r="A555" s="162">
        <v>46203</v>
      </c>
      <c r="B555" s="163" t="s">
        <v>370</v>
      </c>
      <c r="C555" s="163" t="s">
        <v>93</v>
      </c>
      <c r="D555" s="163" t="s">
        <v>992</v>
      </c>
      <c r="E555" s="163" t="s">
        <v>106</v>
      </c>
      <c r="F555" s="163" t="s">
        <v>135</v>
      </c>
      <c r="G555" s="163"/>
      <c r="H555" s="163" t="s">
        <v>115</v>
      </c>
      <c r="I555" s="163" t="s">
        <v>121</v>
      </c>
      <c r="J555" s="163" t="s">
        <v>147</v>
      </c>
      <c r="K555" s="163" t="s">
        <v>993</v>
      </c>
      <c r="L555" s="163"/>
      <c r="M555" s="163" t="s">
        <v>994</v>
      </c>
      <c r="N555" s="163" t="s">
        <v>181</v>
      </c>
      <c r="O555" s="162"/>
      <c r="P555" s="163"/>
      <c r="Q555" s="163"/>
      <c r="R555" s="163"/>
      <c r="S555" s="163" t="s">
        <v>103</v>
      </c>
      <c r="T555" s="164">
        <v>200000</v>
      </c>
      <c r="U555" s="164"/>
      <c r="V555" s="162"/>
      <c r="W555" s="163"/>
      <c r="X555" s="163"/>
      <c r="Y555" s="163"/>
      <c r="Z555" s="163"/>
      <c r="AA555" s="162"/>
      <c r="AB555" s="195" t="str">
        <f t="shared" si="75"/>
        <v>Jun-26</v>
      </c>
      <c r="AC555" s="163"/>
      <c r="AD555" s="163"/>
      <c r="AE555" s="163"/>
    </row>
    <row r="556" spans="1:31" x14ac:dyDescent="0.35">
      <c r="A556" s="162">
        <v>46203</v>
      </c>
      <c r="B556" s="163" t="s">
        <v>370</v>
      </c>
      <c r="C556" s="163" t="s">
        <v>93</v>
      </c>
      <c r="D556" s="163" t="s">
        <v>995</v>
      </c>
      <c r="E556" s="163" t="s">
        <v>106</v>
      </c>
      <c r="F556" s="163" t="s">
        <v>135</v>
      </c>
      <c r="G556" s="163"/>
      <c r="H556" s="163" t="s">
        <v>115</v>
      </c>
      <c r="I556" s="163" t="s">
        <v>121</v>
      </c>
      <c r="J556" s="163" t="s">
        <v>153</v>
      </c>
      <c r="K556" s="163" t="s">
        <v>198</v>
      </c>
      <c r="L556" s="163"/>
      <c r="M556" s="163" t="s">
        <v>996</v>
      </c>
      <c r="N556" s="163" t="s">
        <v>102</v>
      </c>
      <c r="O556" s="162"/>
      <c r="P556" s="163"/>
      <c r="Q556" s="163"/>
      <c r="R556" s="163"/>
      <c r="S556" s="163" t="s">
        <v>103</v>
      </c>
      <c r="T556" s="164">
        <v>450000</v>
      </c>
      <c r="U556" s="164"/>
      <c r="V556" s="162"/>
      <c r="W556" s="163"/>
      <c r="X556" s="163"/>
      <c r="Y556" s="163"/>
      <c r="Z556" s="163"/>
      <c r="AA556" s="162"/>
      <c r="AB556" s="195" t="str">
        <f t="shared" si="75"/>
        <v>Jun-26</v>
      </c>
      <c r="AC556" s="163"/>
      <c r="AD556" s="163"/>
      <c r="AE556" s="163"/>
    </row>
    <row r="557" spans="1:31" x14ac:dyDescent="0.35">
      <c r="A557" s="162">
        <v>46203</v>
      </c>
      <c r="B557" s="163" t="s">
        <v>370</v>
      </c>
      <c r="C557" s="163" t="s">
        <v>93</v>
      </c>
      <c r="D557" s="163" t="s">
        <v>997</v>
      </c>
      <c r="E557" s="163" t="s">
        <v>106</v>
      </c>
      <c r="F557" s="163" t="s">
        <v>135</v>
      </c>
      <c r="G557" s="163"/>
      <c r="H557" s="163" t="s">
        <v>115</v>
      </c>
      <c r="I557" s="163" t="s">
        <v>121</v>
      </c>
      <c r="J557" s="163" t="s">
        <v>147</v>
      </c>
      <c r="K557" s="163" t="s">
        <v>998</v>
      </c>
      <c r="L557" s="163"/>
      <c r="M557" s="163" t="s">
        <v>914</v>
      </c>
      <c r="N557" s="163" t="s">
        <v>181</v>
      </c>
      <c r="O557" s="162">
        <v>46258</v>
      </c>
      <c r="P557" s="163" t="s">
        <v>95</v>
      </c>
      <c r="Q557" s="163"/>
      <c r="R557" s="163"/>
      <c r="S557" s="163" t="s">
        <v>129</v>
      </c>
      <c r="T557" s="164">
        <v>50000</v>
      </c>
      <c r="U557" s="164"/>
      <c r="V557" s="162"/>
      <c r="W557" s="163"/>
      <c r="X557" s="163"/>
      <c r="Y557" s="163"/>
      <c r="Z557" s="163"/>
      <c r="AA557" s="162"/>
      <c r="AB557" s="195" t="str">
        <f t="shared" si="75"/>
        <v>Jun-26</v>
      </c>
      <c r="AC557" s="163"/>
      <c r="AD557" s="163"/>
      <c r="AE557" s="163"/>
    </row>
    <row r="558" spans="1:31" x14ac:dyDescent="0.35">
      <c r="A558" s="162">
        <v>46203</v>
      </c>
      <c r="B558" s="163" t="s">
        <v>370</v>
      </c>
      <c r="C558" s="163" t="s">
        <v>93</v>
      </c>
      <c r="D558" s="163" t="s">
        <v>999</v>
      </c>
      <c r="E558" s="163" t="s">
        <v>106</v>
      </c>
      <c r="F558" s="163" t="s">
        <v>135</v>
      </c>
      <c r="G558" s="163"/>
      <c r="H558" s="163" t="s">
        <v>115</v>
      </c>
      <c r="I558" s="163" t="s">
        <v>121</v>
      </c>
      <c r="J558" s="163" t="s">
        <v>147</v>
      </c>
      <c r="K558" s="163" t="s">
        <v>657</v>
      </c>
      <c r="L558" s="163"/>
      <c r="M558" s="163" t="s">
        <v>914</v>
      </c>
      <c r="N558" s="163" t="s">
        <v>181</v>
      </c>
      <c r="O558" s="162"/>
      <c r="P558" s="163"/>
      <c r="Q558" s="163"/>
      <c r="R558" s="163"/>
      <c r="S558" s="163" t="s">
        <v>129</v>
      </c>
      <c r="T558" s="164">
        <v>30000</v>
      </c>
      <c r="U558" s="164"/>
      <c r="V558" s="162"/>
      <c r="W558" s="163"/>
      <c r="X558" s="163"/>
      <c r="Y558" s="163"/>
      <c r="Z558" s="163"/>
      <c r="AA558" s="162"/>
      <c r="AB558" s="195" t="str">
        <f t="shared" si="75"/>
        <v>Jun-26</v>
      </c>
      <c r="AC558" s="163"/>
      <c r="AD558" s="163"/>
      <c r="AE558" s="163"/>
    </row>
    <row r="559" spans="1:31" x14ac:dyDescent="0.35">
      <c r="A559" s="162">
        <v>46204</v>
      </c>
      <c r="B559" s="163" t="s">
        <v>125</v>
      </c>
      <c r="C559" s="163" t="s">
        <v>113</v>
      </c>
      <c r="D559" s="163" t="s">
        <v>162</v>
      </c>
      <c r="E559" s="163" t="s">
        <v>106</v>
      </c>
      <c r="F559" s="163" t="s">
        <v>135</v>
      </c>
      <c r="G559" s="163"/>
      <c r="H559" s="163" t="s">
        <v>97</v>
      </c>
      <c r="I559" s="163" t="s">
        <v>98</v>
      </c>
      <c r="J559" s="163" t="s">
        <v>166</v>
      </c>
      <c r="K559" s="163" t="s">
        <v>164</v>
      </c>
      <c r="L559" s="163"/>
      <c r="M559" s="163" t="s">
        <v>390</v>
      </c>
      <c r="N559" s="163" t="s">
        <v>102</v>
      </c>
      <c r="O559" s="162"/>
      <c r="P559" s="163"/>
      <c r="Q559" s="163"/>
      <c r="R559" s="163" t="str">
        <f t="shared" ref="R559:R589" ca="1" si="79">IF(OR(N559="Closed( C4 )",N559="Cancelled"),"",IF(AND(O559&lt;&gt;"",O559&lt;TODAY()),"Yes",""))</f>
        <v/>
      </c>
      <c r="S559" s="163" t="s">
        <v>103</v>
      </c>
      <c r="T559" s="164">
        <v>10000</v>
      </c>
      <c r="U559" s="164">
        <v>12122</v>
      </c>
      <c r="V559" s="162">
        <v>46204</v>
      </c>
      <c r="W559" s="163" t="s">
        <v>1000</v>
      </c>
      <c r="X559" s="163" t="s">
        <v>62</v>
      </c>
      <c r="Y559" s="163" t="s">
        <v>161</v>
      </c>
      <c r="Z559" s="163"/>
      <c r="AA559" s="162">
        <v>46204</v>
      </c>
      <c r="AB559" s="195" t="str">
        <f t="shared" si="75"/>
        <v>Jul-26</v>
      </c>
      <c r="AC559" s="163"/>
      <c r="AD559" s="163" t="str">
        <f t="shared" ref="AD559:AD566" si="80">IF(AC559="Yes",U559*2%,"")</f>
        <v/>
      </c>
      <c r="AE559" s="163"/>
    </row>
    <row r="560" spans="1:31" x14ac:dyDescent="0.35">
      <c r="A560" s="162">
        <v>46204</v>
      </c>
      <c r="B560" s="163" t="s">
        <v>125</v>
      </c>
      <c r="C560" s="163" t="s">
        <v>143</v>
      </c>
      <c r="D560" s="163" t="s">
        <v>859</v>
      </c>
      <c r="E560" s="163" t="s">
        <v>95</v>
      </c>
      <c r="F560" s="163" t="s">
        <v>96</v>
      </c>
      <c r="G560" s="163" t="s">
        <v>12</v>
      </c>
      <c r="H560" s="163" t="s">
        <v>97</v>
      </c>
      <c r="I560" s="163" t="s">
        <v>121</v>
      </c>
      <c r="J560" s="163" t="s">
        <v>147</v>
      </c>
      <c r="K560" s="163" t="s">
        <v>785</v>
      </c>
      <c r="L560" s="163"/>
      <c r="M560" s="163" t="s">
        <v>159</v>
      </c>
      <c r="N560" s="163" t="s">
        <v>102</v>
      </c>
      <c r="O560" s="162"/>
      <c r="P560" s="163"/>
      <c r="Q560" s="163" t="str">
        <f ca="1">IF(N560="Closed(C4)","",IF(N560="","",TODAY()-A560))</f>
        <v/>
      </c>
      <c r="R560" s="163" t="str">
        <f t="shared" ca="1" si="79"/>
        <v/>
      </c>
      <c r="S560" s="163" t="s">
        <v>103</v>
      </c>
      <c r="T560" s="164">
        <v>20000</v>
      </c>
      <c r="U560" s="164">
        <v>23025</v>
      </c>
      <c r="V560" s="162">
        <v>46204</v>
      </c>
      <c r="W560" s="214" t="s">
        <v>1001</v>
      </c>
      <c r="X560" s="163" t="s">
        <v>40</v>
      </c>
      <c r="Y560" s="163" t="s">
        <v>85</v>
      </c>
      <c r="Z560" s="163"/>
      <c r="AA560" s="162"/>
      <c r="AB560" s="195" t="str">
        <f t="shared" si="75"/>
        <v>Jul-26</v>
      </c>
      <c r="AC560" s="163"/>
      <c r="AD560" s="163" t="str">
        <f t="shared" si="80"/>
        <v/>
      </c>
      <c r="AE560" s="163"/>
    </row>
    <row r="561" spans="1:31" x14ac:dyDescent="0.35">
      <c r="A561" s="162">
        <v>46204</v>
      </c>
      <c r="B561" s="163" t="s">
        <v>125</v>
      </c>
      <c r="C561" s="163" t="s">
        <v>143</v>
      </c>
      <c r="D561" s="163" t="s">
        <v>1002</v>
      </c>
      <c r="E561" s="163" t="s">
        <v>95</v>
      </c>
      <c r="F561" s="163" t="s">
        <v>96</v>
      </c>
      <c r="G561" s="163" t="s">
        <v>15</v>
      </c>
      <c r="H561" s="163" t="s">
        <v>97</v>
      </c>
      <c r="I561" s="163" t="s">
        <v>121</v>
      </c>
      <c r="J561" s="163" t="s">
        <v>147</v>
      </c>
      <c r="K561" s="163" t="s">
        <v>1003</v>
      </c>
      <c r="L561" s="163"/>
      <c r="M561" s="163" t="s">
        <v>159</v>
      </c>
      <c r="N561" s="163" t="s">
        <v>102</v>
      </c>
      <c r="O561" s="162"/>
      <c r="P561" s="163"/>
      <c r="Q561" s="163" t="str">
        <f ca="1">IF(N561="Closed(C4)","",IF(N561="","",TODAY()-A561))</f>
        <v/>
      </c>
      <c r="R561" s="163" t="str">
        <f t="shared" ca="1" si="79"/>
        <v/>
      </c>
      <c r="S561" s="163" t="s">
        <v>103</v>
      </c>
      <c r="T561" s="164">
        <v>20000</v>
      </c>
      <c r="U561" s="164">
        <v>34901</v>
      </c>
      <c r="V561" s="162">
        <v>46204</v>
      </c>
      <c r="W561" s="214" t="s">
        <v>1004</v>
      </c>
      <c r="X561" s="163" t="s">
        <v>59</v>
      </c>
      <c r="Y561" s="163" t="s">
        <v>85</v>
      </c>
      <c r="Z561" s="163"/>
      <c r="AA561" s="162"/>
      <c r="AB561" s="195" t="str">
        <f t="shared" si="75"/>
        <v>Jul-26</v>
      </c>
      <c r="AC561" s="163"/>
      <c r="AD561" s="163" t="str">
        <f t="shared" si="80"/>
        <v/>
      </c>
      <c r="AE561" s="163"/>
    </row>
    <row r="562" spans="1:31" x14ac:dyDescent="0.35">
      <c r="A562" s="162">
        <v>46204</v>
      </c>
      <c r="B562" s="163" t="s">
        <v>125</v>
      </c>
      <c r="C562" s="163" t="s">
        <v>113</v>
      </c>
      <c r="D562" s="163" t="s">
        <v>246</v>
      </c>
      <c r="E562" s="163" t="s">
        <v>95</v>
      </c>
      <c r="F562" s="163" t="s">
        <v>96</v>
      </c>
      <c r="G562" s="163" t="s">
        <v>15</v>
      </c>
      <c r="H562" s="163" t="s">
        <v>163</v>
      </c>
      <c r="I562" s="163" t="s">
        <v>98</v>
      </c>
      <c r="J562" s="163" t="s">
        <v>147</v>
      </c>
      <c r="K562" s="163" t="s">
        <v>231</v>
      </c>
      <c r="L562" s="163"/>
      <c r="M562" s="163" t="s">
        <v>526</v>
      </c>
      <c r="N562" s="163" t="s">
        <v>102</v>
      </c>
      <c r="O562" s="162"/>
      <c r="P562" s="163"/>
      <c r="Q562" s="163"/>
      <c r="R562" s="163" t="str">
        <f t="shared" ca="1" si="79"/>
        <v/>
      </c>
      <c r="S562" s="163" t="s">
        <v>103</v>
      </c>
      <c r="T562" s="164">
        <v>15000</v>
      </c>
      <c r="U562" s="164">
        <v>13000</v>
      </c>
      <c r="V562" s="162">
        <v>46204</v>
      </c>
      <c r="W562" s="214" t="s">
        <v>1005</v>
      </c>
      <c r="X562" s="163" t="s">
        <v>39</v>
      </c>
      <c r="Y562" s="163" t="s">
        <v>85</v>
      </c>
      <c r="Z562" s="163"/>
      <c r="AA562" s="162"/>
      <c r="AB562" s="195" t="str">
        <f t="shared" si="75"/>
        <v>Jul-26</v>
      </c>
      <c r="AC562" s="163"/>
      <c r="AD562" s="163" t="str">
        <f t="shared" si="80"/>
        <v/>
      </c>
      <c r="AE562" s="163"/>
    </row>
    <row r="563" spans="1:31" x14ac:dyDescent="0.35">
      <c r="A563" s="162">
        <v>46204</v>
      </c>
      <c r="B563" s="163" t="s">
        <v>125</v>
      </c>
      <c r="C563" s="163" t="s">
        <v>113</v>
      </c>
      <c r="D563" s="163" t="s">
        <v>260</v>
      </c>
      <c r="E563" s="163" t="s">
        <v>95</v>
      </c>
      <c r="F563" s="163" t="s">
        <v>96</v>
      </c>
      <c r="G563" s="163" t="s">
        <v>15</v>
      </c>
      <c r="H563" s="163" t="s">
        <v>163</v>
      </c>
      <c r="I563" s="163" t="s">
        <v>98</v>
      </c>
      <c r="J563" s="163" t="s">
        <v>147</v>
      </c>
      <c r="K563" s="163" t="s">
        <v>231</v>
      </c>
      <c r="L563" s="163"/>
      <c r="M563" s="163" t="s">
        <v>526</v>
      </c>
      <c r="N563" s="163" t="s">
        <v>102</v>
      </c>
      <c r="O563" s="162"/>
      <c r="P563" s="163"/>
      <c r="Q563" s="163"/>
      <c r="R563" s="163" t="str">
        <f t="shared" ca="1" si="79"/>
        <v/>
      </c>
      <c r="S563" s="163" t="s">
        <v>103</v>
      </c>
      <c r="T563" s="164">
        <v>15000</v>
      </c>
      <c r="U563" s="164">
        <v>13782</v>
      </c>
      <c r="V563" s="162">
        <v>46204</v>
      </c>
      <c r="W563" s="214" t="s">
        <v>1005</v>
      </c>
      <c r="X563" s="163" t="s">
        <v>39</v>
      </c>
      <c r="Y563" s="163" t="s">
        <v>85</v>
      </c>
      <c r="Z563" s="163"/>
      <c r="AA563" s="162"/>
      <c r="AB563" s="195" t="str">
        <f t="shared" si="75"/>
        <v>Jul-26</v>
      </c>
      <c r="AC563" s="163"/>
      <c r="AD563" s="163" t="str">
        <f t="shared" si="80"/>
        <v/>
      </c>
      <c r="AE563" s="163"/>
    </row>
    <row r="564" spans="1:31" x14ac:dyDescent="0.35">
      <c r="A564" s="162">
        <v>46204</v>
      </c>
      <c r="B564" s="163" t="s">
        <v>148</v>
      </c>
      <c r="C564" s="163" t="s">
        <v>113</v>
      </c>
      <c r="D564" s="163" t="s">
        <v>1006</v>
      </c>
      <c r="E564" s="163" t="s">
        <v>95</v>
      </c>
      <c r="F564" s="163" t="s">
        <v>96</v>
      </c>
      <c r="G564" s="163" t="s">
        <v>15</v>
      </c>
      <c r="H564" s="163" t="s">
        <v>163</v>
      </c>
      <c r="I564" s="163" t="s">
        <v>121</v>
      </c>
      <c r="J564" s="163" t="s">
        <v>147</v>
      </c>
      <c r="K564" s="163" t="s">
        <v>525</v>
      </c>
      <c r="L564" s="163"/>
      <c r="M564" s="163" t="s">
        <v>526</v>
      </c>
      <c r="N564" s="163" t="s">
        <v>102</v>
      </c>
      <c r="O564" s="162"/>
      <c r="P564" s="163"/>
      <c r="Q564" s="163" t="str">
        <f ca="1">IF(N564="Closed(C4)","",IF(N564="","",TODAY()-A564))</f>
        <v/>
      </c>
      <c r="R564" s="163" t="str">
        <f t="shared" ca="1" si="79"/>
        <v/>
      </c>
      <c r="S564" s="163" t="s">
        <v>103</v>
      </c>
      <c r="T564" s="164">
        <v>15000</v>
      </c>
      <c r="U564" s="164">
        <v>25835</v>
      </c>
      <c r="V564" s="162">
        <v>46204</v>
      </c>
      <c r="W564" s="214" t="s">
        <v>1007</v>
      </c>
      <c r="X564" s="163" t="s">
        <v>37</v>
      </c>
      <c r="Y564" s="163" t="s">
        <v>85</v>
      </c>
      <c r="Z564" s="163"/>
      <c r="AA564" s="162"/>
      <c r="AB564" s="195" t="str">
        <f t="shared" si="75"/>
        <v>Jul-26</v>
      </c>
      <c r="AC564" s="163"/>
      <c r="AD564" s="163" t="str">
        <f t="shared" si="80"/>
        <v/>
      </c>
      <c r="AE564" s="163"/>
    </row>
    <row r="565" spans="1:31" x14ac:dyDescent="0.35">
      <c r="A565" s="162">
        <v>46204</v>
      </c>
      <c r="B565" s="163" t="s">
        <v>125</v>
      </c>
      <c r="C565" s="163" t="s">
        <v>93</v>
      </c>
      <c r="D565" s="163" t="s">
        <v>19</v>
      </c>
      <c r="E565" s="163" t="s">
        <v>106</v>
      </c>
      <c r="F565" s="163" t="s">
        <v>96</v>
      </c>
      <c r="G565" s="163" t="s">
        <v>10</v>
      </c>
      <c r="H565" s="163" t="s">
        <v>115</v>
      </c>
      <c r="I565" s="163" t="s">
        <v>121</v>
      </c>
      <c r="J565" s="163" t="s">
        <v>99</v>
      </c>
      <c r="K565" s="163" t="s">
        <v>256</v>
      </c>
      <c r="L565" s="163"/>
      <c r="M565" s="163" t="s">
        <v>159</v>
      </c>
      <c r="N565" s="163" t="s">
        <v>102</v>
      </c>
      <c r="O565" s="162"/>
      <c r="P565" s="163"/>
      <c r="Q565" s="163"/>
      <c r="R565" s="163" t="str">
        <f t="shared" ca="1" si="79"/>
        <v/>
      </c>
      <c r="S565" s="163" t="s">
        <v>103</v>
      </c>
      <c r="T565" s="164">
        <v>600000</v>
      </c>
      <c r="U565" s="164">
        <v>604800</v>
      </c>
      <c r="V565" s="162">
        <v>46204</v>
      </c>
      <c r="W565" s="163" t="s">
        <v>1008</v>
      </c>
      <c r="X565" s="163" t="s">
        <v>42</v>
      </c>
      <c r="Y565" s="163" t="s">
        <v>85</v>
      </c>
      <c r="Z565" s="163"/>
      <c r="AA565" s="162"/>
      <c r="AB565" s="195" t="str">
        <f t="shared" si="75"/>
        <v>Jul-26</v>
      </c>
      <c r="AC565" s="163"/>
      <c r="AD565" s="163" t="str">
        <f t="shared" si="80"/>
        <v/>
      </c>
      <c r="AE565" s="163"/>
    </row>
    <row r="566" spans="1:31" x14ac:dyDescent="0.35">
      <c r="A566" s="162">
        <v>46204</v>
      </c>
      <c r="B566" s="163" t="s">
        <v>370</v>
      </c>
      <c r="C566" s="163" t="s">
        <v>93</v>
      </c>
      <c r="D566" s="163" t="s">
        <v>19</v>
      </c>
      <c r="E566" s="163" t="s">
        <v>106</v>
      </c>
      <c r="F566" s="163" t="s">
        <v>96</v>
      </c>
      <c r="G566" s="163" t="s">
        <v>10</v>
      </c>
      <c r="H566" s="163" t="s">
        <v>115</v>
      </c>
      <c r="I566" s="163" t="s">
        <v>121</v>
      </c>
      <c r="J566" s="163" t="s">
        <v>99</v>
      </c>
      <c r="K566" s="163" t="s">
        <v>256</v>
      </c>
      <c r="L566" s="163"/>
      <c r="M566" s="163" t="s">
        <v>159</v>
      </c>
      <c r="N566" s="163" t="s">
        <v>102</v>
      </c>
      <c r="O566" s="162"/>
      <c r="P566" s="163"/>
      <c r="Q566" s="163"/>
      <c r="R566" s="163" t="str">
        <f t="shared" ca="1" si="79"/>
        <v/>
      </c>
      <c r="S566" s="163" t="s">
        <v>103</v>
      </c>
      <c r="T566" s="164">
        <v>600000</v>
      </c>
      <c r="U566" s="164">
        <v>604800</v>
      </c>
      <c r="V566" s="162">
        <v>46204</v>
      </c>
      <c r="W566" s="163" t="s">
        <v>1008</v>
      </c>
      <c r="X566" s="163" t="s">
        <v>42</v>
      </c>
      <c r="Y566" s="163" t="s">
        <v>85</v>
      </c>
      <c r="Z566" s="163"/>
      <c r="AA566" s="162"/>
      <c r="AB566" s="195" t="str">
        <f t="shared" si="75"/>
        <v>Jul-26</v>
      </c>
      <c r="AC566" s="163"/>
      <c r="AD566" s="163" t="str">
        <f t="shared" si="80"/>
        <v/>
      </c>
      <c r="AE566" s="163"/>
    </row>
    <row r="567" spans="1:31" x14ac:dyDescent="0.35">
      <c r="A567" s="162">
        <v>46204</v>
      </c>
      <c r="B567" s="163" t="s">
        <v>125</v>
      </c>
      <c r="C567" s="163" t="s">
        <v>113</v>
      </c>
      <c r="D567" s="163" t="s">
        <v>165</v>
      </c>
      <c r="E567" s="163" t="s">
        <v>95</v>
      </c>
      <c r="F567" s="163" t="s">
        <v>135</v>
      </c>
      <c r="G567" s="163" t="s">
        <v>10</v>
      </c>
      <c r="H567" s="163" t="s">
        <v>115</v>
      </c>
      <c r="I567" s="163" t="s">
        <v>98</v>
      </c>
      <c r="J567" s="163" t="s">
        <v>166</v>
      </c>
      <c r="K567" s="163" t="s">
        <v>167</v>
      </c>
      <c r="L567" s="163"/>
      <c r="M567" s="163" t="s">
        <v>159</v>
      </c>
      <c r="N567" s="163" t="s">
        <v>102</v>
      </c>
      <c r="O567" s="162"/>
      <c r="P567" s="163"/>
      <c r="Q567" s="163" t="str">
        <f ca="1">IF(N567="Closed(C4)","",IF(N567="","",TODAY()-A567))</f>
        <v/>
      </c>
      <c r="R567" s="163" t="str">
        <f t="shared" ca="1" si="79"/>
        <v/>
      </c>
      <c r="S567" s="163" t="s">
        <v>103</v>
      </c>
      <c r="T567" s="164">
        <v>20000</v>
      </c>
      <c r="U567" s="164">
        <v>25208</v>
      </c>
      <c r="V567" s="162">
        <v>46204</v>
      </c>
      <c r="W567" s="163" t="s">
        <v>1009</v>
      </c>
      <c r="X567" s="163" t="s">
        <v>35</v>
      </c>
      <c r="Y567" s="163" t="s">
        <v>85</v>
      </c>
      <c r="Z567" s="163"/>
      <c r="AA567" s="162"/>
      <c r="AB567" s="195" t="str">
        <f t="shared" si="75"/>
        <v>Jul-26</v>
      </c>
      <c r="AC567" s="163"/>
      <c r="AD567" s="163"/>
      <c r="AE567" s="163"/>
    </row>
    <row r="568" spans="1:31" x14ac:dyDescent="0.35">
      <c r="A568" s="162">
        <v>46204</v>
      </c>
      <c r="B568" s="163" t="s">
        <v>92</v>
      </c>
      <c r="C568" s="163" t="s">
        <v>113</v>
      </c>
      <c r="D568" s="163" t="s">
        <v>114</v>
      </c>
      <c r="E568" s="163" t="s">
        <v>95</v>
      </c>
      <c r="F568" s="163" t="s">
        <v>96</v>
      </c>
      <c r="G568" s="163" t="s">
        <v>10</v>
      </c>
      <c r="H568" s="163" t="s">
        <v>115</v>
      </c>
      <c r="I568" s="163" t="s">
        <v>98</v>
      </c>
      <c r="J568" s="163" t="s">
        <v>116</v>
      </c>
      <c r="K568" s="163" t="s">
        <v>117</v>
      </c>
      <c r="L568" s="163"/>
      <c r="M568" s="163" t="s">
        <v>1010</v>
      </c>
      <c r="N568" s="163" t="s">
        <v>102</v>
      </c>
      <c r="O568" s="162"/>
      <c r="P568" s="163"/>
      <c r="Q568" s="163" t="str">
        <f ca="1">IF(N568="Closed(C4)","",IF(N568="","",TODAY()-A568))</f>
        <v/>
      </c>
      <c r="R568" s="163" t="str">
        <f t="shared" ca="1" si="79"/>
        <v/>
      </c>
      <c r="S568" s="163" t="s">
        <v>103</v>
      </c>
      <c r="T568" s="164">
        <v>20000</v>
      </c>
      <c r="U568" s="164">
        <v>25208</v>
      </c>
      <c r="V568" s="162">
        <v>46204</v>
      </c>
      <c r="W568" s="163" t="s">
        <v>1009</v>
      </c>
      <c r="X568" s="163" t="s">
        <v>35</v>
      </c>
      <c r="Y568" s="163" t="s">
        <v>85</v>
      </c>
      <c r="Z568" s="163"/>
      <c r="AA568" s="162"/>
      <c r="AB568" s="195" t="str">
        <f t="shared" si="75"/>
        <v>Jul-26</v>
      </c>
      <c r="AC568" s="163"/>
      <c r="AD568" s="163"/>
      <c r="AE568" s="163"/>
    </row>
    <row r="569" spans="1:31" x14ac:dyDescent="0.35">
      <c r="A569" s="162">
        <v>46204</v>
      </c>
      <c r="B569" s="163" t="s">
        <v>370</v>
      </c>
      <c r="C569" s="163" t="s">
        <v>93</v>
      </c>
      <c r="D569" s="163" t="s">
        <v>1011</v>
      </c>
      <c r="E569" s="163" t="s">
        <v>106</v>
      </c>
      <c r="F569" s="163" t="s">
        <v>135</v>
      </c>
      <c r="G569" s="163"/>
      <c r="H569" s="163" t="s">
        <v>115</v>
      </c>
      <c r="I569" s="163" t="s">
        <v>121</v>
      </c>
      <c r="J569" s="163" t="s">
        <v>147</v>
      </c>
      <c r="K569" s="163" t="s">
        <v>1012</v>
      </c>
      <c r="L569" s="163"/>
      <c r="M569" s="163" t="s">
        <v>914</v>
      </c>
      <c r="N569" s="163" t="s">
        <v>181</v>
      </c>
      <c r="O569" s="162"/>
      <c r="P569" s="163"/>
      <c r="Q569" s="163">
        <f ca="1">IF(N569="Closed(C4)","",IF(N569="","",TODAY()-A569))</f>
        <v>121</v>
      </c>
      <c r="R569" s="163" t="str">
        <f t="shared" ca="1" si="79"/>
        <v/>
      </c>
      <c r="S569" s="163" t="s">
        <v>129</v>
      </c>
      <c r="T569" s="164">
        <v>60000</v>
      </c>
      <c r="U569" s="164"/>
      <c r="V569" s="163"/>
      <c r="W569" s="163"/>
      <c r="X569" s="163"/>
      <c r="Y569" s="163"/>
      <c r="Z569" s="163"/>
      <c r="AA569" s="162"/>
      <c r="AB569" s="195" t="str">
        <f t="shared" si="75"/>
        <v>Jul-26</v>
      </c>
      <c r="AC569" s="163"/>
      <c r="AD569" s="163" t="str">
        <f t="shared" ref="AD569:AD582" si="81">IF(AC569="Yes",U569*2%,"")</f>
        <v/>
      </c>
      <c r="AE569" s="163"/>
    </row>
    <row r="570" spans="1:31" x14ac:dyDescent="0.35">
      <c r="A570" s="162">
        <v>46204</v>
      </c>
      <c r="B570" s="163" t="s">
        <v>370</v>
      </c>
      <c r="C570" s="163" t="s">
        <v>93</v>
      </c>
      <c r="D570" s="163" t="s">
        <v>1013</v>
      </c>
      <c r="E570" s="163" t="s">
        <v>106</v>
      </c>
      <c r="F570" s="163" t="s">
        <v>135</v>
      </c>
      <c r="G570" s="163"/>
      <c r="H570" s="163" t="s">
        <v>115</v>
      </c>
      <c r="I570" s="163" t="s">
        <v>121</v>
      </c>
      <c r="J570" s="163" t="s">
        <v>147</v>
      </c>
      <c r="K570" s="163" t="s">
        <v>721</v>
      </c>
      <c r="L570" s="163"/>
      <c r="M570" s="163" t="s">
        <v>914</v>
      </c>
      <c r="N570" s="163" t="s">
        <v>181</v>
      </c>
      <c r="O570" s="162"/>
      <c r="P570" s="163" t="s">
        <v>95</v>
      </c>
      <c r="Q570" s="163">
        <f ca="1">IF(N570="Closed(C4)","",IF(N570="","",TODAY()-A570))</f>
        <v>121</v>
      </c>
      <c r="R570" s="163" t="str">
        <f t="shared" ca="1" si="79"/>
        <v/>
      </c>
      <c r="S570" s="163" t="s">
        <v>129</v>
      </c>
      <c r="T570" s="164">
        <v>70000</v>
      </c>
      <c r="U570" s="164"/>
      <c r="V570" s="163"/>
      <c r="W570" s="163"/>
      <c r="X570" s="163"/>
      <c r="Y570" s="163"/>
      <c r="Z570" s="163"/>
      <c r="AA570" s="162"/>
      <c r="AB570" s="195" t="str">
        <f t="shared" si="75"/>
        <v>Jul-26</v>
      </c>
      <c r="AC570" s="163"/>
      <c r="AD570" s="163" t="str">
        <f t="shared" si="81"/>
        <v/>
      </c>
      <c r="AE570" s="163"/>
    </row>
    <row r="571" spans="1:31" x14ac:dyDescent="0.35">
      <c r="A571" s="162">
        <v>46204</v>
      </c>
      <c r="B571" s="163" t="s">
        <v>370</v>
      </c>
      <c r="C571" s="163" t="s">
        <v>93</v>
      </c>
      <c r="D571" s="163" t="s">
        <v>1014</v>
      </c>
      <c r="E571" s="163" t="s">
        <v>106</v>
      </c>
      <c r="F571" s="163" t="s">
        <v>135</v>
      </c>
      <c r="G571" s="163"/>
      <c r="H571" s="163" t="s">
        <v>115</v>
      </c>
      <c r="I571" s="163" t="s">
        <v>121</v>
      </c>
      <c r="J571" s="163" t="s">
        <v>147</v>
      </c>
      <c r="K571" s="163" t="s">
        <v>1015</v>
      </c>
      <c r="L571" s="163"/>
      <c r="M571" s="163" t="s">
        <v>914</v>
      </c>
      <c r="N571" s="163" t="s">
        <v>181</v>
      </c>
      <c r="O571" s="162"/>
      <c r="P571" s="163"/>
      <c r="Q571" s="163">
        <f ca="1">IF(N571="Closed(C4)","",IF(N571="","",TODAY()-A571))</f>
        <v>121</v>
      </c>
      <c r="R571" s="163" t="str">
        <f t="shared" ca="1" si="79"/>
        <v/>
      </c>
      <c r="S571" s="163" t="s">
        <v>129</v>
      </c>
      <c r="T571" s="164">
        <v>40000</v>
      </c>
      <c r="U571" s="164"/>
      <c r="V571" s="163"/>
      <c r="W571" s="163"/>
      <c r="X571" s="163"/>
      <c r="Y571" s="163"/>
      <c r="Z571" s="163"/>
      <c r="AA571" s="162"/>
      <c r="AB571" s="195" t="str">
        <f t="shared" si="75"/>
        <v>Jul-26</v>
      </c>
      <c r="AC571" s="163"/>
      <c r="AD571" s="163" t="str">
        <f t="shared" si="81"/>
        <v/>
      </c>
      <c r="AE571" s="163"/>
    </row>
    <row r="572" spans="1:31" x14ac:dyDescent="0.35">
      <c r="A572" s="162">
        <v>46204</v>
      </c>
      <c r="B572" s="163" t="s">
        <v>125</v>
      </c>
      <c r="C572" s="163" t="s">
        <v>113</v>
      </c>
      <c r="D572" s="163" t="s">
        <v>246</v>
      </c>
      <c r="E572" s="163" t="s">
        <v>95</v>
      </c>
      <c r="F572" s="163" t="s">
        <v>96</v>
      </c>
      <c r="G572" s="163" t="s">
        <v>15</v>
      </c>
      <c r="H572" s="163" t="s">
        <v>163</v>
      </c>
      <c r="I572" s="163" t="s">
        <v>98</v>
      </c>
      <c r="J572" s="163" t="s">
        <v>147</v>
      </c>
      <c r="K572" s="163" t="s">
        <v>231</v>
      </c>
      <c r="L572" s="163"/>
      <c r="M572" s="163" t="s">
        <v>390</v>
      </c>
      <c r="N572" s="163" t="s">
        <v>156</v>
      </c>
      <c r="O572" s="162"/>
      <c r="P572" s="163"/>
      <c r="Q572" s="163"/>
      <c r="R572" s="163" t="str">
        <f t="shared" ca="1" si="79"/>
        <v/>
      </c>
      <c r="S572" s="163" t="s">
        <v>103</v>
      </c>
      <c r="T572" s="164"/>
      <c r="U572" s="164"/>
      <c r="V572" s="162"/>
      <c r="W572" s="163"/>
      <c r="X572" s="163" t="s">
        <v>39</v>
      </c>
      <c r="Y572" s="163"/>
      <c r="Z572" s="163"/>
      <c r="AA572" s="162"/>
      <c r="AB572" s="195" t="str">
        <f t="shared" si="75"/>
        <v>Jul-26</v>
      </c>
      <c r="AC572" s="163"/>
      <c r="AD572" s="163" t="str">
        <f t="shared" si="81"/>
        <v/>
      </c>
      <c r="AE572" s="163"/>
    </row>
    <row r="573" spans="1:31" x14ac:dyDescent="0.35">
      <c r="A573" s="162">
        <v>46204</v>
      </c>
      <c r="B573" s="163" t="s">
        <v>125</v>
      </c>
      <c r="C573" s="163" t="s">
        <v>113</v>
      </c>
      <c r="D573" s="163" t="s">
        <v>260</v>
      </c>
      <c r="E573" s="163" t="s">
        <v>95</v>
      </c>
      <c r="F573" s="163" t="s">
        <v>96</v>
      </c>
      <c r="G573" s="163" t="s">
        <v>15</v>
      </c>
      <c r="H573" s="163" t="s">
        <v>163</v>
      </c>
      <c r="I573" s="163" t="s">
        <v>98</v>
      </c>
      <c r="J573" s="163" t="s">
        <v>147</v>
      </c>
      <c r="K573" s="163" t="s">
        <v>231</v>
      </c>
      <c r="L573" s="163"/>
      <c r="M573" s="163" t="s">
        <v>390</v>
      </c>
      <c r="N573" s="163" t="s">
        <v>156</v>
      </c>
      <c r="O573" s="162"/>
      <c r="P573" s="163"/>
      <c r="Q573" s="163"/>
      <c r="R573" s="163" t="str">
        <f t="shared" ca="1" si="79"/>
        <v/>
      </c>
      <c r="S573" s="163" t="s">
        <v>103</v>
      </c>
      <c r="T573" s="164"/>
      <c r="U573" s="164"/>
      <c r="V573" s="162"/>
      <c r="W573" s="163"/>
      <c r="X573" s="163" t="s">
        <v>39</v>
      </c>
      <c r="Y573" s="163"/>
      <c r="Z573" s="163"/>
      <c r="AA573" s="162"/>
      <c r="AB573" s="195" t="str">
        <f t="shared" si="75"/>
        <v>Jul-26</v>
      </c>
      <c r="AC573" s="163"/>
      <c r="AD573" s="163" t="str">
        <f t="shared" si="81"/>
        <v/>
      </c>
      <c r="AE573" s="163"/>
    </row>
    <row r="574" spans="1:31" x14ac:dyDescent="0.35">
      <c r="A574" s="162">
        <v>46204</v>
      </c>
      <c r="B574" s="163" t="s">
        <v>125</v>
      </c>
      <c r="C574" s="163" t="s">
        <v>113</v>
      </c>
      <c r="D574" s="163" t="s">
        <v>554</v>
      </c>
      <c r="E574" s="163" t="s">
        <v>95</v>
      </c>
      <c r="F574" s="163" t="s">
        <v>96</v>
      </c>
      <c r="G574" s="163" t="s">
        <v>15</v>
      </c>
      <c r="H574" s="163" t="s">
        <v>163</v>
      </c>
      <c r="I574" s="163" t="s">
        <v>98</v>
      </c>
      <c r="J574" s="163" t="s">
        <v>147</v>
      </c>
      <c r="K574" s="163" t="s">
        <v>525</v>
      </c>
      <c r="L574" s="163"/>
      <c r="M574" s="163" t="s">
        <v>526</v>
      </c>
      <c r="N574" s="163" t="s">
        <v>156</v>
      </c>
      <c r="O574" s="162"/>
      <c r="P574" s="163"/>
      <c r="Q574" s="163"/>
      <c r="R574" s="163" t="str">
        <f t="shared" ca="1" si="79"/>
        <v/>
      </c>
      <c r="S574" s="163" t="s">
        <v>103</v>
      </c>
      <c r="T574" s="164"/>
      <c r="U574" s="164"/>
      <c r="V574" s="162"/>
      <c r="W574" s="163"/>
      <c r="X574" s="163" t="s">
        <v>47</v>
      </c>
      <c r="Y574" s="163"/>
      <c r="Z574" s="163"/>
      <c r="AA574" s="162"/>
      <c r="AB574" s="195" t="str">
        <f t="shared" si="75"/>
        <v>Jul-26</v>
      </c>
      <c r="AC574" s="163"/>
      <c r="AD574" s="163" t="str">
        <f t="shared" si="81"/>
        <v/>
      </c>
      <c r="AE574" s="163"/>
    </row>
    <row r="575" spans="1:31" x14ac:dyDescent="0.35">
      <c r="A575" s="162">
        <v>46204</v>
      </c>
      <c r="B575" s="163" t="s">
        <v>125</v>
      </c>
      <c r="C575" s="163" t="s">
        <v>113</v>
      </c>
      <c r="D575" s="163" t="s">
        <v>255</v>
      </c>
      <c r="E575" s="163" t="s">
        <v>106</v>
      </c>
      <c r="F575" s="163" t="s">
        <v>135</v>
      </c>
      <c r="G575" s="163"/>
      <c r="H575" s="163" t="s">
        <v>97</v>
      </c>
      <c r="I575" s="163" t="s">
        <v>98</v>
      </c>
      <c r="J575" s="163" t="s">
        <v>166</v>
      </c>
      <c r="K575" s="163" t="s">
        <v>256</v>
      </c>
      <c r="L575" s="163"/>
      <c r="M575" s="163" t="s">
        <v>390</v>
      </c>
      <c r="N575" s="163" t="s">
        <v>156</v>
      </c>
      <c r="O575" s="162"/>
      <c r="P575" s="163"/>
      <c r="Q575" s="163"/>
      <c r="R575" s="163" t="str">
        <f t="shared" ca="1" si="79"/>
        <v/>
      </c>
      <c r="S575" s="163" t="s">
        <v>103</v>
      </c>
      <c r="T575" s="164"/>
      <c r="U575" s="164"/>
      <c r="V575" s="163"/>
      <c r="W575" s="163"/>
      <c r="X575" s="163" t="s">
        <v>62</v>
      </c>
      <c r="Y575" s="163"/>
      <c r="Z575" s="163"/>
      <c r="AA575" s="162"/>
      <c r="AB575" s="195" t="str">
        <f t="shared" si="75"/>
        <v>Jul-26</v>
      </c>
      <c r="AC575" s="163"/>
      <c r="AD575" s="163" t="str">
        <f t="shared" si="81"/>
        <v/>
      </c>
      <c r="AE575" s="163"/>
    </row>
    <row r="576" spans="1:31" x14ac:dyDescent="0.35">
      <c r="A576" s="162">
        <v>46204</v>
      </c>
      <c r="B576" s="163" t="s">
        <v>125</v>
      </c>
      <c r="C576" s="163" t="s">
        <v>113</v>
      </c>
      <c r="D576" s="163" t="s">
        <v>175</v>
      </c>
      <c r="E576" s="163" t="s">
        <v>106</v>
      </c>
      <c r="F576" s="163" t="s">
        <v>135</v>
      </c>
      <c r="G576" s="163"/>
      <c r="H576" s="163" t="s">
        <v>97</v>
      </c>
      <c r="I576" s="163" t="s">
        <v>98</v>
      </c>
      <c r="J576" s="163" t="s">
        <v>166</v>
      </c>
      <c r="K576" s="163" t="s">
        <v>176</v>
      </c>
      <c r="L576" s="163"/>
      <c r="M576" s="163" t="s">
        <v>390</v>
      </c>
      <c r="N576" s="163" t="s">
        <v>156</v>
      </c>
      <c r="O576" s="162"/>
      <c r="P576" s="163"/>
      <c r="Q576" s="163"/>
      <c r="R576" s="163" t="str">
        <f t="shared" ca="1" si="79"/>
        <v/>
      </c>
      <c r="S576" s="163" t="s">
        <v>103</v>
      </c>
      <c r="T576" s="164"/>
      <c r="U576" s="164"/>
      <c r="V576" s="163"/>
      <c r="W576" s="163"/>
      <c r="X576" s="163" t="s">
        <v>62</v>
      </c>
      <c r="Y576" s="163"/>
      <c r="Z576" s="163"/>
      <c r="AA576" s="162"/>
      <c r="AB576" s="195" t="str">
        <f t="shared" si="75"/>
        <v>Jul-26</v>
      </c>
      <c r="AC576" s="163"/>
      <c r="AD576" s="163" t="str">
        <f t="shared" si="81"/>
        <v/>
      </c>
      <c r="AE576" s="163"/>
    </row>
    <row r="577" spans="1:31" x14ac:dyDescent="0.35">
      <c r="A577" s="162">
        <v>46204</v>
      </c>
      <c r="B577" s="163" t="s">
        <v>125</v>
      </c>
      <c r="C577" s="163" t="s">
        <v>113</v>
      </c>
      <c r="D577" s="163" t="s">
        <v>162</v>
      </c>
      <c r="E577" s="163" t="s">
        <v>106</v>
      </c>
      <c r="F577" s="163" t="s">
        <v>135</v>
      </c>
      <c r="G577" s="163"/>
      <c r="H577" s="163" t="s">
        <v>97</v>
      </c>
      <c r="I577" s="163" t="s">
        <v>98</v>
      </c>
      <c r="J577" s="163" t="s">
        <v>166</v>
      </c>
      <c r="K577" s="163" t="s">
        <v>164</v>
      </c>
      <c r="L577" s="163"/>
      <c r="M577" s="163" t="s">
        <v>390</v>
      </c>
      <c r="N577" s="163" t="s">
        <v>156</v>
      </c>
      <c r="O577" s="162"/>
      <c r="P577" s="163"/>
      <c r="Q577" s="163"/>
      <c r="R577" s="163" t="str">
        <f t="shared" ca="1" si="79"/>
        <v/>
      </c>
      <c r="S577" s="163" t="s">
        <v>103</v>
      </c>
      <c r="T577" s="164"/>
      <c r="U577" s="164"/>
      <c r="V577" s="162"/>
      <c r="W577" s="163"/>
      <c r="X577" s="163" t="s">
        <v>62</v>
      </c>
      <c r="Y577" s="163"/>
      <c r="Z577" s="163"/>
      <c r="AA577" s="162"/>
      <c r="AB577" s="195" t="str">
        <f t="shared" si="75"/>
        <v>Jul-26</v>
      </c>
      <c r="AC577" s="163"/>
      <c r="AD577" s="163" t="str">
        <f t="shared" si="81"/>
        <v/>
      </c>
      <c r="AE577" s="163"/>
    </row>
    <row r="578" spans="1:31" x14ac:dyDescent="0.35">
      <c r="A578" s="162">
        <v>46204</v>
      </c>
      <c r="B578" s="163" t="s">
        <v>125</v>
      </c>
      <c r="C578" s="163" t="s">
        <v>113</v>
      </c>
      <c r="D578" s="163" t="s">
        <v>223</v>
      </c>
      <c r="E578" s="163" t="s">
        <v>106</v>
      </c>
      <c r="F578" s="163" t="s">
        <v>135</v>
      </c>
      <c r="G578" s="163"/>
      <c r="H578" s="163" t="s">
        <v>97</v>
      </c>
      <c r="I578" s="163" t="s">
        <v>98</v>
      </c>
      <c r="J578" s="163" t="s">
        <v>166</v>
      </c>
      <c r="K578" s="163" t="s">
        <v>224</v>
      </c>
      <c r="L578" s="163"/>
      <c r="M578" s="163" t="s">
        <v>390</v>
      </c>
      <c r="N578" s="163" t="s">
        <v>156</v>
      </c>
      <c r="O578" s="162"/>
      <c r="P578" s="163"/>
      <c r="Q578" s="163"/>
      <c r="R578" s="163" t="str">
        <f t="shared" ca="1" si="79"/>
        <v/>
      </c>
      <c r="S578" s="163" t="s">
        <v>103</v>
      </c>
      <c r="T578" s="164"/>
      <c r="U578" s="164"/>
      <c r="V578" s="162"/>
      <c r="W578" s="163"/>
      <c r="X578" s="163" t="s">
        <v>62</v>
      </c>
      <c r="Y578" s="163"/>
      <c r="Z578" s="163"/>
      <c r="AA578" s="162"/>
      <c r="AB578" s="195" t="str">
        <f t="shared" ref="AB578:AB641" si="82">IF($V578="",TEXT($A578,"MMM-YY"),TEXT($V578,"MMM-YY"))</f>
        <v>Jul-26</v>
      </c>
      <c r="AC578" s="163"/>
      <c r="AD578" s="163" t="str">
        <f t="shared" si="81"/>
        <v/>
      </c>
      <c r="AE578" s="163"/>
    </row>
    <row r="579" spans="1:31" x14ac:dyDescent="0.35">
      <c r="A579" s="162">
        <v>46204</v>
      </c>
      <c r="B579" s="163" t="s">
        <v>125</v>
      </c>
      <c r="C579" s="163" t="s">
        <v>113</v>
      </c>
      <c r="D579" s="163" t="s">
        <v>555</v>
      </c>
      <c r="E579" s="163" t="s">
        <v>95</v>
      </c>
      <c r="F579" s="163" t="s">
        <v>135</v>
      </c>
      <c r="G579" s="163"/>
      <c r="H579" s="163" t="s">
        <v>163</v>
      </c>
      <c r="I579" s="163" t="s">
        <v>98</v>
      </c>
      <c r="J579" s="163" t="s">
        <v>147</v>
      </c>
      <c r="K579" s="163" t="s">
        <v>556</v>
      </c>
      <c r="L579" s="163"/>
      <c r="M579" s="163" t="s">
        <v>557</v>
      </c>
      <c r="N579" s="163" t="s">
        <v>156</v>
      </c>
      <c r="O579" s="162"/>
      <c r="P579" s="163"/>
      <c r="Q579" s="163"/>
      <c r="R579" s="163" t="str">
        <f t="shared" ca="1" si="79"/>
        <v/>
      </c>
      <c r="S579" s="163" t="s">
        <v>103</v>
      </c>
      <c r="T579" s="164"/>
      <c r="U579" s="164"/>
      <c r="V579" s="163"/>
      <c r="W579" s="163"/>
      <c r="X579" s="163" t="s">
        <v>46</v>
      </c>
      <c r="Y579" s="163"/>
      <c r="Z579" s="163"/>
      <c r="AA579" s="162"/>
      <c r="AB579" s="195" t="str">
        <f t="shared" si="82"/>
        <v>Jul-26</v>
      </c>
      <c r="AC579" s="163"/>
      <c r="AD579" s="163" t="str">
        <f t="shared" si="81"/>
        <v/>
      </c>
      <c r="AE579" s="163"/>
    </row>
    <row r="580" spans="1:31" x14ac:dyDescent="0.35">
      <c r="A580" s="162">
        <v>46204</v>
      </c>
      <c r="B580" s="163" t="s">
        <v>125</v>
      </c>
      <c r="C580" s="163" t="s">
        <v>93</v>
      </c>
      <c r="D580" s="163" t="s">
        <v>19</v>
      </c>
      <c r="E580" s="163" t="s">
        <v>106</v>
      </c>
      <c r="F580" s="163" t="s">
        <v>96</v>
      </c>
      <c r="G580" s="163" t="s">
        <v>10</v>
      </c>
      <c r="H580" s="163" t="s">
        <v>115</v>
      </c>
      <c r="I580" s="163" t="s">
        <v>121</v>
      </c>
      <c r="J580" s="163" t="s">
        <v>99</v>
      </c>
      <c r="K580" s="163" t="s">
        <v>256</v>
      </c>
      <c r="L580" s="163"/>
      <c r="M580" s="163" t="s">
        <v>159</v>
      </c>
      <c r="N580" s="163" t="s">
        <v>156</v>
      </c>
      <c r="O580" s="162"/>
      <c r="P580" s="163"/>
      <c r="Q580" s="163"/>
      <c r="R580" s="163" t="str">
        <f t="shared" ca="1" si="79"/>
        <v/>
      </c>
      <c r="S580" s="163" t="s">
        <v>103</v>
      </c>
      <c r="T580" s="164"/>
      <c r="U580" s="164"/>
      <c r="V580" s="163"/>
      <c r="W580" s="163"/>
      <c r="X580" s="163"/>
      <c r="Y580" s="163"/>
      <c r="Z580" s="163"/>
      <c r="AA580" s="162"/>
      <c r="AB580" s="195" t="str">
        <f t="shared" si="82"/>
        <v>Jul-26</v>
      </c>
      <c r="AC580" s="163"/>
      <c r="AD580" s="163" t="str">
        <f t="shared" si="81"/>
        <v/>
      </c>
      <c r="AE580" s="163"/>
    </row>
    <row r="581" spans="1:31" x14ac:dyDescent="0.35">
      <c r="A581" s="162">
        <v>46204</v>
      </c>
      <c r="B581" s="163" t="s">
        <v>125</v>
      </c>
      <c r="C581" s="163" t="s">
        <v>113</v>
      </c>
      <c r="D581" s="163" t="s">
        <v>391</v>
      </c>
      <c r="E581" s="163" t="s">
        <v>95</v>
      </c>
      <c r="F581" s="163" t="s">
        <v>96</v>
      </c>
      <c r="G581" s="163" t="s">
        <v>11</v>
      </c>
      <c r="H581" s="163" t="s">
        <v>163</v>
      </c>
      <c r="I581" s="163" t="s">
        <v>98</v>
      </c>
      <c r="J581" s="163" t="s">
        <v>147</v>
      </c>
      <c r="K581" s="163" t="s">
        <v>210</v>
      </c>
      <c r="L581" s="163"/>
      <c r="M581" s="163" t="s">
        <v>390</v>
      </c>
      <c r="N581" s="163" t="s">
        <v>156</v>
      </c>
      <c r="O581" s="162"/>
      <c r="P581" s="163"/>
      <c r="Q581" s="163"/>
      <c r="R581" s="163" t="str">
        <f t="shared" ca="1" si="79"/>
        <v/>
      </c>
      <c r="S581" s="163" t="s">
        <v>103</v>
      </c>
      <c r="T581" s="164"/>
      <c r="U581" s="164"/>
      <c r="V581" s="162"/>
      <c r="W581" s="163"/>
      <c r="X581" s="163" t="s">
        <v>47</v>
      </c>
      <c r="Y581" s="163"/>
      <c r="Z581" s="163"/>
      <c r="AA581" s="162"/>
      <c r="AB581" s="195" t="str">
        <f t="shared" si="82"/>
        <v>Jul-26</v>
      </c>
      <c r="AC581" s="163"/>
      <c r="AD581" s="163" t="str">
        <f t="shared" si="81"/>
        <v/>
      </c>
      <c r="AE581" s="163"/>
    </row>
    <row r="582" spans="1:31" x14ac:dyDescent="0.35">
      <c r="A582" s="162">
        <v>46204</v>
      </c>
      <c r="B582" s="163" t="s">
        <v>148</v>
      </c>
      <c r="C582" s="163" t="s">
        <v>113</v>
      </c>
      <c r="D582" s="163" t="s">
        <v>209</v>
      </c>
      <c r="E582" s="163" t="s">
        <v>106</v>
      </c>
      <c r="F582" s="163" t="s">
        <v>96</v>
      </c>
      <c r="G582" s="163" t="s">
        <v>11</v>
      </c>
      <c r="H582" s="163" t="s">
        <v>115</v>
      </c>
      <c r="I582" s="163" t="s">
        <v>98</v>
      </c>
      <c r="J582" s="163" t="s">
        <v>99</v>
      </c>
      <c r="K582" s="163" t="s">
        <v>210</v>
      </c>
      <c r="L582" s="163"/>
      <c r="M582" s="163" t="s">
        <v>228</v>
      </c>
      <c r="N582" s="163" t="s">
        <v>156</v>
      </c>
      <c r="O582" s="162"/>
      <c r="P582" s="163"/>
      <c r="Q582" s="163"/>
      <c r="R582" s="163" t="str">
        <f t="shared" ca="1" si="79"/>
        <v/>
      </c>
      <c r="S582" s="163" t="s">
        <v>103</v>
      </c>
      <c r="T582" s="164"/>
      <c r="U582" s="164"/>
      <c r="V582" s="162"/>
      <c r="W582" s="163"/>
      <c r="X582" s="163" t="s">
        <v>37</v>
      </c>
      <c r="Y582" s="163"/>
      <c r="Z582" s="163"/>
      <c r="AA582" s="162"/>
      <c r="AB582" s="195" t="str">
        <f t="shared" si="82"/>
        <v>Jul-26</v>
      </c>
      <c r="AC582" s="163"/>
      <c r="AD582" s="163" t="str">
        <f t="shared" si="81"/>
        <v/>
      </c>
      <c r="AE582" s="163"/>
    </row>
    <row r="583" spans="1:31" x14ac:dyDescent="0.35">
      <c r="A583" s="162">
        <v>46204</v>
      </c>
      <c r="B583" s="163" t="s">
        <v>92</v>
      </c>
      <c r="C583" s="163" t="s">
        <v>93</v>
      </c>
      <c r="D583" s="163" t="s">
        <v>985</v>
      </c>
      <c r="E583" s="163" t="s">
        <v>106</v>
      </c>
      <c r="F583" s="163" t="s">
        <v>96</v>
      </c>
      <c r="G583" s="163" t="s">
        <v>11</v>
      </c>
      <c r="H583" s="163" t="s">
        <v>163</v>
      </c>
      <c r="I583" s="163" t="s">
        <v>121</v>
      </c>
      <c r="J583" s="163" t="s">
        <v>147</v>
      </c>
      <c r="K583" s="163" t="s">
        <v>989</v>
      </c>
      <c r="L583" s="163"/>
      <c r="M583" s="163" t="s">
        <v>97</v>
      </c>
      <c r="N583" s="163" t="s">
        <v>102</v>
      </c>
      <c r="O583" s="162"/>
      <c r="P583" s="163"/>
      <c r="Q583" s="163" t="str">
        <f ca="1">IF(N583="Closed(C4)","",IF(N583="","",TODAY()-A583))</f>
        <v/>
      </c>
      <c r="R583" s="163" t="str">
        <f t="shared" ca="1" si="79"/>
        <v/>
      </c>
      <c r="S583" s="163" t="s">
        <v>103</v>
      </c>
      <c r="T583" s="164">
        <v>12000</v>
      </c>
      <c r="U583" s="164">
        <v>8806</v>
      </c>
      <c r="V583" s="162">
        <v>46204</v>
      </c>
      <c r="W583" s="163" t="s">
        <v>1016</v>
      </c>
      <c r="X583" s="163" t="s">
        <v>30</v>
      </c>
      <c r="Y583" s="163" t="s">
        <v>1017</v>
      </c>
      <c r="Z583" s="163"/>
      <c r="AA583" s="163"/>
      <c r="AB583" s="195" t="str">
        <f t="shared" si="82"/>
        <v>Jul-26</v>
      </c>
      <c r="AC583" s="163"/>
      <c r="AD583" s="163"/>
      <c r="AE583" s="163"/>
    </row>
    <row r="584" spans="1:31" x14ac:dyDescent="0.35">
      <c r="A584" s="162">
        <v>46204</v>
      </c>
      <c r="B584" s="163" t="s">
        <v>92</v>
      </c>
      <c r="C584" s="163" t="s">
        <v>93</v>
      </c>
      <c r="D584" s="163" t="s">
        <v>988</v>
      </c>
      <c r="E584" s="163" t="s">
        <v>106</v>
      </c>
      <c r="F584" s="163" t="s">
        <v>96</v>
      </c>
      <c r="G584" s="163" t="s">
        <v>11</v>
      </c>
      <c r="H584" s="163" t="s">
        <v>163</v>
      </c>
      <c r="I584" s="163" t="s">
        <v>121</v>
      </c>
      <c r="J584" s="163" t="s">
        <v>147</v>
      </c>
      <c r="K584" s="163" t="s">
        <v>989</v>
      </c>
      <c r="L584" s="163"/>
      <c r="M584" s="163" t="s">
        <v>97</v>
      </c>
      <c r="N584" s="163" t="s">
        <v>102</v>
      </c>
      <c r="O584" s="162"/>
      <c r="P584" s="163"/>
      <c r="Q584" s="163" t="str">
        <f ca="1">IF(N584="Closed(C4)","",IF(N584="","",TODAY()-A584))</f>
        <v/>
      </c>
      <c r="R584" s="163" t="str">
        <f t="shared" ca="1" si="79"/>
        <v/>
      </c>
      <c r="S584" s="163" t="s">
        <v>103</v>
      </c>
      <c r="T584" s="164">
        <v>12000</v>
      </c>
      <c r="U584" s="164">
        <v>22772</v>
      </c>
      <c r="V584" s="162">
        <v>46204</v>
      </c>
      <c r="W584" s="163" t="s">
        <v>1018</v>
      </c>
      <c r="X584" s="163" t="s">
        <v>30</v>
      </c>
      <c r="Y584" s="163" t="s">
        <v>1017</v>
      </c>
      <c r="Z584" s="163"/>
      <c r="AA584" s="163"/>
      <c r="AB584" s="195" t="str">
        <f t="shared" si="82"/>
        <v>Jul-26</v>
      </c>
      <c r="AC584" s="163"/>
      <c r="AD584" s="163"/>
      <c r="AE584" s="163"/>
    </row>
    <row r="585" spans="1:31" x14ac:dyDescent="0.35">
      <c r="A585" s="162">
        <v>46204</v>
      </c>
      <c r="B585" s="163" t="s">
        <v>125</v>
      </c>
      <c r="C585" s="163" t="s">
        <v>113</v>
      </c>
      <c r="D585" s="163" t="s">
        <v>255</v>
      </c>
      <c r="E585" s="163" t="s">
        <v>106</v>
      </c>
      <c r="F585" s="163" t="s">
        <v>135</v>
      </c>
      <c r="G585" s="163"/>
      <c r="H585" s="163" t="s">
        <v>97</v>
      </c>
      <c r="I585" s="163" t="s">
        <v>98</v>
      </c>
      <c r="J585" s="163" t="s">
        <v>166</v>
      </c>
      <c r="K585" s="163" t="s">
        <v>256</v>
      </c>
      <c r="L585" s="163"/>
      <c r="M585" s="163" t="s">
        <v>390</v>
      </c>
      <c r="N585" s="163" t="s">
        <v>102</v>
      </c>
      <c r="O585" s="162"/>
      <c r="P585" s="163"/>
      <c r="Q585" s="163"/>
      <c r="R585" s="163" t="str">
        <f t="shared" ca="1" si="79"/>
        <v/>
      </c>
      <c r="S585" s="163" t="s">
        <v>103</v>
      </c>
      <c r="T585" s="164">
        <v>15000</v>
      </c>
      <c r="U585" s="164">
        <v>17896</v>
      </c>
      <c r="V585" s="162">
        <v>46210</v>
      </c>
      <c r="W585" s="163" t="s">
        <v>1019</v>
      </c>
      <c r="X585" s="163" t="s">
        <v>62</v>
      </c>
      <c r="Y585" s="163" t="s">
        <v>161</v>
      </c>
      <c r="Z585" s="163"/>
      <c r="AA585" s="162">
        <v>46210</v>
      </c>
      <c r="AB585" s="195" t="str">
        <f t="shared" si="82"/>
        <v>Jul-26</v>
      </c>
      <c r="AC585" s="163"/>
      <c r="AD585" s="163" t="str">
        <f>IF(AC585="Yes",U585*2%,"")</f>
        <v/>
      </c>
      <c r="AE585" s="163"/>
    </row>
    <row r="586" spans="1:31" x14ac:dyDescent="0.35">
      <c r="A586" s="162">
        <v>46205</v>
      </c>
      <c r="B586" s="163" t="s">
        <v>92</v>
      </c>
      <c r="C586" s="163" t="s">
        <v>93</v>
      </c>
      <c r="D586" s="163" t="s">
        <v>988</v>
      </c>
      <c r="E586" s="163" t="s">
        <v>106</v>
      </c>
      <c r="F586" s="163" t="s">
        <v>96</v>
      </c>
      <c r="G586" s="163" t="s">
        <v>11</v>
      </c>
      <c r="H586" s="163" t="s">
        <v>163</v>
      </c>
      <c r="I586" s="163" t="s">
        <v>121</v>
      </c>
      <c r="J586" s="163" t="s">
        <v>147</v>
      </c>
      <c r="K586" s="163" t="s">
        <v>989</v>
      </c>
      <c r="L586" s="163"/>
      <c r="M586" s="163" t="s">
        <v>97</v>
      </c>
      <c r="N586" s="163" t="s">
        <v>102</v>
      </c>
      <c r="O586" s="162"/>
      <c r="P586" s="163"/>
      <c r="Q586" s="163" t="str">
        <f ca="1">IF(N586="Closed(C4)","",IF(N586="","",TODAY()-A586))</f>
        <v/>
      </c>
      <c r="R586" s="163" t="str">
        <f t="shared" ca="1" si="79"/>
        <v/>
      </c>
      <c r="S586" s="163" t="s">
        <v>103</v>
      </c>
      <c r="T586" s="164">
        <v>12000</v>
      </c>
      <c r="U586" s="164">
        <v>23356</v>
      </c>
      <c r="V586" s="162">
        <v>46205</v>
      </c>
      <c r="W586" s="163" t="s">
        <v>1020</v>
      </c>
      <c r="X586" s="163" t="s">
        <v>30</v>
      </c>
      <c r="Y586" s="163" t="s">
        <v>1017</v>
      </c>
      <c r="Z586" s="163"/>
      <c r="AA586" s="163"/>
      <c r="AB586" s="195" t="str">
        <f t="shared" si="82"/>
        <v>Jul-26</v>
      </c>
      <c r="AC586" s="163"/>
      <c r="AD586" s="163"/>
      <c r="AE586" s="163"/>
    </row>
    <row r="587" spans="1:31" x14ac:dyDescent="0.35">
      <c r="A587" s="162">
        <v>46205</v>
      </c>
      <c r="B587" s="163" t="s">
        <v>125</v>
      </c>
      <c r="C587" s="163" t="s">
        <v>113</v>
      </c>
      <c r="D587" s="163" t="s">
        <v>246</v>
      </c>
      <c r="E587" s="163" t="s">
        <v>95</v>
      </c>
      <c r="F587" s="163" t="s">
        <v>96</v>
      </c>
      <c r="G587" s="163" t="s">
        <v>15</v>
      </c>
      <c r="H587" s="163" t="s">
        <v>163</v>
      </c>
      <c r="I587" s="163" t="s">
        <v>98</v>
      </c>
      <c r="J587" s="163" t="s">
        <v>147</v>
      </c>
      <c r="K587" s="163" t="s">
        <v>231</v>
      </c>
      <c r="L587" s="163"/>
      <c r="M587" s="163" t="s">
        <v>526</v>
      </c>
      <c r="N587" s="163" t="s">
        <v>102</v>
      </c>
      <c r="O587" s="162"/>
      <c r="P587" s="163"/>
      <c r="Q587" s="163"/>
      <c r="R587" s="163" t="str">
        <f t="shared" ca="1" si="79"/>
        <v/>
      </c>
      <c r="S587" s="163" t="s">
        <v>103</v>
      </c>
      <c r="T587" s="164">
        <v>15000</v>
      </c>
      <c r="U587" s="164">
        <v>13940</v>
      </c>
      <c r="V587" s="162">
        <v>46205</v>
      </c>
      <c r="W587" s="214" t="s">
        <v>1005</v>
      </c>
      <c r="X587" s="163" t="s">
        <v>39</v>
      </c>
      <c r="Y587" s="163" t="s">
        <v>85</v>
      </c>
      <c r="Z587" s="163"/>
      <c r="AA587" s="162"/>
      <c r="AB587" s="195" t="str">
        <f t="shared" si="82"/>
        <v>Jul-26</v>
      </c>
      <c r="AC587" s="163"/>
      <c r="AD587" s="163" t="str">
        <f>IF(AC587="Yes",U587*2%,"")</f>
        <v/>
      </c>
      <c r="AE587" s="163"/>
    </row>
    <row r="588" spans="1:31" x14ac:dyDescent="0.35">
      <c r="A588" s="162">
        <v>46205</v>
      </c>
      <c r="B588" s="163" t="s">
        <v>125</v>
      </c>
      <c r="C588" s="163" t="s">
        <v>113</v>
      </c>
      <c r="D588" s="163" t="s">
        <v>260</v>
      </c>
      <c r="E588" s="163" t="s">
        <v>95</v>
      </c>
      <c r="F588" s="163" t="s">
        <v>96</v>
      </c>
      <c r="G588" s="163" t="s">
        <v>15</v>
      </c>
      <c r="H588" s="163" t="s">
        <v>163</v>
      </c>
      <c r="I588" s="163" t="s">
        <v>98</v>
      </c>
      <c r="J588" s="163" t="s">
        <v>147</v>
      </c>
      <c r="K588" s="163" t="s">
        <v>231</v>
      </c>
      <c r="L588" s="163"/>
      <c r="M588" s="163" t="s">
        <v>526</v>
      </c>
      <c r="N588" s="163" t="s">
        <v>102</v>
      </c>
      <c r="O588" s="162"/>
      <c r="P588" s="163"/>
      <c r="Q588" s="163"/>
      <c r="R588" s="163" t="str">
        <f t="shared" ca="1" si="79"/>
        <v/>
      </c>
      <c r="S588" s="163" t="s">
        <v>103</v>
      </c>
      <c r="T588" s="164">
        <v>15000</v>
      </c>
      <c r="U588" s="164">
        <v>13105</v>
      </c>
      <c r="V588" s="162">
        <v>46205</v>
      </c>
      <c r="W588" s="214" t="s">
        <v>1005</v>
      </c>
      <c r="X588" s="163" t="s">
        <v>39</v>
      </c>
      <c r="Y588" s="163" t="s">
        <v>85</v>
      </c>
      <c r="Z588" s="163"/>
      <c r="AA588" s="162"/>
      <c r="AB588" s="195" t="str">
        <f t="shared" si="82"/>
        <v>Jul-26</v>
      </c>
      <c r="AC588" s="163"/>
      <c r="AD588" s="163" t="str">
        <f>IF(AC588="Yes",U588*2%,"")</f>
        <v/>
      </c>
      <c r="AE588" s="163"/>
    </row>
    <row r="589" spans="1:31" x14ac:dyDescent="0.35">
      <c r="A589" s="162">
        <v>46205</v>
      </c>
      <c r="B589" s="163" t="s">
        <v>148</v>
      </c>
      <c r="C589" s="163" t="s">
        <v>113</v>
      </c>
      <c r="D589" s="163" t="s">
        <v>1021</v>
      </c>
      <c r="E589" s="163" t="s">
        <v>95</v>
      </c>
      <c r="F589" s="163" t="s">
        <v>96</v>
      </c>
      <c r="G589" s="163" t="s">
        <v>15</v>
      </c>
      <c r="H589" s="163" t="s">
        <v>163</v>
      </c>
      <c r="I589" s="163" t="s">
        <v>121</v>
      </c>
      <c r="J589" s="163" t="s">
        <v>147</v>
      </c>
      <c r="K589" s="163" t="s">
        <v>525</v>
      </c>
      <c r="L589" s="163"/>
      <c r="M589" s="163" t="s">
        <v>526</v>
      </c>
      <c r="N589" s="163" t="s">
        <v>102</v>
      </c>
      <c r="O589" s="162"/>
      <c r="P589" s="163"/>
      <c r="Q589" s="163" t="str">
        <f ca="1">IF(N589="Closed(C4)","",IF(N589="","",TODAY()-A589))</f>
        <v/>
      </c>
      <c r="R589" s="163" t="str">
        <f t="shared" ca="1" si="79"/>
        <v/>
      </c>
      <c r="S589" s="163" t="s">
        <v>103</v>
      </c>
      <c r="T589" s="164">
        <v>15000</v>
      </c>
      <c r="U589" s="164">
        <v>6205</v>
      </c>
      <c r="V589" s="162">
        <v>46205</v>
      </c>
      <c r="W589" s="214" t="s">
        <v>1022</v>
      </c>
      <c r="X589" s="163" t="s">
        <v>47</v>
      </c>
      <c r="Y589" s="163" t="s">
        <v>85</v>
      </c>
      <c r="Z589" s="163"/>
      <c r="AA589" s="162"/>
      <c r="AB589" s="195" t="str">
        <f t="shared" si="82"/>
        <v>Jul-26</v>
      </c>
      <c r="AC589" s="163"/>
      <c r="AD589" s="163" t="str">
        <f>IF(AC589="Yes",U589*2%,"")</f>
        <v/>
      </c>
      <c r="AE589" s="163"/>
    </row>
    <row r="590" spans="1:31" x14ac:dyDescent="0.35">
      <c r="A590" s="162">
        <v>46205</v>
      </c>
      <c r="B590" s="163" t="s">
        <v>370</v>
      </c>
      <c r="C590" s="163" t="s">
        <v>93</v>
      </c>
      <c r="D590" s="163" t="s">
        <v>1023</v>
      </c>
      <c r="E590" s="163" t="s">
        <v>106</v>
      </c>
      <c r="F590" s="163"/>
      <c r="G590" s="163"/>
      <c r="H590" s="163" t="s">
        <v>115</v>
      </c>
      <c r="I590" s="163" t="s">
        <v>121</v>
      </c>
      <c r="J590" s="163" t="s">
        <v>147</v>
      </c>
      <c r="K590" s="163" t="s">
        <v>1024</v>
      </c>
      <c r="L590" s="163"/>
      <c r="M590" s="163" t="s">
        <v>914</v>
      </c>
      <c r="N590" s="163" t="s">
        <v>181</v>
      </c>
      <c r="O590" s="162"/>
      <c r="P590" s="163"/>
      <c r="Q590" s="163"/>
      <c r="R590" s="163"/>
      <c r="S590" s="163" t="s">
        <v>133</v>
      </c>
      <c r="T590" s="164">
        <v>20000</v>
      </c>
      <c r="U590" s="164"/>
      <c r="V590" s="162"/>
      <c r="W590" s="163"/>
      <c r="X590" s="163"/>
      <c r="Y590" s="163"/>
      <c r="Z590" s="163"/>
      <c r="AA590" s="162"/>
      <c r="AB590" s="195" t="str">
        <f t="shared" si="82"/>
        <v>Jul-26</v>
      </c>
      <c r="AC590" s="163"/>
      <c r="AD590" s="163"/>
      <c r="AE590" s="163"/>
    </row>
    <row r="591" spans="1:31" x14ac:dyDescent="0.35">
      <c r="A591" s="162">
        <v>46205</v>
      </c>
      <c r="B591" s="163" t="s">
        <v>370</v>
      </c>
      <c r="C591" s="163" t="s">
        <v>93</v>
      </c>
      <c r="D591" s="163" t="s">
        <v>1025</v>
      </c>
      <c r="E591" s="163" t="s">
        <v>106</v>
      </c>
      <c r="F591" s="163"/>
      <c r="G591" s="163"/>
      <c r="H591" s="163" t="s">
        <v>115</v>
      </c>
      <c r="I591" s="163" t="s">
        <v>121</v>
      </c>
      <c r="J591" s="163" t="s">
        <v>432</v>
      </c>
      <c r="K591" s="163" t="s">
        <v>1026</v>
      </c>
      <c r="L591" s="163"/>
      <c r="M591" s="163" t="s">
        <v>1027</v>
      </c>
      <c r="N591" s="163" t="s">
        <v>181</v>
      </c>
      <c r="O591" s="162"/>
      <c r="P591" s="163"/>
      <c r="Q591" s="163"/>
      <c r="R591" s="163"/>
      <c r="S591" s="163" t="s">
        <v>103</v>
      </c>
      <c r="T591" s="164">
        <v>60000</v>
      </c>
      <c r="U591" s="164"/>
      <c r="V591" s="162"/>
      <c r="W591" s="163"/>
      <c r="X591" s="163"/>
      <c r="Y591" s="163"/>
      <c r="Z591" s="163"/>
      <c r="AA591" s="162"/>
      <c r="AB591" s="195" t="str">
        <f t="shared" si="82"/>
        <v>Jul-26</v>
      </c>
      <c r="AC591" s="163"/>
      <c r="AD591" s="163"/>
      <c r="AE591" s="163"/>
    </row>
    <row r="592" spans="1:31" x14ac:dyDescent="0.35">
      <c r="A592" s="162">
        <v>46205</v>
      </c>
      <c r="B592" s="163" t="s">
        <v>370</v>
      </c>
      <c r="C592" s="163" t="s">
        <v>93</v>
      </c>
      <c r="D592" s="163" t="s">
        <v>1028</v>
      </c>
      <c r="E592" s="163" t="s">
        <v>106</v>
      </c>
      <c r="F592" s="163"/>
      <c r="G592" s="163"/>
      <c r="H592" s="163" t="s">
        <v>115</v>
      </c>
      <c r="I592" s="163" t="s">
        <v>121</v>
      </c>
      <c r="J592" s="163" t="s">
        <v>147</v>
      </c>
      <c r="K592" s="163" t="s">
        <v>660</v>
      </c>
      <c r="L592" s="163"/>
      <c r="M592" s="163" t="s">
        <v>914</v>
      </c>
      <c r="N592" s="163" t="s">
        <v>181</v>
      </c>
      <c r="O592" s="162">
        <v>46247</v>
      </c>
      <c r="P592" s="163" t="s">
        <v>95</v>
      </c>
      <c r="Q592" s="163"/>
      <c r="R592" s="163"/>
      <c r="S592" s="163" t="s">
        <v>129</v>
      </c>
      <c r="T592" s="164">
        <v>30000</v>
      </c>
      <c r="U592" s="164"/>
      <c r="V592" s="162"/>
      <c r="W592" s="163"/>
      <c r="X592" s="163"/>
      <c r="Y592" s="163"/>
      <c r="Z592" s="163"/>
      <c r="AA592" s="162"/>
      <c r="AB592" s="195" t="str">
        <f t="shared" si="82"/>
        <v>Jul-26</v>
      </c>
      <c r="AC592" s="163"/>
      <c r="AD592" s="163"/>
      <c r="AE592" s="163"/>
    </row>
    <row r="593" spans="1:31" x14ac:dyDescent="0.35">
      <c r="A593" s="162">
        <v>46205</v>
      </c>
      <c r="B593" s="163" t="s">
        <v>370</v>
      </c>
      <c r="C593" s="163" t="s">
        <v>93</v>
      </c>
      <c r="D593" s="163" t="s">
        <v>1029</v>
      </c>
      <c r="E593" s="163" t="s">
        <v>106</v>
      </c>
      <c r="F593" s="163"/>
      <c r="G593" s="163"/>
      <c r="H593" s="163" t="s">
        <v>115</v>
      </c>
      <c r="I593" s="163" t="s">
        <v>121</v>
      </c>
      <c r="J593" s="163" t="s">
        <v>147</v>
      </c>
      <c r="K593" s="163" t="s">
        <v>1015</v>
      </c>
      <c r="L593" s="163"/>
      <c r="M593" s="163" t="s">
        <v>914</v>
      </c>
      <c r="N593" s="163" t="s">
        <v>181</v>
      </c>
      <c r="O593" s="162">
        <v>46253</v>
      </c>
      <c r="P593" s="163" t="s">
        <v>95</v>
      </c>
      <c r="Q593" s="163"/>
      <c r="R593" s="163"/>
      <c r="S593" s="163" t="s">
        <v>133</v>
      </c>
      <c r="T593" s="164">
        <v>25000</v>
      </c>
      <c r="U593" s="164"/>
      <c r="V593" s="162"/>
      <c r="W593" s="163"/>
      <c r="X593" s="163"/>
      <c r="Y593" s="163"/>
      <c r="Z593" s="163"/>
      <c r="AA593" s="162"/>
      <c r="AB593" s="195" t="str">
        <f t="shared" si="82"/>
        <v>Jul-26</v>
      </c>
      <c r="AC593" s="163"/>
      <c r="AD593" s="163"/>
      <c r="AE593" s="163"/>
    </row>
    <row r="594" spans="1:31" x14ac:dyDescent="0.35">
      <c r="A594" s="162">
        <v>46205</v>
      </c>
      <c r="B594" s="163" t="s">
        <v>125</v>
      </c>
      <c r="C594" s="163" t="s">
        <v>143</v>
      </c>
      <c r="D594" s="163" t="s">
        <v>1002</v>
      </c>
      <c r="E594" s="163" t="s">
        <v>95</v>
      </c>
      <c r="F594" s="163" t="s">
        <v>96</v>
      </c>
      <c r="G594" s="163" t="s">
        <v>15</v>
      </c>
      <c r="H594" s="163" t="s">
        <v>97</v>
      </c>
      <c r="I594" s="163" t="s">
        <v>121</v>
      </c>
      <c r="J594" s="163" t="s">
        <v>147</v>
      </c>
      <c r="K594" s="163" t="s">
        <v>1003</v>
      </c>
      <c r="L594" s="163"/>
      <c r="M594" s="163" t="s">
        <v>159</v>
      </c>
      <c r="N594" s="163" t="s">
        <v>102</v>
      </c>
      <c r="O594" s="162"/>
      <c r="P594" s="163"/>
      <c r="Q594" s="163" t="str">
        <f ca="1">IF(N594="Closed(C4)","",IF(N594="","",TODAY()-A594))</f>
        <v/>
      </c>
      <c r="R594" s="163" t="str">
        <f ca="1">IF(OR(N594="Closed( C4 )",N594="Cancelled"),"",IF(AND(O594&lt;&gt;"",O594&lt;TODAY()),"Yes",""))</f>
        <v/>
      </c>
      <c r="S594" s="163" t="s">
        <v>103</v>
      </c>
      <c r="T594" s="164">
        <v>20000</v>
      </c>
      <c r="U594" s="164">
        <v>49275</v>
      </c>
      <c r="V594" s="162">
        <v>46205</v>
      </c>
      <c r="W594" s="214" t="s">
        <v>1004</v>
      </c>
      <c r="X594" s="163" t="s">
        <v>59</v>
      </c>
      <c r="Y594" s="163" t="s">
        <v>85</v>
      </c>
      <c r="Z594" s="163"/>
      <c r="AA594" s="162"/>
      <c r="AB594" s="195" t="str">
        <f t="shared" si="82"/>
        <v>Jul-26</v>
      </c>
      <c r="AC594" s="163"/>
      <c r="AD594" s="163" t="str">
        <f>IF(AC594="Yes",U594*2%,"")</f>
        <v/>
      </c>
      <c r="AE594" s="163"/>
    </row>
    <row r="595" spans="1:31" x14ac:dyDescent="0.35">
      <c r="A595" s="162">
        <v>46206</v>
      </c>
      <c r="B595" s="163" t="s">
        <v>125</v>
      </c>
      <c r="C595" s="163" t="s">
        <v>113</v>
      </c>
      <c r="D595" s="163" t="s">
        <v>246</v>
      </c>
      <c r="E595" s="163" t="s">
        <v>95</v>
      </c>
      <c r="F595" s="163" t="s">
        <v>96</v>
      </c>
      <c r="G595" s="163" t="s">
        <v>15</v>
      </c>
      <c r="H595" s="163" t="s">
        <v>163</v>
      </c>
      <c r="I595" s="163" t="s">
        <v>98</v>
      </c>
      <c r="J595" s="163" t="s">
        <v>147</v>
      </c>
      <c r="K595" s="163" t="s">
        <v>231</v>
      </c>
      <c r="L595" s="163"/>
      <c r="M595" s="163" t="s">
        <v>526</v>
      </c>
      <c r="N595" s="163" t="s">
        <v>102</v>
      </c>
      <c r="O595" s="162"/>
      <c r="P595" s="163"/>
      <c r="Q595" s="163"/>
      <c r="R595" s="163" t="str">
        <f ca="1">IF(OR(N595="Closed( C4 )",N595="Cancelled"),"",IF(AND(O595&lt;&gt;"",O595&lt;TODAY()),"Yes",""))</f>
        <v/>
      </c>
      <c r="S595" s="163" t="s">
        <v>103</v>
      </c>
      <c r="T595" s="164">
        <v>15000</v>
      </c>
      <c r="U595" s="164">
        <v>19250</v>
      </c>
      <c r="V595" s="162">
        <v>46206</v>
      </c>
      <c r="W595" s="214" t="s">
        <v>1005</v>
      </c>
      <c r="X595" s="163" t="s">
        <v>39</v>
      </c>
      <c r="Y595" s="163" t="s">
        <v>85</v>
      </c>
      <c r="Z595" s="163"/>
      <c r="AA595" s="162"/>
      <c r="AB595" s="195" t="str">
        <f t="shared" si="82"/>
        <v>Jul-26</v>
      </c>
      <c r="AC595" s="163"/>
      <c r="AD595" s="163" t="str">
        <f>IF(AC595="Yes",U595*2%,"")</f>
        <v/>
      </c>
      <c r="AE595" s="163"/>
    </row>
    <row r="596" spans="1:31" x14ac:dyDescent="0.35">
      <c r="A596" s="162">
        <v>46206</v>
      </c>
      <c r="B596" s="163" t="s">
        <v>125</v>
      </c>
      <c r="C596" s="163" t="s">
        <v>113</v>
      </c>
      <c r="D596" s="163" t="s">
        <v>260</v>
      </c>
      <c r="E596" s="163" t="s">
        <v>95</v>
      </c>
      <c r="F596" s="163" t="s">
        <v>96</v>
      </c>
      <c r="G596" s="163" t="s">
        <v>15</v>
      </c>
      <c r="H596" s="163" t="s">
        <v>163</v>
      </c>
      <c r="I596" s="163" t="s">
        <v>98</v>
      </c>
      <c r="J596" s="163" t="s">
        <v>147</v>
      </c>
      <c r="K596" s="163" t="s">
        <v>231</v>
      </c>
      <c r="L596" s="163"/>
      <c r="M596" s="163" t="s">
        <v>526</v>
      </c>
      <c r="N596" s="163" t="s">
        <v>102</v>
      </c>
      <c r="O596" s="162"/>
      <c r="P596" s="163"/>
      <c r="Q596" s="163"/>
      <c r="R596" s="163" t="str">
        <f ca="1">IF(OR(N596="Closed( C4 )",N596="Cancelled"),"",IF(AND(O596&lt;&gt;"",O596&lt;TODAY()),"Yes",""))</f>
        <v/>
      </c>
      <c r="S596" s="163" t="s">
        <v>103</v>
      </c>
      <c r="T596" s="164">
        <v>15000</v>
      </c>
      <c r="U596" s="164">
        <v>22325</v>
      </c>
      <c r="V596" s="162">
        <v>46206</v>
      </c>
      <c r="W596" s="214" t="s">
        <v>1005</v>
      </c>
      <c r="X596" s="163" t="s">
        <v>39</v>
      </c>
      <c r="Y596" s="163" t="s">
        <v>85</v>
      </c>
      <c r="Z596" s="163"/>
      <c r="AA596" s="162"/>
      <c r="AB596" s="195" t="str">
        <f t="shared" si="82"/>
        <v>Jul-26</v>
      </c>
      <c r="AC596" s="163"/>
      <c r="AD596" s="163" t="str">
        <f>IF(AC596="Yes",U596*2%,"")</f>
        <v/>
      </c>
      <c r="AE596" s="163"/>
    </row>
    <row r="597" spans="1:31" x14ac:dyDescent="0.35">
      <c r="A597" s="162">
        <v>46206</v>
      </c>
      <c r="B597" s="163" t="s">
        <v>148</v>
      </c>
      <c r="C597" s="163" t="s">
        <v>113</v>
      </c>
      <c r="D597" s="163" t="s">
        <v>1030</v>
      </c>
      <c r="E597" s="163" t="s">
        <v>95</v>
      </c>
      <c r="F597" s="163" t="s">
        <v>96</v>
      </c>
      <c r="G597" s="163" t="s">
        <v>15</v>
      </c>
      <c r="H597" s="163" t="s">
        <v>163</v>
      </c>
      <c r="I597" s="163" t="s">
        <v>121</v>
      </c>
      <c r="J597" s="163" t="s">
        <v>147</v>
      </c>
      <c r="K597" s="163" t="s">
        <v>525</v>
      </c>
      <c r="L597" s="163"/>
      <c r="M597" s="163" t="s">
        <v>526</v>
      </c>
      <c r="N597" s="163" t="s">
        <v>102</v>
      </c>
      <c r="O597" s="162"/>
      <c r="P597" s="163"/>
      <c r="Q597" s="163" t="str">
        <f ca="1">IF(N597="Closed(C4)","",IF(N597="","",TODAY()-A597))</f>
        <v/>
      </c>
      <c r="R597" s="163" t="str">
        <f ca="1">IF(OR(N597="Closed( C4 )",N597="Cancelled"),"",IF(AND(O597&lt;&gt;"",O597&lt;TODAY()),"Yes",""))</f>
        <v/>
      </c>
      <c r="S597" s="163" t="s">
        <v>103</v>
      </c>
      <c r="T597" s="164">
        <v>15000</v>
      </c>
      <c r="U597" s="164">
        <v>12948</v>
      </c>
      <c r="V597" s="162">
        <v>46206</v>
      </c>
      <c r="W597" s="214" t="s">
        <v>1031</v>
      </c>
      <c r="X597" s="163" t="s">
        <v>47</v>
      </c>
      <c r="Y597" s="163" t="s">
        <v>85</v>
      </c>
      <c r="Z597" s="163"/>
      <c r="AA597" s="162"/>
      <c r="AB597" s="195" t="str">
        <f t="shared" si="82"/>
        <v>Jul-26</v>
      </c>
      <c r="AC597" s="163"/>
      <c r="AD597" s="163" t="str">
        <f>IF(AC597="Yes",U597*2%,"")</f>
        <v/>
      </c>
      <c r="AE597" s="163"/>
    </row>
    <row r="598" spans="1:31" x14ac:dyDescent="0.35">
      <c r="A598" s="162">
        <v>46206</v>
      </c>
      <c r="B598" s="163" t="s">
        <v>370</v>
      </c>
      <c r="C598" s="163" t="s">
        <v>93</v>
      </c>
      <c r="D598" s="163" t="s">
        <v>1032</v>
      </c>
      <c r="E598" s="163" t="s">
        <v>106</v>
      </c>
      <c r="F598" s="163" t="s">
        <v>135</v>
      </c>
      <c r="G598" s="163"/>
      <c r="H598" s="163" t="s">
        <v>115</v>
      </c>
      <c r="I598" s="163" t="s">
        <v>121</v>
      </c>
      <c r="J598" s="163" t="s">
        <v>897</v>
      </c>
      <c r="K598" s="163" t="s">
        <v>1033</v>
      </c>
      <c r="L598" s="163"/>
      <c r="M598" s="163" t="s">
        <v>159</v>
      </c>
      <c r="N598" s="163" t="s">
        <v>102</v>
      </c>
      <c r="O598" s="162"/>
      <c r="P598" s="163"/>
      <c r="Q598" s="163"/>
      <c r="R598" s="163"/>
      <c r="S598" s="163" t="s">
        <v>103</v>
      </c>
      <c r="T598" s="164">
        <v>35000</v>
      </c>
      <c r="U598" s="164">
        <v>28796</v>
      </c>
      <c r="V598" s="162">
        <v>46206</v>
      </c>
      <c r="W598" s="163" t="s">
        <v>1034</v>
      </c>
      <c r="X598" s="163" t="s">
        <v>42</v>
      </c>
      <c r="Y598" s="163" t="s">
        <v>161</v>
      </c>
      <c r="Z598" s="163"/>
      <c r="AA598" s="162">
        <v>46206</v>
      </c>
      <c r="AB598" s="195" t="str">
        <f t="shared" si="82"/>
        <v>Jul-26</v>
      </c>
      <c r="AC598" s="163"/>
      <c r="AD598" s="163"/>
      <c r="AE598" s="163" t="s">
        <v>270</v>
      </c>
    </row>
    <row r="599" spans="1:31" x14ac:dyDescent="0.35">
      <c r="A599" s="162">
        <v>46206</v>
      </c>
      <c r="B599" s="163" t="s">
        <v>92</v>
      </c>
      <c r="C599" s="163" t="s">
        <v>93</v>
      </c>
      <c r="D599" s="163" t="s">
        <v>1035</v>
      </c>
      <c r="E599" s="163" t="s">
        <v>106</v>
      </c>
      <c r="F599" s="163" t="s">
        <v>135</v>
      </c>
      <c r="G599" s="163"/>
      <c r="H599" s="163" t="s">
        <v>163</v>
      </c>
      <c r="I599" s="163" t="s">
        <v>121</v>
      </c>
      <c r="J599" s="163" t="s">
        <v>147</v>
      </c>
      <c r="K599" s="163" t="s">
        <v>365</v>
      </c>
      <c r="L599" s="163"/>
      <c r="M599" s="163" t="s">
        <v>1036</v>
      </c>
      <c r="N599" s="163" t="s">
        <v>156</v>
      </c>
      <c r="O599" s="162"/>
      <c r="P599" s="163"/>
      <c r="Q599" s="163"/>
      <c r="R599" s="163"/>
      <c r="S599" s="163" t="s">
        <v>103</v>
      </c>
      <c r="T599" s="164">
        <v>0</v>
      </c>
      <c r="U599" s="164"/>
      <c r="V599" s="162"/>
      <c r="W599" s="163"/>
      <c r="X599" s="163"/>
      <c r="Y599" s="163"/>
      <c r="Z599" s="163"/>
      <c r="AA599" s="162"/>
      <c r="AB599" s="195" t="str">
        <f t="shared" si="82"/>
        <v>Jul-26</v>
      </c>
      <c r="AC599" s="163"/>
      <c r="AD599" s="163"/>
      <c r="AE599" s="163"/>
    </row>
    <row r="600" spans="1:31" x14ac:dyDescent="0.35">
      <c r="A600" s="162">
        <v>46206</v>
      </c>
      <c r="B600" s="163" t="s">
        <v>370</v>
      </c>
      <c r="C600" s="163" t="s">
        <v>93</v>
      </c>
      <c r="D600" s="163" t="s">
        <v>1037</v>
      </c>
      <c r="E600" s="163" t="s">
        <v>106</v>
      </c>
      <c r="F600" s="163"/>
      <c r="G600" s="163"/>
      <c r="H600" s="163" t="s">
        <v>115</v>
      </c>
      <c r="I600" s="163" t="s">
        <v>121</v>
      </c>
      <c r="J600" s="163" t="s">
        <v>147</v>
      </c>
      <c r="K600" s="163" t="s">
        <v>1038</v>
      </c>
      <c r="L600" s="163"/>
      <c r="M600" s="163" t="s">
        <v>948</v>
      </c>
      <c r="N600" s="163" t="s">
        <v>181</v>
      </c>
      <c r="O600" s="162"/>
      <c r="P600" s="163"/>
      <c r="Q600" s="163"/>
      <c r="R600" s="163"/>
      <c r="S600" s="163" t="s">
        <v>129</v>
      </c>
      <c r="T600" s="164">
        <v>25000</v>
      </c>
      <c r="U600" s="164"/>
      <c r="V600" s="162"/>
      <c r="W600" s="163"/>
      <c r="X600" s="163"/>
      <c r="Y600" s="163"/>
      <c r="Z600" s="163"/>
      <c r="AA600" s="162"/>
      <c r="AB600" s="195" t="str">
        <f t="shared" si="82"/>
        <v>Jul-26</v>
      </c>
      <c r="AC600" s="163"/>
      <c r="AD600" s="163"/>
      <c r="AE600" s="163"/>
    </row>
    <row r="601" spans="1:31" x14ac:dyDescent="0.35">
      <c r="A601" s="162">
        <v>46206</v>
      </c>
      <c r="B601" s="163" t="s">
        <v>370</v>
      </c>
      <c r="C601" s="163" t="s">
        <v>93</v>
      </c>
      <c r="D601" s="163" t="s">
        <v>1039</v>
      </c>
      <c r="E601" s="163" t="s">
        <v>106</v>
      </c>
      <c r="F601" s="163"/>
      <c r="G601" s="163"/>
      <c r="H601" s="163" t="s">
        <v>115</v>
      </c>
      <c r="I601" s="163" t="s">
        <v>121</v>
      </c>
      <c r="J601" s="163" t="s">
        <v>147</v>
      </c>
      <c r="K601" s="163" t="s">
        <v>649</v>
      </c>
      <c r="L601" s="163"/>
      <c r="M601" s="163" t="s">
        <v>914</v>
      </c>
      <c r="N601" s="163" t="s">
        <v>181</v>
      </c>
      <c r="O601" s="162">
        <v>46268</v>
      </c>
      <c r="P601" s="163" t="s">
        <v>95</v>
      </c>
      <c r="Q601" s="163"/>
      <c r="R601" s="163"/>
      <c r="S601" s="163" t="s">
        <v>133</v>
      </c>
      <c r="T601" s="164">
        <v>35000</v>
      </c>
      <c r="U601" s="164"/>
      <c r="V601" s="162"/>
      <c r="W601" s="163"/>
      <c r="X601" s="163"/>
      <c r="Y601" s="163"/>
      <c r="Z601" s="163"/>
      <c r="AA601" s="162"/>
      <c r="AB601" s="195" t="str">
        <f t="shared" si="82"/>
        <v>Jul-26</v>
      </c>
      <c r="AC601" s="163"/>
      <c r="AD601" s="163"/>
      <c r="AE601" s="163"/>
    </row>
    <row r="602" spans="1:31" x14ac:dyDescent="0.35">
      <c r="A602" s="162">
        <v>46206</v>
      </c>
      <c r="B602" s="163" t="s">
        <v>370</v>
      </c>
      <c r="C602" s="163" t="s">
        <v>93</v>
      </c>
      <c r="D602" s="163" t="s">
        <v>1040</v>
      </c>
      <c r="E602" s="163" t="s">
        <v>106</v>
      </c>
      <c r="F602" s="163"/>
      <c r="G602" s="163"/>
      <c r="H602" s="163" t="s">
        <v>115</v>
      </c>
      <c r="I602" s="163" t="s">
        <v>121</v>
      </c>
      <c r="J602" s="163" t="s">
        <v>356</v>
      </c>
      <c r="K602" s="163" t="s">
        <v>1041</v>
      </c>
      <c r="L602" s="163"/>
      <c r="M602" s="163" t="s">
        <v>914</v>
      </c>
      <c r="N602" s="163" t="s">
        <v>181</v>
      </c>
      <c r="O602" s="162"/>
      <c r="P602" s="163"/>
      <c r="Q602" s="163"/>
      <c r="R602" s="163"/>
      <c r="S602" s="163" t="s">
        <v>133</v>
      </c>
      <c r="T602" s="164">
        <v>40000</v>
      </c>
      <c r="U602" s="164"/>
      <c r="V602" s="162"/>
      <c r="W602" s="163"/>
      <c r="X602" s="163"/>
      <c r="Y602" s="163"/>
      <c r="Z602" s="163"/>
      <c r="AA602" s="162"/>
      <c r="AB602" s="195" t="str">
        <f t="shared" si="82"/>
        <v>Jul-26</v>
      </c>
      <c r="AC602" s="163"/>
      <c r="AD602" s="163"/>
      <c r="AE602" s="163"/>
    </row>
    <row r="603" spans="1:31" x14ac:dyDescent="0.35">
      <c r="A603" s="162">
        <v>46208</v>
      </c>
      <c r="B603" s="163" t="s">
        <v>92</v>
      </c>
      <c r="C603" s="163" t="s">
        <v>93</v>
      </c>
      <c r="D603" s="163" t="s">
        <v>1042</v>
      </c>
      <c r="E603" s="163" t="s">
        <v>106</v>
      </c>
      <c r="F603" s="163" t="s">
        <v>135</v>
      </c>
      <c r="G603" s="163"/>
      <c r="H603" s="163" t="s">
        <v>115</v>
      </c>
      <c r="I603" s="163" t="s">
        <v>121</v>
      </c>
      <c r="J603" s="163" t="s">
        <v>147</v>
      </c>
      <c r="K603" s="163" t="s">
        <v>1043</v>
      </c>
      <c r="L603" s="163"/>
      <c r="M603" s="163" t="s">
        <v>1044</v>
      </c>
      <c r="N603" s="163" t="s">
        <v>495</v>
      </c>
      <c r="O603" s="162"/>
      <c r="P603" s="163"/>
      <c r="Q603" s="163"/>
      <c r="R603" s="163"/>
      <c r="S603" s="163" t="s">
        <v>103</v>
      </c>
      <c r="T603" s="164">
        <v>700000</v>
      </c>
      <c r="U603" s="164"/>
      <c r="V603" s="162"/>
      <c r="W603" s="163"/>
      <c r="X603" s="163"/>
      <c r="Y603" s="163"/>
      <c r="Z603" s="163"/>
      <c r="AA603" s="162"/>
      <c r="AB603" s="195" t="str">
        <f t="shared" si="82"/>
        <v>Jul-26</v>
      </c>
      <c r="AC603" s="163"/>
      <c r="AD603" s="163"/>
      <c r="AE603" s="163"/>
    </row>
    <row r="604" spans="1:31" x14ac:dyDescent="0.35">
      <c r="A604" s="162">
        <v>46208</v>
      </c>
      <c r="B604" s="163" t="s">
        <v>370</v>
      </c>
      <c r="C604" s="163" t="s">
        <v>93</v>
      </c>
      <c r="D604" s="163" t="s">
        <v>1045</v>
      </c>
      <c r="E604" s="163" t="s">
        <v>106</v>
      </c>
      <c r="F604" s="163" t="s">
        <v>135</v>
      </c>
      <c r="G604" s="163"/>
      <c r="H604" s="163" t="s">
        <v>115</v>
      </c>
      <c r="I604" s="163" t="s">
        <v>121</v>
      </c>
      <c r="J604" s="163" t="s">
        <v>197</v>
      </c>
      <c r="K604" s="163" t="s">
        <v>1046</v>
      </c>
      <c r="L604" s="163"/>
      <c r="M604" s="163" t="s">
        <v>1047</v>
      </c>
      <c r="N604" s="163" t="s">
        <v>102</v>
      </c>
      <c r="O604" s="162"/>
      <c r="P604" s="163"/>
      <c r="Q604" s="163"/>
      <c r="R604" s="163"/>
      <c r="S604" s="163" t="s">
        <v>103</v>
      </c>
      <c r="T604" s="164">
        <v>15000</v>
      </c>
      <c r="U604" s="164">
        <v>23849</v>
      </c>
      <c r="V604" s="162">
        <v>46208</v>
      </c>
      <c r="W604" s="163" t="s">
        <v>1048</v>
      </c>
      <c r="X604" s="163" t="s">
        <v>26</v>
      </c>
      <c r="Y604" s="163" t="s">
        <v>161</v>
      </c>
      <c r="Z604" s="163"/>
      <c r="AA604" s="162">
        <v>46208</v>
      </c>
      <c r="AB604" s="195" t="str">
        <f t="shared" si="82"/>
        <v>Jul-26</v>
      </c>
      <c r="AC604" s="163"/>
      <c r="AD604" s="163"/>
      <c r="AE604" s="163" t="s">
        <v>270</v>
      </c>
    </row>
    <row r="605" spans="1:31" x14ac:dyDescent="0.35">
      <c r="A605" s="162">
        <v>46208</v>
      </c>
      <c r="B605" s="163" t="s">
        <v>370</v>
      </c>
      <c r="C605" s="163" t="s">
        <v>93</v>
      </c>
      <c r="D605" s="163" t="s">
        <v>407</v>
      </c>
      <c r="E605" s="163" t="s">
        <v>95</v>
      </c>
      <c r="F605" s="163"/>
      <c r="G605" s="163"/>
      <c r="H605" s="163" t="s">
        <v>115</v>
      </c>
      <c r="I605" s="163" t="s">
        <v>121</v>
      </c>
      <c r="J605" s="163" t="s">
        <v>262</v>
      </c>
      <c r="K605" s="163"/>
      <c r="L605" s="163"/>
      <c r="M605" s="163" t="s">
        <v>159</v>
      </c>
      <c r="N605" s="163" t="s">
        <v>102</v>
      </c>
      <c r="O605" s="162"/>
      <c r="P605" s="163"/>
      <c r="Q605" s="163"/>
      <c r="R605" s="163"/>
      <c r="S605" s="163" t="s">
        <v>103</v>
      </c>
      <c r="T605" s="164">
        <v>15000</v>
      </c>
      <c r="U605" s="164">
        <v>10148</v>
      </c>
      <c r="V605" s="162">
        <v>46208</v>
      </c>
      <c r="W605" s="163" t="s">
        <v>1049</v>
      </c>
      <c r="X605" s="163" t="s">
        <v>38</v>
      </c>
      <c r="Y605" s="163" t="s">
        <v>161</v>
      </c>
      <c r="Z605" s="163"/>
      <c r="AA605" s="162">
        <v>46208</v>
      </c>
      <c r="AB605" s="195" t="str">
        <f t="shared" si="82"/>
        <v>Jul-26</v>
      </c>
      <c r="AC605" s="163"/>
      <c r="AD605" s="163"/>
      <c r="AE605" s="163" t="s">
        <v>270</v>
      </c>
    </row>
    <row r="606" spans="1:31" x14ac:dyDescent="0.35">
      <c r="A606" s="162">
        <v>46209</v>
      </c>
      <c r="B606" s="163" t="s">
        <v>148</v>
      </c>
      <c r="C606" s="163" t="s">
        <v>113</v>
      </c>
      <c r="D606" s="163" t="s">
        <v>209</v>
      </c>
      <c r="E606" s="163" t="s">
        <v>106</v>
      </c>
      <c r="F606" s="163" t="s">
        <v>96</v>
      </c>
      <c r="G606" s="163" t="s">
        <v>11</v>
      </c>
      <c r="H606" s="163" t="s">
        <v>115</v>
      </c>
      <c r="I606" s="163" t="s">
        <v>121</v>
      </c>
      <c r="J606" s="163" t="s">
        <v>147</v>
      </c>
      <c r="K606" s="163" t="s">
        <v>774</v>
      </c>
      <c r="L606" s="163"/>
      <c r="M606" s="163" t="s">
        <v>1050</v>
      </c>
      <c r="N606" s="163" t="s">
        <v>102</v>
      </c>
      <c r="O606" s="162"/>
      <c r="P606" s="163"/>
      <c r="Q606" s="163"/>
      <c r="R606" s="163" t="str">
        <f ca="1">IF(OR(N606="Closed( C4 )",N606="Cancelled"),"",IF(AND(O606&lt;&gt;"",O606&lt;TODAY()),"Yes",""))</f>
        <v/>
      </c>
      <c r="S606" s="163" t="s">
        <v>103</v>
      </c>
      <c r="T606" s="164">
        <v>40000</v>
      </c>
      <c r="U606" s="164">
        <v>42620</v>
      </c>
      <c r="V606" s="162">
        <v>46209</v>
      </c>
      <c r="W606" s="214" t="s">
        <v>1051</v>
      </c>
      <c r="X606" s="163" t="s">
        <v>37</v>
      </c>
      <c r="Y606" s="163" t="s">
        <v>1017</v>
      </c>
      <c r="Z606" s="163"/>
      <c r="AA606" s="162"/>
      <c r="AB606" s="195" t="str">
        <f t="shared" si="82"/>
        <v>Jul-26</v>
      </c>
      <c r="AC606" s="163"/>
      <c r="AD606" s="163" t="str">
        <f>IF(AC606="Yes",U606*2%,"")</f>
        <v/>
      </c>
      <c r="AE606" s="163"/>
    </row>
    <row r="607" spans="1:31" x14ac:dyDescent="0.35">
      <c r="A607" s="162">
        <v>46209</v>
      </c>
      <c r="B607" s="163" t="s">
        <v>92</v>
      </c>
      <c r="C607" s="163" t="s">
        <v>93</v>
      </c>
      <c r="D607" s="163" t="s">
        <v>1052</v>
      </c>
      <c r="E607" s="163" t="s">
        <v>106</v>
      </c>
      <c r="F607" s="163" t="s">
        <v>96</v>
      </c>
      <c r="G607" s="163" t="s">
        <v>12</v>
      </c>
      <c r="H607" s="163" t="s">
        <v>115</v>
      </c>
      <c r="I607" s="163" t="s">
        <v>121</v>
      </c>
      <c r="J607" s="163" t="s">
        <v>99</v>
      </c>
      <c r="K607" s="163" t="s">
        <v>1053</v>
      </c>
      <c r="L607" s="163"/>
      <c r="M607" s="163" t="s">
        <v>1054</v>
      </c>
      <c r="N607" s="163" t="s">
        <v>130</v>
      </c>
      <c r="O607" s="162"/>
      <c r="P607" s="163"/>
      <c r="Q607" s="163">
        <f ca="1">IF(N607="Closed(C4)","",IF(N607="","",TODAY()-A607))</f>
        <v>116</v>
      </c>
      <c r="R607" s="163" t="str">
        <f ca="1">IF(OR(N607="Closed( C4 )",N607="Cancelled"),"",IF(AND(O607&lt;&gt;"",O607&lt;TODAY()),"Yes",""))</f>
        <v/>
      </c>
      <c r="S607" s="163" t="s">
        <v>103</v>
      </c>
      <c r="T607" s="164">
        <v>250000</v>
      </c>
      <c r="U607" s="164"/>
      <c r="V607" s="163"/>
      <c r="W607" s="163" t="s">
        <v>1055</v>
      </c>
      <c r="X607" s="163"/>
      <c r="Y607" s="163"/>
      <c r="Z607" s="163"/>
      <c r="AA607" s="162"/>
      <c r="AB607" s="195" t="str">
        <f t="shared" si="82"/>
        <v>Jul-26</v>
      </c>
      <c r="AC607" s="163"/>
      <c r="AD607" s="163" t="str">
        <f>IF(AC607="Yes",U607*2%,"")</f>
        <v/>
      </c>
      <c r="AE607" s="163"/>
    </row>
    <row r="608" spans="1:31" x14ac:dyDescent="0.35">
      <c r="A608" s="162">
        <v>46209</v>
      </c>
      <c r="B608" s="163" t="s">
        <v>92</v>
      </c>
      <c r="C608" s="163" t="s">
        <v>93</v>
      </c>
      <c r="D608" s="163" t="s">
        <v>1056</v>
      </c>
      <c r="E608" s="163" t="s">
        <v>106</v>
      </c>
      <c r="F608" s="163" t="s">
        <v>135</v>
      </c>
      <c r="G608" s="163"/>
      <c r="H608" s="163" t="s">
        <v>115</v>
      </c>
      <c r="I608" s="163" t="s">
        <v>121</v>
      </c>
      <c r="J608" s="163" t="s">
        <v>388</v>
      </c>
      <c r="K608" s="163" t="s">
        <v>511</v>
      </c>
      <c r="L608" s="163"/>
      <c r="M608" s="163" t="s">
        <v>1057</v>
      </c>
      <c r="N608" s="163" t="s">
        <v>181</v>
      </c>
      <c r="O608" s="162"/>
      <c r="P608" s="163"/>
      <c r="Q608" s="163">
        <f ca="1">IF(N608="Closed(C4)","",IF(N608="","",TODAY()-A608))</f>
        <v>116</v>
      </c>
      <c r="R608" s="163" t="str">
        <f ca="1">IF(OR(N608="Closed( C4 )",N608="Cancelled"),"",IF(AND(O608&lt;&gt;"",O608&lt;TODAY()),"Yes",""))</f>
        <v/>
      </c>
      <c r="S608" s="163" t="s">
        <v>103</v>
      </c>
      <c r="T608" s="164">
        <v>450000</v>
      </c>
      <c r="U608" s="164"/>
      <c r="V608" s="163"/>
      <c r="W608" s="163"/>
      <c r="X608" s="163"/>
      <c r="Y608" s="163"/>
      <c r="Z608" s="163"/>
      <c r="AA608" s="162"/>
      <c r="AB608" s="195" t="str">
        <f t="shared" si="82"/>
        <v>Jul-26</v>
      </c>
      <c r="AC608" s="163"/>
      <c r="AD608" s="163" t="str">
        <f>IF(AC608="Yes",U608*2%,"")</f>
        <v/>
      </c>
      <c r="AE608" s="163"/>
    </row>
    <row r="609" spans="1:31" x14ac:dyDescent="0.35">
      <c r="A609" s="162">
        <v>46209</v>
      </c>
      <c r="B609" s="163" t="s">
        <v>370</v>
      </c>
      <c r="C609" s="163" t="s">
        <v>93</v>
      </c>
      <c r="D609" s="163" t="s">
        <v>1058</v>
      </c>
      <c r="E609" s="163" t="s">
        <v>106</v>
      </c>
      <c r="F609" s="163" t="s">
        <v>135</v>
      </c>
      <c r="G609" s="163"/>
      <c r="H609" s="163" t="s">
        <v>115</v>
      </c>
      <c r="I609" s="163" t="s">
        <v>121</v>
      </c>
      <c r="J609" s="163" t="s">
        <v>147</v>
      </c>
      <c r="K609" s="163" t="s">
        <v>807</v>
      </c>
      <c r="L609" s="163"/>
      <c r="M609" s="163" t="s">
        <v>948</v>
      </c>
      <c r="N609" s="163" t="s">
        <v>181</v>
      </c>
      <c r="O609" s="162"/>
      <c r="P609" s="163"/>
      <c r="Q609" s="163"/>
      <c r="R609" s="163"/>
      <c r="S609" s="163" t="s">
        <v>129</v>
      </c>
      <c r="T609" s="164">
        <v>30000</v>
      </c>
      <c r="U609" s="164"/>
      <c r="V609" s="162"/>
      <c r="W609" s="163"/>
      <c r="X609" s="163"/>
      <c r="Y609" s="163"/>
      <c r="Z609" s="163"/>
      <c r="AA609" s="162"/>
      <c r="AB609" s="195" t="str">
        <f t="shared" si="82"/>
        <v>Jul-26</v>
      </c>
      <c r="AC609" s="163"/>
      <c r="AD609" s="163"/>
      <c r="AE609" s="163"/>
    </row>
    <row r="610" spans="1:31" x14ac:dyDescent="0.35">
      <c r="A610" s="162">
        <v>46209</v>
      </c>
      <c r="B610" s="163" t="s">
        <v>370</v>
      </c>
      <c r="C610" s="163" t="s">
        <v>93</v>
      </c>
      <c r="D610" s="163" t="s">
        <v>1059</v>
      </c>
      <c r="E610" s="163" t="s">
        <v>106</v>
      </c>
      <c r="F610" s="163" t="s">
        <v>135</v>
      </c>
      <c r="G610" s="163"/>
      <c r="H610" s="163" t="s">
        <v>115</v>
      </c>
      <c r="I610" s="163" t="s">
        <v>121</v>
      </c>
      <c r="J610" s="163" t="s">
        <v>147</v>
      </c>
      <c r="K610" s="163" t="s">
        <v>1060</v>
      </c>
      <c r="L610" s="163"/>
      <c r="M610" s="163" t="s">
        <v>914</v>
      </c>
      <c r="N610" s="163" t="s">
        <v>181</v>
      </c>
      <c r="O610" s="162"/>
      <c r="P610" s="163"/>
      <c r="Q610" s="163">
        <f t="shared" ref="Q610:Q615" ca="1" si="83">IF(N610="Closed(C4)","",IF(N610="","",TODAY()-A610))</f>
        <v>116</v>
      </c>
      <c r="R610" s="163" t="str">
        <f t="shared" ref="R610:R630" ca="1" si="84">IF(OR(N610="Closed( C4 )",N610="Cancelled"),"",IF(AND(O610&lt;&gt;"",O610&lt;TODAY()),"Yes",""))</f>
        <v/>
      </c>
      <c r="S610" s="163" t="s">
        <v>133</v>
      </c>
      <c r="T610" s="164">
        <v>50000</v>
      </c>
      <c r="U610" s="164"/>
      <c r="V610" s="163"/>
      <c r="W610" s="163"/>
      <c r="X610" s="163"/>
      <c r="Y610" s="163"/>
      <c r="Z610" s="163"/>
      <c r="AA610" s="162"/>
      <c r="AB610" s="195" t="str">
        <f t="shared" si="82"/>
        <v>Jul-26</v>
      </c>
      <c r="AC610" s="163"/>
      <c r="AD610" s="163" t="str">
        <f t="shared" ref="AD610:AD626" si="85">IF(AC610="Yes",U610*2%,"")</f>
        <v/>
      </c>
      <c r="AE610" s="163"/>
    </row>
    <row r="611" spans="1:31" x14ac:dyDescent="0.35">
      <c r="A611" s="162">
        <v>46209</v>
      </c>
      <c r="B611" s="163" t="s">
        <v>370</v>
      </c>
      <c r="C611" s="163" t="s">
        <v>93</v>
      </c>
      <c r="D611" s="163" t="s">
        <v>1061</v>
      </c>
      <c r="E611" s="163" t="s">
        <v>106</v>
      </c>
      <c r="F611" s="163" t="s">
        <v>135</v>
      </c>
      <c r="G611" s="163"/>
      <c r="H611" s="163" t="s">
        <v>115</v>
      </c>
      <c r="I611" s="163" t="s">
        <v>121</v>
      </c>
      <c r="J611" s="163" t="s">
        <v>147</v>
      </c>
      <c r="K611" s="163" t="s">
        <v>1062</v>
      </c>
      <c r="L611" s="163"/>
      <c r="M611" s="163" t="s">
        <v>948</v>
      </c>
      <c r="N611" s="163" t="s">
        <v>181</v>
      </c>
      <c r="O611" s="162"/>
      <c r="P611" s="163"/>
      <c r="Q611" s="163">
        <f t="shared" ca="1" si="83"/>
        <v>116</v>
      </c>
      <c r="R611" s="163" t="str">
        <f t="shared" ca="1" si="84"/>
        <v/>
      </c>
      <c r="S611" s="163" t="s">
        <v>129</v>
      </c>
      <c r="T611" s="164">
        <v>40000</v>
      </c>
      <c r="U611" s="164"/>
      <c r="V611" s="163"/>
      <c r="W611" s="163"/>
      <c r="X611" s="163"/>
      <c r="Y611" s="163"/>
      <c r="Z611" s="163"/>
      <c r="AA611" s="162"/>
      <c r="AB611" s="195" t="str">
        <f t="shared" si="82"/>
        <v>Jul-26</v>
      </c>
      <c r="AC611" s="163"/>
      <c r="AD611" s="163" t="str">
        <f t="shared" si="85"/>
        <v/>
      </c>
      <c r="AE611" s="163"/>
    </row>
    <row r="612" spans="1:31" x14ac:dyDescent="0.35">
      <c r="A612" s="162">
        <v>46209</v>
      </c>
      <c r="B612" s="163" t="s">
        <v>370</v>
      </c>
      <c r="C612" s="163" t="s">
        <v>93</v>
      </c>
      <c r="D612" s="163" t="s">
        <v>809</v>
      </c>
      <c r="E612" s="163" t="s">
        <v>106</v>
      </c>
      <c r="F612" s="163" t="s">
        <v>135</v>
      </c>
      <c r="G612" s="163"/>
      <c r="H612" s="163" t="s">
        <v>115</v>
      </c>
      <c r="I612" s="163" t="s">
        <v>121</v>
      </c>
      <c r="J612" s="163" t="s">
        <v>147</v>
      </c>
      <c r="K612" s="163" t="s">
        <v>1063</v>
      </c>
      <c r="L612" s="163"/>
      <c r="M612" s="163" t="s">
        <v>914</v>
      </c>
      <c r="N612" s="163" t="s">
        <v>181</v>
      </c>
      <c r="O612" s="162">
        <v>46258</v>
      </c>
      <c r="P612" s="163" t="s">
        <v>95</v>
      </c>
      <c r="Q612" s="163">
        <f t="shared" ca="1" si="83"/>
        <v>116</v>
      </c>
      <c r="R612" s="163" t="str">
        <f t="shared" ca="1" si="84"/>
        <v/>
      </c>
      <c r="S612" s="163" t="s">
        <v>129</v>
      </c>
      <c r="T612" s="164">
        <v>100000</v>
      </c>
      <c r="U612" s="164"/>
      <c r="V612" s="163"/>
      <c r="W612" s="163"/>
      <c r="X612" s="163"/>
      <c r="Y612" s="163"/>
      <c r="Z612" s="163"/>
      <c r="AA612" s="162"/>
      <c r="AB612" s="195" t="str">
        <f t="shared" si="82"/>
        <v>Jul-26</v>
      </c>
      <c r="AC612" s="163"/>
      <c r="AD612" s="163" t="str">
        <f t="shared" si="85"/>
        <v/>
      </c>
      <c r="AE612" s="163"/>
    </row>
    <row r="613" spans="1:31" x14ac:dyDescent="0.35">
      <c r="A613" s="162">
        <v>46209</v>
      </c>
      <c r="B613" s="163" t="s">
        <v>370</v>
      </c>
      <c r="C613" s="163" t="s">
        <v>93</v>
      </c>
      <c r="D613" s="163" t="s">
        <v>1064</v>
      </c>
      <c r="E613" s="163" t="s">
        <v>106</v>
      </c>
      <c r="F613" s="163" t="s">
        <v>135</v>
      </c>
      <c r="G613" s="163"/>
      <c r="H613" s="163" t="s">
        <v>115</v>
      </c>
      <c r="I613" s="163" t="s">
        <v>121</v>
      </c>
      <c r="J613" s="163" t="s">
        <v>432</v>
      </c>
      <c r="K613" s="163" t="s">
        <v>1065</v>
      </c>
      <c r="L613" s="163"/>
      <c r="M613" s="163" t="s">
        <v>914</v>
      </c>
      <c r="N613" s="163" t="s">
        <v>181</v>
      </c>
      <c r="O613" s="162"/>
      <c r="P613" s="163"/>
      <c r="Q613" s="163">
        <f t="shared" ca="1" si="83"/>
        <v>116</v>
      </c>
      <c r="R613" s="163" t="str">
        <f t="shared" ca="1" si="84"/>
        <v/>
      </c>
      <c r="S613" s="163" t="s">
        <v>129</v>
      </c>
      <c r="T613" s="164">
        <v>50000</v>
      </c>
      <c r="U613" s="164"/>
      <c r="V613" s="163"/>
      <c r="W613" s="163"/>
      <c r="X613" s="163"/>
      <c r="Y613" s="163"/>
      <c r="Z613" s="163"/>
      <c r="AA613" s="162"/>
      <c r="AB613" s="195" t="str">
        <f t="shared" si="82"/>
        <v>Jul-26</v>
      </c>
      <c r="AC613" s="163"/>
      <c r="AD613" s="163" t="str">
        <f t="shared" si="85"/>
        <v/>
      </c>
      <c r="AE613" s="163"/>
    </row>
    <row r="614" spans="1:31" x14ac:dyDescent="0.35">
      <c r="A614" s="162">
        <v>46209</v>
      </c>
      <c r="B614" s="163" t="s">
        <v>92</v>
      </c>
      <c r="C614" s="163" t="s">
        <v>93</v>
      </c>
      <c r="D614" s="163" t="s">
        <v>182</v>
      </c>
      <c r="E614" s="163" t="s">
        <v>95</v>
      </c>
      <c r="F614" s="163" t="s">
        <v>96</v>
      </c>
      <c r="G614" s="163" t="s">
        <v>15</v>
      </c>
      <c r="H614" s="163" t="s">
        <v>115</v>
      </c>
      <c r="I614" s="163" t="s">
        <v>121</v>
      </c>
      <c r="J614" s="163" t="s">
        <v>99</v>
      </c>
      <c r="K614" s="163" t="s">
        <v>384</v>
      </c>
      <c r="L614" s="163"/>
      <c r="M614" s="163" t="s">
        <v>1066</v>
      </c>
      <c r="N614" s="163" t="s">
        <v>102</v>
      </c>
      <c r="O614" s="162"/>
      <c r="P614" s="163"/>
      <c r="Q614" s="163" t="str">
        <f t="shared" ca="1" si="83"/>
        <v/>
      </c>
      <c r="R614" s="163" t="str">
        <f t="shared" ca="1" si="84"/>
        <v/>
      </c>
      <c r="S614" s="163" t="s">
        <v>103</v>
      </c>
      <c r="T614" s="164">
        <v>10000</v>
      </c>
      <c r="U614" s="164">
        <v>37272</v>
      </c>
      <c r="V614" s="162">
        <v>46209</v>
      </c>
      <c r="W614" s="163" t="s">
        <v>1067</v>
      </c>
      <c r="X614" s="163" t="s">
        <v>30</v>
      </c>
      <c r="Y614" s="163" t="s">
        <v>85</v>
      </c>
      <c r="Z614" s="163"/>
      <c r="AA614" s="162"/>
      <c r="AB614" s="195" t="str">
        <f t="shared" si="82"/>
        <v>Jul-26</v>
      </c>
      <c r="AC614" s="163"/>
      <c r="AD614" s="163" t="str">
        <f t="shared" si="85"/>
        <v/>
      </c>
      <c r="AE614" s="163"/>
    </row>
    <row r="615" spans="1:31" x14ac:dyDescent="0.35">
      <c r="A615" s="162">
        <v>46209</v>
      </c>
      <c r="B615" s="163" t="s">
        <v>92</v>
      </c>
      <c r="C615" s="163" t="s">
        <v>93</v>
      </c>
      <c r="D615" s="163" t="s">
        <v>186</v>
      </c>
      <c r="E615" s="163" t="s">
        <v>95</v>
      </c>
      <c r="F615" s="163" t="s">
        <v>96</v>
      </c>
      <c r="G615" s="163" t="s">
        <v>15</v>
      </c>
      <c r="H615" s="163" t="s">
        <v>163</v>
      </c>
      <c r="I615" s="163" t="s">
        <v>121</v>
      </c>
      <c r="J615" s="163" t="s">
        <v>116</v>
      </c>
      <c r="K615" s="163" t="s">
        <v>183</v>
      </c>
      <c r="L615" s="163"/>
      <c r="M615" s="163" t="s">
        <v>1066</v>
      </c>
      <c r="N615" s="163" t="s">
        <v>102</v>
      </c>
      <c r="O615" s="162"/>
      <c r="P615" s="163"/>
      <c r="Q615" s="163" t="str">
        <f t="shared" ca="1" si="83"/>
        <v/>
      </c>
      <c r="R615" s="163" t="str">
        <f t="shared" ca="1" si="84"/>
        <v/>
      </c>
      <c r="S615" s="163" t="s">
        <v>103</v>
      </c>
      <c r="T615" s="164">
        <v>10000</v>
      </c>
      <c r="U615" s="164">
        <v>10736</v>
      </c>
      <c r="V615" s="162">
        <v>46209</v>
      </c>
      <c r="W615" s="163" t="s">
        <v>1068</v>
      </c>
      <c r="X615" s="163" t="s">
        <v>30</v>
      </c>
      <c r="Y615" s="163" t="s">
        <v>85</v>
      </c>
      <c r="Z615" s="163"/>
      <c r="AA615" s="162"/>
      <c r="AB615" s="195" t="str">
        <f t="shared" si="82"/>
        <v>Jul-26</v>
      </c>
      <c r="AC615" s="163"/>
      <c r="AD615" s="163" t="str">
        <f t="shared" si="85"/>
        <v/>
      </c>
      <c r="AE615" s="163"/>
    </row>
    <row r="616" spans="1:31" x14ac:dyDescent="0.35">
      <c r="A616" s="162">
        <v>46209</v>
      </c>
      <c r="B616" s="163" t="s">
        <v>148</v>
      </c>
      <c r="C616" s="163" t="s">
        <v>113</v>
      </c>
      <c r="D616" s="163" t="s">
        <v>1069</v>
      </c>
      <c r="E616" s="163" t="s">
        <v>106</v>
      </c>
      <c r="F616" s="163" t="s">
        <v>135</v>
      </c>
      <c r="G616" s="163"/>
      <c r="H616" s="163" t="s">
        <v>115</v>
      </c>
      <c r="I616" s="163" t="s">
        <v>121</v>
      </c>
      <c r="J616" s="163" t="s">
        <v>147</v>
      </c>
      <c r="K616" s="163" t="s">
        <v>1070</v>
      </c>
      <c r="L616" s="163"/>
      <c r="M616" s="163" t="s">
        <v>1071</v>
      </c>
      <c r="N616" s="163" t="s">
        <v>130</v>
      </c>
      <c r="O616" s="162">
        <v>46290</v>
      </c>
      <c r="P616" s="163"/>
      <c r="Q616" s="163"/>
      <c r="R616" s="163" t="str">
        <f t="shared" ca="1" si="84"/>
        <v>Yes</v>
      </c>
      <c r="S616" s="163" t="s">
        <v>129</v>
      </c>
      <c r="T616" s="164">
        <v>15000</v>
      </c>
      <c r="U616" s="164"/>
      <c r="V616" s="163"/>
      <c r="W616" s="163"/>
      <c r="X616" s="163"/>
      <c r="Y616" s="163"/>
      <c r="Z616" s="163"/>
      <c r="AA616" s="162"/>
      <c r="AB616" s="195" t="str">
        <f t="shared" si="82"/>
        <v>Jul-26</v>
      </c>
      <c r="AC616" s="163"/>
      <c r="AD616" s="163" t="str">
        <f t="shared" si="85"/>
        <v/>
      </c>
      <c r="AE616" s="163"/>
    </row>
    <row r="617" spans="1:31" x14ac:dyDescent="0.35">
      <c r="A617" s="162">
        <v>46209</v>
      </c>
      <c r="B617" s="163" t="s">
        <v>148</v>
      </c>
      <c r="C617" s="163" t="s">
        <v>113</v>
      </c>
      <c r="D617" s="163" t="s">
        <v>1072</v>
      </c>
      <c r="E617" s="163" t="s">
        <v>106</v>
      </c>
      <c r="F617" s="163" t="s">
        <v>135</v>
      </c>
      <c r="G617" s="163"/>
      <c r="H617" s="163" t="s">
        <v>115</v>
      </c>
      <c r="I617" s="163" t="s">
        <v>121</v>
      </c>
      <c r="J617" s="163" t="s">
        <v>356</v>
      </c>
      <c r="K617" s="163" t="s">
        <v>1073</v>
      </c>
      <c r="L617" s="163"/>
      <c r="M617" s="163" t="s">
        <v>1074</v>
      </c>
      <c r="N617" s="163" t="s">
        <v>128</v>
      </c>
      <c r="O617" s="162">
        <v>46223</v>
      </c>
      <c r="P617" s="163" t="s">
        <v>95</v>
      </c>
      <c r="Q617" s="163">
        <f ca="1">IF(N617="Closed(C4)","",IF(N617="","",TODAY()-A617))</f>
        <v>116</v>
      </c>
      <c r="R617" s="163" t="str">
        <f t="shared" ca="1" si="84"/>
        <v>Yes</v>
      </c>
      <c r="S617" s="163" t="s">
        <v>129</v>
      </c>
      <c r="T617" s="164">
        <v>12000</v>
      </c>
      <c r="U617" s="164"/>
      <c r="V617" s="163"/>
      <c r="W617" s="163"/>
      <c r="X617" s="163"/>
      <c r="Y617" s="163"/>
      <c r="Z617" s="163"/>
      <c r="AA617" s="162"/>
      <c r="AB617" s="195" t="str">
        <f t="shared" si="82"/>
        <v>Jul-26</v>
      </c>
      <c r="AC617" s="163"/>
      <c r="AD617" s="163" t="str">
        <f t="shared" si="85"/>
        <v/>
      </c>
      <c r="AE617" s="163"/>
    </row>
    <row r="618" spans="1:31" x14ac:dyDescent="0.35">
      <c r="A618" s="162">
        <v>46210</v>
      </c>
      <c r="B618" s="163" t="s">
        <v>370</v>
      </c>
      <c r="C618" s="163" t="s">
        <v>93</v>
      </c>
      <c r="D618" s="163" t="s">
        <v>1075</v>
      </c>
      <c r="E618" s="163" t="s">
        <v>106</v>
      </c>
      <c r="F618" s="163" t="s">
        <v>96</v>
      </c>
      <c r="G618" s="163" t="s">
        <v>14</v>
      </c>
      <c r="H618" s="163" t="s">
        <v>115</v>
      </c>
      <c r="I618" s="163" t="s">
        <v>121</v>
      </c>
      <c r="J618" s="163" t="s">
        <v>153</v>
      </c>
      <c r="K618" s="163" t="s">
        <v>981</v>
      </c>
      <c r="L618" s="163"/>
      <c r="M618" s="163" t="s">
        <v>948</v>
      </c>
      <c r="N618" s="163" t="s">
        <v>102</v>
      </c>
      <c r="O618" s="162"/>
      <c r="P618" s="163"/>
      <c r="Q618" s="163" t="str">
        <f ca="1">IF(N618="Closed(C4)","",IF(N618="","",TODAY()-A618))</f>
        <v/>
      </c>
      <c r="R618" s="163" t="str">
        <f t="shared" ca="1" si="84"/>
        <v/>
      </c>
      <c r="S618" s="163" t="s">
        <v>103</v>
      </c>
      <c r="T618" s="164">
        <v>50000</v>
      </c>
      <c r="U618" s="164"/>
      <c r="V618" s="163"/>
      <c r="W618" s="163"/>
      <c r="X618" s="163"/>
      <c r="Y618" s="163"/>
      <c r="Z618" s="163"/>
      <c r="AA618" s="162"/>
      <c r="AB618" s="195" t="str">
        <f t="shared" si="82"/>
        <v>Jul-26</v>
      </c>
      <c r="AC618" s="163"/>
      <c r="AD618" s="163" t="str">
        <f t="shared" si="85"/>
        <v/>
      </c>
      <c r="AE618" s="163"/>
    </row>
    <row r="619" spans="1:31" x14ac:dyDescent="0.35">
      <c r="A619" s="162">
        <v>46210</v>
      </c>
      <c r="B619" s="163" t="s">
        <v>370</v>
      </c>
      <c r="C619" s="163" t="s">
        <v>93</v>
      </c>
      <c r="D619" s="163" t="s">
        <v>407</v>
      </c>
      <c r="E619" s="163" t="s">
        <v>106</v>
      </c>
      <c r="F619" s="163"/>
      <c r="G619" s="163"/>
      <c r="H619" s="163" t="s">
        <v>115</v>
      </c>
      <c r="I619" s="163" t="s">
        <v>121</v>
      </c>
      <c r="J619" s="163" t="s">
        <v>262</v>
      </c>
      <c r="K619" s="163" t="s">
        <v>1076</v>
      </c>
      <c r="L619" s="163"/>
      <c r="M619" s="163" t="s">
        <v>864</v>
      </c>
      <c r="N619" s="163" t="s">
        <v>181</v>
      </c>
      <c r="O619" s="162"/>
      <c r="P619" s="163"/>
      <c r="Q619" s="163">
        <f ca="1">IF(N619="Closed(C4)","",IF(N619="","",TODAY()-A619))</f>
        <v>115</v>
      </c>
      <c r="R619" s="163" t="str">
        <f t="shared" ca="1" si="84"/>
        <v/>
      </c>
      <c r="S619" s="163" t="s">
        <v>103</v>
      </c>
      <c r="T619" s="164">
        <v>15000</v>
      </c>
      <c r="U619" s="164"/>
      <c r="V619" s="163"/>
      <c r="W619" s="163"/>
      <c r="X619" s="163"/>
      <c r="Y619" s="163"/>
      <c r="Z619" s="163"/>
      <c r="AA619" s="162"/>
      <c r="AB619" s="195" t="str">
        <f t="shared" si="82"/>
        <v>Jul-26</v>
      </c>
      <c r="AC619" s="163"/>
      <c r="AD619" s="163" t="str">
        <f t="shared" si="85"/>
        <v/>
      </c>
      <c r="AE619" s="163"/>
    </row>
    <row r="620" spans="1:31" x14ac:dyDescent="0.35">
      <c r="A620" s="162">
        <v>46210</v>
      </c>
      <c r="B620" s="163" t="s">
        <v>92</v>
      </c>
      <c r="C620" s="163" t="s">
        <v>93</v>
      </c>
      <c r="D620" s="163" t="s">
        <v>182</v>
      </c>
      <c r="E620" s="163" t="s">
        <v>95</v>
      </c>
      <c r="F620" s="163" t="s">
        <v>96</v>
      </c>
      <c r="G620" s="163" t="s">
        <v>15</v>
      </c>
      <c r="H620" s="163" t="s">
        <v>115</v>
      </c>
      <c r="I620" s="163" t="s">
        <v>121</v>
      </c>
      <c r="J620" s="163" t="s">
        <v>99</v>
      </c>
      <c r="K620" s="163" t="s">
        <v>384</v>
      </c>
      <c r="L620" s="163"/>
      <c r="M620" s="163" t="s">
        <v>1066</v>
      </c>
      <c r="N620" s="163" t="s">
        <v>102</v>
      </c>
      <c r="O620" s="162"/>
      <c r="P620" s="163"/>
      <c r="Q620" s="163" t="str">
        <f ca="1">IF(N620="Closed(C4)","",IF(N620="","",TODAY()-#REF!))</f>
        <v/>
      </c>
      <c r="R620" s="163" t="str">
        <f t="shared" ca="1" si="84"/>
        <v/>
      </c>
      <c r="S620" s="163" t="s">
        <v>103</v>
      </c>
      <c r="T620" s="164">
        <v>10000</v>
      </c>
      <c r="U620" s="164">
        <v>41395</v>
      </c>
      <c r="V620" s="162">
        <v>46209</v>
      </c>
      <c r="W620" s="163" t="s">
        <v>1077</v>
      </c>
      <c r="X620" s="163" t="s">
        <v>30</v>
      </c>
      <c r="Y620" s="163" t="s">
        <v>85</v>
      </c>
      <c r="Z620" s="163"/>
      <c r="AA620" s="162"/>
      <c r="AB620" s="195" t="str">
        <f t="shared" si="82"/>
        <v>Jul-26</v>
      </c>
      <c r="AC620" s="163"/>
      <c r="AD620" s="163" t="str">
        <f t="shared" si="85"/>
        <v/>
      </c>
      <c r="AE620" s="163"/>
    </row>
    <row r="621" spans="1:31" x14ac:dyDescent="0.35">
      <c r="A621" s="162">
        <v>46210</v>
      </c>
      <c r="B621" s="163" t="s">
        <v>92</v>
      </c>
      <c r="C621" s="163" t="s">
        <v>93</v>
      </c>
      <c r="D621" s="163" t="s">
        <v>186</v>
      </c>
      <c r="E621" s="163" t="s">
        <v>95</v>
      </c>
      <c r="F621" s="163" t="s">
        <v>96</v>
      </c>
      <c r="G621" s="163" t="s">
        <v>15</v>
      </c>
      <c r="H621" s="163" t="s">
        <v>163</v>
      </c>
      <c r="I621" s="163" t="s">
        <v>121</v>
      </c>
      <c r="J621" s="163" t="s">
        <v>116</v>
      </c>
      <c r="K621" s="163" t="s">
        <v>183</v>
      </c>
      <c r="L621" s="163"/>
      <c r="M621" s="163" t="s">
        <v>1066</v>
      </c>
      <c r="N621" s="163" t="s">
        <v>102</v>
      </c>
      <c r="O621" s="162"/>
      <c r="P621" s="163"/>
      <c r="Q621" s="163" t="str">
        <f ca="1">IF(N621="Closed(C4)","",IF(N621="","",TODAY()-#REF!))</f>
        <v/>
      </c>
      <c r="R621" s="163" t="str">
        <f t="shared" ca="1" si="84"/>
        <v/>
      </c>
      <c r="S621" s="163" t="s">
        <v>103</v>
      </c>
      <c r="T621" s="164">
        <v>10000</v>
      </c>
      <c r="U621" s="164">
        <v>8310</v>
      </c>
      <c r="V621" s="162">
        <v>46209</v>
      </c>
      <c r="W621" s="163" t="s">
        <v>1078</v>
      </c>
      <c r="X621" s="163" t="s">
        <v>30</v>
      </c>
      <c r="Y621" s="163" t="s">
        <v>85</v>
      </c>
      <c r="Z621" s="163"/>
      <c r="AA621" s="162"/>
      <c r="AB621" s="195" t="str">
        <f t="shared" si="82"/>
        <v>Jul-26</v>
      </c>
      <c r="AC621" s="163"/>
      <c r="AD621" s="163" t="str">
        <f t="shared" si="85"/>
        <v/>
      </c>
      <c r="AE621" s="163"/>
    </row>
    <row r="622" spans="1:31" x14ac:dyDescent="0.35">
      <c r="A622" s="162">
        <v>46210</v>
      </c>
      <c r="B622" s="163" t="s">
        <v>125</v>
      </c>
      <c r="C622" s="163" t="s">
        <v>113</v>
      </c>
      <c r="D622" s="163" t="s">
        <v>223</v>
      </c>
      <c r="E622" s="163" t="s">
        <v>106</v>
      </c>
      <c r="F622" s="163" t="s">
        <v>135</v>
      </c>
      <c r="G622" s="163"/>
      <c r="H622" s="163" t="s">
        <v>97</v>
      </c>
      <c r="I622" s="163" t="s">
        <v>98</v>
      </c>
      <c r="J622" s="163" t="s">
        <v>166</v>
      </c>
      <c r="K622" s="163" t="s">
        <v>224</v>
      </c>
      <c r="L622" s="163"/>
      <c r="M622" s="163" t="s">
        <v>390</v>
      </c>
      <c r="N622" s="163" t="s">
        <v>102</v>
      </c>
      <c r="O622" s="162"/>
      <c r="P622" s="163"/>
      <c r="Q622" s="163"/>
      <c r="R622" s="163" t="str">
        <f t="shared" ca="1" si="84"/>
        <v/>
      </c>
      <c r="S622" s="163" t="s">
        <v>103</v>
      </c>
      <c r="T622" s="164">
        <v>15000</v>
      </c>
      <c r="U622" s="164">
        <v>11659</v>
      </c>
      <c r="V622" s="162">
        <v>46211</v>
      </c>
      <c r="W622" s="163" t="s">
        <v>1079</v>
      </c>
      <c r="X622" s="163" t="s">
        <v>62</v>
      </c>
      <c r="Y622" s="163" t="s">
        <v>161</v>
      </c>
      <c r="Z622" s="163"/>
      <c r="AA622" s="162">
        <v>46211</v>
      </c>
      <c r="AB622" s="195" t="str">
        <f t="shared" si="82"/>
        <v>Jul-26</v>
      </c>
      <c r="AC622" s="163"/>
      <c r="AD622" s="163" t="str">
        <f t="shared" si="85"/>
        <v/>
      </c>
      <c r="AE622" s="163"/>
    </row>
    <row r="623" spans="1:31" x14ac:dyDescent="0.35">
      <c r="A623" s="162">
        <v>46210</v>
      </c>
      <c r="B623" s="163" t="s">
        <v>148</v>
      </c>
      <c r="C623" s="163" t="s">
        <v>113</v>
      </c>
      <c r="D623" s="163" t="s">
        <v>1080</v>
      </c>
      <c r="E623" s="163" t="s">
        <v>106</v>
      </c>
      <c r="F623" s="163" t="s">
        <v>96</v>
      </c>
      <c r="G623" s="163" t="s">
        <v>15</v>
      </c>
      <c r="H623" s="163" t="s">
        <v>97</v>
      </c>
      <c r="I623" s="163" t="s">
        <v>121</v>
      </c>
      <c r="J623" s="163" t="s">
        <v>147</v>
      </c>
      <c r="K623" s="163" t="s">
        <v>525</v>
      </c>
      <c r="L623" s="163"/>
      <c r="M623" s="163" t="s">
        <v>390</v>
      </c>
      <c r="N623" s="163" t="s">
        <v>102</v>
      </c>
      <c r="O623" s="162"/>
      <c r="P623" s="163"/>
      <c r="Q623" s="163" t="str">
        <f t="shared" ref="Q623:Q628" ca="1" si="86">IF(N623="Closed(C4)","",IF(N623="","",TODAY()-A623))</f>
        <v/>
      </c>
      <c r="R623" s="163" t="str">
        <f t="shared" ca="1" si="84"/>
        <v/>
      </c>
      <c r="S623" s="163" t="s">
        <v>103</v>
      </c>
      <c r="T623" s="164">
        <v>15000</v>
      </c>
      <c r="U623" s="164">
        <v>21390</v>
      </c>
      <c r="V623" s="162">
        <v>46210</v>
      </c>
      <c r="W623" s="214" t="s">
        <v>1081</v>
      </c>
      <c r="X623" s="163" t="s">
        <v>37</v>
      </c>
      <c r="Y623" s="163" t="s">
        <v>85</v>
      </c>
      <c r="Z623" s="163"/>
      <c r="AA623" s="162"/>
      <c r="AB623" s="195" t="str">
        <f t="shared" si="82"/>
        <v>Jul-26</v>
      </c>
      <c r="AC623" s="163"/>
      <c r="AD623" s="163" t="str">
        <f t="shared" si="85"/>
        <v/>
      </c>
      <c r="AE623" s="163"/>
    </row>
    <row r="624" spans="1:31" x14ac:dyDescent="0.35">
      <c r="A624" s="162">
        <v>46210</v>
      </c>
      <c r="B624" s="163" t="s">
        <v>148</v>
      </c>
      <c r="C624" s="163" t="s">
        <v>113</v>
      </c>
      <c r="D624" s="163" t="s">
        <v>1082</v>
      </c>
      <c r="E624" s="163" t="s">
        <v>106</v>
      </c>
      <c r="F624" s="163" t="s">
        <v>96</v>
      </c>
      <c r="G624" s="163" t="s">
        <v>15</v>
      </c>
      <c r="H624" s="163" t="s">
        <v>97</v>
      </c>
      <c r="I624" s="163" t="s">
        <v>121</v>
      </c>
      <c r="J624" s="163" t="s">
        <v>147</v>
      </c>
      <c r="K624" s="163" t="s">
        <v>525</v>
      </c>
      <c r="L624" s="163"/>
      <c r="M624" s="163" t="s">
        <v>390</v>
      </c>
      <c r="N624" s="163" t="s">
        <v>102</v>
      </c>
      <c r="O624" s="162"/>
      <c r="P624" s="163"/>
      <c r="Q624" s="163" t="str">
        <f t="shared" ca="1" si="86"/>
        <v/>
      </c>
      <c r="R624" s="163" t="str">
        <f t="shared" ca="1" si="84"/>
        <v/>
      </c>
      <c r="S624" s="163" t="s">
        <v>103</v>
      </c>
      <c r="T624" s="164">
        <v>15000</v>
      </c>
      <c r="U624" s="164">
        <v>12905</v>
      </c>
      <c r="V624" s="162">
        <v>46210</v>
      </c>
      <c r="W624" s="214" t="s">
        <v>1083</v>
      </c>
      <c r="X624" s="163" t="s">
        <v>37</v>
      </c>
      <c r="Y624" s="163" t="s">
        <v>85</v>
      </c>
      <c r="Z624" s="163"/>
      <c r="AA624" s="162"/>
      <c r="AB624" s="195" t="str">
        <f t="shared" si="82"/>
        <v>Jul-26</v>
      </c>
      <c r="AC624" s="163"/>
      <c r="AD624" s="163" t="str">
        <f t="shared" si="85"/>
        <v/>
      </c>
      <c r="AE624" s="163"/>
    </row>
    <row r="625" spans="1:31" x14ac:dyDescent="0.35">
      <c r="A625" s="162">
        <v>46210</v>
      </c>
      <c r="B625" s="163" t="s">
        <v>148</v>
      </c>
      <c r="C625" s="163" t="s">
        <v>113</v>
      </c>
      <c r="D625" s="163" t="s">
        <v>1084</v>
      </c>
      <c r="E625" s="163" t="s">
        <v>106</v>
      </c>
      <c r="F625" s="163" t="s">
        <v>135</v>
      </c>
      <c r="G625" s="163"/>
      <c r="H625" s="163" t="s">
        <v>115</v>
      </c>
      <c r="I625" s="163" t="s">
        <v>121</v>
      </c>
      <c r="J625" s="163" t="s">
        <v>356</v>
      </c>
      <c r="K625" s="163" t="s">
        <v>1085</v>
      </c>
      <c r="L625" s="163"/>
      <c r="M625" s="163" t="s">
        <v>1074</v>
      </c>
      <c r="N625" s="163" t="s">
        <v>128</v>
      </c>
      <c r="O625" s="162"/>
      <c r="P625" s="163"/>
      <c r="Q625" s="163">
        <f t="shared" ca="1" si="86"/>
        <v>115</v>
      </c>
      <c r="R625" s="163" t="str">
        <f t="shared" ca="1" si="84"/>
        <v/>
      </c>
      <c r="S625" s="163" t="s">
        <v>133</v>
      </c>
      <c r="T625" s="164">
        <v>9000</v>
      </c>
      <c r="U625" s="164"/>
      <c r="V625" s="163"/>
      <c r="W625" s="163"/>
      <c r="X625" s="163"/>
      <c r="Y625" s="163"/>
      <c r="Z625" s="163"/>
      <c r="AA625" s="162"/>
      <c r="AB625" s="195" t="str">
        <f t="shared" si="82"/>
        <v>Jul-26</v>
      </c>
      <c r="AC625" s="163"/>
      <c r="AD625" s="163" t="str">
        <f t="shared" si="85"/>
        <v/>
      </c>
      <c r="AE625" s="163"/>
    </row>
    <row r="626" spans="1:31" x14ac:dyDescent="0.35">
      <c r="A626" s="162">
        <v>46210</v>
      </c>
      <c r="B626" s="163" t="s">
        <v>148</v>
      </c>
      <c r="C626" s="163" t="s">
        <v>113</v>
      </c>
      <c r="D626" s="163" t="s">
        <v>1086</v>
      </c>
      <c r="E626" s="163" t="s">
        <v>106</v>
      </c>
      <c r="F626" s="163" t="s">
        <v>135</v>
      </c>
      <c r="G626" s="163"/>
      <c r="H626" s="163" t="s">
        <v>115</v>
      </c>
      <c r="I626" s="163" t="s">
        <v>121</v>
      </c>
      <c r="J626" s="163" t="s">
        <v>356</v>
      </c>
      <c r="K626" s="163" t="s">
        <v>1087</v>
      </c>
      <c r="L626" s="163"/>
      <c r="M626" s="163" t="s">
        <v>1074</v>
      </c>
      <c r="N626" s="163" t="s">
        <v>128</v>
      </c>
      <c r="O626" s="162"/>
      <c r="P626" s="163"/>
      <c r="Q626" s="163">
        <f t="shared" ca="1" si="86"/>
        <v>115</v>
      </c>
      <c r="R626" s="163" t="str">
        <f t="shared" ca="1" si="84"/>
        <v/>
      </c>
      <c r="S626" s="163" t="s">
        <v>133</v>
      </c>
      <c r="T626" s="164">
        <v>8500</v>
      </c>
      <c r="U626" s="164"/>
      <c r="V626" s="163"/>
      <c r="W626" s="163"/>
      <c r="X626" s="163"/>
      <c r="Y626" s="163"/>
      <c r="Z626" s="163"/>
      <c r="AA626" s="162"/>
      <c r="AB626" s="195" t="str">
        <f t="shared" si="82"/>
        <v>Jul-26</v>
      </c>
      <c r="AC626" s="163"/>
      <c r="AD626" s="163" t="str">
        <f t="shared" si="85"/>
        <v/>
      </c>
      <c r="AE626" s="163"/>
    </row>
    <row r="627" spans="1:31" x14ac:dyDescent="0.35">
      <c r="A627" s="162">
        <v>46211</v>
      </c>
      <c r="B627" s="163" t="s">
        <v>125</v>
      </c>
      <c r="C627" s="163" t="s">
        <v>113</v>
      </c>
      <c r="D627" s="163" t="s">
        <v>165</v>
      </c>
      <c r="E627" s="163" t="s">
        <v>95</v>
      </c>
      <c r="F627" s="163" t="s">
        <v>135</v>
      </c>
      <c r="G627" s="163" t="s">
        <v>10</v>
      </c>
      <c r="H627" s="163" t="s">
        <v>115</v>
      </c>
      <c r="I627" s="163" t="s">
        <v>98</v>
      </c>
      <c r="J627" s="163" t="s">
        <v>166</v>
      </c>
      <c r="K627" s="163" t="s">
        <v>167</v>
      </c>
      <c r="L627" s="163"/>
      <c r="M627" s="163" t="s">
        <v>159</v>
      </c>
      <c r="N627" s="163" t="s">
        <v>102</v>
      </c>
      <c r="O627" s="162"/>
      <c r="P627" s="163"/>
      <c r="Q627" s="163" t="str">
        <f t="shared" ca="1" si="86"/>
        <v/>
      </c>
      <c r="R627" s="163" t="str">
        <f t="shared" ca="1" si="84"/>
        <v/>
      </c>
      <c r="S627" s="163" t="s">
        <v>103</v>
      </c>
      <c r="T627" s="164">
        <v>20000</v>
      </c>
      <c r="U627" s="164">
        <v>30937</v>
      </c>
      <c r="V627" s="162">
        <v>46211</v>
      </c>
      <c r="W627" s="163" t="s">
        <v>1088</v>
      </c>
      <c r="X627" s="163" t="s">
        <v>35</v>
      </c>
      <c r="Y627" s="163" t="s">
        <v>85</v>
      </c>
      <c r="Z627" s="163"/>
      <c r="AA627" s="162"/>
      <c r="AB627" s="195" t="str">
        <f t="shared" si="82"/>
        <v>Jul-26</v>
      </c>
      <c r="AC627" s="163"/>
      <c r="AD627" s="163"/>
      <c r="AE627" s="163"/>
    </row>
    <row r="628" spans="1:31" x14ac:dyDescent="0.35">
      <c r="A628" s="162">
        <v>46211</v>
      </c>
      <c r="B628" s="163" t="s">
        <v>92</v>
      </c>
      <c r="C628" s="163" t="s">
        <v>113</v>
      </c>
      <c r="D628" s="163" t="s">
        <v>114</v>
      </c>
      <c r="E628" s="163" t="s">
        <v>95</v>
      </c>
      <c r="F628" s="163" t="s">
        <v>96</v>
      </c>
      <c r="G628" s="163" t="s">
        <v>10</v>
      </c>
      <c r="H628" s="163" t="s">
        <v>115</v>
      </c>
      <c r="I628" s="163" t="s">
        <v>98</v>
      </c>
      <c r="J628" s="163" t="s">
        <v>116</v>
      </c>
      <c r="K628" s="163" t="s">
        <v>117</v>
      </c>
      <c r="L628" s="163"/>
      <c r="M628" s="163" t="s">
        <v>1089</v>
      </c>
      <c r="N628" s="163" t="s">
        <v>102</v>
      </c>
      <c r="O628" s="162"/>
      <c r="P628" s="163"/>
      <c r="Q628" s="163" t="str">
        <f t="shared" ca="1" si="86"/>
        <v/>
      </c>
      <c r="R628" s="163" t="str">
        <f t="shared" ca="1" si="84"/>
        <v/>
      </c>
      <c r="S628" s="163" t="s">
        <v>103</v>
      </c>
      <c r="T628" s="164">
        <v>20000</v>
      </c>
      <c r="U628" s="164">
        <v>30937</v>
      </c>
      <c r="V628" s="162">
        <v>46211</v>
      </c>
      <c r="W628" s="163" t="s">
        <v>1088</v>
      </c>
      <c r="X628" s="163" t="s">
        <v>35</v>
      </c>
      <c r="Y628" s="163" t="s">
        <v>85</v>
      </c>
      <c r="Z628" s="163"/>
      <c r="AA628" s="162"/>
      <c r="AB628" s="195" t="str">
        <f t="shared" si="82"/>
        <v>Jul-26</v>
      </c>
      <c r="AC628" s="163"/>
      <c r="AD628" s="163"/>
      <c r="AE628" s="163"/>
    </row>
    <row r="629" spans="1:31" x14ac:dyDescent="0.35">
      <c r="A629" s="162">
        <v>46211</v>
      </c>
      <c r="B629" s="163" t="s">
        <v>92</v>
      </c>
      <c r="C629" s="163" t="s">
        <v>93</v>
      </c>
      <c r="D629" s="163" t="s">
        <v>19</v>
      </c>
      <c r="E629" s="163" t="s">
        <v>106</v>
      </c>
      <c r="F629" s="163" t="s">
        <v>96</v>
      </c>
      <c r="G629" s="163" t="s">
        <v>10</v>
      </c>
      <c r="H629" s="163" t="s">
        <v>115</v>
      </c>
      <c r="I629" s="163" t="s">
        <v>121</v>
      </c>
      <c r="J629" s="163" t="s">
        <v>99</v>
      </c>
      <c r="K629" s="163" t="s">
        <v>256</v>
      </c>
      <c r="L629" s="163"/>
      <c r="M629" s="163" t="s">
        <v>159</v>
      </c>
      <c r="N629" s="163" t="s">
        <v>102</v>
      </c>
      <c r="O629" s="162"/>
      <c r="P629" s="163"/>
      <c r="Q629" s="163"/>
      <c r="R629" s="163" t="str">
        <f t="shared" ca="1" si="84"/>
        <v/>
      </c>
      <c r="S629" s="163" t="s">
        <v>103</v>
      </c>
      <c r="T629" s="164">
        <v>400000</v>
      </c>
      <c r="U629" s="164">
        <v>422100</v>
      </c>
      <c r="V629" s="162">
        <v>46211</v>
      </c>
      <c r="W629" s="163" t="s">
        <v>1090</v>
      </c>
      <c r="X629" s="163" t="s">
        <v>57</v>
      </c>
      <c r="Y629" s="163" t="s">
        <v>85</v>
      </c>
      <c r="Z629" s="163"/>
      <c r="AA629" s="162"/>
      <c r="AB629" s="195" t="str">
        <f t="shared" si="82"/>
        <v>Jul-26</v>
      </c>
      <c r="AC629" s="163"/>
      <c r="AD629" s="163" t="str">
        <f>IF(AC629="Yes",U629*2%,"")</f>
        <v/>
      </c>
      <c r="AE629" s="163"/>
    </row>
    <row r="630" spans="1:31" x14ac:dyDescent="0.35">
      <c r="A630" s="162">
        <v>46211</v>
      </c>
      <c r="B630" s="163" t="s">
        <v>125</v>
      </c>
      <c r="C630" s="163" t="s">
        <v>93</v>
      </c>
      <c r="D630" s="163" t="s">
        <v>19</v>
      </c>
      <c r="E630" s="163" t="s">
        <v>95</v>
      </c>
      <c r="F630" s="163" t="s">
        <v>96</v>
      </c>
      <c r="G630" s="163" t="s">
        <v>10</v>
      </c>
      <c r="H630" s="163" t="s">
        <v>115</v>
      </c>
      <c r="I630" s="163" t="s">
        <v>121</v>
      </c>
      <c r="J630" s="163" t="s">
        <v>99</v>
      </c>
      <c r="K630" s="163" t="s">
        <v>256</v>
      </c>
      <c r="L630" s="163"/>
      <c r="M630" s="163" t="s">
        <v>159</v>
      </c>
      <c r="N630" s="163" t="s">
        <v>102</v>
      </c>
      <c r="O630" s="162"/>
      <c r="P630" s="163"/>
      <c r="Q630" s="163"/>
      <c r="R630" s="163" t="str">
        <f t="shared" ca="1" si="84"/>
        <v/>
      </c>
      <c r="S630" s="163" t="s">
        <v>103</v>
      </c>
      <c r="T630" s="164">
        <v>400000</v>
      </c>
      <c r="U630" s="164">
        <v>422100</v>
      </c>
      <c r="V630" s="162">
        <v>46211</v>
      </c>
      <c r="W630" s="163" t="s">
        <v>1090</v>
      </c>
      <c r="X630" s="163" t="s">
        <v>57</v>
      </c>
      <c r="Y630" s="163" t="s">
        <v>85</v>
      </c>
      <c r="Z630" s="163"/>
      <c r="AA630" s="162"/>
      <c r="AB630" s="195" t="str">
        <f t="shared" si="82"/>
        <v>Jul-26</v>
      </c>
      <c r="AC630" s="163"/>
      <c r="AD630" s="163" t="str">
        <f>IF(AC630="Yes",U630*2%,"")</f>
        <v/>
      </c>
      <c r="AE630" s="163"/>
    </row>
    <row r="631" spans="1:31" x14ac:dyDescent="0.35">
      <c r="A631" s="162">
        <v>46211</v>
      </c>
      <c r="B631" s="163" t="s">
        <v>370</v>
      </c>
      <c r="C631" s="163" t="s">
        <v>93</v>
      </c>
      <c r="D631" s="163" t="s">
        <v>1091</v>
      </c>
      <c r="E631" s="163" t="s">
        <v>106</v>
      </c>
      <c r="F631" s="163" t="s">
        <v>135</v>
      </c>
      <c r="G631" s="163"/>
      <c r="H631" s="163" t="s">
        <v>115</v>
      </c>
      <c r="I631" s="163" t="s">
        <v>121</v>
      </c>
      <c r="J631" s="163" t="s">
        <v>147</v>
      </c>
      <c r="K631" s="163" t="s">
        <v>1092</v>
      </c>
      <c r="L631" s="163"/>
      <c r="M631" s="163" t="s">
        <v>159</v>
      </c>
      <c r="N631" s="163" t="s">
        <v>102</v>
      </c>
      <c r="O631" s="162"/>
      <c r="P631" s="163"/>
      <c r="Q631" s="163"/>
      <c r="R631" s="163"/>
      <c r="S631" s="163" t="s">
        <v>103</v>
      </c>
      <c r="T631" s="164">
        <v>25000</v>
      </c>
      <c r="U631" s="164">
        <v>28780</v>
      </c>
      <c r="V631" s="162">
        <v>46211</v>
      </c>
      <c r="W631" s="163" t="s">
        <v>1093</v>
      </c>
      <c r="X631" s="163" t="s">
        <v>34</v>
      </c>
      <c r="Y631" s="163" t="s">
        <v>161</v>
      </c>
      <c r="Z631" s="163"/>
      <c r="AA631" s="162">
        <v>46211</v>
      </c>
      <c r="AB631" s="195" t="str">
        <f t="shared" si="82"/>
        <v>Jul-26</v>
      </c>
      <c r="AC631" s="163"/>
      <c r="AD631" s="163"/>
      <c r="AE631" s="163" t="s">
        <v>270</v>
      </c>
    </row>
    <row r="632" spans="1:31" x14ac:dyDescent="0.35">
      <c r="A632" s="162">
        <v>46211</v>
      </c>
      <c r="B632" s="163" t="s">
        <v>370</v>
      </c>
      <c r="C632" s="163" t="s">
        <v>93</v>
      </c>
      <c r="D632" s="163" t="s">
        <v>1094</v>
      </c>
      <c r="E632" s="163" t="s">
        <v>106</v>
      </c>
      <c r="F632" s="163" t="s">
        <v>135</v>
      </c>
      <c r="G632" s="163"/>
      <c r="H632" s="163" t="s">
        <v>115</v>
      </c>
      <c r="I632" s="163" t="s">
        <v>121</v>
      </c>
      <c r="J632" s="163" t="s">
        <v>638</v>
      </c>
      <c r="K632" s="163" t="s">
        <v>122</v>
      </c>
      <c r="L632" s="163"/>
      <c r="M632" s="163" t="s">
        <v>159</v>
      </c>
      <c r="N632" s="163" t="s">
        <v>102</v>
      </c>
      <c r="O632" s="162"/>
      <c r="P632" s="163"/>
      <c r="Q632" s="163" t="str">
        <f ca="1">IF(N632="Closed(C4)","",IF(N632="","",TODAY()-A632))</f>
        <v/>
      </c>
      <c r="R632" s="163" t="str">
        <f t="shared" ref="R632:R639" ca="1" si="87">IF(OR(N632="Closed( C4 )",N632="Cancelled"),"",IF(AND(O632&lt;&gt;"",O632&lt;TODAY()),"Yes",""))</f>
        <v/>
      </c>
      <c r="S632" s="163" t="s">
        <v>103</v>
      </c>
      <c r="T632" s="164">
        <v>20000</v>
      </c>
      <c r="U632" s="164">
        <v>12760</v>
      </c>
      <c r="V632" s="162">
        <v>46211</v>
      </c>
      <c r="W632" s="163" t="s">
        <v>1095</v>
      </c>
      <c r="X632" s="163" t="s">
        <v>48</v>
      </c>
      <c r="Y632" s="163" t="s">
        <v>161</v>
      </c>
      <c r="Z632" s="163"/>
      <c r="AA632" s="162">
        <v>46211</v>
      </c>
      <c r="AB632" s="195" t="str">
        <f t="shared" si="82"/>
        <v>Jul-26</v>
      </c>
      <c r="AC632" s="163"/>
      <c r="AD632" s="163" t="str">
        <f t="shared" ref="AD632:AD640" si="88">IF(AC632="Yes",U632*2%,"")</f>
        <v/>
      </c>
      <c r="AE632" s="163" t="s">
        <v>270</v>
      </c>
    </row>
    <row r="633" spans="1:31" x14ac:dyDescent="0.35">
      <c r="A633" s="162">
        <v>46211</v>
      </c>
      <c r="B633" s="163" t="s">
        <v>92</v>
      </c>
      <c r="C633" s="163" t="s">
        <v>93</v>
      </c>
      <c r="D633" s="163" t="s">
        <v>182</v>
      </c>
      <c r="E633" s="163" t="s">
        <v>95</v>
      </c>
      <c r="F633" s="163" t="s">
        <v>96</v>
      </c>
      <c r="G633" s="163" t="s">
        <v>15</v>
      </c>
      <c r="H633" s="163" t="s">
        <v>115</v>
      </c>
      <c r="I633" s="163" t="s">
        <v>121</v>
      </c>
      <c r="J633" s="163" t="s">
        <v>99</v>
      </c>
      <c r="K633" s="163" t="s">
        <v>384</v>
      </c>
      <c r="L633" s="163"/>
      <c r="M633" s="163" t="s">
        <v>1066</v>
      </c>
      <c r="N633" s="163" t="s">
        <v>102</v>
      </c>
      <c r="O633" s="162"/>
      <c r="P633" s="163"/>
      <c r="Q633" s="163" t="str">
        <f ca="1">IF(N633="Closed(C4)","",IF(N633="","",TODAY()-#REF!))</f>
        <v/>
      </c>
      <c r="R633" s="163" t="str">
        <f t="shared" ca="1" si="87"/>
        <v/>
      </c>
      <c r="S633" s="163" t="s">
        <v>103</v>
      </c>
      <c r="T633" s="164">
        <v>10000</v>
      </c>
      <c r="U633" s="164">
        <v>43685</v>
      </c>
      <c r="V633" s="162">
        <v>46211</v>
      </c>
      <c r="W633" s="163" t="s">
        <v>1096</v>
      </c>
      <c r="X633" s="163" t="s">
        <v>30</v>
      </c>
      <c r="Y633" s="163" t="s">
        <v>85</v>
      </c>
      <c r="Z633" s="163"/>
      <c r="AA633" s="162"/>
      <c r="AB633" s="195" t="str">
        <f t="shared" si="82"/>
        <v>Jul-26</v>
      </c>
      <c r="AC633" s="163"/>
      <c r="AD633" s="163" t="str">
        <f t="shared" si="88"/>
        <v/>
      </c>
      <c r="AE633" s="163"/>
    </row>
    <row r="634" spans="1:31" x14ac:dyDescent="0.35">
      <c r="A634" s="162">
        <v>46211</v>
      </c>
      <c r="B634" s="163" t="s">
        <v>92</v>
      </c>
      <c r="C634" s="163" t="s">
        <v>93</v>
      </c>
      <c r="D634" s="163" t="s">
        <v>186</v>
      </c>
      <c r="E634" s="163" t="s">
        <v>95</v>
      </c>
      <c r="F634" s="163" t="s">
        <v>96</v>
      </c>
      <c r="G634" s="163" t="s">
        <v>15</v>
      </c>
      <c r="H634" s="163" t="s">
        <v>163</v>
      </c>
      <c r="I634" s="163" t="s">
        <v>121</v>
      </c>
      <c r="J634" s="163" t="s">
        <v>116</v>
      </c>
      <c r="K634" s="163" t="s">
        <v>183</v>
      </c>
      <c r="L634" s="163"/>
      <c r="M634" s="163" t="s">
        <v>1066</v>
      </c>
      <c r="N634" s="163" t="s">
        <v>102</v>
      </c>
      <c r="O634" s="162"/>
      <c r="P634" s="163"/>
      <c r="Q634" s="163" t="str">
        <f ca="1">IF(N634="Closed(C4)","",IF(N634="","",TODAY()-#REF!))</f>
        <v/>
      </c>
      <c r="R634" s="163" t="str">
        <f t="shared" ca="1" si="87"/>
        <v/>
      </c>
      <c r="S634" s="163" t="s">
        <v>103</v>
      </c>
      <c r="T634" s="164">
        <v>10000</v>
      </c>
      <c r="U634" s="164">
        <v>1209</v>
      </c>
      <c r="V634" s="162">
        <v>46211</v>
      </c>
      <c r="W634" s="163" t="s">
        <v>1096</v>
      </c>
      <c r="X634" s="163" t="s">
        <v>30</v>
      </c>
      <c r="Y634" s="163" t="s">
        <v>85</v>
      </c>
      <c r="Z634" s="163"/>
      <c r="AA634" s="162"/>
      <c r="AB634" s="195" t="str">
        <f t="shared" si="82"/>
        <v>Jul-26</v>
      </c>
      <c r="AC634" s="163"/>
      <c r="AD634" s="163" t="str">
        <f t="shared" si="88"/>
        <v/>
      </c>
      <c r="AE634" s="163"/>
    </row>
    <row r="635" spans="1:31" x14ac:dyDescent="0.35">
      <c r="A635" s="162">
        <v>46211</v>
      </c>
      <c r="B635" s="163" t="s">
        <v>148</v>
      </c>
      <c r="C635" s="163" t="s">
        <v>113</v>
      </c>
      <c r="D635" s="163" t="s">
        <v>1097</v>
      </c>
      <c r="E635" s="163" t="s">
        <v>106</v>
      </c>
      <c r="F635" s="163" t="s">
        <v>135</v>
      </c>
      <c r="G635" s="163"/>
      <c r="H635" s="163" t="s">
        <v>115</v>
      </c>
      <c r="I635" s="163" t="s">
        <v>121</v>
      </c>
      <c r="J635" s="163" t="s">
        <v>147</v>
      </c>
      <c r="K635" s="163" t="s">
        <v>1098</v>
      </c>
      <c r="L635" s="163"/>
      <c r="M635" s="163" t="s">
        <v>159</v>
      </c>
      <c r="N635" s="163" t="s">
        <v>102</v>
      </c>
      <c r="O635" s="162"/>
      <c r="P635" s="163"/>
      <c r="Q635" s="163" t="str">
        <f ca="1">IF(N635="Closed(C4)","",IF(N635="","",TODAY()-A635))</f>
        <v/>
      </c>
      <c r="R635" s="163" t="str">
        <f t="shared" ca="1" si="87"/>
        <v/>
      </c>
      <c r="S635" s="163" t="s">
        <v>103</v>
      </c>
      <c r="T635" s="164">
        <v>20000</v>
      </c>
      <c r="U635" s="164">
        <v>22959</v>
      </c>
      <c r="V635" s="162">
        <v>46211</v>
      </c>
      <c r="W635" s="163" t="s">
        <v>1099</v>
      </c>
      <c r="X635" s="163" t="s">
        <v>35</v>
      </c>
      <c r="Y635" s="163" t="s">
        <v>161</v>
      </c>
      <c r="Z635" s="163"/>
      <c r="AA635" s="162">
        <v>46211</v>
      </c>
      <c r="AB635" s="195" t="str">
        <f t="shared" si="82"/>
        <v>Jul-26</v>
      </c>
      <c r="AC635" s="163"/>
      <c r="AD635" s="163" t="str">
        <f t="shared" si="88"/>
        <v/>
      </c>
      <c r="AE635" s="163"/>
    </row>
    <row r="636" spans="1:31" x14ac:dyDescent="0.35">
      <c r="A636" s="162">
        <v>46211</v>
      </c>
      <c r="B636" s="163" t="s">
        <v>148</v>
      </c>
      <c r="C636" s="163" t="s">
        <v>113</v>
      </c>
      <c r="D636" s="163" t="s">
        <v>1100</v>
      </c>
      <c r="E636" s="163" t="s">
        <v>106</v>
      </c>
      <c r="F636" s="163" t="s">
        <v>135</v>
      </c>
      <c r="G636" s="163"/>
      <c r="H636" s="163" t="s">
        <v>115</v>
      </c>
      <c r="I636" s="163" t="s">
        <v>121</v>
      </c>
      <c r="J636" s="163" t="s">
        <v>356</v>
      </c>
      <c r="K636" s="163" t="s">
        <v>1101</v>
      </c>
      <c r="L636" s="163"/>
      <c r="M636" s="163" t="s">
        <v>1074</v>
      </c>
      <c r="N636" s="163" t="s">
        <v>128</v>
      </c>
      <c r="O636" s="162"/>
      <c r="P636" s="163"/>
      <c r="Q636" s="163">
        <f ca="1">IF(N636="Closed(C4)","",IF(N636="","",TODAY()-A636))</f>
        <v>114</v>
      </c>
      <c r="R636" s="163" t="str">
        <f t="shared" ca="1" si="87"/>
        <v/>
      </c>
      <c r="S636" s="163" t="s">
        <v>133</v>
      </c>
      <c r="T636" s="164">
        <v>10500</v>
      </c>
      <c r="U636" s="164"/>
      <c r="V636" s="163"/>
      <c r="W636" s="163"/>
      <c r="X636" s="163"/>
      <c r="Y636" s="163"/>
      <c r="Z636" s="163"/>
      <c r="AA636" s="162"/>
      <c r="AB636" s="195" t="str">
        <f t="shared" si="82"/>
        <v>Jul-26</v>
      </c>
      <c r="AC636" s="163"/>
      <c r="AD636" s="163" t="str">
        <f t="shared" si="88"/>
        <v/>
      </c>
      <c r="AE636" s="163"/>
    </row>
    <row r="637" spans="1:31" x14ac:dyDescent="0.35">
      <c r="A637" s="162">
        <v>46211</v>
      </c>
      <c r="B637" s="163" t="s">
        <v>148</v>
      </c>
      <c r="C637" s="163" t="s">
        <v>113</v>
      </c>
      <c r="D637" s="163" t="s">
        <v>1102</v>
      </c>
      <c r="E637" s="163" t="s">
        <v>106</v>
      </c>
      <c r="F637" s="163" t="s">
        <v>226</v>
      </c>
      <c r="G637" s="163"/>
      <c r="H637" s="163" t="s">
        <v>115</v>
      </c>
      <c r="I637" s="163" t="s">
        <v>121</v>
      </c>
      <c r="J637" s="163" t="s">
        <v>356</v>
      </c>
      <c r="K637" s="163" t="s">
        <v>1103</v>
      </c>
      <c r="L637" s="163"/>
      <c r="M637" s="163" t="s">
        <v>1074</v>
      </c>
      <c r="N637" s="163" t="s">
        <v>128</v>
      </c>
      <c r="O637" s="162"/>
      <c r="P637" s="163"/>
      <c r="Q637" s="163">
        <f ca="1">IF(N637="Closed(C4)","",IF(N637="","",TODAY()-A637))</f>
        <v>114</v>
      </c>
      <c r="R637" s="163" t="str">
        <f t="shared" ca="1" si="87"/>
        <v/>
      </c>
      <c r="S637" s="163" t="s">
        <v>133</v>
      </c>
      <c r="T637" s="164"/>
      <c r="U637" s="164"/>
      <c r="V637" s="163"/>
      <c r="W637" s="163"/>
      <c r="X637" s="163"/>
      <c r="Y637" s="163"/>
      <c r="Z637" s="163"/>
      <c r="AA637" s="162"/>
      <c r="AB637" s="195" t="str">
        <f t="shared" si="82"/>
        <v>Jul-26</v>
      </c>
      <c r="AC637" s="163"/>
      <c r="AD637" s="163" t="str">
        <f t="shared" si="88"/>
        <v/>
      </c>
      <c r="AE637" s="163"/>
    </row>
    <row r="638" spans="1:31" x14ac:dyDescent="0.35">
      <c r="A638" s="162">
        <v>46212</v>
      </c>
      <c r="B638" s="163" t="s">
        <v>92</v>
      </c>
      <c r="C638" s="163" t="s">
        <v>93</v>
      </c>
      <c r="D638" s="163" t="s">
        <v>1104</v>
      </c>
      <c r="E638" s="163" t="s">
        <v>106</v>
      </c>
      <c r="F638" s="163" t="s">
        <v>135</v>
      </c>
      <c r="G638" s="163"/>
      <c r="H638" s="163" t="s">
        <v>115</v>
      </c>
      <c r="I638" s="163" t="s">
        <v>121</v>
      </c>
      <c r="J638" s="163" t="s">
        <v>388</v>
      </c>
      <c r="K638" s="163" t="s">
        <v>370</v>
      </c>
      <c r="L638" s="163"/>
      <c r="M638" s="163" t="s">
        <v>1105</v>
      </c>
      <c r="N638" s="163" t="s">
        <v>102</v>
      </c>
      <c r="O638" s="162"/>
      <c r="P638" s="163"/>
      <c r="Q638" s="163" t="str">
        <f ca="1">IF(N638="Closed(C4)","",IF(N638="","",TODAY()-A638))</f>
        <v/>
      </c>
      <c r="R638" s="163" t="str">
        <f t="shared" ca="1" si="87"/>
        <v/>
      </c>
      <c r="S638" s="163" t="s">
        <v>103</v>
      </c>
      <c r="T638" s="164">
        <v>15000</v>
      </c>
      <c r="U638" s="164">
        <v>19200</v>
      </c>
      <c r="V638" s="162">
        <v>46212</v>
      </c>
      <c r="W638" s="163" t="s">
        <v>1106</v>
      </c>
      <c r="X638" s="163" t="s">
        <v>56</v>
      </c>
      <c r="Y638" s="163" t="s">
        <v>85</v>
      </c>
      <c r="Z638" s="163"/>
      <c r="AA638" s="162"/>
      <c r="AB638" s="195" t="str">
        <f t="shared" si="82"/>
        <v>Jul-26</v>
      </c>
      <c r="AC638" s="163"/>
      <c r="AD638" s="163" t="str">
        <f t="shared" si="88"/>
        <v/>
      </c>
      <c r="AE638" s="163"/>
    </row>
    <row r="639" spans="1:31" x14ac:dyDescent="0.35">
      <c r="A639" s="162">
        <v>46212</v>
      </c>
      <c r="B639" s="163" t="s">
        <v>92</v>
      </c>
      <c r="C639" s="163" t="s">
        <v>93</v>
      </c>
      <c r="D639" s="163" t="s">
        <v>1107</v>
      </c>
      <c r="E639" s="163" t="s">
        <v>106</v>
      </c>
      <c r="F639" s="163" t="s">
        <v>135</v>
      </c>
      <c r="G639" s="163"/>
      <c r="H639" s="163" t="s">
        <v>115</v>
      </c>
      <c r="I639" s="163" t="s">
        <v>121</v>
      </c>
      <c r="J639" s="163" t="s">
        <v>388</v>
      </c>
      <c r="K639" s="163" t="s">
        <v>823</v>
      </c>
      <c r="L639" s="163"/>
      <c r="M639" s="163" t="s">
        <v>1108</v>
      </c>
      <c r="N639" s="163" t="s">
        <v>181</v>
      </c>
      <c r="O639" s="162"/>
      <c r="P639" s="163"/>
      <c r="Q639" s="163">
        <f ca="1">IF(N639="Closed(C4)","",IF(N639="","",TODAY()-A639))</f>
        <v>113</v>
      </c>
      <c r="R639" s="163" t="str">
        <f t="shared" ca="1" si="87"/>
        <v/>
      </c>
      <c r="S639" s="163" t="s">
        <v>103</v>
      </c>
      <c r="T639" s="164">
        <v>0</v>
      </c>
      <c r="U639" s="164"/>
      <c r="V639" s="163"/>
      <c r="W639" s="163"/>
      <c r="X639" s="163" t="s">
        <v>56</v>
      </c>
      <c r="Y639" s="163"/>
      <c r="Z639" s="163"/>
      <c r="AA639" s="162"/>
      <c r="AB639" s="195" t="str">
        <f t="shared" si="82"/>
        <v>Jul-26</v>
      </c>
      <c r="AC639" s="163"/>
      <c r="AD639" s="163" t="str">
        <f t="shared" si="88"/>
        <v/>
      </c>
      <c r="AE639" s="163"/>
    </row>
    <row r="640" spans="1:31" x14ac:dyDescent="0.35">
      <c r="A640" s="162">
        <v>46212</v>
      </c>
      <c r="B640" s="163" t="s">
        <v>92</v>
      </c>
      <c r="C640" s="163" t="s">
        <v>93</v>
      </c>
      <c r="D640" s="163" t="s">
        <v>1042</v>
      </c>
      <c r="E640" s="163" t="s">
        <v>106</v>
      </c>
      <c r="F640" s="163" t="s">
        <v>135</v>
      </c>
      <c r="G640" s="163"/>
      <c r="H640" s="163" t="s">
        <v>115</v>
      </c>
      <c r="I640" s="163" t="s">
        <v>121</v>
      </c>
      <c r="J640" s="163" t="s">
        <v>147</v>
      </c>
      <c r="K640" s="163" t="s">
        <v>1043</v>
      </c>
      <c r="L640" s="163"/>
      <c r="M640" s="163" t="s">
        <v>1109</v>
      </c>
      <c r="N640" s="163" t="s">
        <v>181</v>
      </c>
      <c r="O640" s="162"/>
      <c r="P640" s="163"/>
      <c r="Q640" s="163"/>
      <c r="R640" s="163"/>
      <c r="S640" s="163" t="s">
        <v>103</v>
      </c>
      <c r="T640" s="164">
        <v>195000</v>
      </c>
      <c r="U640" s="164"/>
      <c r="V640" s="163"/>
      <c r="W640" s="163"/>
      <c r="X640" s="163"/>
      <c r="Y640" s="163"/>
      <c r="Z640" s="163"/>
      <c r="AA640" s="162"/>
      <c r="AB640" s="195" t="str">
        <f t="shared" si="82"/>
        <v>Jul-26</v>
      </c>
      <c r="AC640" s="163"/>
      <c r="AD640" s="163" t="str">
        <f t="shared" si="88"/>
        <v/>
      </c>
      <c r="AE640" s="163"/>
    </row>
    <row r="641" spans="1:31" x14ac:dyDescent="0.35">
      <c r="A641" s="162">
        <v>46212</v>
      </c>
      <c r="B641" s="163" t="s">
        <v>370</v>
      </c>
      <c r="C641" s="163" t="s">
        <v>93</v>
      </c>
      <c r="D641" s="163" t="s">
        <v>1110</v>
      </c>
      <c r="E641" s="163" t="s">
        <v>106</v>
      </c>
      <c r="F641" s="163" t="s">
        <v>96</v>
      </c>
      <c r="G641" s="163" t="s">
        <v>14</v>
      </c>
      <c r="H641" s="163" t="s">
        <v>163</v>
      </c>
      <c r="I641" s="163" t="s">
        <v>121</v>
      </c>
      <c r="J641" s="163" t="s">
        <v>153</v>
      </c>
      <c r="K641" s="163" t="s">
        <v>981</v>
      </c>
      <c r="L641" s="163"/>
      <c r="M641" s="163" t="s">
        <v>1111</v>
      </c>
      <c r="N641" s="163" t="s">
        <v>102</v>
      </c>
      <c r="O641" s="162"/>
      <c r="P641" s="163"/>
      <c r="Q641" s="163"/>
      <c r="R641" s="163"/>
      <c r="S641" s="163" t="s">
        <v>103</v>
      </c>
      <c r="T641" s="164">
        <v>250000</v>
      </c>
      <c r="U641" s="164">
        <v>411000</v>
      </c>
      <c r="V641" s="162">
        <v>46243</v>
      </c>
      <c r="W641" s="163" t="s">
        <v>1112</v>
      </c>
      <c r="X641" s="163" t="s">
        <v>44</v>
      </c>
      <c r="Y641" s="163" t="s">
        <v>85</v>
      </c>
      <c r="Z641" s="163"/>
      <c r="AA641" s="162"/>
      <c r="AB641" s="195" t="str">
        <f t="shared" si="82"/>
        <v>Aug-26</v>
      </c>
      <c r="AC641" s="163"/>
      <c r="AD641" s="163"/>
      <c r="AE641" s="163"/>
    </row>
    <row r="642" spans="1:31" x14ac:dyDescent="0.35">
      <c r="A642" s="162">
        <v>46212</v>
      </c>
      <c r="B642" s="163" t="s">
        <v>370</v>
      </c>
      <c r="C642" s="163" t="s">
        <v>93</v>
      </c>
      <c r="D642" s="163" t="s">
        <v>1113</v>
      </c>
      <c r="E642" s="163" t="s">
        <v>106</v>
      </c>
      <c r="F642" s="163" t="s">
        <v>135</v>
      </c>
      <c r="G642" s="163"/>
      <c r="H642" s="163" t="s">
        <v>115</v>
      </c>
      <c r="I642" s="163" t="s">
        <v>121</v>
      </c>
      <c r="J642" s="163" t="s">
        <v>147</v>
      </c>
      <c r="K642" s="163" t="s">
        <v>92</v>
      </c>
      <c r="L642" s="163"/>
      <c r="M642" s="163" t="s">
        <v>864</v>
      </c>
      <c r="N642" s="163" t="s">
        <v>181</v>
      </c>
      <c r="O642" s="162"/>
      <c r="P642" s="163"/>
      <c r="Q642" s="163"/>
      <c r="R642" s="163"/>
      <c r="S642" s="163" t="s">
        <v>129</v>
      </c>
      <c r="T642" s="164">
        <v>25000</v>
      </c>
      <c r="U642" s="164"/>
      <c r="V642" s="163"/>
      <c r="W642" s="163"/>
      <c r="X642" s="163"/>
      <c r="Y642" s="163"/>
      <c r="Z642" s="163"/>
      <c r="AA642" s="162"/>
      <c r="AB642" s="195" t="str">
        <f t="shared" ref="AB642:AB705" si="89">IF($V642="",TEXT($A642,"MMM-YY"),TEXT($V642,"MMM-YY"))</f>
        <v>Jul-26</v>
      </c>
      <c r="AC642" s="163"/>
      <c r="AD642" s="163"/>
      <c r="AE642" s="163"/>
    </row>
    <row r="643" spans="1:31" x14ac:dyDescent="0.35">
      <c r="A643" s="162">
        <v>46212</v>
      </c>
      <c r="B643" s="163" t="s">
        <v>148</v>
      </c>
      <c r="C643" s="163" t="s">
        <v>113</v>
      </c>
      <c r="D643" s="163" t="s">
        <v>1114</v>
      </c>
      <c r="E643" s="163" t="s">
        <v>106</v>
      </c>
      <c r="F643" s="163" t="s">
        <v>135</v>
      </c>
      <c r="G643" s="163"/>
      <c r="H643" s="163" t="s">
        <v>115</v>
      </c>
      <c r="I643" s="163" t="s">
        <v>121</v>
      </c>
      <c r="J643" s="163" t="s">
        <v>147</v>
      </c>
      <c r="K643" s="163" t="s">
        <v>1115</v>
      </c>
      <c r="L643" s="163"/>
      <c r="M643" s="163" t="s">
        <v>1074</v>
      </c>
      <c r="N643" s="163" t="s">
        <v>128</v>
      </c>
      <c r="O643" s="162"/>
      <c r="P643" s="163"/>
      <c r="Q643" s="163">
        <f ca="1">IF(N643="Closed(C4)","",IF(N643="","",TODAY()-A643))</f>
        <v>113</v>
      </c>
      <c r="R643" s="163" t="str">
        <f t="shared" ref="R643:R648" ca="1" si="90">IF(OR(N643="Closed( C4 )",N643="Cancelled"),"",IF(AND(O643&lt;&gt;"",O643&lt;TODAY()),"Yes",""))</f>
        <v/>
      </c>
      <c r="S643" s="163" t="s">
        <v>133</v>
      </c>
      <c r="T643" s="164">
        <v>6000</v>
      </c>
      <c r="U643" s="164"/>
      <c r="V643" s="163"/>
      <c r="W643" s="163"/>
      <c r="X643" s="163"/>
      <c r="Y643" s="163"/>
      <c r="Z643" s="163"/>
      <c r="AA643" s="162"/>
      <c r="AB643" s="195" t="str">
        <f t="shared" si="89"/>
        <v>Jul-26</v>
      </c>
      <c r="AC643" s="163"/>
      <c r="AD643" s="163" t="str">
        <f>IF(AC643="Yes",U643*2%,"")</f>
        <v/>
      </c>
      <c r="AE643" s="163"/>
    </row>
    <row r="644" spans="1:31" x14ac:dyDescent="0.35">
      <c r="A644" s="162">
        <v>46212</v>
      </c>
      <c r="B644" s="163" t="s">
        <v>148</v>
      </c>
      <c r="C644" s="163" t="s">
        <v>113</v>
      </c>
      <c r="D644" s="163" t="s">
        <v>1116</v>
      </c>
      <c r="E644" s="163" t="s">
        <v>95</v>
      </c>
      <c r="F644" s="163" t="s">
        <v>135</v>
      </c>
      <c r="G644" s="163"/>
      <c r="H644" s="163" t="s">
        <v>115</v>
      </c>
      <c r="I644" s="163" t="s">
        <v>121</v>
      </c>
      <c r="J644" s="163" t="s">
        <v>1117</v>
      </c>
      <c r="K644" s="163" t="s">
        <v>1118</v>
      </c>
      <c r="L644" s="163"/>
      <c r="M644" s="163" t="s">
        <v>1074</v>
      </c>
      <c r="N644" s="163" t="s">
        <v>128</v>
      </c>
      <c r="O644" s="162"/>
      <c r="P644" s="163"/>
      <c r="Q644" s="163">
        <f ca="1">IF(N644="Closed(C4)","",IF(N644="","",TODAY()-A644))</f>
        <v>113</v>
      </c>
      <c r="R644" s="163" t="str">
        <f t="shared" ca="1" si="90"/>
        <v/>
      </c>
      <c r="S644" s="163" t="s">
        <v>133</v>
      </c>
      <c r="T644" s="164"/>
      <c r="U644" s="164"/>
      <c r="V644" s="163"/>
      <c r="W644" s="163"/>
      <c r="X644" s="163"/>
      <c r="Y644" s="163"/>
      <c r="Z644" s="163"/>
      <c r="AA644" s="162"/>
      <c r="AB644" s="195" t="str">
        <f t="shared" si="89"/>
        <v>Jul-26</v>
      </c>
      <c r="AC644" s="163"/>
      <c r="AD644" s="163" t="str">
        <f>IF(AC644="Yes",U644*2%,"")</f>
        <v/>
      </c>
      <c r="AE644" s="163"/>
    </row>
    <row r="645" spans="1:31" x14ac:dyDescent="0.35">
      <c r="A645" s="162">
        <v>46213</v>
      </c>
      <c r="B645" s="163" t="s">
        <v>92</v>
      </c>
      <c r="C645" s="163" t="s">
        <v>93</v>
      </c>
      <c r="D645" s="163" t="s">
        <v>1104</v>
      </c>
      <c r="E645" s="163" t="s">
        <v>106</v>
      </c>
      <c r="F645" s="163" t="s">
        <v>135</v>
      </c>
      <c r="G645" s="163"/>
      <c r="H645" s="163" t="s">
        <v>115</v>
      </c>
      <c r="I645" s="163" t="s">
        <v>121</v>
      </c>
      <c r="J645" s="163" t="s">
        <v>388</v>
      </c>
      <c r="K645" s="163" t="s">
        <v>370</v>
      </c>
      <c r="L645" s="163"/>
      <c r="M645" s="163" t="s">
        <v>1119</v>
      </c>
      <c r="N645" s="163" t="s">
        <v>102</v>
      </c>
      <c r="O645" s="162"/>
      <c r="P645" s="163"/>
      <c r="Q645" s="163" t="str">
        <f ca="1">IF(N645="Closed(C4)","",IF(N645="","",TODAY()-A645))</f>
        <v/>
      </c>
      <c r="R645" s="163" t="str">
        <f t="shared" ca="1" si="90"/>
        <v/>
      </c>
      <c r="S645" s="163" t="s">
        <v>103</v>
      </c>
      <c r="T645" s="164">
        <v>8000</v>
      </c>
      <c r="U645" s="164">
        <v>10490</v>
      </c>
      <c r="V645" s="162">
        <v>46213</v>
      </c>
      <c r="W645" s="163" t="s">
        <v>1106</v>
      </c>
      <c r="X645" s="163" t="s">
        <v>56</v>
      </c>
      <c r="Y645" s="163" t="s">
        <v>85</v>
      </c>
      <c r="Z645" s="163"/>
      <c r="AA645" s="162"/>
      <c r="AB645" s="195" t="str">
        <f t="shared" si="89"/>
        <v>Jul-26</v>
      </c>
      <c r="AC645" s="163"/>
      <c r="AD645" s="163"/>
      <c r="AE645" s="163"/>
    </row>
    <row r="646" spans="1:31" x14ac:dyDescent="0.35">
      <c r="A646" s="162">
        <v>46213</v>
      </c>
      <c r="B646" s="163" t="s">
        <v>125</v>
      </c>
      <c r="C646" s="163" t="s">
        <v>113</v>
      </c>
      <c r="D646" s="163" t="s">
        <v>246</v>
      </c>
      <c r="E646" s="163" t="s">
        <v>95</v>
      </c>
      <c r="F646" s="163" t="s">
        <v>96</v>
      </c>
      <c r="G646" s="163" t="s">
        <v>15</v>
      </c>
      <c r="H646" s="163" t="s">
        <v>163</v>
      </c>
      <c r="I646" s="163" t="s">
        <v>98</v>
      </c>
      <c r="J646" s="163" t="s">
        <v>147</v>
      </c>
      <c r="K646" s="163" t="s">
        <v>231</v>
      </c>
      <c r="L646" s="163"/>
      <c r="M646" s="163" t="s">
        <v>526</v>
      </c>
      <c r="N646" s="163" t="s">
        <v>102</v>
      </c>
      <c r="O646" s="162"/>
      <c r="P646" s="163"/>
      <c r="Q646" s="163"/>
      <c r="R646" s="163" t="str">
        <f t="shared" ca="1" si="90"/>
        <v/>
      </c>
      <c r="S646" s="163" t="s">
        <v>103</v>
      </c>
      <c r="T646" s="164">
        <v>15000</v>
      </c>
      <c r="U646" s="164">
        <v>22310</v>
      </c>
      <c r="V646" s="162">
        <v>46213</v>
      </c>
      <c r="W646" s="214" t="s">
        <v>1120</v>
      </c>
      <c r="X646" s="163" t="s">
        <v>39</v>
      </c>
      <c r="Y646" s="163" t="s">
        <v>85</v>
      </c>
      <c r="Z646" s="163"/>
      <c r="AA646" s="162"/>
      <c r="AB646" s="195" t="str">
        <f t="shared" si="89"/>
        <v>Jul-26</v>
      </c>
      <c r="AC646" s="163"/>
      <c r="AD646" s="163" t="str">
        <f>IF(AC646="Yes",U646*2%,"")</f>
        <v/>
      </c>
      <c r="AE646" s="163"/>
    </row>
    <row r="647" spans="1:31" x14ac:dyDescent="0.35">
      <c r="A647" s="162">
        <v>46213</v>
      </c>
      <c r="B647" s="163" t="s">
        <v>92</v>
      </c>
      <c r="C647" s="163" t="s">
        <v>93</v>
      </c>
      <c r="D647" s="163" t="s">
        <v>323</v>
      </c>
      <c r="E647" s="163" t="s">
        <v>106</v>
      </c>
      <c r="F647" s="163" t="s">
        <v>96</v>
      </c>
      <c r="G647" s="163" t="s">
        <v>10</v>
      </c>
      <c r="H647" s="163" t="s">
        <v>115</v>
      </c>
      <c r="I647" s="163" t="s">
        <v>98</v>
      </c>
      <c r="J647" s="163" t="s">
        <v>147</v>
      </c>
      <c r="K647" s="163" t="s">
        <v>324</v>
      </c>
      <c r="L647" s="163"/>
      <c r="M647" s="163" t="s">
        <v>1121</v>
      </c>
      <c r="N647" s="163" t="s">
        <v>156</v>
      </c>
      <c r="O647" s="162"/>
      <c r="P647" s="163"/>
      <c r="Q647" s="163">
        <f ca="1">IF(N647="Closed(C4)","",IF(N647="","",TODAY()-A647))</f>
        <v>112</v>
      </c>
      <c r="R647" s="163" t="str">
        <f t="shared" ca="1" si="90"/>
        <v/>
      </c>
      <c r="S647" s="163" t="s">
        <v>103</v>
      </c>
      <c r="T647" s="164">
        <v>0</v>
      </c>
      <c r="U647" s="164">
        <v>0</v>
      </c>
      <c r="V647" s="163"/>
      <c r="W647" s="163"/>
      <c r="X647" s="163"/>
      <c r="Y647" s="163"/>
      <c r="Z647" s="163"/>
      <c r="AA647" s="162"/>
      <c r="AB647" s="195" t="str">
        <f t="shared" si="89"/>
        <v>Jul-26</v>
      </c>
      <c r="AC647" s="163"/>
      <c r="AD647" s="163" t="str">
        <f>IF(AC647="Yes",U647*2%,"")</f>
        <v/>
      </c>
      <c r="AE647" s="163"/>
    </row>
    <row r="648" spans="1:31" x14ac:dyDescent="0.35">
      <c r="A648" s="162">
        <v>46213</v>
      </c>
      <c r="B648" s="163" t="s">
        <v>125</v>
      </c>
      <c r="C648" s="163" t="s">
        <v>113</v>
      </c>
      <c r="D648" s="163" t="s">
        <v>260</v>
      </c>
      <c r="E648" s="163" t="s">
        <v>95</v>
      </c>
      <c r="F648" s="163" t="s">
        <v>96</v>
      </c>
      <c r="G648" s="163" t="s">
        <v>15</v>
      </c>
      <c r="H648" s="163" t="s">
        <v>163</v>
      </c>
      <c r="I648" s="163" t="s">
        <v>98</v>
      </c>
      <c r="J648" s="163" t="s">
        <v>147</v>
      </c>
      <c r="K648" s="163" t="s">
        <v>231</v>
      </c>
      <c r="L648" s="163"/>
      <c r="M648" s="163" t="s">
        <v>526</v>
      </c>
      <c r="N648" s="163" t="s">
        <v>102</v>
      </c>
      <c r="O648" s="162"/>
      <c r="P648" s="163"/>
      <c r="Q648" s="163"/>
      <c r="R648" s="163" t="str">
        <f t="shared" ca="1" si="90"/>
        <v/>
      </c>
      <c r="S648" s="163" t="s">
        <v>103</v>
      </c>
      <c r="T648" s="164">
        <v>15000</v>
      </c>
      <c r="U648" s="164">
        <v>20290</v>
      </c>
      <c r="V648" s="162">
        <v>46213</v>
      </c>
      <c r="W648" s="214" t="s">
        <v>1120</v>
      </c>
      <c r="X648" s="163" t="s">
        <v>39</v>
      </c>
      <c r="Y648" s="163" t="s">
        <v>85</v>
      </c>
      <c r="Z648" s="163"/>
      <c r="AA648" s="162"/>
      <c r="AB648" s="195" t="str">
        <f t="shared" si="89"/>
        <v>Jul-26</v>
      </c>
      <c r="AC648" s="163"/>
      <c r="AD648" s="163" t="str">
        <f>IF(AC648="Yes",U648*2%,"")</f>
        <v/>
      </c>
      <c r="AE648" s="163"/>
    </row>
    <row r="649" spans="1:31" x14ac:dyDescent="0.35">
      <c r="A649" s="162">
        <v>46213</v>
      </c>
      <c r="B649" s="163" t="s">
        <v>370</v>
      </c>
      <c r="C649" s="163" t="s">
        <v>93</v>
      </c>
      <c r="D649" s="163" t="s">
        <v>1122</v>
      </c>
      <c r="E649" s="163" t="s">
        <v>106</v>
      </c>
      <c r="F649" s="163" t="s">
        <v>135</v>
      </c>
      <c r="G649" s="163"/>
      <c r="H649" s="163" t="s">
        <v>115</v>
      </c>
      <c r="I649" s="163" t="s">
        <v>121</v>
      </c>
      <c r="J649" s="163" t="s">
        <v>147</v>
      </c>
      <c r="K649" s="163" t="s">
        <v>423</v>
      </c>
      <c r="L649" s="163"/>
      <c r="M649" s="163" t="s">
        <v>914</v>
      </c>
      <c r="N649" s="163" t="s">
        <v>181</v>
      </c>
      <c r="O649" s="162"/>
      <c r="P649" s="163"/>
      <c r="Q649" s="163"/>
      <c r="R649" s="163"/>
      <c r="S649" s="163" t="s">
        <v>103</v>
      </c>
      <c r="T649" s="164">
        <v>35000</v>
      </c>
      <c r="U649" s="164"/>
      <c r="V649" s="162"/>
      <c r="W649" s="163"/>
      <c r="X649" s="163"/>
      <c r="Y649" s="163"/>
      <c r="Z649" s="163"/>
      <c r="AA649" s="162"/>
      <c r="AB649" s="195" t="str">
        <f t="shared" si="89"/>
        <v>Jul-26</v>
      </c>
      <c r="AC649" s="163"/>
      <c r="AD649" s="163"/>
      <c r="AE649" s="163"/>
    </row>
    <row r="650" spans="1:31" x14ac:dyDescent="0.35">
      <c r="A650" s="162">
        <v>46213</v>
      </c>
      <c r="B650" s="163" t="s">
        <v>370</v>
      </c>
      <c r="C650" s="163" t="s">
        <v>93</v>
      </c>
      <c r="D650" s="163" t="s">
        <v>1123</v>
      </c>
      <c r="E650" s="163" t="s">
        <v>106</v>
      </c>
      <c r="F650" s="163" t="s">
        <v>135</v>
      </c>
      <c r="G650" s="163"/>
      <c r="H650" s="163" t="s">
        <v>115</v>
      </c>
      <c r="I650" s="163" t="s">
        <v>121</v>
      </c>
      <c r="J650" s="163" t="s">
        <v>147</v>
      </c>
      <c r="K650" s="163" t="s">
        <v>1124</v>
      </c>
      <c r="L650" s="163"/>
      <c r="M650" s="163" t="s">
        <v>914</v>
      </c>
      <c r="N650" s="163" t="s">
        <v>181</v>
      </c>
      <c r="O650" s="162"/>
      <c r="P650" s="163"/>
      <c r="Q650" s="163"/>
      <c r="R650" s="163"/>
      <c r="S650" s="163" t="s">
        <v>133</v>
      </c>
      <c r="T650" s="164">
        <v>20000</v>
      </c>
      <c r="U650" s="164"/>
      <c r="V650" s="162"/>
      <c r="W650" s="163"/>
      <c r="X650" s="163"/>
      <c r="Y650" s="163"/>
      <c r="Z650" s="163"/>
      <c r="AA650" s="162"/>
      <c r="AB650" s="195" t="str">
        <f t="shared" si="89"/>
        <v>Jul-26</v>
      </c>
      <c r="AC650" s="163"/>
      <c r="AD650" s="163"/>
      <c r="AE650" s="163"/>
    </row>
    <row r="651" spans="1:31" x14ac:dyDescent="0.35">
      <c r="A651" s="162">
        <v>46213</v>
      </c>
      <c r="B651" s="163" t="s">
        <v>148</v>
      </c>
      <c r="C651" s="163" t="s">
        <v>113</v>
      </c>
      <c r="D651" s="163" t="s">
        <v>486</v>
      </c>
      <c r="E651" s="163" t="s">
        <v>106</v>
      </c>
      <c r="F651" s="163" t="s">
        <v>135</v>
      </c>
      <c r="G651" s="163"/>
      <c r="H651" s="163" t="s">
        <v>115</v>
      </c>
      <c r="I651" s="163" t="s">
        <v>121</v>
      </c>
      <c r="J651" s="163" t="s">
        <v>147</v>
      </c>
      <c r="K651" s="163" t="s">
        <v>1125</v>
      </c>
      <c r="L651" s="163"/>
      <c r="M651" s="163" t="s">
        <v>1074</v>
      </c>
      <c r="N651" s="163" t="s">
        <v>128</v>
      </c>
      <c r="O651" s="162"/>
      <c r="P651" s="163"/>
      <c r="Q651" s="163">
        <f ca="1">IF(N651="Closed(C4)","",IF(N651="","",TODAY()-A651))</f>
        <v>112</v>
      </c>
      <c r="R651" s="163" t="str">
        <f ca="1">IF(OR(N651="Closed( C4 )",N651="Cancelled"),"",IF(AND(O651&lt;&gt;"",O651&lt;TODAY()),"Yes",""))</f>
        <v/>
      </c>
      <c r="S651" s="163" t="s">
        <v>133</v>
      </c>
      <c r="T651" s="164">
        <v>5500</v>
      </c>
      <c r="U651" s="164"/>
      <c r="V651" s="163"/>
      <c r="W651" s="163"/>
      <c r="X651" s="163"/>
      <c r="Y651" s="163"/>
      <c r="Z651" s="163"/>
      <c r="AA651" s="162"/>
      <c r="AB651" s="195" t="str">
        <f t="shared" si="89"/>
        <v>Jul-26</v>
      </c>
      <c r="AC651" s="163"/>
      <c r="AD651" s="163" t="str">
        <f>IF(AC651="Yes",U651*2%,"")</f>
        <v/>
      </c>
      <c r="AE651" s="163"/>
    </row>
    <row r="652" spans="1:31" x14ac:dyDescent="0.35">
      <c r="A652" s="162">
        <v>46213</v>
      </c>
      <c r="B652" s="163" t="s">
        <v>148</v>
      </c>
      <c r="C652" s="163" t="s">
        <v>113</v>
      </c>
      <c r="D652" s="163" t="s">
        <v>1126</v>
      </c>
      <c r="E652" s="163" t="s">
        <v>106</v>
      </c>
      <c r="F652" s="163" t="s">
        <v>135</v>
      </c>
      <c r="G652" s="163"/>
      <c r="H652" s="163" t="s">
        <v>115</v>
      </c>
      <c r="I652" s="163" t="s">
        <v>121</v>
      </c>
      <c r="J652" s="163" t="s">
        <v>147</v>
      </c>
      <c r="K652" s="163" t="s">
        <v>1127</v>
      </c>
      <c r="L652" s="163"/>
      <c r="M652" s="163" t="s">
        <v>1074</v>
      </c>
      <c r="N652" s="163" t="s">
        <v>128</v>
      </c>
      <c r="O652" s="162"/>
      <c r="P652" s="163"/>
      <c r="Q652" s="163">
        <f ca="1">IF(N652="Closed(C4)","",IF(N652="","",TODAY()-A652))</f>
        <v>112</v>
      </c>
      <c r="R652" s="163" t="str">
        <f ca="1">IF(OR(N652="Closed( C4 )",N652="Cancelled"),"",IF(AND(O652&lt;&gt;"",O652&lt;TODAY()),"Yes",""))</f>
        <v/>
      </c>
      <c r="S652" s="163" t="s">
        <v>133</v>
      </c>
      <c r="T652" s="164">
        <v>6000</v>
      </c>
      <c r="U652" s="164"/>
      <c r="V652" s="163"/>
      <c r="W652" s="163"/>
      <c r="X652" s="163"/>
      <c r="Y652" s="163"/>
      <c r="Z652" s="163"/>
      <c r="AA652" s="162"/>
      <c r="AB652" s="195" t="str">
        <f t="shared" si="89"/>
        <v>Jul-26</v>
      </c>
      <c r="AC652" s="163"/>
      <c r="AD652" s="163" t="str">
        <f>IF(AC652="Yes",U652*2%,"")</f>
        <v/>
      </c>
      <c r="AE652" s="163"/>
    </row>
    <row r="653" spans="1:31" x14ac:dyDescent="0.35">
      <c r="A653" s="162">
        <v>46213</v>
      </c>
      <c r="B653" s="163" t="s">
        <v>92</v>
      </c>
      <c r="C653" s="163" t="s">
        <v>93</v>
      </c>
      <c r="D653" s="163" t="s">
        <v>1128</v>
      </c>
      <c r="E653" s="163" t="s">
        <v>106</v>
      </c>
      <c r="F653" s="163" t="s">
        <v>135</v>
      </c>
      <c r="G653" s="163"/>
      <c r="H653" s="163" t="s">
        <v>115</v>
      </c>
      <c r="I653" s="163" t="s">
        <v>121</v>
      </c>
      <c r="J653" s="163" t="s">
        <v>388</v>
      </c>
      <c r="K653" s="163" t="s">
        <v>154</v>
      </c>
      <c r="L653" s="163"/>
      <c r="M653" s="163" t="s">
        <v>1129</v>
      </c>
      <c r="N653" s="163" t="s">
        <v>102</v>
      </c>
      <c r="O653" s="162"/>
      <c r="P653" s="163"/>
      <c r="Q653" s="163" t="str">
        <f ca="1">IF(N653="Closed(C4)","",IF(N653="","",TODAY()-A653))</f>
        <v/>
      </c>
      <c r="R653" s="163" t="str">
        <f ca="1">IF(OR(N653="Closed( C4 )",N653="Cancelled"),"",IF(AND(O653&lt;&gt;"",O653&lt;TODAY()),"Yes",""))</f>
        <v/>
      </c>
      <c r="S653" s="163" t="s">
        <v>103</v>
      </c>
      <c r="T653" s="164">
        <v>3000</v>
      </c>
      <c r="U653" s="164">
        <v>4714</v>
      </c>
      <c r="V653" s="162">
        <v>46214</v>
      </c>
      <c r="W653" s="163" t="s">
        <v>1130</v>
      </c>
      <c r="X653" s="163" t="s">
        <v>58</v>
      </c>
      <c r="Y653" s="163" t="s">
        <v>161</v>
      </c>
      <c r="Z653" s="163"/>
      <c r="AA653" s="162"/>
      <c r="AB653" s="195" t="str">
        <f t="shared" si="89"/>
        <v>Jul-26</v>
      </c>
      <c r="AC653" s="163"/>
      <c r="AD653" s="163" t="str">
        <f>IF(AC653="Yes",U653*2%,"")</f>
        <v/>
      </c>
      <c r="AE653" s="163"/>
    </row>
    <row r="654" spans="1:31" x14ac:dyDescent="0.35">
      <c r="A654" s="162">
        <v>46213</v>
      </c>
      <c r="B654" s="163" t="s">
        <v>125</v>
      </c>
      <c r="C654" s="163" t="s">
        <v>93</v>
      </c>
      <c r="D654" s="163" t="s">
        <v>1128</v>
      </c>
      <c r="E654" s="163" t="s">
        <v>106</v>
      </c>
      <c r="F654" s="163" t="s">
        <v>135</v>
      </c>
      <c r="G654" s="163"/>
      <c r="H654" s="163" t="s">
        <v>115</v>
      </c>
      <c r="I654" s="163" t="s">
        <v>121</v>
      </c>
      <c r="J654" s="163" t="s">
        <v>388</v>
      </c>
      <c r="K654" s="163" t="s">
        <v>154</v>
      </c>
      <c r="L654" s="163"/>
      <c r="M654" s="163" t="s">
        <v>1129</v>
      </c>
      <c r="N654" s="163" t="s">
        <v>102</v>
      </c>
      <c r="O654" s="162"/>
      <c r="P654" s="163"/>
      <c r="Q654" s="163" t="str">
        <f ca="1">IF(N654="Closed(C4)","",IF(N654="","",TODAY()-A654))</f>
        <v/>
      </c>
      <c r="R654" s="163" t="str">
        <f ca="1">IF(OR(N654="Closed( C4 )",N654="Cancelled"),"",IF(AND(O654&lt;&gt;"",O654&lt;TODAY()),"Yes",""))</f>
        <v/>
      </c>
      <c r="S654" s="163" t="s">
        <v>103</v>
      </c>
      <c r="T654" s="164">
        <v>3000</v>
      </c>
      <c r="U654" s="164">
        <v>4714</v>
      </c>
      <c r="V654" s="162">
        <v>46214</v>
      </c>
      <c r="W654" s="163" t="s">
        <v>1130</v>
      </c>
      <c r="X654" s="163" t="s">
        <v>58</v>
      </c>
      <c r="Y654" s="163" t="s">
        <v>161</v>
      </c>
      <c r="Z654" s="163"/>
      <c r="AA654" s="162"/>
      <c r="AB654" s="195" t="str">
        <f t="shared" si="89"/>
        <v>Jul-26</v>
      </c>
      <c r="AC654" s="163"/>
      <c r="AD654" s="163"/>
      <c r="AE654" s="163"/>
    </row>
    <row r="655" spans="1:31" x14ac:dyDescent="0.35">
      <c r="A655" s="162">
        <v>46214</v>
      </c>
      <c r="B655" s="163" t="s">
        <v>92</v>
      </c>
      <c r="C655" s="163" t="s">
        <v>93</v>
      </c>
      <c r="D655" s="163" t="s">
        <v>1104</v>
      </c>
      <c r="E655" s="163" t="s">
        <v>106</v>
      </c>
      <c r="F655" s="163" t="s">
        <v>135</v>
      </c>
      <c r="G655" s="163"/>
      <c r="H655" s="163" t="s">
        <v>115</v>
      </c>
      <c r="I655" s="163" t="s">
        <v>121</v>
      </c>
      <c r="J655" s="163" t="s">
        <v>388</v>
      </c>
      <c r="K655" s="163" t="s">
        <v>370</v>
      </c>
      <c r="L655" s="163"/>
      <c r="M655" s="163" t="s">
        <v>1129</v>
      </c>
      <c r="N655" s="163" t="s">
        <v>102</v>
      </c>
      <c r="O655" s="162"/>
      <c r="P655" s="163"/>
      <c r="Q655" s="163" t="str">
        <f ca="1">IF(N655="Closed(C4)","",IF(N655="","",TODAY()-A655))</f>
        <v/>
      </c>
      <c r="R655" s="163" t="str">
        <f ca="1">IF(OR(N655="Closed( C4 )",N655="Cancelled"),"",IF(AND(O655&lt;&gt;"",O655&lt;TODAY()),"Yes",""))</f>
        <v/>
      </c>
      <c r="S655" s="163" t="s">
        <v>103</v>
      </c>
      <c r="T655" s="164">
        <v>7000</v>
      </c>
      <c r="U655" s="164">
        <v>10430</v>
      </c>
      <c r="V655" s="162">
        <v>46214</v>
      </c>
      <c r="W655" s="163" t="s">
        <v>1106</v>
      </c>
      <c r="X655" s="163" t="s">
        <v>56</v>
      </c>
      <c r="Y655" s="163" t="s">
        <v>85</v>
      </c>
      <c r="Z655" s="163"/>
      <c r="AA655" s="162"/>
      <c r="AB655" s="195" t="str">
        <f t="shared" si="89"/>
        <v>Jul-26</v>
      </c>
      <c r="AC655" s="163"/>
      <c r="AD655" s="163" t="str">
        <f>IF(AC655="Yes",U655*2%,"")</f>
        <v/>
      </c>
      <c r="AE655" s="163"/>
    </row>
    <row r="656" spans="1:31" x14ac:dyDescent="0.35">
      <c r="A656" s="162">
        <v>46214</v>
      </c>
      <c r="B656" s="163" t="s">
        <v>125</v>
      </c>
      <c r="C656" s="163" t="s">
        <v>93</v>
      </c>
      <c r="D656" s="163" t="s">
        <v>1131</v>
      </c>
      <c r="E656" s="163" t="s">
        <v>95</v>
      </c>
      <c r="F656" s="163" t="s">
        <v>226</v>
      </c>
      <c r="G656" s="163" t="s">
        <v>14</v>
      </c>
      <c r="H656" s="163" t="s">
        <v>97</v>
      </c>
      <c r="I656" s="163" t="s">
        <v>121</v>
      </c>
      <c r="J656" s="163" t="s">
        <v>388</v>
      </c>
      <c r="K656" s="163" t="s">
        <v>154</v>
      </c>
      <c r="L656" s="163"/>
      <c r="M656" s="163" t="s">
        <v>159</v>
      </c>
      <c r="N656" s="163" t="s">
        <v>156</v>
      </c>
      <c r="O656" s="162"/>
      <c r="P656" s="163"/>
      <c r="Q656" s="163"/>
      <c r="R656" s="163"/>
      <c r="S656" s="163" t="s">
        <v>103</v>
      </c>
      <c r="T656" s="164">
        <v>40000</v>
      </c>
      <c r="U656" s="164"/>
      <c r="V656" s="162"/>
      <c r="W656" s="163"/>
      <c r="X656" s="163"/>
      <c r="Y656" s="163"/>
      <c r="Z656" s="163"/>
      <c r="AA656" s="163"/>
      <c r="AB656" s="195" t="str">
        <f t="shared" si="89"/>
        <v>Jul-26</v>
      </c>
      <c r="AC656" s="163"/>
      <c r="AD656" s="163"/>
      <c r="AE656" s="163"/>
    </row>
    <row r="657" spans="1:31" x14ac:dyDescent="0.35">
      <c r="A657" s="162">
        <v>46215</v>
      </c>
      <c r="B657" s="163" t="s">
        <v>92</v>
      </c>
      <c r="C657" s="163" t="s">
        <v>93</v>
      </c>
      <c r="D657" s="163" t="s">
        <v>1128</v>
      </c>
      <c r="E657" s="163" t="s">
        <v>106</v>
      </c>
      <c r="F657" s="163" t="s">
        <v>135</v>
      </c>
      <c r="G657" s="163"/>
      <c r="H657" s="163" t="s">
        <v>115</v>
      </c>
      <c r="I657" s="163" t="s">
        <v>121</v>
      </c>
      <c r="J657" s="163" t="s">
        <v>388</v>
      </c>
      <c r="K657" s="163" t="s">
        <v>154</v>
      </c>
      <c r="L657" s="163"/>
      <c r="M657" s="163" t="s">
        <v>1119</v>
      </c>
      <c r="N657" s="163" t="s">
        <v>102</v>
      </c>
      <c r="O657" s="162"/>
      <c r="P657" s="163"/>
      <c r="Q657" s="163" t="str">
        <f t="shared" ref="Q657:Q664" ca="1" si="91">IF(N657="Closed(C4)","",IF(N657="","",TODAY()-A657))</f>
        <v/>
      </c>
      <c r="R657" s="163" t="str">
        <f t="shared" ref="R657:R664" ca="1" si="92">IF(OR(N657="Closed( C4 )",N657="Cancelled"),"",IF(AND(O657&lt;&gt;"",O657&lt;TODAY()),"Yes",""))</f>
        <v/>
      </c>
      <c r="S657" s="163" t="s">
        <v>103</v>
      </c>
      <c r="T657" s="164">
        <v>3000</v>
      </c>
      <c r="U657" s="164">
        <v>6200</v>
      </c>
      <c r="V657" s="162">
        <v>46215</v>
      </c>
      <c r="W657" s="163" t="s">
        <v>1132</v>
      </c>
      <c r="X657" s="163" t="s">
        <v>58</v>
      </c>
      <c r="Y657" s="163" t="s">
        <v>161</v>
      </c>
      <c r="Z657" s="163"/>
      <c r="AA657" s="162"/>
      <c r="AB657" s="195" t="str">
        <f t="shared" si="89"/>
        <v>Jul-26</v>
      </c>
      <c r="AC657" s="163"/>
      <c r="AD657" s="163" t="str">
        <f t="shared" ref="AD657:AD664" si="93">IF(AC657="Yes",U657*2%,"")</f>
        <v/>
      </c>
      <c r="AE657" s="163"/>
    </row>
    <row r="658" spans="1:31" x14ac:dyDescent="0.35">
      <c r="A658" s="162">
        <v>46215</v>
      </c>
      <c r="B658" s="163" t="s">
        <v>125</v>
      </c>
      <c r="C658" s="163" t="s">
        <v>93</v>
      </c>
      <c r="D658" s="163" t="s">
        <v>1128</v>
      </c>
      <c r="E658" s="163" t="s">
        <v>106</v>
      </c>
      <c r="F658" s="163" t="s">
        <v>135</v>
      </c>
      <c r="G658" s="163"/>
      <c r="H658" s="163" t="s">
        <v>115</v>
      </c>
      <c r="I658" s="163" t="s">
        <v>121</v>
      </c>
      <c r="J658" s="163" t="s">
        <v>388</v>
      </c>
      <c r="K658" s="163" t="s">
        <v>154</v>
      </c>
      <c r="L658" s="163"/>
      <c r="M658" s="163" t="s">
        <v>1119</v>
      </c>
      <c r="N658" s="163" t="s">
        <v>102</v>
      </c>
      <c r="O658" s="162"/>
      <c r="P658" s="163"/>
      <c r="Q658" s="163" t="str">
        <f t="shared" ca="1" si="91"/>
        <v/>
      </c>
      <c r="R658" s="163" t="str">
        <f t="shared" ca="1" si="92"/>
        <v/>
      </c>
      <c r="S658" s="163" t="s">
        <v>103</v>
      </c>
      <c r="T658" s="164">
        <v>3000</v>
      </c>
      <c r="U658" s="164">
        <v>6200</v>
      </c>
      <c r="V658" s="162">
        <v>46215</v>
      </c>
      <c r="W658" s="163" t="s">
        <v>1132</v>
      </c>
      <c r="X658" s="163" t="s">
        <v>58</v>
      </c>
      <c r="Y658" s="163" t="s">
        <v>161</v>
      </c>
      <c r="Z658" s="163"/>
      <c r="AA658" s="162"/>
      <c r="AB658" s="195" t="str">
        <f t="shared" si="89"/>
        <v>Jul-26</v>
      </c>
      <c r="AC658" s="163"/>
      <c r="AD658" s="163" t="str">
        <f t="shared" si="93"/>
        <v/>
      </c>
      <c r="AE658" s="163"/>
    </row>
    <row r="659" spans="1:31" x14ac:dyDescent="0.35">
      <c r="A659" s="162">
        <v>46216</v>
      </c>
      <c r="B659" s="163" t="s">
        <v>370</v>
      </c>
      <c r="C659" s="163" t="s">
        <v>93</v>
      </c>
      <c r="D659" s="163" t="s">
        <v>407</v>
      </c>
      <c r="E659" s="163" t="s">
        <v>106</v>
      </c>
      <c r="F659" s="163" t="s">
        <v>115</v>
      </c>
      <c r="G659" s="163"/>
      <c r="H659" s="163" t="s">
        <v>115</v>
      </c>
      <c r="I659" s="163" t="s">
        <v>121</v>
      </c>
      <c r="J659" s="163" t="s">
        <v>99</v>
      </c>
      <c r="K659" s="163" t="s">
        <v>1133</v>
      </c>
      <c r="L659" s="163"/>
      <c r="M659" s="163" t="s">
        <v>1134</v>
      </c>
      <c r="N659" s="163" t="s">
        <v>181</v>
      </c>
      <c r="O659" s="162"/>
      <c r="P659" s="163"/>
      <c r="Q659" s="163">
        <f t="shared" ca="1" si="91"/>
        <v>109</v>
      </c>
      <c r="R659" s="163" t="str">
        <f t="shared" ca="1" si="92"/>
        <v/>
      </c>
      <c r="S659" s="163" t="s">
        <v>103</v>
      </c>
      <c r="T659" s="164">
        <v>5000</v>
      </c>
      <c r="U659" s="164"/>
      <c r="V659" s="163"/>
      <c r="W659" s="163"/>
      <c r="X659" s="163"/>
      <c r="Y659" s="163"/>
      <c r="Z659" s="163"/>
      <c r="AA659" s="162"/>
      <c r="AB659" s="195" t="str">
        <f t="shared" si="89"/>
        <v>Jul-26</v>
      </c>
      <c r="AC659" s="163"/>
      <c r="AD659" s="163" t="str">
        <f t="shared" si="93"/>
        <v/>
      </c>
      <c r="AE659" s="163"/>
    </row>
    <row r="660" spans="1:31" x14ac:dyDescent="0.35">
      <c r="A660" s="162">
        <v>46216</v>
      </c>
      <c r="B660" s="163" t="s">
        <v>370</v>
      </c>
      <c r="C660" s="163" t="s">
        <v>93</v>
      </c>
      <c r="D660" s="163" t="s">
        <v>1135</v>
      </c>
      <c r="E660" s="163" t="s">
        <v>106</v>
      </c>
      <c r="F660" s="163" t="s">
        <v>135</v>
      </c>
      <c r="G660" s="163"/>
      <c r="H660" s="163" t="s">
        <v>115</v>
      </c>
      <c r="I660" s="163" t="s">
        <v>121</v>
      </c>
      <c r="J660" s="163" t="s">
        <v>153</v>
      </c>
      <c r="K660" s="163" t="s">
        <v>1136</v>
      </c>
      <c r="L660" s="163"/>
      <c r="M660" s="163" t="s">
        <v>634</v>
      </c>
      <c r="N660" s="163" t="s">
        <v>102</v>
      </c>
      <c r="O660" s="162"/>
      <c r="P660" s="163"/>
      <c r="Q660" s="163" t="str">
        <f t="shared" ca="1" si="91"/>
        <v/>
      </c>
      <c r="R660" s="163" t="str">
        <f t="shared" ca="1" si="92"/>
        <v/>
      </c>
      <c r="S660" s="163" t="s">
        <v>103</v>
      </c>
      <c r="T660" s="164">
        <v>25000</v>
      </c>
      <c r="U660" s="164">
        <v>26909</v>
      </c>
      <c r="V660" s="162">
        <v>46217</v>
      </c>
      <c r="W660" s="163" t="s">
        <v>1137</v>
      </c>
      <c r="X660" s="163" t="s">
        <v>57</v>
      </c>
      <c r="Y660" s="163" t="s">
        <v>85</v>
      </c>
      <c r="Z660" s="163"/>
      <c r="AA660" s="162">
        <v>46217</v>
      </c>
      <c r="AB660" s="195" t="str">
        <f t="shared" si="89"/>
        <v>Jul-26</v>
      </c>
      <c r="AC660" s="163"/>
      <c r="AD660" s="163" t="str">
        <f t="shared" si="93"/>
        <v/>
      </c>
      <c r="AE660" s="163" t="s">
        <v>270</v>
      </c>
    </row>
    <row r="661" spans="1:31" x14ac:dyDescent="0.35">
      <c r="A661" s="162">
        <v>46216</v>
      </c>
      <c r="B661" s="163" t="s">
        <v>92</v>
      </c>
      <c r="C661" s="163" t="s">
        <v>93</v>
      </c>
      <c r="D661" s="163" t="s">
        <v>1035</v>
      </c>
      <c r="E661" s="163" t="s">
        <v>106</v>
      </c>
      <c r="F661" s="163" t="s">
        <v>135</v>
      </c>
      <c r="G661" s="163"/>
      <c r="H661" s="163" t="s">
        <v>163</v>
      </c>
      <c r="I661" s="163" t="s">
        <v>121</v>
      </c>
      <c r="J661" s="163" t="s">
        <v>147</v>
      </c>
      <c r="K661" s="163" t="s">
        <v>1138</v>
      </c>
      <c r="L661" s="163"/>
      <c r="M661" s="163" t="s">
        <v>1139</v>
      </c>
      <c r="N661" s="163" t="s">
        <v>102</v>
      </c>
      <c r="O661" s="162"/>
      <c r="P661" s="163"/>
      <c r="Q661" s="163" t="str">
        <f t="shared" ca="1" si="91"/>
        <v/>
      </c>
      <c r="R661" s="163" t="str">
        <f t="shared" ca="1" si="92"/>
        <v/>
      </c>
      <c r="S661" s="163" t="s">
        <v>103</v>
      </c>
      <c r="T661" s="164">
        <v>25000</v>
      </c>
      <c r="U661" s="164">
        <v>60416</v>
      </c>
      <c r="V661" s="162">
        <v>46216</v>
      </c>
      <c r="W661" s="163" t="s">
        <v>1140</v>
      </c>
      <c r="X661" s="163" t="s">
        <v>30</v>
      </c>
      <c r="Y661" s="163" t="s">
        <v>161</v>
      </c>
      <c r="Z661" s="163"/>
      <c r="AA661" s="162"/>
      <c r="AB661" s="195" t="str">
        <f t="shared" si="89"/>
        <v>Jul-26</v>
      </c>
      <c r="AC661" s="163"/>
      <c r="AD661" s="163" t="str">
        <f t="shared" si="93"/>
        <v/>
      </c>
      <c r="AE661" s="163"/>
    </row>
    <row r="662" spans="1:31" x14ac:dyDescent="0.35">
      <c r="A662" s="162">
        <v>46216</v>
      </c>
      <c r="B662" s="163" t="s">
        <v>148</v>
      </c>
      <c r="C662" s="163" t="s">
        <v>113</v>
      </c>
      <c r="D662" s="163" t="s">
        <v>983</v>
      </c>
      <c r="E662" s="163" t="s">
        <v>106</v>
      </c>
      <c r="F662" s="163"/>
      <c r="G662" s="163"/>
      <c r="H662" s="163" t="s">
        <v>115</v>
      </c>
      <c r="I662" s="163" t="s">
        <v>121</v>
      </c>
      <c r="J662" s="163" t="s">
        <v>147</v>
      </c>
      <c r="K662" s="163" t="s">
        <v>511</v>
      </c>
      <c r="L662" s="163"/>
      <c r="M662" s="163" t="s">
        <v>1141</v>
      </c>
      <c r="N662" s="163" t="s">
        <v>130</v>
      </c>
      <c r="O662" s="162">
        <v>46283</v>
      </c>
      <c r="P662" s="163" t="s">
        <v>95</v>
      </c>
      <c r="Q662" s="163">
        <f t="shared" ca="1" si="91"/>
        <v>109</v>
      </c>
      <c r="R662" s="163" t="str">
        <f t="shared" ca="1" si="92"/>
        <v>Yes</v>
      </c>
      <c r="S662" s="163" t="s">
        <v>129</v>
      </c>
      <c r="T662" s="164">
        <v>5500</v>
      </c>
      <c r="U662" s="164"/>
      <c r="V662" s="163"/>
      <c r="W662" s="163"/>
      <c r="X662" s="163"/>
      <c r="Y662" s="163"/>
      <c r="Z662" s="163"/>
      <c r="AA662" s="162"/>
      <c r="AB662" s="195" t="str">
        <f t="shared" si="89"/>
        <v>Jul-26</v>
      </c>
      <c r="AC662" s="163"/>
      <c r="AD662" s="163" t="str">
        <f t="shared" si="93"/>
        <v/>
      </c>
      <c r="AE662" s="163"/>
    </row>
    <row r="663" spans="1:31" x14ac:dyDescent="0.35">
      <c r="A663" s="162">
        <v>46216</v>
      </c>
      <c r="B663" s="163" t="s">
        <v>148</v>
      </c>
      <c r="C663" s="163" t="s">
        <v>113</v>
      </c>
      <c r="D663" s="163" t="s">
        <v>1142</v>
      </c>
      <c r="E663" s="163" t="s">
        <v>106</v>
      </c>
      <c r="F663" s="163"/>
      <c r="G663" s="163"/>
      <c r="H663" s="163" t="s">
        <v>115</v>
      </c>
      <c r="I663" s="163" t="s">
        <v>121</v>
      </c>
      <c r="J663" s="163" t="s">
        <v>754</v>
      </c>
      <c r="K663" s="163" t="s">
        <v>785</v>
      </c>
      <c r="L663" s="163"/>
      <c r="M663" s="163" t="s">
        <v>1141</v>
      </c>
      <c r="N663" s="163" t="s">
        <v>130</v>
      </c>
      <c r="O663" s="162">
        <v>46283</v>
      </c>
      <c r="P663" s="163" t="s">
        <v>95</v>
      </c>
      <c r="Q663" s="163">
        <f t="shared" ca="1" si="91"/>
        <v>109</v>
      </c>
      <c r="R663" s="163" t="str">
        <f t="shared" ca="1" si="92"/>
        <v>Yes</v>
      </c>
      <c r="S663" s="163" t="s">
        <v>129</v>
      </c>
      <c r="T663" s="164">
        <v>6000</v>
      </c>
      <c r="U663" s="164"/>
      <c r="V663" s="163"/>
      <c r="W663" s="163"/>
      <c r="X663" s="163"/>
      <c r="Y663" s="163"/>
      <c r="Z663" s="163"/>
      <c r="AA663" s="162"/>
      <c r="AB663" s="195" t="str">
        <f t="shared" si="89"/>
        <v>Jul-26</v>
      </c>
      <c r="AC663" s="163"/>
      <c r="AD663" s="163" t="str">
        <f t="shared" si="93"/>
        <v/>
      </c>
      <c r="AE663" s="163"/>
    </row>
    <row r="664" spans="1:31" x14ac:dyDescent="0.35">
      <c r="A664" s="162">
        <v>46216</v>
      </c>
      <c r="B664" s="163" t="s">
        <v>148</v>
      </c>
      <c r="C664" s="163" t="s">
        <v>113</v>
      </c>
      <c r="D664" s="163" t="s">
        <v>1143</v>
      </c>
      <c r="E664" s="163" t="s">
        <v>106</v>
      </c>
      <c r="F664" s="163" t="s">
        <v>135</v>
      </c>
      <c r="G664" s="163"/>
      <c r="H664" s="163" t="s">
        <v>115</v>
      </c>
      <c r="I664" s="163" t="s">
        <v>121</v>
      </c>
      <c r="J664" s="163" t="s">
        <v>454</v>
      </c>
      <c r="K664" s="163" t="s">
        <v>1144</v>
      </c>
      <c r="L664" s="163"/>
      <c r="M664" s="163" t="s">
        <v>1145</v>
      </c>
      <c r="N664" s="163" t="s">
        <v>128</v>
      </c>
      <c r="O664" s="162"/>
      <c r="P664" s="163"/>
      <c r="Q664" s="163">
        <f t="shared" ca="1" si="91"/>
        <v>109</v>
      </c>
      <c r="R664" s="163" t="str">
        <f t="shared" ca="1" si="92"/>
        <v/>
      </c>
      <c r="S664" s="163" t="s">
        <v>133</v>
      </c>
      <c r="T664" s="164">
        <v>5500</v>
      </c>
      <c r="U664" s="164"/>
      <c r="V664" s="163"/>
      <c r="W664" s="163"/>
      <c r="X664" s="163"/>
      <c r="Y664" s="163"/>
      <c r="Z664" s="163"/>
      <c r="AA664" s="162"/>
      <c r="AB664" s="195" t="str">
        <f t="shared" si="89"/>
        <v>Jul-26</v>
      </c>
      <c r="AC664" s="163"/>
      <c r="AD664" s="163" t="str">
        <f t="shared" si="93"/>
        <v/>
      </c>
      <c r="AE664" s="163"/>
    </row>
    <row r="665" spans="1:31" x14ac:dyDescent="0.35">
      <c r="A665" s="162">
        <v>46217</v>
      </c>
      <c r="B665" s="163" t="s">
        <v>370</v>
      </c>
      <c r="C665" s="163" t="s">
        <v>93</v>
      </c>
      <c r="D665" s="163" t="s">
        <v>1146</v>
      </c>
      <c r="E665" s="163" t="s">
        <v>106</v>
      </c>
      <c r="F665" s="163" t="s">
        <v>135</v>
      </c>
      <c r="G665" s="163"/>
      <c r="H665" s="163" t="s">
        <v>115</v>
      </c>
      <c r="I665" s="163" t="s">
        <v>121</v>
      </c>
      <c r="J665" s="163" t="s">
        <v>356</v>
      </c>
      <c r="K665" s="163" t="s">
        <v>1124</v>
      </c>
      <c r="L665" s="163"/>
      <c r="M665" s="163" t="s">
        <v>914</v>
      </c>
      <c r="N665" s="163" t="s">
        <v>181</v>
      </c>
      <c r="O665" s="162">
        <v>46265</v>
      </c>
      <c r="P665" s="163" t="s">
        <v>95</v>
      </c>
      <c r="Q665" s="163"/>
      <c r="R665" s="163"/>
      <c r="S665" s="163" t="s">
        <v>133</v>
      </c>
      <c r="T665" s="164">
        <v>60000</v>
      </c>
      <c r="U665" s="164"/>
      <c r="V665" s="162"/>
      <c r="W665" s="163"/>
      <c r="X665" s="163"/>
      <c r="Y665" s="163"/>
      <c r="Z665" s="163"/>
      <c r="AA665" s="162"/>
      <c r="AB665" s="195" t="str">
        <f t="shared" si="89"/>
        <v>Jul-26</v>
      </c>
      <c r="AC665" s="163"/>
      <c r="AD665" s="163"/>
      <c r="AE665" s="163"/>
    </row>
    <row r="666" spans="1:31" x14ac:dyDescent="0.35">
      <c r="A666" s="162">
        <v>46217</v>
      </c>
      <c r="B666" s="163" t="s">
        <v>370</v>
      </c>
      <c r="C666" s="163" t="s">
        <v>93</v>
      </c>
      <c r="D666" s="163" t="s">
        <v>1147</v>
      </c>
      <c r="E666" s="163" t="s">
        <v>106</v>
      </c>
      <c r="F666" s="163" t="s">
        <v>135</v>
      </c>
      <c r="G666" s="163"/>
      <c r="H666" s="163" t="s">
        <v>115</v>
      </c>
      <c r="I666" s="163" t="s">
        <v>121</v>
      </c>
      <c r="J666" s="163" t="s">
        <v>356</v>
      </c>
      <c r="K666" s="163" t="s">
        <v>148</v>
      </c>
      <c r="L666" s="163"/>
      <c r="M666" s="163" t="s">
        <v>1134</v>
      </c>
      <c r="N666" s="163" t="s">
        <v>181</v>
      </c>
      <c r="O666" s="162"/>
      <c r="P666" s="163"/>
      <c r="Q666" s="163"/>
      <c r="R666" s="163"/>
      <c r="S666" s="163" t="s">
        <v>129</v>
      </c>
      <c r="T666" s="164">
        <v>40000</v>
      </c>
      <c r="U666" s="164"/>
      <c r="V666" s="162"/>
      <c r="W666" s="163"/>
      <c r="X666" s="163"/>
      <c r="Y666" s="163"/>
      <c r="Z666" s="163"/>
      <c r="AA666" s="162"/>
      <c r="AB666" s="195" t="str">
        <f t="shared" si="89"/>
        <v>Jul-26</v>
      </c>
      <c r="AC666" s="163"/>
      <c r="AD666" s="163"/>
      <c r="AE666" s="163"/>
    </row>
    <row r="667" spans="1:31" x14ac:dyDescent="0.35">
      <c r="A667" s="162">
        <v>46217</v>
      </c>
      <c r="B667" s="163" t="s">
        <v>92</v>
      </c>
      <c r="C667" s="163" t="s">
        <v>93</v>
      </c>
      <c r="D667" s="163" t="s">
        <v>1035</v>
      </c>
      <c r="E667" s="163" t="s">
        <v>106</v>
      </c>
      <c r="F667" s="163" t="s">
        <v>135</v>
      </c>
      <c r="G667" s="163"/>
      <c r="H667" s="163" t="s">
        <v>163</v>
      </c>
      <c r="I667" s="163" t="s">
        <v>121</v>
      </c>
      <c r="J667" s="163" t="s">
        <v>147</v>
      </c>
      <c r="K667" s="163" t="s">
        <v>1138</v>
      </c>
      <c r="L667" s="163"/>
      <c r="M667" s="163" t="s">
        <v>1148</v>
      </c>
      <c r="N667" s="163" t="s">
        <v>102</v>
      </c>
      <c r="O667" s="162"/>
      <c r="P667" s="163"/>
      <c r="Q667" s="163" t="str">
        <f ca="1">IF(N667="Closed(C4)","",IF(N667="","",TODAY()-A667))</f>
        <v/>
      </c>
      <c r="R667" s="163" t="str">
        <f ca="1">IF(OR(N667="Closed( C4 )",N667="Cancelled"),"",IF(AND(O667&lt;&gt;"",O667&lt;TODAY()),"Yes",""))</f>
        <v/>
      </c>
      <c r="S667" s="163" t="s">
        <v>103</v>
      </c>
      <c r="T667" s="164">
        <v>25000</v>
      </c>
      <c r="U667" s="164">
        <v>45532</v>
      </c>
      <c r="V667" s="162">
        <v>46217</v>
      </c>
      <c r="W667" s="163" t="s">
        <v>1149</v>
      </c>
      <c r="X667" s="163" t="s">
        <v>30</v>
      </c>
      <c r="Y667" s="163" t="s">
        <v>161</v>
      </c>
      <c r="Z667" s="163"/>
      <c r="AA667" s="162"/>
      <c r="AB667" s="195" t="str">
        <f t="shared" si="89"/>
        <v>Jul-26</v>
      </c>
      <c r="AC667" s="163"/>
      <c r="AD667" s="163" t="str">
        <f>IF(AC667="Yes",U667*2%,"")</f>
        <v/>
      </c>
      <c r="AE667" s="163"/>
    </row>
    <row r="668" spans="1:31" x14ac:dyDescent="0.35">
      <c r="A668" s="162">
        <v>46217</v>
      </c>
      <c r="B668" s="163" t="s">
        <v>370</v>
      </c>
      <c r="C668" s="163" t="s">
        <v>93</v>
      </c>
      <c r="D668" s="163" t="s">
        <v>1150</v>
      </c>
      <c r="E668" s="163" t="s">
        <v>106</v>
      </c>
      <c r="F668" s="163" t="s">
        <v>135</v>
      </c>
      <c r="G668" s="163"/>
      <c r="H668" s="163" t="s">
        <v>115</v>
      </c>
      <c r="I668" s="163" t="s">
        <v>121</v>
      </c>
      <c r="J668" s="163" t="s">
        <v>432</v>
      </c>
      <c r="K668" s="163" t="s">
        <v>1151</v>
      </c>
      <c r="L668" s="163"/>
      <c r="M668" s="163" t="s">
        <v>1134</v>
      </c>
      <c r="N668" s="163" t="s">
        <v>181</v>
      </c>
      <c r="O668" s="162"/>
      <c r="P668" s="163"/>
      <c r="Q668" s="163"/>
      <c r="R668" s="163"/>
      <c r="S668" s="163" t="s">
        <v>129</v>
      </c>
      <c r="T668" s="164">
        <v>20000</v>
      </c>
      <c r="U668" s="164"/>
      <c r="V668" s="162"/>
      <c r="W668" s="163"/>
      <c r="X668" s="163"/>
      <c r="Y668" s="163"/>
      <c r="Z668" s="163"/>
      <c r="AA668" s="162"/>
      <c r="AB668" s="195" t="str">
        <f t="shared" si="89"/>
        <v>Jul-26</v>
      </c>
      <c r="AC668" s="163"/>
      <c r="AD668" s="163"/>
      <c r="AE668" s="163"/>
    </row>
    <row r="669" spans="1:31" x14ac:dyDescent="0.35">
      <c r="A669" s="162">
        <v>46217</v>
      </c>
      <c r="B669" s="163" t="s">
        <v>370</v>
      </c>
      <c r="C669" s="163" t="s">
        <v>93</v>
      </c>
      <c r="D669" s="163" t="s">
        <v>1152</v>
      </c>
      <c r="E669" s="163" t="s">
        <v>106</v>
      </c>
      <c r="F669" s="163" t="s">
        <v>135</v>
      </c>
      <c r="G669" s="163"/>
      <c r="H669" s="163" t="s">
        <v>115</v>
      </c>
      <c r="I669" s="163" t="s">
        <v>121</v>
      </c>
      <c r="J669" s="163" t="s">
        <v>432</v>
      </c>
      <c r="K669" s="163" t="s">
        <v>1153</v>
      </c>
      <c r="L669" s="163"/>
      <c r="M669" s="163" t="s">
        <v>914</v>
      </c>
      <c r="N669" s="163" t="s">
        <v>181</v>
      </c>
      <c r="O669" s="162"/>
      <c r="P669" s="163"/>
      <c r="Q669" s="163"/>
      <c r="R669" s="163"/>
      <c r="S669" s="163" t="s">
        <v>133</v>
      </c>
      <c r="T669" s="164">
        <v>40000</v>
      </c>
      <c r="U669" s="164"/>
      <c r="V669" s="162"/>
      <c r="W669" s="163"/>
      <c r="X669" s="163"/>
      <c r="Y669" s="163"/>
      <c r="Z669" s="163"/>
      <c r="AA669" s="162"/>
      <c r="AB669" s="195" t="str">
        <f t="shared" si="89"/>
        <v>Jul-26</v>
      </c>
      <c r="AC669" s="163"/>
      <c r="AD669" s="163"/>
      <c r="AE669" s="163"/>
    </row>
    <row r="670" spans="1:31" x14ac:dyDescent="0.35">
      <c r="A670" s="162">
        <v>46217</v>
      </c>
      <c r="B670" s="163" t="s">
        <v>148</v>
      </c>
      <c r="C670" s="163" t="s">
        <v>113</v>
      </c>
      <c r="D670" s="163" t="s">
        <v>1154</v>
      </c>
      <c r="E670" s="163" t="s">
        <v>106</v>
      </c>
      <c r="F670" s="163" t="s">
        <v>135</v>
      </c>
      <c r="G670" s="163"/>
      <c r="H670" s="163" t="s">
        <v>115</v>
      </c>
      <c r="I670" s="163" t="s">
        <v>121</v>
      </c>
      <c r="J670" s="163" t="s">
        <v>147</v>
      </c>
      <c r="K670" s="163" t="s">
        <v>1155</v>
      </c>
      <c r="L670" s="163"/>
      <c r="M670" s="163" t="s">
        <v>115</v>
      </c>
      <c r="N670" s="163" t="s">
        <v>128</v>
      </c>
      <c r="O670" s="162"/>
      <c r="P670" s="163"/>
      <c r="Q670" s="163">
        <f ca="1">IF(N670="Closed(C4)","",IF(N670="","",TODAY()-A670))</f>
        <v>108</v>
      </c>
      <c r="R670" s="163" t="str">
        <f ca="1">IF(OR(N670="Closed( C4 )",N670="Cancelled"),"",IF(AND(O670&lt;&gt;"",O670&lt;TODAY()),"Yes",""))</f>
        <v/>
      </c>
      <c r="S670" s="163" t="s">
        <v>133</v>
      </c>
      <c r="T670" s="164">
        <v>8000</v>
      </c>
      <c r="U670" s="164"/>
      <c r="V670" s="163"/>
      <c r="W670" s="163"/>
      <c r="X670" s="163"/>
      <c r="Y670" s="163"/>
      <c r="Z670" s="163"/>
      <c r="AA670" s="162"/>
      <c r="AB670" s="195" t="str">
        <f t="shared" si="89"/>
        <v>Jul-26</v>
      </c>
      <c r="AC670" s="163"/>
      <c r="AD670" s="163" t="str">
        <f>IF(AC670="Yes",U670*2%,"")</f>
        <v/>
      </c>
      <c r="AE670" s="163"/>
    </row>
    <row r="671" spans="1:31" x14ac:dyDescent="0.35">
      <c r="A671" s="162">
        <v>46218</v>
      </c>
      <c r="B671" s="163" t="s">
        <v>92</v>
      </c>
      <c r="C671" s="163" t="s">
        <v>93</v>
      </c>
      <c r="D671" s="163" t="s">
        <v>19</v>
      </c>
      <c r="E671" s="163" t="s">
        <v>106</v>
      </c>
      <c r="F671" s="163" t="s">
        <v>96</v>
      </c>
      <c r="G671" s="163" t="s">
        <v>10</v>
      </c>
      <c r="H671" s="163" t="s">
        <v>115</v>
      </c>
      <c r="I671" s="163" t="s">
        <v>121</v>
      </c>
      <c r="J671" s="163" t="s">
        <v>99</v>
      </c>
      <c r="K671" s="163" t="s">
        <v>256</v>
      </c>
      <c r="L671" s="163"/>
      <c r="M671" s="163" t="s">
        <v>159</v>
      </c>
      <c r="N671" s="163" t="s">
        <v>102</v>
      </c>
      <c r="O671" s="162"/>
      <c r="P671" s="163"/>
      <c r="Q671" s="163"/>
      <c r="R671" s="163" t="str">
        <f ca="1">IF(OR(N671="Closed( C4 )",N671="Cancelled"),"",IF(AND(O671&lt;&gt;"",O671&lt;TODAY()),"Yes",""))</f>
        <v/>
      </c>
      <c r="S671" s="163" t="s">
        <v>103</v>
      </c>
      <c r="T671" s="164">
        <v>400000</v>
      </c>
      <c r="U671" s="164">
        <v>421050</v>
      </c>
      <c r="V671" s="162">
        <v>46218</v>
      </c>
      <c r="W671" s="163" t="s">
        <v>1156</v>
      </c>
      <c r="X671" s="163" t="s">
        <v>57</v>
      </c>
      <c r="Y671" s="163" t="s">
        <v>85</v>
      </c>
      <c r="Z671" s="163"/>
      <c r="AA671" s="162"/>
      <c r="AB671" s="195" t="str">
        <f t="shared" si="89"/>
        <v>Jul-26</v>
      </c>
      <c r="AC671" s="163"/>
      <c r="AD671" s="163" t="str">
        <f>IF(AC671="Yes",U671*2%,"")</f>
        <v/>
      </c>
      <c r="AE671" s="163"/>
    </row>
    <row r="672" spans="1:31" x14ac:dyDescent="0.35">
      <c r="A672" s="162">
        <v>46218</v>
      </c>
      <c r="B672" s="163" t="s">
        <v>125</v>
      </c>
      <c r="C672" s="163" t="s">
        <v>93</v>
      </c>
      <c r="D672" s="163" t="s">
        <v>19</v>
      </c>
      <c r="E672" s="163" t="s">
        <v>95</v>
      </c>
      <c r="F672" s="163" t="s">
        <v>96</v>
      </c>
      <c r="G672" s="163" t="s">
        <v>10</v>
      </c>
      <c r="H672" s="163" t="s">
        <v>115</v>
      </c>
      <c r="I672" s="163" t="s">
        <v>121</v>
      </c>
      <c r="J672" s="163" t="s">
        <v>99</v>
      </c>
      <c r="K672" s="163" t="s">
        <v>256</v>
      </c>
      <c r="L672" s="163"/>
      <c r="M672" s="163" t="s">
        <v>159</v>
      </c>
      <c r="N672" s="163" t="s">
        <v>102</v>
      </c>
      <c r="O672" s="162"/>
      <c r="P672" s="163"/>
      <c r="Q672" s="163"/>
      <c r="R672" s="163" t="str">
        <f ca="1">IF(OR(N672="Closed( C4 )",N672="Cancelled"),"",IF(AND(O672&lt;&gt;"",O672&lt;TODAY()),"Yes",""))</f>
        <v/>
      </c>
      <c r="S672" s="163" t="s">
        <v>103</v>
      </c>
      <c r="T672" s="164">
        <v>400000</v>
      </c>
      <c r="U672" s="164">
        <v>421050</v>
      </c>
      <c r="V672" s="162">
        <v>46218</v>
      </c>
      <c r="W672" s="163" t="s">
        <v>1156</v>
      </c>
      <c r="X672" s="163" t="s">
        <v>57</v>
      </c>
      <c r="Y672" s="163" t="s">
        <v>85</v>
      </c>
      <c r="Z672" s="163"/>
      <c r="AA672" s="162"/>
      <c r="AB672" s="195" t="str">
        <f t="shared" si="89"/>
        <v>Jul-26</v>
      </c>
      <c r="AC672" s="163"/>
      <c r="AD672" s="163" t="str">
        <f>IF(AC672="Yes",U672*2%,"")</f>
        <v/>
      </c>
      <c r="AE672" s="163"/>
    </row>
    <row r="673" spans="1:31" x14ac:dyDescent="0.35">
      <c r="A673" s="162">
        <v>46218</v>
      </c>
      <c r="B673" s="163" t="s">
        <v>370</v>
      </c>
      <c r="C673" s="163" t="s">
        <v>93</v>
      </c>
      <c r="D673" s="163" t="s">
        <v>1157</v>
      </c>
      <c r="E673" s="163" t="s">
        <v>106</v>
      </c>
      <c r="F673" s="163" t="s">
        <v>135</v>
      </c>
      <c r="G673" s="163"/>
      <c r="H673" s="163" t="s">
        <v>115</v>
      </c>
      <c r="I673" s="163" t="s">
        <v>121</v>
      </c>
      <c r="J673" s="163" t="s">
        <v>356</v>
      </c>
      <c r="K673" s="163" t="s">
        <v>1015</v>
      </c>
      <c r="L673" s="163"/>
      <c r="M673" s="163" t="s">
        <v>1134</v>
      </c>
      <c r="N673" s="163" t="s">
        <v>181</v>
      </c>
      <c r="O673" s="162"/>
      <c r="P673" s="163"/>
      <c r="Q673" s="163"/>
      <c r="R673" s="163"/>
      <c r="S673" s="163" t="s">
        <v>129</v>
      </c>
      <c r="T673" s="164">
        <v>30000</v>
      </c>
      <c r="U673" s="164"/>
      <c r="V673" s="162"/>
      <c r="W673" s="163"/>
      <c r="X673" s="163"/>
      <c r="Y673" s="163"/>
      <c r="Z673" s="163"/>
      <c r="AA673" s="162"/>
      <c r="AB673" s="195" t="str">
        <f t="shared" si="89"/>
        <v>Jul-26</v>
      </c>
      <c r="AC673" s="163"/>
      <c r="AD673" s="163"/>
      <c r="AE673" s="163"/>
    </row>
    <row r="674" spans="1:31" x14ac:dyDescent="0.35">
      <c r="A674" s="162">
        <v>46218</v>
      </c>
      <c r="B674" s="163" t="s">
        <v>370</v>
      </c>
      <c r="C674" s="163" t="s">
        <v>93</v>
      </c>
      <c r="D674" s="163" t="s">
        <v>1158</v>
      </c>
      <c r="E674" s="163" t="s">
        <v>106</v>
      </c>
      <c r="F674" s="163" t="s">
        <v>135</v>
      </c>
      <c r="G674" s="163"/>
      <c r="H674" s="163" t="s">
        <v>115</v>
      </c>
      <c r="I674" s="163" t="s">
        <v>121</v>
      </c>
      <c r="J674" s="163" t="s">
        <v>147</v>
      </c>
      <c r="K674" s="163" t="s">
        <v>1159</v>
      </c>
      <c r="L674" s="163"/>
      <c r="M674" s="163" t="s">
        <v>914</v>
      </c>
      <c r="N674" s="163" t="s">
        <v>181</v>
      </c>
      <c r="O674" s="162"/>
      <c r="P674" s="163"/>
      <c r="Q674" s="163"/>
      <c r="R674" s="163"/>
      <c r="S674" s="163" t="s">
        <v>133</v>
      </c>
      <c r="T674" s="164">
        <v>70000</v>
      </c>
      <c r="U674" s="164"/>
      <c r="V674" s="162"/>
      <c r="W674" s="163"/>
      <c r="X674" s="163"/>
      <c r="Y674" s="163"/>
      <c r="Z674" s="163"/>
      <c r="AA674" s="162"/>
      <c r="AB674" s="195" t="str">
        <f t="shared" si="89"/>
        <v>Jul-26</v>
      </c>
      <c r="AC674" s="163"/>
      <c r="AD674" s="163"/>
      <c r="AE674" s="163"/>
    </row>
    <row r="675" spans="1:31" x14ac:dyDescent="0.35">
      <c r="A675" s="162">
        <v>46218</v>
      </c>
      <c r="B675" s="163" t="s">
        <v>92</v>
      </c>
      <c r="C675" s="163" t="s">
        <v>93</v>
      </c>
      <c r="D675" s="163" t="s">
        <v>1035</v>
      </c>
      <c r="E675" s="163" t="s">
        <v>106</v>
      </c>
      <c r="F675" s="163" t="s">
        <v>135</v>
      </c>
      <c r="G675" s="163"/>
      <c r="H675" s="163" t="s">
        <v>163</v>
      </c>
      <c r="I675" s="163" t="s">
        <v>121</v>
      </c>
      <c r="J675" s="163" t="s">
        <v>147</v>
      </c>
      <c r="K675" s="163" t="s">
        <v>1138</v>
      </c>
      <c r="L675" s="163"/>
      <c r="M675" s="163" t="s">
        <v>1160</v>
      </c>
      <c r="N675" s="163" t="s">
        <v>102</v>
      </c>
      <c r="O675" s="162"/>
      <c r="P675" s="163"/>
      <c r="Q675" s="163" t="str">
        <f ca="1">IF(N675="Closed(C4)","",IF(N675="","",TODAY()-A675))</f>
        <v/>
      </c>
      <c r="R675" s="163" t="str">
        <f ca="1">IF(OR(N675="Closed( C4 )",N675="Cancelled"),"",IF(AND(O675&lt;&gt;"",O675&lt;TODAY()),"Yes",""))</f>
        <v/>
      </c>
      <c r="S675" s="163" t="s">
        <v>103</v>
      </c>
      <c r="T675" s="164">
        <v>25000</v>
      </c>
      <c r="U675" s="164">
        <v>66806</v>
      </c>
      <c r="V675" s="162">
        <v>46218</v>
      </c>
      <c r="W675" s="163" t="s">
        <v>1161</v>
      </c>
      <c r="X675" s="163" t="s">
        <v>30</v>
      </c>
      <c r="Y675" s="163" t="s">
        <v>161</v>
      </c>
      <c r="Z675" s="163"/>
      <c r="AA675" s="162"/>
      <c r="AB675" s="195" t="str">
        <f t="shared" si="89"/>
        <v>Jul-26</v>
      </c>
      <c r="AC675" s="163"/>
      <c r="AD675" s="163" t="str">
        <f>IF(AC675="Yes",U675*2%,"")</f>
        <v/>
      </c>
      <c r="AE675" s="163"/>
    </row>
    <row r="676" spans="1:31" x14ac:dyDescent="0.35">
      <c r="A676" s="162">
        <v>46218</v>
      </c>
      <c r="B676" s="163" t="s">
        <v>370</v>
      </c>
      <c r="C676" s="163" t="s">
        <v>93</v>
      </c>
      <c r="D676" s="163" t="s">
        <v>1162</v>
      </c>
      <c r="E676" s="163" t="s">
        <v>106</v>
      </c>
      <c r="F676" s="163" t="s">
        <v>96</v>
      </c>
      <c r="G676" s="163" t="s">
        <v>10</v>
      </c>
      <c r="H676" s="163" t="s">
        <v>115</v>
      </c>
      <c r="I676" s="163" t="s">
        <v>121</v>
      </c>
      <c r="J676" s="163" t="s">
        <v>99</v>
      </c>
      <c r="K676" s="163" t="s">
        <v>1163</v>
      </c>
      <c r="L676" s="163"/>
      <c r="M676" s="163" t="s">
        <v>1164</v>
      </c>
      <c r="N676" s="163" t="s">
        <v>102</v>
      </c>
      <c r="O676" s="162"/>
      <c r="P676" s="163"/>
      <c r="Q676" s="163"/>
      <c r="R676" s="163"/>
      <c r="S676" s="163" t="s">
        <v>103</v>
      </c>
      <c r="T676" s="164">
        <v>28000</v>
      </c>
      <c r="U676" s="164">
        <v>30000</v>
      </c>
      <c r="V676" s="162">
        <v>46218</v>
      </c>
      <c r="W676" s="163" t="s">
        <v>1156</v>
      </c>
      <c r="X676" s="163" t="s">
        <v>42</v>
      </c>
      <c r="Y676" s="163" t="s">
        <v>85</v>
      </c>
      <c r="Z676" s="163"/>
      <c r="AA676" s="162"/>
      <c r="AB676" s="195" t="str">
        <f t="shared" si="89"/>
        <v>Jul-26</v>
      </c>
      <c r="AC676" s="163"/>
      <c r="AD676" s="163"/>
      <c r="AE676" s="163"/>
    </row>
    <row r="677" spans="1:31" x14ac:dyDescent="0.35">
      <c r="A677" s="162">
        <v>46218</v>
      </c>
      <c r="B677" s="163" t="s">
        <v>92</v>
      </c>
      <c r="C677" s="163" t="s">
        <v>93</v>
      </c>
      <c r="D677" s="163" t="s">
        <v>1104</v>
      </c>
      <c r="E677" s="163" t="s">
        <v>106</v>
      </c>
      <c r="F677" s="163" t="s">
        <v>135</v>
      </c>
      <c r="G677" s="163"/>
      <c r="H677" s="163" t="s">
        <v>115</v>
      </c>
      <c r="I677" s="163" t="s">
        <v>121</v>
      </c>
      <c r="J677" s="163" t="s">
        <v>388</v>
      </c>
      <c r="K677" s="163" t="s">
        <v>370</v>
      </c>
      <c r="L677" s="163"/>
      <c r="M677" s="163" t="s">
        <v>1165</v>
      </c>
      <c r="N677" s="163" t="s">
        <v>102</v>
      </c>
      <c r="O677" s="162"/>
      <c r="P677" s="163"/>
      <c r="Q677" s="163"/>
      <c r="R677" s="163"/>
      <c r="S677" s="163" t="s">
        <v>103</v>
      </c>
      <c r="T677" s="164">
        <v>35000</v>
      </c>
      <c r="U677" s="164">
        <v>40855</v>
      </c>
      <c r="V677" s="162">
        <v>46219</v>
      </c>
      <c r="W677" s="163" t="s">
        <v>1166</v>
      </c>
      <c r="X677" s="163" t="s">
        <v>56</v>
      </c>
      <c r="Y677" s="163" t="s">
        <v>85</v>
      </c>
      <c r="Z677" s="163"/>
      <c r="AA677" s="162"/>
      <c r="AB677" s="195" t="str">
        <f t="shared" si="89"/>
        <v>Jul-26</v>
      </c>
      <c r="AC677" s="163"/>
      <c r="AD677" s="163"/>
      <c r="AE677" s="163"/>
    </row>
    <row r="678" spans="1:31" x14ac:dyDescent="0.35">
      <c r="A678" s="162">
        <v>46218</v>
      </c>
      <c r="B678" s="163" t="s">
        <v>370</v>
      </c>
      <c r="C678" s="163" t="s">
        <v>93</v>
      </c>
      <c r="D678" s="163" t="s">
        <v>1167</v>
      </c>
      <c r="E678" s="163" t="s">
        <v>106</v>
      </c>
      <c r="F678" s="163" t="s">
        <v>135</v>
      </c>
      <c r="G678" s="163"/>
      <c r="H678" s="163" t="s">
        <v>115</v>
      </c>
      <c r="I678" s="163" t="s">
        <v>121</v>
      </c>
      <c r="J678" s="163" t="s">
        <v>432</v>
      </c>
      <c r="K678" s="163" t="s">
        <v>1168</v>
      </c>
      <c r="L678" s="163"/>
      <c r="M678" s="163" t="s">
        <v>1134</v>
      </c>
      <c r="N678" s="163" t="s">
        <v>181</v>
      </c>
      <c r="O678" s="162"/>
      <c r="P678" s="163"/>
      <c r="Q678" s="163">
        <f ca="1">IF(N678="Closed(C4)","",IF(N678="","",TODAY()-A678))</f>
        <v>107</v>
      </c>
      <c r="R678" s="163" t="str">
        <f t="shared" ref="R678:R689" ca="1" si="94">IF(OR(N678="Closed( C4 )",N678="Cancelled"),"",IF(AND(O678&lt;&gt;"",O678&lt;TODAY()),"Yes",""))</f>
        <v/>
      </c>
      <c r="S678" s="163" t="s">
        <v>129</v>
      </c>
      <c r="T678" s="164">
        <v>35000</v>
      </c>
      <c r="U678" s="164"/>
      <c r="V678" s="163"/>
      <c r="W678" s="163"/>
      <c r="X678" s="163"/>
      <c r="Y678" s="163"/>
      <c r="Z678" s="163"/>
      <c r="AA678" s="162"/>
      <c r="AB678" s="195" t="str">
        <f t="shared" si="89"/>
        <v>Jul-26</v>
      </c>
      <c r="AC678" s="163"/>
      <c r="AD678" s="163" t="str">
        <f>IF(AC678="Yes",U678*2%,"")</f>
        <v/>
      </c>
      <c r="AE678" s="163"/>
    </row>
    <row r="679" spans="1:31" x14ac:dyDescent="0.35">
      <c r="A679" s="162">
        <v>46218</v>
      </c>
      <c r="B679" s="163" t="s">
        <v>370</v>
      </c>
      <c r="C679" s="163" t="s">
        <v>93</v>
      </c>
      <c r="D679" s="163" t="s">
        <v>1169</v>
      </c>
      <c r="E679" s="163" t="s">
        <v>106</v>
      </c>
      <c r="F679" s="163" t="s">
        <v>135</v>
      </c>
      <c r="G679" s="163"/>
      <c r="H679" s="163" t="s">
        <v>115</v>
      </c>
      <c r="I679" s="163" t="s">
        <v>121</v>
      </c>
      <c r="J679" s="163" t="s">
        <v>147</v>
      </c>
      <c r="K679" s="163" t="s">
        <v>122</v>
      </c>
      <c r="L679" s="163"/>
      <c r="M679" s="163" t="s">
        <v>914</v>
      </c>
      <c r="N679" s="163" t="s">
        <v>181</v>
      </c>
      <c r="O679" s="162"/>
      <c r="P679" s="163"/>
      <c r="Q679" s="163">
        <f ca="1">IF(N679="Closed(C4)","",IF(N679="","",TODAY()-A679))</f>
        <v>107</v>
      </c>
      <c r="R679" s="163" t="str">
        <f t="shared" ca="1" si="94"/>
        <v/>
      </c>
      <c r="S679" s="163" t="s">
        <v>133</v>
      </c>
      <c r="T679" s="164">
        <v>40000</v>
      </c>
      <c r="U679" s="164"/>
      <c r="V679" s="163"/>
      <c r="W679" s="163"/>
      <c r="X679" s="163"/>
      <c r="Y679" s="163"/>
      <c r="Z679" s="163"/>
      <c r="AA679" s="162"/>
      <c r="AB679" s="195" t="str">
        <f t="shared" si="89"/>
        <v>Jul-26</v>
      </c>
      <c r="AC679" s="163"/>
      <c r="AD679" s="163" t="str">
        <f>IF(AC679="Yes",U679*2%,"")</f>
        <v/>
      </c>
      <c r="AE679" s="163"/>
    </row>
    <row r="680" spans="1:31" x14ac:dyDescent="0.35">
      <c r="A680" s="162">
        <v>46218</v>
      </c>
      <c r="B680" s="163" t="s">
        <v>125</v>
      </c>
      <c r="C680" s="163" t="s">
        <v>113</v>
      </c>
      <c r="D680" s="163" t="s">
        <v>162</v>
      </c>
      <c r="E680" s="163" t="s">
        <v>106</v>
      </c>
      <c r="F680" s="163" t="s">
        <v>135</v>
      </c>
      <c r="G680" s="163"/>
      <c r="H680" s="163" t="s">
        <v>97</v>
      </c>
      <c r="I680" s="163" t="s">
        <v>98</v>
      </c>
      <c r="J680" s="163" t="s">
        <v>166</v>
      </c>
      <c r="K680" s="163" t="s">
        <v>164</v>
      </c>
      <c r="L680" s="163"/>
      <c r="M680" s="163" t="s">
        <v>390</v>
      </c>
      <c r="N680" s="163" t="s">
        <v>102</v>
      </c>
      <c r="O680" s="162"/>
      <c r="P680" s="163"/>
      <c r="Q680" s="163"/>
      <c r="R680" s="163" t="str">
        <f t="shared" ca="1" si="94"/>
        <v/>
      </c>
      <c r="S680" s="163" t="s">
        <v>103</v>
      </c>
      <c r="T680" s="164">
        <v>10000</v>
      </c>
      <c r="U680" s="163">
        <v>11469</v>
      </c>
      <c r="V680" s="162">
        <v>46218</v>
      </c>
      <c r="W680" s="163" t="s">
        <v>1170</v>
      </c>
      <c r="X680" s="163" t="s">
        <v>62</v>
      </c>
      <c r="Y680" s="163" t="s">
        <v>161</v>
      </c>
      <c r="Z680" s="163"/>
      <c r="AA680" s="162">
        <v>46218</v>
      </c>
      <c r="AB680" s="195" t="str">
        <f t="shared" si="89"/>
        <v>Jul-26</v>
      </c>
      <c r="AC680" s="163"/>
      <c r="AD680" s="163" t="str">
        <f>IF(AC680="Yes",U680*2%,"")</f>
        <v/>
      </c>
      <c r="AE680" s="163"/>
    </row>
    <row r="681" spans="1:31" x14ac:dyDescent="0.35">
      <c r="A681" s="162">
        <v>46218</v>
      </c>
      <c r="B681" s="163" t="s">
        <v>125</v>
      </c>
      <c r="C681" s="163" t="s">
        <v>113</v>
      </c>
      <c r="D681" s="163" t="s">
        <v>555</v>
      </c>
      <c r="E681" s="163" t="s">
        <v>95</v>
      </c>
      <c r="F681" s="163" t="s">
        <v>135</v>
      </c>
      <c r="G681" s="163"/>
      <c r="H681" s="163" t="s">
        <v>163</v>
      </c>
      <c r="I681" s="163" t="s">
        <v>98</v>
      </c>
      <c r="J681" s="163" t="s">
        <v>147</v>
      </c>
      <c r="K681" s="163" t="s">
        <v>556</v>
      </c>
      <c r="L681" s="163"/>
      <c r="M681" s="163" t="s">
        <v>557</v>
      </c>
      <c r="N681" s="163" t="s">
        <v>102</v>
      </c>
      <c r="O681" s="162"/>
      <c r="P681" s="163"/>
      <c r="Q681" s="163"/>
      <c r="R681" s="163" t="str">
        <f t="shared" ca="1" si="94"/>
        <v/>
      </c>
      <c r="S681" s="163" t="s">
        <v>103</v>
      </c>
      <c r="T681" s="164">
        <v>15000</v>
      </c>
      <c r="U681" s="164">
        <v>25830</v>
      </c>
      <c r="V681" s="162">
        <v>46218</v>
      </c>
      <c r="W681" s="163" t="s">
        <v>1171</v>
      </c>
      <c r="X681" s="163" t="s">
        <v>46</v>
      </c>
      <c r="Y681" s="163" t="s">
        <v>161</v>
      </c>
      <c r="Z681" s="163"/>
      <c r="AA681" s="162">
        <v>46218</v>
      </c>
      <c r="AB681" s="195" t="str">
        <f t="shared" si="89"/>
        <v>Jul-26</v>
      </c>
      <c r="AC681" s="163"/>
      <c r="AD681" s="163" t="str">
        <f>IF(AC681="Yes",U681*2%,"")</f>
        <v/>
      </c>
      <c r="AE681" s="163"/>
    </row>
    <row r="682" spans="1:31" x14ac:dyDescent="0.35">
      <c r="A682" s="162">
        <v>46218</v>
      </c>
      <c r="B682" s="163" t="s">
        <v>125</v>
      </c>
      <c r="C682" s="163" t="s">
        <v>113</v>
      </c>
      <c r="D682" s="163" t="s">
        <v>165</v>
      </c>
      <c r="E682" s="163" t="s">
        <v>95</v>
      </c>
      <c r="F682" s="163" t="s">
        <v>135</v>
      </c>
      <c r="G682" s="163" t="s">
        <v>10</v>
      </c>
      <c r="H682" s="163" t="s">
        <v>115</v>
      </c>
      <c r="I682" s="163" t="s">
        <v>98</v>
      </c>
      <c r="J682" s="163" t="s">
        <v>166</v>
      </c>
      <c r="K682" s="163" t="s">
        <v>167</v>
      </c>
      <c r="L682" s="163"/>
      <c r="M682" s="163" t="s">
        <v>159</v>
      </c>
      <c r="N682" s="163" t="s">
        <v>102</v>
      </c>
      <c r="O682" s="162"/>
      <c r="P682" s="163"/>
      <c r="Q682" s="163" t="str">
        <f ca="1">IF(N682="Closed(C4)","",IF(N682="","",TODAY()-A682))</f>
        <v/>
      </c>
      <c r="R682" s="163" t="str">
        <f t="shared" ca="1" si="94"/>
        <v/>
      </c>
      <c r="S682" s="163" t="s">
        <v>103</v>
      </c>
      <c r="T682" s="164">
        <v>20000</v>
      </c>
      <c r="U682" s="164">
        <v>28187</v>
      </c>
      <c r="V682" s="162">
        <v>46218</v>
      </c>
      <c r="W682" s="163" t="s">
        <v>1172</v>
      </c>
      <c r="X682" s="163" t="s">
        <v>35</v>
      </c>
      <c r="Y682" s="163" t="s">
        <v>85</v>
      </c>
      <c r="Z682" s="163"/>
      <c r="AA682" s="162"/>
      <c r="AB682" s="195" t="str">
        <f t="shared" si="89"/>
        <v>Jul-26</v>
      </c>
      <c r="AC682" s="163"/>
      <c r="AD682" s="163"/>
      <c r="AE682" s="163"/>
    </row>
    <row r="683" spans="1:31" x14ac:dyDescent="0.35">
      <c r="A683" s="162">
        <v>46218</v>
      </c>
      <c r="B683" s="163" t="s">
        <v>92</v>
      </c>
      <c r="C683" s="163" t="s">
        <v>113</v>
      </c>
      <c r="D683" s="163" t="s">
        <v>114</v>
      </c>
      <c r="E683" s="163" t="s">
        <v>95</v>
      </c>
      <c r="F683" s="163" t="s">
        <v>96</v>
      </c>
      <c r="G683" s="163" t="s">
        <v>10</v>
      </c>
      <c r="H683" s="163" t="s">
        <v>115</v>
      </c>
      <c r="I683" s="163" t="s">
        <v>98</v>
      </c>
      <c r="J683" s="163" t="s">
        <v>116</v>
      </c>
      <c r="K683" s="163" t="s">
        <v>117</v>
      </c>
      <c r="L683" s="163"/>
      <c r="M683" s="163" t="s">
        <v>1089</v>
      </c>
      <c r="N683" s="163" t="s">
        <v>102</v>
      </c>
      <c r="O683" s="162"/>
      <c r="P683" s="163"/>
      <c r="Q683" s="163" t="str">
        <f ca="1">IF(N683="Closed(C4)","",IF(N683="","",TODAY()-A683))</f>
        <v/>
      </c>
      <c r="R683" s="163" t="str">
        <f t="shared" ca="1" si="94"/>
        <v/>
      </c>
      <c r="S683" s="163" t="s">
        <v>103</v>
      </c>
      <c r="T683" s="164">
        <v>20000</v>
      </c>
      <c r="U683" s="164">
        <v>28187</v>
      </c>
      <c r="V683" s="162">
        <v>46218</v>
      </c>
      <c r="W683" s="163" t="s">
        <v>1172</v>
      </c>
      <c r="X683" s="163" t="s">
        <v>35</v>
      </c>
      <c r="Y683" s="163" t="s">
        <v>85</v>
      </c>
      <c r="Z683" s="163"/>
      <c r="AA683" s="162"/>
      <c r="AB683" s="195" t="str">
        <f t="shared" si="89"/>
        <v>Jul-26</v>
      </c>
      <c r="AC683" s="163"/>
      <c r="AD683" s="163"/>
      <c r="AE683" s="163"/>
    </row>
    <row r="684" spans="1:31" x14ac:dyDescent="0.35">
      <c r="A684" s="162">
        <v>46218</v>
      </c>
      <c r="B684" s="163" t="s">
        <v>148</v>
      </c>
      <c r="C684" s="163" t="s">
        <v>113</v>
      </c>
      <c r="D684" s="163" t="s">
        <v>1173</v>
      </c>
      <c r="E684" s="163" t="s">
        <v>106</v>
      </c>
      <c r="F684" s="163" t="s">
        <v>135</v>
      </c>
      <c r="G684" s="163"/>
      <c r="H684" s="163" t="s">
        <v>115</v>
      </c>
      <c r="I684" s="163" t="s">
        <v>121</v>
      </c>
      <c r="J684" s="163" t="s">
        <v>147</v>
      </c>
      <c r="K684" s="163" t="s">
        <v>1174</v>
      </c>
      <c r="L684" s="163"/>
      <c r="M684" s="163" t="s">
        <v>115</v>
      </c>
      <c r="N684" s="163" t="s">
        <v>128</v>
      </c>
      <c r="O684" s="162"/>
      <c r="P684" s="163"/>
      <c r="Q684" s="163">
        <f ca="1">IF(N684="Closed(C4)","",IF(N684="","",TODAY()-A684))</f>
        <v>107</v>
      </c>
      <c r="R684" s="163" t="str">
        <f t="shared" ca="1" si="94"/>
        <v/>
      </c>
      <c r="S684" s="163" t="s">
        <v>133</v>
      </c>
      <c r="T684" s="164">
        <v>10200</v>
      </c>
      <c r="U684" s="164"/>
      <c r="V684" s="163"/>
      <c r="W684" s="163"/>
      <c r="X684" s="163"/>
      <c r="Y684" s="163"/>
      <c r="Z684" s="163"/>
      <c r="AA684" s="162"/>
      <c r="AB684" s="195" t="str">
        <f t="shared" si="89"/>
        <v>Jul-26</v>
      </c>
      <c r="AC684" s="163"/>
      <c r="AD684" s="163" t="str">
        <f t="shared" ref="AD684:AD689" si="95">IF(AC684="Yes",U684*2%,"")</f>
        <v/>
      </c>
      <c r="AE684" s="163"/>
    </row>
    <row r="685" spans="1:31" x14ac:dyDescent="0.35">
      <c r="A685" s="162">
        <v>46219</v>
      </c>
      <c r="B685" s="163" t="s">
        <v>370</v>
      </c>
      <c r="C685" s="163" t="s">
        <v>93</v>
      </c>
      <c r="D685" s="163" t="s">
        <v>637</v>
      </c>
      <c r="E685" s="163" t="s">
        <v>106</v>
      </c>
      <c r="F685" s="163" t="s">
        <v>135</v>
      </c>
      <c r="G685" s="163"/>
      <c r="H685" s="163" t="s">
        <v>115</v>
      </c>
      <c r="I685" s="163" t="s">
        <v>121</v>
      </c>
      <c r="J685" s="163" t="s">
        <v>638</v>
      </c>
      <c r="K685" s="163" t="s">
        <v>649</v>
      </c>
      <c r="L685" s="163"/>
      <c r="M685" s="163" t="s">
        <v>159</v>
      </c>
      <c r="N685" s="163" t="s">
        <v>102</v>
      </c>
      <c r="O685" s="162"/>
      <c r="P685" s="163"/>
      <c r="Q685" s="163" t="str">
        <f ca="1">IF(N685="Closed(C4)","",IF(N685="","",TODAY()-A685))</f>
        <v/>
      </c>
      <c r="R685" s="163" t="str">
        <f t="shared" ca="1" si="94"/>
        <v/>
      </c>
      <c r="S685" s="163" t="s">
        <v>103</v>
      </c>
      <c r="T685" s="164">
        <v>10000</v>
      </c>
      <c r="U685" s="164">
        <v>3550</v>
      </c>
      <c r="V685" s="162">
        <v>46219</v>
      </c>
      <c r="W685" s="163" t="s">
        <v>1175</v>
      </c>
      <c r="X685" s="163" t="s">
        <v>42</v>
      </c>
      <c r="Y685" s="163" t="s">
        <v>161</v>
      </c>
      <c r="Z685" s="163"/>
      <c r="AA685" s="162"/>
      <c r="AB685" s="195" t="str">
        <f t="shared" si="89"/>
        <v>Jul-26</v>
      </c>
      <c r="AC685" s="163"/>
      <c r="AD685" s="163" t="str">
        <f t="shared" si="95"/>
        <v/>
      </c>
      <c r="AE685" s="163" t="s">
        <v>270</v>
      </c>
    </row>
    <row r="686" spans="1:31" x14ac:dyDescent="0.35">
      <c r="A686" s="162">
        <v>46219</v>
      </c>
      <c r="B686" s="163" t="s">
        <v>370</v>
      </c>
      <c r="C686" s="163" t="s">
        <v>93</v>
      </c>
      <c r="D686" s="163" t="s">
        <v>1135</v>
      </c>
      <c r="E686" s="163" t="s">
        <v>106</v>
      </c>
      <c r="F686" s="163" t="s">
        <v>135</v>
      </c>
      <c r="G686" s="163"/>
      <c r="H686" s="163" t="s">
        <v>115</v>
      </c>
      <c r="I686" s="163" t="s">
        <v>121</v>
      </c>
      <c r="J686" s="163" t="s">
        <v>153</v>
      </c>
      <c r="K686" s="163" t="s">
        <v>1136</v>
      </c>
      <c r="L686" s="163"/>
      <c r="M686" s="163" t="s">
        <v>159</v>
      </c>
      <c r="N686" s="163" t="s">
        <v>102</v>
      </c>
      <c r="O686" s="162"/>
      <c r="P686" s="163"/>
      <c r="Q686" s="163" t="str">
        <f ca="1">IF(N686="Closed(C4)","",IF(N686="","",TODAY()-A686))</f>
        <v/>
      </c>
      <c r="R686" s="163" t="str">
        <f t="shared" ca="1" si="94"/>
        <v/>
      </c>
      <c r="S686" s="163" t="s">
        <v>103</v>
      </c>
      <c r="T686" s="164">
        <v>25000</v>
      </c>
      <c r="U686" s="164">
        <v>14109</v>
      </c>
      <c r="V686" s="162">
        <v>46219</v>
      </c>
      <c r="W686" s="163" t="s">
        <v>1176</v>
      </c>
      <c r="X686" s="163" t="s">
        <v>57</v>
      </c>
      <c r="Y686" s="163" t="s">
        <v>85</v>
      </c>
      <c r="Z686" s="163"/>
      <c r="AA686" s="162"/>
      <c r="AB686" s="195" t="str">
        <f t="shared" si="89"/>
        <v>Jul-26</v>
      </c>
      <c r="AC686" s="163"/>
      <c r="AD686" s="163" t="str">
        <f t="shared" si="95"/>
        <v/>
      </c>
      <c r="AE686" s="163" t="s">
        <v>270</v>
      </c>
    </row>
    <row r="687" spans="1:31" x14ac:dyDescent="0.35">
      <c r="A687" s="162">
        <v>46219</v>
      </c>
      <c r="B687" s="163" t="s">
        <v>125</v>
      </c>
      <c r="C687" s="163" t="s">
        <v>113</v>
      </c>
      <c r="D687" s="163" t="s">
        <v>175</v>
      </c>
      <c r="E687" s="163" t="s">
        <v>106</v>
      </c>
      <c r="F687" s="163" t="s">
        <v>135</v>
      </c>
      <c r="G687" s="163"/>
      <c r="H687" s="163" t="s">
        <v>97</v>
      </c>
      <c r="I687" s="163" t="s">
        <v>98</v>
      </c>
      <c r="J687" s="163" t="s">
        <v>166</v>
      </c>
      <c r="K687" s="163" t="s">
        <v>176</v>
      </c>
      <c r="L687" s="163"/>
      <c r="M687" s="163" t="s">
        <v>390</v>
      </c>
      <c r="N687" s="163" t="s">
        <v>102</v>
      </c>
      <c r="O687" s="162"/>
      <c r="P687" s="163"/>
      <c r="Q687" s="163"/>
      <c r="R687" s="163" t="str">
        <f t="shared" ca="1" si="94"/>
        <v/>
      </c>
      <c r="S687" s="163" t="s">
        <v>103</v>
      </c>
      <c r="T687" s="164">
        <v>10000</v>
      </c>
      <c r="U687" s="164">
        <v>13385</v>
      </c>
      <c r="V687" s="162">
        <v>46219</v>
      </c>
      <c r="W687" s="163" t="s">
        <v>1177</v>
      </c>
      <c r="X687" s="163" t="s">
        <v>62</v>
      </c>
      <c r="Y687" s="163" t="s">
        <v>161</v>
      </c>
      <c r="Z687" s="163"/>
      <c r="AA687" s="162">
        <v>46219</v>
      </c>
      <c r="AB687" s="195" t="str">
        <f t="shared" si="89"/>
        <v>Jul-26</v>
      </c>
      <c r="AC687" s="163"/>
      <c r="AD687" s="163" t="str">
        <f t="shared" si="95"/>
        <v/>
      </c>
      <c r="AE687" s="163"/>
    </row>
    <row r="688" spans="1:31" x14ac:dyDescent="0.35">
      <c r="A688" s="162">
        <v>46219</v>
      </c>
      <c r="B688" s="163" t="s">
        <v>148</v>
      </c>
      <c r="C688" s="163" t="s">
        <v>113</v>
      </c>
      <c r="D688" s="163" t="s">
        <v>1030</v>
      </c>
      <c r="E688" s="163" t="s">
        <v>95</v>
      </c>
      <c r="F688" s="163" t="s">
        <v>96</v>
      </c>
      <c r="G688" s="163" t="s">
        <v>15</v>
      </c>
      <c r="H688" s="163" t="s">
        <v>163</v>
      </c>
      <c r="I688" s="163" t="s">
        <v>121</v>
      </c>
      <c r="J688" s="163" t="s">
        <v>147</v>
      </c>
      <c r="K688" s="163" t="s">
        <v>525</v>
      </c>
      <c r="L688" s="163"/>
      <c r="M688" s="163" t="s">
        <v>526</v>
      </c>
      <c r="N688" s="163" t="s">
        <v>102</v>
      </c>
      <c r="O688" s="162"/>
      <c r="P688" s="163"/>
      <c r="Q688" s="163" t="str">
        <f ca="1">IF(N688="Closed(C4)","",IF(N688="","",TODAY()-A688))</f>
        <v/>
      </c>
      <c r="R688" s="163" t="str">
        <f t="shared" ca="1" si="94"/>
        <v/>
      </c>
      <c r="S688" s="163" t="s">
        <v>103</v>
      </c>
      <c r="T688" s="164">
        <v>15000</v>
      </c>
      <c r="U688" s="164">
        <v>22603</v>
      </c>
      <c r="V688" s="162">
        <v>46219</v>
      </c>
      <c r="W688" s="214" t="s">
        <v>1178</v>
      </c>
      <c r="X688" s="163" t="s">
        <v>47</v>
      </c>
      <c r="Y688" s="163" t="s">
        <v>85</v>
      </c>
      <c r="Z688" s="163"/>
      <c r="AA688" s="162"/>
      <c r="AB688" s="195" t="str">
        <f t="shared" si="89"/>
        <v>Jul-26</v>
      </c>
      <c r="AC688" s="163"/>
      <c r="AD688" s="163" t="str">
        <f t="shared" si="95"/>
        <v/>
      </c>
      <c r="AE688" s="163"/>
    </row>
    <row r="689" spans="1:31" x14ac:dyDescent="0.35">
      <c r="A689" s="162">
        <v>46219</v>
      </c>
      <c r="B689" s="163" t="s">
        <v>148</v>
      </c>
      <c r="C689" s="163" t="s">
        <v>113</v>
      </c>
      <c r="D689" s="163" t="s">
        <v>1179</v>
      </c>
      <c r="E689" s="163" t="s">
        <v>106</v>
      </c>
      <c r="F689" s="163" t="s">
        <v>135</v>
      </c>
      <c r="G689" s="163"/>
      <c r="H689" s="163" t="s">
        <v>163</v>
      </c>
      <c r="I689" s="163" t="s">
        <v>121</v>
      </c>
      <c r="J689" s="163" t="s">
        <v>147</v>
      </c>
      <c r="K689" s="163" t="s">
        <v>1180</v>
      </c>
      <c r="L689" s="163"/>
      <c r="M689" s="163" t="s">
        <v>390</v>
      </c>
      <c r="N689" s="163" t="s">
        <v>156</v>
      </c>
      <c r="O689" s="162"/>
      <c r="P689" s="163"/>
      <c r="Q689" s="163"/>
      <c r="R689" s="163" t="str">
        <f t="shared" ca="1" si="94"/>
        <v/>
      </c>
      <c r="S689" s="163" t="s">
        <v>103</v>
      </c>
      <c r="T689" s="164"/>
      <c r="U689" s="164"/>
      <c r="V689" s="162"/>
      <c r="W689" s="163"/>
      <c r="X689" s="163"/>
      <c r="Y689" s="163"/>
      <c r="Z689" s="163"/>
      <c r="AA689" s="162"/>
      <c r="AB689" s="195" t="str">
        <f t="shared" si="89"/>
        <v>Jul-26</v>
      </c>
      <c r="AC689" s="163"/>
      <c r="AD689" s="163" t="str">
        <f t="shared" si="95"/>
        <v/>
      </c>
      <c r="AE689" s="163"/>
    </row>
    <row r="690" spans="1:31" x14ac:dyDescent="0.35">
      <c r="A690" s="162">
        <v>46220</v>
      </c>
      <c r="B690" s="163" t="s">
        <v>92</v>
      </c>
      <c r="C690" s="163" t="s">
        <v>93</v>
      </c>
      <c r="D690" s="163" t="s">
        <v>1181</v>
      </c>
      <c r="E690" s="163" t="s">
        <v>106</v>
      </c>
      <c r="F690" s="163" t="s">
        <v>96</v>
      </c>
      <c r="G690" s="163" t="s">
        <v>10</v>
      </c>
      <c r="H690" s="163" t="s">
        <v>163</v>
      </c>
      <c r="I690" s="163" t="s">
        <v>121</v>
      </c>
      <c r="J690" s="163" t="s">
        <v>99</v>
      </c>
      <c r="K690" s="163" t="s">
        <v>426</v>
      </c>
      <c r="L690" s="163"/>
      <c r="M690" s="163" t="s">
        <v>1182</v>
      </c>
      <c r="N690" s="163" t="s">
        <v>102</v>
      </c>
      <c r="O690" s="162"/>
      <c r="P690" s="163"/>
      <c r="Q690" s="163"/>
      <c r="R690" s="163"/>
      <c r="S690" s="163" t="s">
        <v>103</v>
      </c>
      <c r="T690" s="164">
        <v>35000</v>
      </c>
      <c r="U690" s="164">
        <v>44060</v>
      </c>
      <c r="V690" s="162">
        <v>46220</v>
      </c>
      <c r="W690" s="163" t="s">
        <v>1183</v>
      </c>
      <c r="X690" s="163" t="s">
        <v>42</v>
      </c>
      <c r="Y690" s="163" t="s">
        <v>161</v>
      </c>
      <c r="Z690" s="163"/>
      <c r="AA690" s="162">
        <v>46220</v>
      </c>
      <c r="AB690" s="195" t="str">
        <f t="shared" si="89"/>
        <v>Jul-26</v>
      </c>
      <c r="AC690" s="163"/>
      <c r="AD690" s="163"/>
      <c r="AE690" s="163"/>
    </row>
    <row r="691" spans="1:31" x14ac:dyDescent="0.35">
      <c r="A691" s="162">
        <v>46220</v>
      </c>
      <c r="B691" s="163" t="s">
        <v>92</v>
      </c>
      <c r="C691" s="163" t="s">
        <v>93</v>
      </c>
      <c r="D691" s="163" t="s">
        <v>1035</v>
      </c>
      <c r="E691" s="163" t="s">
        <v>106</v>
      </c>
      <c r="F691" s="163" t="s">
        <v>135</v>
      </c>
      <c r="G691" s="163"/>
      <c r="H691" s="163" t="s">
        <v>163</v>
      </c>
      <c r="I691" s="163" t="s">
        <v>121</v>
      </c>
      <c r="J691" s="163" t="s">
        <v>147</v>
      </c>
      <c r="K691" s="163" t="s">
        <v>1138</v>
      </c>
      <c r="L691" s="163"/>
      <c r="M691" s="163" t="s">
        <v>1184</v>
      </c>
      <c r="N691" s="163" t="s">
        <v>102</v>
      </c>
      <c r="O691" s="162"/>
      <c r="P691" s="163"/>
      <c r="Q691" s="163" t="str">
        <f ca="1">IF(N691="Closed(C4)","",IF(N691="","",TODAY()-A691))</f>
        <v/>
      </c>
      <c r="R691" s="163" t="str">
        <f ca="1">IF(OR(N691="Closed( C4 )",N691="Cancelled"),"",IF(AND(O691&lt;&gt;"",O691&lt;TODAY()),"Yes",""))</f>
        <v/>
      </c>
      <c r="S691" s="163" t="s">
        <v>103</v>
      </c>
      <c r="T691" s="164">
        <v>51000</v>
      </c>
      <c r="U691" s="164">
        <v>100964</v>
      </c>
      <c r="V691" s="162">
        <v>46220</v>
      </c>
      <c r="W691" s="163" t="s">
        <v>1185</v>
      </c>
      <c r="X691" s="163" t="s">
        <v>30</v>
      </c>
      <c r="Y691" s="163" t="s">
        <v>161</v>
      </c>
      <c r="Z691" s="163"/>
      <c r="AA691" s="162">
        <v>46220</v>
      </c>
      <c r="AB691" s="195" t="str">
        <f t="shared" si="89"/>
        <v>Jul-26</v>
      </c>
      <c r="AC691" s="163"/>
      <c r="AD691" s="163"/>
      <c r="AE691" s="163"/>
    </row>
    <row r="692" spans="1:31" x14ac:dyDescent="0.35">
      <c r="A692" s="162">
        <v>46220</v>
      </c>
      <c r="B692" s="163" t="s">
        <v>370</v>
      </c>
      <c r="C692" s="163" t="s">
        <v>93</v>
      </c>
      <c r="D692" s="163" t="s">
        <v>1186</v>
      </c>
      <c r="E692" s="163" t="s">
        <v>106</v>
      </c>
      <c r="F692" s="163" t="s">
        <v>135</v>
      </c>
      <c r="G692" s="163"/>
      <c r="H692" s="163" t="s">
        <v>115</v>
      </c>
      <c r="I692" s="163" t="s">
        <v>121</v>
      </c>
      <c r="J692" s="163" t="s">
        <v>147</v>
      </c>
      <c r="K692" s="163" t="s">
        <v>475</v>
      </c>
      <c r="L692" s="163"/>
      <c r="M692" s="163" t="s">
        <v>914</v>
      </c>
      <c r="N692" s="163" t="s">
        <v>181</v>
      </c>
      <c r="O692" s="162"/>
      <c r="P692" s="163"/>
      <c r="Q692" s="163"/>
      <c r="R692" s="163"/>
      <c r="S692" s="163" t="s">
        <v>133</v>
      </c>
      <c r="T692" s="164">
        <v>30000</v>
      </c>
      <c r="U692" s="164"/>
      <c r="V692" s="162"/>
      <c r="W692" s="163"/>
      <c r="X692" s="163"/>
      <c r="Y692" s="163"/>
      <c r="Z692" s="163"/>
      <c r="AA692" s="162"/>
      <c r="AB692" s="195" t="str">
        <f t="shared" si="89"/>
        <v>Jul-26</v>
      </c>
      <c r="AC692" s="163"/>
      <c r="AD692" s="163"/>
      <c r="AE692" s="163"/>
    </row>
    <row r="693" spans="1:31" x14ac:dyDescent="0.35">
      <c r="A693" s="162">
        <v>46220</v>
      </c>
      <c r="B693" s="163" t="s">
        <v>148</v>
      </c>
      <c r="C693" s="163" t="s">
        <v>143</v>
      </c>
      <c r="D693" s="163" t="s">
        <v>213</v>
      </c>
      <c r="E693" s="163" t="s">
        <v>95</v>
      </c>
      <c r="F693" s="163" t="s">
        <v>96</v>
      </c>
      <c r="G693" s="163" t="s">
        <v>12</v>
      </c>
      <c r="H693" s="163" t="s">
        <v>163</v>
      </c>
      <c r="I693" s="163" t="s">
        <v>121</v>
      </c>
      <c r="J693" s="163" t="s">
        <v>147</v>
      </c>
      <c r="K693" s="163" t="s">
        <v>1187</v>
      </c>
      <c r="L693" s="163"/>
      <c r="M693" s="163" t="s">
        <v>390</v>
      </c>
      <c r="N693" s="163" t="s">
        <v>156</v>
      </c>
      <c r="O693" s="162"/>
      <c r="P693" s="163"/>
      <c r="Q693" s="163"/>
      <c r="R693" s="163" t="str">
        <f ca="1">IF(OR(N693="Closed( C4 )",N693="Cancelled"),"",IF(AND(O693&lt;&gt;"",O693&lt;TODAY()),"Yes",""))</f>
        <v/>
      </c>
      <c r="S693" s="163" t="s">
        <v>103</v>
      </c>
      <c r="T693" s="164"/>
      <c r="U693" s="164"/>
      <c r="V693" s="162"/>
      <c r="W693" s="163"/>
      <c r="X693" s="163"/>
      <c r="Y693" s="163"/>
      <c r="Z693" s="163"/>
      <c r="AA693" s="162"/>
      <c r="AB693" s="195" t="str">
        <f t="shared" si="89"/>
        <v>Jul-26</v>
      </c>
      <c r="AC693" s="163"/>
      <c r="AD693" s="163" t="str">
        <f>IF(AC693="Yes",U693*2%,"")</f>
        <v/>
      </c>
      <c r="AE693" s="163"/>
    </row>
    <row r="694" spans="1:31" x14ac:dyDescent="0.35">
      <c r="A694" s="162">
        <v>46220</v>
      </c>
      <c r="B694" s="163" t="s">
        <v>370</v>
      </c>
      <c r="C694" s="163" t="s">
        <v>93</v>
      </c>
      <c r="D694" s="163" t="s">
        <v>1188</v>
      </c>
      <c r="E694" s="163" t="s">
        <v>106</v>
      </c>
      <c r="F694" s="163" t="s">
        <v>135</v>
      </c>
      <c r="G694" s="163"/>
      <c r="H694" s="163" t="s">
        <v>115</v>
      </c>
      <c r="I694" s="163" t="s">
        <v>121</v>
      </c>
      <c r="J694" s="163" t="s">
        <v>374</v>
      </c>
      <c r="K694" s="163" t="s">
        <v>1189</v>
      </c>
      <c r="L694" s="163"/>
      <c r="M694" s="163" t="s">
        <v>1190</v>
      </c>
      <c r="N694" s="163" t="s">
        <v>102</v>
      </c>
      <c r="O694" s="162"/>
      <c r="P694" s="163"/>
      <c r="Q694" s="163"/>
      <c r="R694" s="163"/>
      <c r="S694" s="163" t="s">
        <v>129</v>
      </c>
      <c r="T694" s="164">
        <v>0</v>
      </c>
      <c r="U694" s="164"/>
      <c r="V694" s="162"/>
      <c r="W694" s="163"/>
      <c r="X694" s="163"/>
      <c r="Y694" s="163"/>
      <c r="Z694" s="163"/>
      <c r="AA694" s="162"/>
      <c r="AB694" s="195" t="str">
        <f t="shared" si="89"/>
        <v>Jul-26</v>
      </c>
      <c r="AC694" s="163"/>
      <c r="AD694" s="163"/>
      <c r="AE694" s="163"/>
    </row>
    <row r="695" spans="1:31" x14ac:dyDescent="0.35">
      <c r="A695" s="162">
        <v>46220</v>
      </c>
      <c r="B695" s="163" t="s">
        <v>370</v>
      </c>
      <c r="C695" s="163" t="s">
        <v>93</v>
      </c>
      <c r="D695" s="163" t="s">
        <v>1191</v>
      </c>
      <c r="E695" s="163" t="s">
        <v>106</v>
      </c>
      <c r="F695" s="163" t="s">
        <v>135</v>
      </c>
      <c r="G695" s="163"/>
      <c r="H695" s="163" t="s">
        <v>115</v>
      </c>
      <c r="I695" s="163" t="s">
        <v>121</v>
      </c>
      <c r="J695" s="163" t="s">
        <v>356</v>
      </c>
      <c r="K695" s="163" t="s">
        <v>1192</v>
      </c>
      <c r="L695" s="163"/>
      <c r="M695" s="163" t="s">
        <v>914</v>
      </c>
      <c r="N695" s="163" t="s">
        <v>181</v>
      </c>
      <c r="O695" s="162"/>
      <c r="P695" s="163"/>
      <c r="Q695" s="163"/>
      <c r="R695" s="163"/>
      <c r="S695" s="163" t="s">
        <v>129</v>
      </c>
      <c r="T695" s="164">
        <v>40000</v>
      </c>
      <c r="U695" s="164"/>
      <c r="V695" s="162"/>
      <c r="W695" s="163"/>
      <c r="X695" s="163"/>
      <c r="Y695" s="163"/>
      <c r="Z695" s="163"/>
      <c r="AA695" s="162"/>
      <c r="AB695" s="195" t="str">
        <f t="shared" si="89"/>
        <v>Jul-26</v>
      </c>
      <c r="AC695" s="163"/>
      <c r="AD695" s="163"/>
      <c r="AE695" s="163"/>
    </row>
    <row r="696" spans="1:31" x14ac:dyDescent="0.35">
      <c r="A696" s="162">
        <v>46223</v>
      </c>
      <c r="B696" s="163" t="s">
        <v>148</v>
      </c>
      <c r="C696" s="163" t="s">
        <v>113</v>
      </c>
      <c r="D696" s="163" t="s">
        <v>209</v>
      </c>
      <c r="E696" s="163" t="s">
        <v>106</v>
      </c>
      <c r="F696" s="163" t="s">
        <v>96</v>
      </c>
      <c r="G696" s="163" t="s">
        <v>11</v>
      </c>
      <c r="H696" s="163" t="s">
        <v>115</v>
      </c>
      <c r="I696" s="163" t="s">
        <v>121</v>
      </c>
      <c r="J696" s="163" t="s">
        <v>147</v>
      </c>
      <c r="K696" s="163" t="s">
        <v>774</v>
      </c>
      <c r="L696" s="163"/>
      <c r="M696" s="163" t="s">
        <v>1050</v>
      </c>
      <c r="N696" s="163" t="s">
        <v>102</v>
      </c>
      <c r="O696" s="162"/>
      <c r="P696" s="163"/>
      <c r="Q696" s="163"/>
      <c r="R696" s="163" t="str">
        <f ca="1">IF(OR(N696="Closed( C4 )",N696="Cancelled"),"",IF(AND(O696&lt;&gt;"",O696&lt;TODAY()),"Yes",""))</f>
        <v/>
      </c>
      <c r="S696" s="163" t="s">
        <v>103</v>
      </c>
      <c r="T696" s="164">
        <v>40000</v>
      </c>
      <c r="U696" s="164">
        <v>42620</v>
      </c>
      <c r="V696" s="162">
        <v>46223</v>
      </c>
      <c r="W696" s="214" t="s">
        <v>1193</v>
      </c>
      <c r="X696" s="163" t="s">
        <v>37</v>
      </c>
      <c r="Y696" s="163" t="s">
        <v>1017</v>
      </c>
      <c r="Z696" s="163"/>
      <c r="AA696" s="162"/>
      <c r="AB696" s="195" t="str">
        <f t="shared" si="89"/>
        <v>Jul-26</v>
      </c>
      <c r="AC696" s="163"/>
      <c r="AD696" s="163" t="str">
        <f>IF(AC696="Yes",U696*2%,"")</f>
        <v/>
      </c>
      <c r="AE696" s="163"/>
    </row>
    <row r="697" spans="1:31" x14ac:dyDescent="0.35">
      <c r="A697" s="162">
        <v>46223</v>
      </c>
      <c r="B697" s="163" t="s">
        <v>92</v>
      </c>
      <c r="C697" s="163" t="s">
        <v>93</v>
      </c>
      <c r="D697" s="163" t="s">
        <v>1035</v>
      </c>
      <c r="E697" s="163" t="s">
        <v>106</v>
      </c>
      <c r="F697" s="163" t="s">
        <v>135</v>
      </c>
      <c r="G697" s="163"/>
      <c r="H697" s="163" t="s">
        <v>163</v>
      </c>
      <c r="I697" s="163" t="s">
        <v>121</v>
      </c>
      <c r="J697" s="163" t="s">
        <v>147</v>
      </c>
      <c r="K697" s="163" t="s">
        <v>1138</v>
      </c>
      <c r="L697" s="163"/>
      <c r="M697" s="163" t="s">
        <v>1194</v>
      </c>
      <c r="N697" s="163" t="s">
        <v>102</v>
      </c>
      <c r="O697" s="162"/>
      <c r="P697" s="163"/>
      <c r="Q697" s="163" t="str">
        <f ca="1">IF(N697="Closed(C4)","",IF(N697="","",TODAY()-A697))</f>
        <v/>
      </c>
      <c r="R697" s="163" t="str">
        <f ca="1">IF(OR(N697="Closed( C4 )",N697="Cancelled"),"",IF(AND(O697&lt;&gt;"",O697&lt;TODAY()),"Yes",""))</f>
        <v/>
      </c>
      <c r="S697" s="163" t="s">
        <v>103</v>
      </c>
      <c r="T697" s="164">
        <v>22000</v>
      </c>
      <c r="U697" s="164">
        <v>27939</v>
      </c>
      <c r="V697" s="162">
        <v>46223</v>
      </c>
      <c r="W697" s="163" t="s">
        <v>1195</v>
      </c>
      <c r="X697" s="163" t="s">
        <v>30</v>
      </c>
      <c r="Y697" s="163" t="s">
        <v>161</v>
      </c>
      <c r="Z697" s="163"/>
      <c r="AA697" s="162">
        <v>46223</v>
      </c>
      <c r="AB697" s="195" t="str">
        <f t="shared" si="89"/>
        <v>Jul-26</v>
      </c>
      <c r="AC697" s="163"/>
      <c r="AD697" s="163" t="str">
        <f>IF(AC697="Yes",U697*2%,"")</f>
        <v/>
      </c>
      <c r="AE697" s="163"/>
    </row>
    <row r="698" spans="1:31" x14ac:dyDescent="0.35">
      <c r="A698" s="162">
        <v>46223</v>
      </c>
      <c r="B698" s="163" t="s">
        <v>370</v>
      </c>
      <c r="C698" s="163" t="s">
        <v>93</v>
      </c>
      <c r="D698" s="163" t="s">
        <v>1196</v>
      </c>
      <c r="E698" s="163" t="s">
        <v>106</v>
      </c>
      <c r="F698" s="163" t="s">
        <v>135</v>
      </c>
      <c r="G698" s="163"/>
      <c r="H698" s="163" t="s">
        <v>115</v>
      </c>
      <c r="I698" s="163" t="s">
        <v>121</v>
      </c>
      <c r="J698" s="163" t="s">
        <v>432</v>
      </c>
      <c r="K698" s="163" t="s">
        <v>1197</v>
      </c>
      <c r="L698" s="163"/>
      <c r="M698" s="163" t="s">
        <v>914</v>
      </c>
      <c r="N698" s="163" t="s">
        <v>181</v>
      </c>
      <c r="O698" s="162">
        <v>46258</v>
      </c>
      <c r="P698" s="163" t="s">
        <v>95</v>
      </c>
      <c r="Q698" s="163"/>
      <c r="R698" s="163" t="s">
        <v>104</v>
      </c>
      <c r="S698" s="163" t="s">
        <v>129</v>
      </c>
      <c r="T698" s="164">
        <v>55000</v>
      </c>
      <c r="U698" s="164"/>
      <c r="V698" s="162"/>
      <c r="W698" s="163"/>
      <c r="X698" s="163"/>
      <c r="Y698" s="163"/>
      <c r="Z698" s="163"/>
      <c r="AA698" s="162"/>
      <c r="AB698" s="195" t="str">
        <f t="shared" si="89"/>
        <v>Jul-26</v>
      </c>
      <c r="AC698" s="163"/>
      <c r="AD698" s="163"/>
      <c r="AE698" s="163"/>
    </row>
    <row r="699" spans="1:31" x14ac:dyDescent="0.35">
      <c r="A699" s="162">
        <v>46223</v>
      </c>
      <c r="B699" s="163" t="s">
        <v>92</v>
      </c>
      <c r="C699" s="163" t="s">
        <v>93</v>
      </c>
      <c r="D699" s="163" t="s">
        <v>20</v>
      </c>
      <c r="E699" s="163" t="s">
        <v>106</v>
      </c>
      <c r="F699" s="163" t="s">
        <v>135</v>
      </c>
      <c r="G699" s="163"/>
      <c r="H699" s="163" t="s">
        <v>115</v>
      </c>
      <c r="I699" s="163" t="s">
        <v>98</v>
      </c>
      <c r="J699" s="163" t="s">
        <v>197</v>
      </c>
      <c r="K699" s="163" t="s">
        <v>423</v>
      </c>
      <c r="L699" s="163"/>
      <c r="M699" s="163" t="s">
        <v>1198</v>
      </c>
      <c r="N699" s="163" t="s">
        <v>102</v>
      </c>
      <c r="O699" s="162"/>
      <c r="P699" s="163"/>
      <c r="Q699" s="163" t="str">
        <f t="shared" ref="Q699:Q705" ca="1" si="96">IF(N699="Closed(C4)","",IF(N699="","",TODAY()-A699))</f>
        <v/>
      </c>
      <c r="R699" s="163" t="str">
        <f t="shared" ref="R699:R705" ca="1" si="97">IF(OR(N699="Closed( C4 )",N699="Cancelled"),"",IF(AND(O699&lt;&gt;"",O699&lt;TODAY()),"Yes",""))</f>
        <v/>
      </c>
      <c r="S699" s="163" t="s">
        <v>103</v>
      </c>
      <c r="T699" s="164">
        <v>4000000</v>
      </c>
      <c r="U699" s="164">
        <v>4690875</v>
      </c>
      <c r="V699" s="162">
        <v>46223</v>
      </c>
      <c r="W699" s="163" t="s">
        <v>1199</v>
      </c>
      <c r="X699" s="163" t="s">
        <v>56</v>
      </c>
      <c r="Y699" s="163" t="s">
        <v>85</v>
      </c>
      <c r="Z699" s="163"/>
      <c r="AA699" s="162"/>
      <c r="AB699" s="195" t="str">
        <f t="shared" si="89"/>
        <v>Jul-26</v>
      </c>
      <c r="AC699" s="163"/>
      <c r="AD699" s="163" t="str">
        <f>IF(AC699="Yes",U699*2%,"")</f>
        <v/>
      </c>
      <c r="AE699" s="163"/>
    </row>
    <row r="700" spans="1:31" x14ac:dyDescent="0.35">
      <c r="A700" s="162">
        <v>46223</v>
      </c>
      <c r="B700" s="163" t="s">
        <v>92</v>
      </c>
      <c r="C700" s="163" t="s">
        <v>93</v>
      </c>
      <c r="D700" s="163" t="s">
        <v>20</v>
      </c>
      <c r="E700" s="163" t="s">
        <v>106</v>
      </c>
      <c r="F700" s="163" t="s">
        <v>135</v>
      </c>
      <c r="G700" s="163"/>
      <c r="H700" s="163" t="s">
        <v>115</v>
      </c>
      <c r="I700" s="163" t="s">
        <v>98</v>
      </c>
      <c r="J700" s="163" t="s">
        <v>197</v>
      </c>
      <c r="K700" s="163" t="s">
        <v>423</v>
      </c>
      <c r="L700" s="163"/>
      <c r="M700" s="163" t="s">
        <v>1200</v>
      </c>
      <c r="N700" s="163" t="s">
        <v>102</v>
      </c>
      <c r="O700" s="162"/>
      <c r="P700" s="163"/>
      <c r="Q700" s="163" t="str">
        <f t="shared" ca="1" si="96"/>
        <v/>
      </c>
      <c r="R700" s="163" t="str">
        <f t="shared" ca="1" si="97"/>
        <v/>
      </c>
      <c r="S700" s="163" t="s">
        <v>103</v>
      </c>
      <c r="T700" s="164">
        <v>4000000</v>
      </c>
      <c r="U700" s="164">
        <v>4137000</v>
      </c>
      <c r="V700" s="162">
        <v>46223</v>
      </c>
      <c r="W700" s="163" t="s">
        <v>1199</v>
      </c>
      <c r="X700" s="163" t="s">
        <v>56</v>
      </c>
      <c r="Y700" s="163" t="s">
        <v>85</v>
      </c>
      <c r="Z700" s="163">
        <v>4137000</v>
      </c>
      <c r="AA700" s="162">
        <v>46190</v>
      </c>
      <c r="AB700" s="195" t="str">
        <f t="shared" si="89"/>
        <v>Jul-26</v>
      </c>
      <c r="AC700" s="163"/>
      <c r="AD700" s="163"/>
      <c r="AE700" s="163"/>
    </row>
    <row r="701" spans="1:31" x14ac:dyDescent="0.35">
      <c r="A701" s="162">
        <v>46223</v>
      </c>
      <c r="B701" s="163" t="s">
        <v>370</v>
      </c>
      <c r="C701" s="163" t="s">
        <v>93</v>
      </c>
      <c r="D701" s="163" t="s">
        <v>446</v>
      </c>
      <c r="E701" s="163" t="s">
        <v>106</v>
      </c>
      <c r="F701" s="163" t="s">
        <v>135</v>
      </c>
      <c r="G701" s="163"/>
      <c r="H701" s="163" t="s">
        <v>115</v>
      </c>
      <c r="I701" s="163" t="s">
        <v>121</v>
      </c>
      <c r="J701" s="163" t="s">
        <v>147</v>
      </c>
      <c r="K701" s="163" t="s">
        <v>475</v>
      </c>
      <c r="L701" s="163"/>
      <c r="M701" s="163" t="s">
        <v>914</v>
      </c>
      <c r="N701" s="163" t="s">
        <v>181</v>
      </c>
      <c r="O701" s="162">
        <v>46259</v>
      </c>
      <c r="P701" s="163" t="s">
        <v>95</v>
      </c>
      <c r="Q701" s="163">
        <f t="shared" ca="1" si="96"/>
        <v>102</v>
      </c>
      <c r="R701" s="163" t="str">
        <f t="shared" ca="1" si="97"/>
        <v/>
      </c>
      <c r="S701" s="163" t="s">
        <v>129</v>
      </c>
      <c r="T701" s="164">
        <v>60000</v>
      </c>
      <c r="U701" s="164"/>
      <c r="V701" s="163"/>
      <c r="W701" s="163"/>
      <c r="X701" s="163"/>
      <c r="Y701" s="163"/>
      <c r="Z701" s="163"/>
      <c r="AA701" s="162"/>
      <c r="AB701" s="195" t="str">
        <f t="shared" si="89"/>
        <v>Jul-26</v>
      </c>
      <c r="AC701" s="163"/>
      <c r="AD701" s="163" t="str">
        <f>IF(AC701="Yes",U701*2%,"")</f>
        <v/>
      </c>
      <c r="AE701" s="163"/>
    </row>
    <row r="702" spans="1:31" x14ac:dyDescent="0.35">
      <c r="A702" s="162">
        <v>46223</v>
      </c>
      <c r="B702" s="163" t="s">
        <v>370</v>
      </c>
      <c r="C702" s="163" t="s">
        <v>93</v>
      </c>
      <c r="D702" s="163" t="s">
        <v>1091</v>
      </c>
      <c r="E702" s="163" t="s">
        <v>106</v>
      </c>
      <c r="F702" s="163" t="s">
        <v>135</v>
      </c>
      <c r="G702" s="163"/>
      <c r="H702" s="163" t="s">
        <v>115</v>
      </c>
      <c r="I702" s="163" t="s">
        <v>121</v>
      </c>
      <c r="J702" s="163" t="s">
        <v>147</v>
      </c>
      <c r="K702" s="163" t="s">
        <v>984</v>
      </c>
      <c r="L702" s="163"/>
      <c r="M702" s="163" t="s">
        <v>1190</v>
      </c>
      <c r="N702" s="163" t="s">
        <v>181</v>
      </c>
      <c r="O702" s="162"/>
      <c r="P702" s="163"/>
      <c r="Q702" s="163">
        <f t="shared" ca="1" si="96"/>
        <v>102</v>
      </c>
      <c r="R702" s="163" t="str">
        <f t="shared" ca="1" si="97"/>
        <v/>
      </c>
      <c r="S702" s="163" t="s">
        <v>129</v>
      </c>
      <c r="T702" s="164">
        <v>80000</v>
      </c>
      <c r="U702" s="164"/>
      <c r="V702" s="163"/>
      <c r="W702" s="163"/>
      <c r="X702" s="163"/>
      <c r="Y702" s="163"/>
      <c r="Z702" s="163"/>
      <c r="AA702" s="162"/>
      <c r="AB702" s="195" t="str">
        <f t="shared" si="89"/>
        <v>Jul-26</v>
      </c>
      <c r="AC702" s="163"/>
      <c r="AD702" s="163" t="str">
        <f>IF(AC702="Yes",U702*2%,"")</f>
        <v/>
      </c>
      <c r="AE702" s="163"/>
    </row>
    <row r="703" spans="1:31" x14ac:dyDescent="0.35">
      <c r="A703" s="162">
        <v>46223</v>
      </c>
      <c r="B703" s="163" t="s">
        <v>370</v>
      </c>
      <c r="C703" s="163" t="s">
        <v>93</v>
      </c>
      <c r="D703" s="163" t="s">
        <v>1201</v>
      </c>
      <c r="E703" s="163" t="s">
        <v>106</v>
      </c>
      <c r="F703" s="163" t="s">
        <v>135</v>
      </c>
      <c r="G703" s="163"/>
      <c r="H703" s="163" t="s">
        <v>115</v>
      </c>
      <c r="I703" s="163" t="s">
        <v>121</v>
      </c>
      <c r="J703" s="163" t="s">
        <v>147</v>
      </c>
      <c r="K703" s="163" t="s">
        <v>1202</v>
      </c>
      <c r="L703" s="163"/>
      <c r="M703" s="163" t="s">
        <v>1190</v>
      </c>
      <c r="N703" s="163" t="s">
        <v>181</v>
      </c>
      <c r="O703" s="162"/>
      <c r="P703" s="163"/>
      <c r="Q703" s="163">
        <f t="shared" ca="1" si="96"/>
        <v>102</v>
      </c>
      <c r="R703" s="163" t="str">
        <f t="shared" ca="1" si="97"/>
        <v/>
      </c>
      <c r="S703" s="163" t="s">
        <v>129</v>
      </c>
      <c r="T703" s="164">
        <v>45000</v>
      </c>
      <c r="U703" s="164"/>
      <c r="V703" s="163"/>
      <c r="W703" s="163"/>
      <c r="X703" s="163"/>
      <c r="Y703" s="163"/>
      <c r="Z703" s="163"/>
      <c r="AA703" s="162"/>
      <c r="AB703" s="195" t="str">
        <f t="shared" si="89"/>
        <v>Jul-26</v>
      </c>
      <c r="AC703" s="163"/>
      <c r="AD703" s="163" t="str">
        <f>IF(AC703="Yes",U703*2%,"")</f>
        <v/>
      </c>
      <c r="AE703" s="163"/>
    </row>
    <row r="704" spans="1:31" x14ac:dyDescent="0.35">
      <c r="A704" s="162">
        <v>46223</v>
      </c>
      <c r="B704" s="163" t="s">
        <v>148</v>
      </c>
      <c r="C704" s="163" t="s">
        <v>113</v>
      </c>
      <c r="D704" s="163" t="s">
        <v>1203</v>
      </c>
      <c r="E704" s="163" t="s">
        <v>106</v>
      </c>
      <c r="F704" s="163" t="s">
        <v>135</v>
      </c>
      <c r="G704" s="163"/>
      <c r="H704" s="163" t="s">
        <v>115</v>
      </c>
      <c r="I704" s="163" t="s">
        <v>121</v>
      </c>
      <c r="J704" s="163" t="s">
        <v>147</v>
      </c>
      <c r="K704" s="163" t="s">
        <v>1087</v>
      </c>
      <c r="L704" s="163"/>
      <c r="M704" s="163" t="s">
        <v>1204</v>
      </c>
      <c r="N704" s="163" t="s">
        <v>128</v>
      </c>
      <c r="O704" s="162"/>
      <c r="P704" s="163"/>
      <c r="Q704" s="163">
        <f t="shared" ca="1" si="96"/>
        <v>102</v>
      </c>
      <c r="R704" s="163" t="str">
        <f t="shared" ca="1" si="97"/>
        <v/>
      </c>
      <c r="S704" s="163" t="s">
        <v>133</v>
      </c>
      <c r="T704" s="164">
        <v>6500</v>
      </c>
      <c r="U704" s="164"/>
      <c r="V704" s="163"/>
      <c r="W704" s="163"/>
      <c r="X704" s="163"/>
      <c r="Y704" s="163"/>
      <c r="Z704" s="163"/>
      <c r="AA704" s="162"/>
      <c r="AB704" s="195" t="str">
        <f t="shared" si="89"/>
        <v>Jul-26</v>
      </c>
      <c r="AC704" s="163"/>
      <c r="AD704" s="163" t="str">
        <f>IF(AC704="Yes",U704*2%,"")</f>
        <v/>
      </c>
      <c r="AE704" s="163"/>
    </row>
    <row r="705" spans="1:31" x14ac:dyDescent="0.35">
      <c r="A705" s="162">
        <v>46224</v>
      </c>
      <c r="B705" s="163" t="s">
        <v>92</v>
      </c>
      <c r="C705" s="163" t="s">
        <v>93</v>
      </c>
      <c r="D705" s="163" t="s">
        <v>1035</v>
      </c>
      <c r="E705" s="163" t="s">
        <v>106</v>
      </c>
      <c r="F705" s="163" t="s">
        <v>135</v>
      </c>
      <c r="G705" s="163"/>
      <c r="H705" s="163" t="s">
        <v>163</v>
      </c>
      <c r="I705" s="163" t="s">
        <v>121</v>
      </c>
      <c r="J705" s="163" t="s">
        <v>147</v>
      </c>
      <c r="K705" s="163" t="s">
        <v>1138</v>
      </c>
      <c r="L705" s="163"/>
      <c r="M705" s="163" t="s">
        <v>1205</v>
      </c>
      <c r="N705" s="163" t="s">
        <v>102</v>
      </c>
      <c r="O705" s="162"/>
      <c r="P705" s="163"/>
      <c r="Q705" s="163" t="str">
        <f t="shared" ca="1" si="96"/>
        <v/>
      </c>
      <c r="R705" s="163" t="str">
        <f t="shared" ca="1" si="97"/>
        <v/>
      </c>
      <c r="S705" s="163" t="s">
        <v>103</v>
      </c>
      <c r="T705" s="164">
        <v>22000</v>
      </c>
      <c r="U705" s="164">
        <v>52848</v>
      </c>
      <c r="V705" s="162">
        <v>46224</v>
      </c>
      <c r="W705" s="163" t="s">
        <v>1206</v>
      </c>
      <c r="X705" s="163" t="s">
        <v>30</v>
      </c>
      <c r="Y705" s="163" t="s">
        <v>161</v>
      </c>
      <c r="Z705" s="163"/>
      <c r="AA705" s="162">
        <v>46224</v>
      </c>
      <c r="AB705" s="195" t="str">
        <f t="shared" si="89"/>
        <v>Jul-26</v>
      </c>
      <c r="AC705" s="163"/>
      <c r="AD705" s="163" t="str">
        <f>IF(AC705="Yes",U705*2%,"")</f>
        <v/>
      </c>
      <c r="AE705" s="163"/>
    </row>
    <row r="706" spans="1:31" x14ac:dyDescent="0.35">
      <c r="A706" s="162">
        <v>46224</v>
      </c>
      <c r="B706" s="163" t="s">
        <v>370</v>
      </c>
      <c r="C706" s="163" t="s">
        <v>93</v>
      </c>
      <c r="D706" s="163" t="s">
        <v>1207</v>
      </c>
      <c r="E706" s="163" t="s">
        <v>106</v>
      </c>
      <c r="F706" s="163" t="s">
        <v>135</v>
      </c>
      <c r="G706" s="163"/>
      <c r="H706" s="163" t="s">
        <v>115</v>
      </c>
      <c r="I706" s="163" t="s">
        <v>121</v>
      </c>
      <c r="J706" s="163" t="s">
        <v>136</v>
      </c>
      <c r="K706" s="163" t="s">
        <v>668</v>
      </c>
      <c r="L706" s="163"/>
      <c r="M706" s="163" t="s">
        <v>1208</v>
      </c>
      <c r="N706" s="163" t="s">
        <v>102</v>
      </c>
      <c r="O706" s="162"/>
      <c r="P706" s="163"/>
      <c r="Q706" s="163"/>
      <c r="R706" s="163"/>
      <c r="S706" s="163" t="s">
        <v>103</v>
      </c>
      <c r="T706" s="164">
        <v>145000</v>
      </c>
      <c r="U706" s="164">
        <v>170175</v>
      </c>
      <c r="V706" s="162">
        <v>46234</v>
      </c>
      <c r="W706" s="163" t="s">
        <v>1209</v>
      </c>
      <c r="X706" s="163" t="s">
        <v>53</v>
      </c>
      <c r="Y706" s="163" t="s">
        <v>161</v>
      </c>
      <c r="Z706" s="163"/>
      <c r="AA706" s="162"/>
      <c r="AB706" s="195" t="str">
        <f t="shared" ref="AB706:AB769" si="98">IF($V706="",TEXT($A706,"MMM-YY"),TEXT($V706,"MMM-YY"))</f>
        <v>Jul-26</v>
      </c>
      <c r="AC706" s="163"/>
      <c r="AD706" s="163"/>
      <c r="AE706" s="163"/>
    </row>
    <row r="707" spans="1:31" x14ac:dyDescent="0.35">
      <c r="A707" s="162">
        <v>46224</v>
      </c>
      <c r="B707" s="163" t="s">
        <v>370</v>
      </c>
      <c r="C707" s="163" t="s">
        <v>93</v>
      </c>
      <c r="D707" s="163" t="s">
        <v>213</v>
      </c>
      <c r="E707" s="163" t="s">
        <v>106</v>
      </c>
      <c r="F707" s="163" t="s">
        <v>135</v>
      </c>
      <c r="G707" s="163"/>
      <c r="H707" s="163" t="s">
        <v>115</v>
      </c>
      <c r="I707" s="163" t="s">
        <v>121</v>
      </c>
      <c r="J707" s="163" t="s">
        <v>147</v>
      </c>
      <c r="K707" s="163" t="s">
        <v>974</v>
      </c>
      <c r="L707" s="163"/>
      <c r="M707" s="163" t="s">
        <v>1190</v>
      </c>
      <c r="N707" s="163" t="s">
        <v>181</v>
      </c>
      <c r="O707" s="162"/>
      <c r="P707" s="163"/>
      <c r="Q707" s="163"/>
      <c r="R707" s="163"/>
      <c r="S707" s="163" t="s">
        <v>129</v>
      </c>
      <c r="T707" s="164">
        <v>60000</v>
      </c>
      <c r="U707" s="164"/>
      <c r="V707" s="162"/>
      <c r="W707" s="163"/>
      <c r="X707" s="163"/>
      <c r="Y707" s="163"/>
      <c r="Z707" s="163"/>
      <c r="AA707" s="162"/>
      <c r="AB707" s="195" t="str">
        <f t="shared" si="98"/>
        <v>Jul-26</v>
      </c>
      <c r="AC707" s="163"/>
      <c r="AD707" s="163"/>
      <c r="AE707" s="163"/>
    </row>
    <row r="708" spans="1:31" x14ac:dyDescent="0.35">
      <c r="A708" s="162">
        <v>46224</v>
      </c>
      <c r="B708" s="163" t="s">
        <v>370</v>
      </c>
      <c r="C708" s="163" t="s">
        <v>93</v>
      </c>
      <c r="D708" s="163" t="s">
        <v>1210</v>
      </c>
      <c r="E708" s="163" t="s">
        <v>106</v>
      </c>
      <c r="F708" s="163" t="s">
        <v>135</v>
      </c>
      <c r="G708" s="163"/>
      <c r="H708" s="163" t="s">
        <v>115</v>
      </c>
      <c r="I708" s="163" t="s">
        <v>121</v>
      </c>
      <c r="J708" s="163" t="s">
        <v>147</v>
      </c>
      <c r="K708" s="163" t="s">
        <v>281</v>
      </c>
      <c r="L708" s="163"/>
      <c r="M708" s="163" t="s">
        <v>914</v>
      </c>
      <c r="N708" s="163" t="s">
        <v>181</v>
      </c>
      <c r="O708" s="162"/>
      <c r="P708" s="163"/>
      <c r="Q708" s="163"/>
      <c r="R708" s="163"/>
      <c r="S708" s="163" t="s">
        <v>133</v>
      </c>
      <c r="T708" s="164">
        <v>40000</v>
      </c>
      <c r="U708" s="164"/>
      <c r="V708" s="162"/>
      <c r="W708" s="163"/>
      <c r="X708" s="163"/>
      <c r="Y708" s="163"/>
      <c r="Z708" s="163"/>
      <c r="AA708" s="162"/>
      <c r="AB708" s="195" t="str">
        <f t="shared" si="98"/>
        <v>Jul-26</v>
      </c>
      <c r="AC708" s="163"/>
      <c r="AD708" s="163"/>
      <c r="AE708" s="163"/>
    </row>
    <row r="709" spans="1:31" x14ac:dyDescent="0.35">
      <c r="A709" s="162">
        <v>46224</v>
      </c>
      <c r="B709" s="163" t="s">
        <v>148</v>
      </c>
      <c r="C709" s="163" t="s">
        <v>113</v>
      </c>
      <c r="D709" s="163" t="s">
        <v>1211</v>
      </c>
      <c r="E709" s="163" t="s">
        <v>106</v>
      </c>
      <c r="F709" s="163" t="s">
        <v>135</v>
      </c>
      <c r="G709" s="163"/>
      <c r="H709" s="163" t="s">
        <v>163</v>
      </c>
      <c r="I709" s="163" t="s">
        <v>121</v>
      </c>
      <c r="J709" s="163" t="s">
        <v>147</v>
      </c>
      <c r="K709" s="163" t="s">
        <v>1212</v>
      </c>
      <c r="L709" s="163"/>
      <c r="M709" s="163" t="s">
        <v>1213</v>
      </c>
      <c r="N709" s="163" t="s">
        <v>130</v>
      </c>
      <c r="O709" s="162"/>
      <c r="P709" s="163"/>
      <c r="Q709" s="163">
        <f ca="1">IF(N709="Closed(C4)","",IF(N709="","",TODAY()-A709))</f>
        <v>101</v>
      </c>
      <c r="R709" s="163" t="str">
        <f ca="1">IF(OR(N709="Closed( C4 )",N709="Cancelled"),"",IF(AND(O709&lt;&gt;"",O709&lt;TODAY()),"Yes",""))</f>
        <v/>
      </c>
      <c r="S709" s="163" t="s">
        <v>103</v>
      </c>
      <c r="T709" s="164">
        <v>50000</v>
      </c>
      <c r="U709" s="164"/>
      <c r="V709" s="163"/>
      <c r="W709" s="163"/>
      <c r="X709" s="163"/>
      <c r="Y709" s="163"/>
      <c r="Z709" s="163"/>
      <c r="AA709" s="162"/>
      <c r="AB709" s="195" t="str">
        <f t="shared" si="98"/>
        <v>Jul-26</v>
      </c>
      <c r="AC709" s="163"/>
      <c r="AD709" s="163" t="str">
        <f>IF(AC709="Yes",U709*2%,"")</f>
        <v/>
      </c>
      <c r="AE709" s="163"/>
    </row>
    <row r="710" spans="1:31" x14ac:dyDescent="0.35">
      <c r="A710" s="162">
        <v>46224</v>
      </c>
      <c r="B710" s="163" t="s">
        <v>125</v>
      </c>
      <c r="C710" s="163" t="s">
        <v>113</v>
      </c>
      <c r="D710" s="163" t="s">
        <v>255</v>
      </c>
      <c r="E710" s="163" t="s">
        <v>106</v>
      </c>
      <c r="F710" s="163" t="s">
        <v>135</v>
      </c>
      <c r="G710" s="163"/>
      <c r="H710" s="163" t="s">
        <v>97</v>
      </c>
      <c r="I710" s="163" t="s">
        <v>98</v>
      </c>
      <c r="J710" s="163" t="s">
        <v>166</v>
      </c>
      <c r="K710" s="163" t="s">
        <v>256</v>
      </c>
      <c r="L710" s="163"/>
      <c r="M710" s="163" t="s">
        <v>390</v>
      </c>
      <c r="N710" s="163" t="s">
        <v>102</v>
      </c>
      <c r="O710" s="162"/>
      <c r="P710" s="163"/>
      <c r="Q710" s="163"/>
      <c r="R710" s="163" t="str">
        <f ca="1">IF(OR(N710="Closed( C4 )",N710="Cancelled"),"",IF(AND(O710&lt;&gt;"",O710&lt;TODAY()),"Yes",""))</f>
        <v/>
      </c>
      <c r="S710" s="163" t="s">
        <v>103</v>
      </c>
      <c r="T710" s="164">
        <v>15000</v>
      </c>
      <c r="U710" s="164"/>
      <c r="V710" s="162">
        <v>46224</v>
      </c>
      <c r="W710" s="163" t="s">
        <v>1019</v>
      </c>
      <c r="X710" s="163" t="s">
        <v>62</v>
      </c>
      <c r="Y710" s="163" t="s">
        <v>161</v>
      </c>
      <c r="Z710" s="163"/>
      <c r="AA710" s="162">
        <v>46224</v>
      </c>
      <c r="AB710" s="195" t="str">
        <f t="shared" si="98"/>
        <v>Jul-26</v>
      </c>
      <c r="AC710" s="163"/>
      <c r="AD710" s="163" t="str">
        <f>IF(AC710="Yes",#REF!*2%,"")</f>
        <v/>
      </c>
      <c r="AE710" s="163"/>
    </row>
    <row r="711" spans="1:31" x14ac:dyDescent="0.35">
      <c r="A711" s="162">
        <v>46225</v>
      </c>
      <c r="B711" s="163" t="s">
        <v>92</v>
      </c>
      <c r="C711" s="163" t="s">
        <v>93</v>
      </c>
      <c r="D711" s="163" t="s">
        <v>1035</v>
      </c>
      <c r="E711" s="163" t="s">
        <v>106</v>
      </c>
      <c r="F711" s="163" t="s">
        <v>135</v>
      </c>
      <c r="G711" s="163"/>
      <c r="H711" s="163" t="s">
        <v>163</v>
      </c>
      <c r="I711" s="163" t="s">
        <v>121</v>
      </c>
      <c r="J711" s="163" t="s">
        <v>147</v>
      </c>
      <c r="K711" s="163" t="s">
        <v>1138</v>
      </c>
      <c r="L711" s="163"/>
      <c r="M711" s="163" t="s">
        <v>1214</v>
      </c>
      <c r="N711" s="163" t="s">
        <v>102</v>
      </c>
      <c r="O711" s="162"/>
      <c r="P711" s="163"/>
      <c r="Q711" s="163" t="str">
        <f ca="1">IF(N711="Closed(C4)","",IF(N711="","",TODAY()-A711))</f>
        <v/>
      </c>
      <c r="R711" s="163" t="str">
        <f ca="1">IF(OR(N711="Closed( C4 )",N711="Cancelled"),"",IF(AND(O711&lt;&gt;"",O711&lt;TODAY()),"Yes",""))</f>
        <v/>
      </c>
      <c r="S711" s="163" t="s">
        <v>103</v>
      </c>
      <c r="T711" s="164">
        <v>22000</v>
      </c>
      <c r="U711" s="164">
        <v>57922</v>
      </c>
      <c r="V711" s="162">
        <v>46225</v>
      </c>
      <c r="W711" s="163" t="s">
        <v>1215</v>
      </c>
      <c r="X711" s="163" t="s">
        <v>30</v>
      </c>
      <c r="Y711" s="163" t="s">
        <v>161</v>
      </c>
      <c r="Z711" s="163"/>
      <c r="AA711" s="162">
        <v>46225</v>
      </c>
      <c r="AB711" s="195" t="str">
        <f t="shared" si="98"/>
        <v>Jul-26</v>
      </c>
      <c r="AC711" s="163"/>
      <c r="AD711" s="163" t="str">
        <f>IF(AC711="Yes",U711*2%,"")</f>
        <v/>
      </c>
      <c r="AE711" s="163"/>
    </row>
    <row r="712" spans="1:31" x14ac:dyDescent="0.35">
      <c r="A712" s="162">
        <v>46225</v>
      </c>
      <c r="B712" s="163" t="s">
        <v>370</v>
      </c>
      <c r="C712" s="163" t="s">
        <v>93</v>
      </c>
      <c r="D712" s="163" t="s">
        <v>1216</v>
      </c>
      <c r="E712" s="163" t="s">
        <v>106</v>
      </c>
      <c r="F712" s="163" t="s">
        <v>135</v>
      </c>
      <c r="G712" s="163"/>
      <c r="H712" s="163" t="s">
        <v>115</v>
      </c>
      <c r="I712" s="163" t="s">
        <v>121</v>
      </c>
      <c r="J712" s="163" t="s">
        <v>147</v>
      </c>
      <c r="K712" s="163" t="s">
        <v>1127</v>
      </c>
      <c r="L712" s="163"/>
      <c r="M712" s="163" t="s">
        <v>914</v>
      </c>
      <c r="N712" s="163" t="s">
        <v>181</v>
      </c>
      <c r="O712" s="162"/>
      <c r="P712" s="163"/>
      <c r="Q712" s="163"/>
      <c r="R712" s="163"/>
      <c r="S712" s="163" t="s">
        <v>133</v>
      </c>
      <c r="T712" s="164">
        <v>25000</v>
      </c>
      <c r="U712" s="164"/>
      <c r="V712" s="162"/>
      <c r="W712" s="163"/>
      <c r="X712" s="163"/>
      <c r="Y712" s="163"/>
      <c r="Z712" s="163"/>
      <c r="AA712" s="162"/>
      <c r="AB712" s="195" t="str">
        <f t="shared" si="98"/>
        <v>Jul-26</v>
      </c>
      <c r="AC712" s="163"/>
      <c r="AD712" s="163"/>
      <c r="AE712" s="163"/>
    </row>
    <row r="713" spans="1:31" x14ac:dyDescent="0.35">
      <c r="A713" s="162">
        <v>46225</v>
      </c>
      <c r="B713" s="163" t="s">
        <v>92</v>
      </c>
      <c r="C713" s="163" t="s">
        <v>93</v>
      </c>
      <c r="D713" s="163" t="s">
        <v>19</v>
      </c>
      <c r="E713" s="163" t="s">
        <v>106</v>
      </c>
      <c r="F713" s="163" t="s">
        <v>96</v>
      </c>
      <c r="G713" s="163" t="s">
        <v>10</v>
      </c>
      <c r="H713" s="163" t="s">
        <v>115</v>
      </c>
      <c r="I713" s="163" t="s">
        <v>121</v>
      </c>
      <c r="J713" s="163" t="s">
        <v>99</v>
      </c>
      <c r="K713" s="163" t="s">
        <v>256</v>
      </c>
      <c r="L713" s="163"/>
      <c r="M713" s="163" t="s">
        <v>159</v>
      </c>
      <c r="N713" s="163" t="s">
        <v>102</v>
      </c>
      <c r="O713" s="162"/>
      <c r="P713" s="163"/>
      <c r="Q713" s="163"/>
      <c r="R713" s="163" t="str">
        <f t="shared" ref="R713:R723" ca="1" si="99">IF(OR(N713="Closed( C4 )",N713="Cancelled"),"",IF(AND(O713&lt;&gt;"",O713&lt;TODAY()),"Yes",""))</f>
        <v/>
      </c>
      <c r="S713" s="163" t="s">
        <v>103</v>
      </c>
      <c r="T713" s="164">
        <v>400000</v>
      </c>
      <c r="U713" s="164">
        <v>329070</v>
      </c>
      <c r="V713" s="162">
        <v>46225</v>
      </c>
      <c r="W713" s="163" t="s">
        <v>1217</v>
      </c>
      <c r="X713" s="163" t="s">
        <v>42</v>
      </c>
      <c r="Y713" s="163" t="s">
        <v>85</v>
      </c>
      <c r="Z713" s="163"/>
      <c r="AA713" s="162"/>
      <c r="AB713" s="195" t="str">
        <f t="shared" si="98"/>
        <v>Jul-26</v>
      </c>
      <c r="AC713" s="163"/>
      <c r="AD713" s="163" t="str">
        <f>IF(AC713="Yes",U713*2%,"")</f>
        <v/>
      </c>
      <c r="AE713" s="163"/>
    </row>
    <row r="714" spans="1:31" x14ac:dyDescent="0.35">
      <c r="A714" s="162">
        <v>46225</v>
      </c>
      <c r="B714" s="163" t="s">
        <v>125</v>
      </c>
      <c r="C714" s="163" t="s">
        <v>93</v>
      </c>
      <c r="D714" s="163" t="s">
        <v>19</v>
      </c>
      <c r="E714" s="163" t="s">
        <v>95</v>
      </c>
      <c r="F714" s="163" t="s">
        <v>96</v>
      </c>
      <c r="G714" s="163" t="s">
        <v>10</v>
      </c>
      <c r="H714" s="163" t="s">
        <v>115</v>
      </c>
      <c r="I714" s="163" t="s">
        <v>121</v>
      </c>
      <c r="J714" s="163" t="s">
        <v>99</v>
      </c>
      <c r="K714" s="163" t="s">
        <v>256</v>
      </c>
      <c r="L714" s="163"/>
      <c r="M714" s="163" t="s">
        <v>159</v>
      </c>
      <c r="N714" s="163" t="s">
        <v>102</v>
      </c>
      <c r="O714" s="162"/>
      <c r="P714" s="163"/>
      <c r="Q714" s="163"/>
      <c r="R714" s="163" t="str">
        <f t="shared" ca="1" si="99"/>
        <v/>
      </c>
      <c r="S714" s="163" t="s">
        <v>103</v>
      </c>
      <c r="T714" s="164">
        <v>400000</v>
      </c>
      <c r="U714" s="164">
        <v>329070</v>
      </c>
      <c r="V714" s="162">
        <v>46225</v>
      </c>
      <c r="W714" s="163" t="s">
        <v>1217</v>
      </c>
      <c r="X714" s="163" t="s">
        <v>42</v>
      </c>
      <c r="Y714" s="163" t="s">
        <v>85</v>
      </c>
      <c r="Z714" s="163"/>
      <c r="AA714" s="162"/>
      <c r="AB714" s="195" t="str">
        <f t="shared" si="98"/>
        <v>Jul-26</v>
      </c>
      <c r="AC714" s="163"/>
      <c r="AD714" s="163" t="str">
        <f>IF(AC714="Yes",U714*2%,"")</f>
        <v/>
      </c>
      <c r="AE714" s="163"/>
    </row>
    <row r="715" spans="1:31" x14ac:dyDescent="0.35">
      <c r="A715" s="162">
        <v>46225</v>
      </c>
      <c r="B715" s="163" t="s">
        <v>370</v>
      </c>
      <c r="C715" s="163" t="s">
        <v>93</v>
      </c>
      <c r="D715" s="163" t="s">
        <v>1218</v>
      </c>
      <c r="E715" s="163" t="s">
        <v>106</v>
      </c>
      <c r="F715" s="163" t="s">
        <v>135</v>
      </c>
      <c r="G715" s="163"/>
      <c r="H715" s="163" t="s">
        <v>115</v>
      </c>
      <c r="I715" s="163" t="s">
        <v>121</v>
      </c>
      <c r="J715" s="163" t="s">
        <v>147</v>
      </c>
      <c r="K715" s="163" t="s">
        <v>536</v>
      </c>
      <c r="L715" s="163"/>
      <c r="M715" s="163" t="s">
        <v>1190</v>
      </c>
      <c r="N715" s="163" t="s">
        <v>181</v>
      </c>
      <c r="O715" s="162">
        <v>46232</v>
      </c>
      <c r="P715" s="163" t="s">
        <v>95</v>
      </c>
      <c r="Q715" s="163">
        <f ca="1">IF(N715="Closed(C4)","",IF(N715="","",TODAY()-A715))</f>
        <v>100</v>
      </c>
      <c r="R715" s="163" t="str">
        <f t="shared" ca="1" si="99"/>
        <v/>
      </c>
      <c r="S715" s="163" t="s">
        <v>129</v>
      </c>
      <c r="T715" s="164">
        <v>70000</v>
      </c>
      <c r="U715" s="164"/>
      <c r="V715" s="163"/>
      <c r="W715" s="163"/>
      <c r="X715" s="163"/>
      <c r="Y715" s="163"/>
      <c r="Z715" s="163"/>
      <c r="AA715" s="162"/>
      <c r="AB715" s="195" t="str">
        <f t="shared" si="98"/>
        <v>Jul-26</v>
      </c>
      <c r="AC715" s="163"/>
      <c r="AD715" s="163" t="str">
        <f>IF(AC715="Yes",U715*2%,"")</f>
        <v/>
      </c>
      <c r="AE715" s="163"/>
    </row>
    <row r="716" spans="1:31" x14ac:dyDescent="0.35">
      <c r="A716" s="162">
        <v>46225</v>
      </c>
      <c r="B716" s="163" t="s">
        <v>370</v>
      </c>
      <c r="C716" s="163" t="s">
        <v>93</v>
      </c>
      <c r="D716" s="163" t="s">
        <v>1219</v>
      </c>
      <c r="E716" s="163" t="s">
        <v>106</v>
      </c>
      <c r="F716" s="163" t="s">
        <v>135</v>
      </c>
      <c r="G716" s="163"/>
      <c r="H716" s="163" t="s">
        <v>115</v>
      </c>
      <c r="I716" s="163" t="s">
        <v>121</v>
      </c>
      <c r="J716" s="163" t="s">
        <v>147</v>
      </c>
      <c r="K716" s="163" t="s">
        <v>1220</v>
      </c>
      <c r="L716" s="163"/>
      <c r="M716" s="163" t="s">
        <v>1190</v>
      </c>
      <c r="N716" s="163" t="s">
        <v>181</v>
      </c>
      <c r="O716" s="162">
        <v>46234</v>
      </c>
      <c r="P716" s="163" t="s">
        <v>95</v>
      </c>
      <c r="Q716" s="163">
        <f ca="1">IF(N716="Closed(C4)","",IF(N716="","",TODAY()-A716))</f>
        <v>100</v>
      </c>
      <c r="R716" s="163" t="str">
        <f t="shared" ca="1" si="99"/>
        <v/>
      </c>
      <c r="S716" s="163" t="s">
        <v>129</v>
      </c>
      <c r="T716" s="164">
        <v>45000</v>
      </c>
      <c r="U716" s="164"/>
      <c r="V716" s="163"/>
      <c r="W716" s="163"/>
      <c r="X716" s="163"/>
      <c r="Y716" s="163"/>
      <c r="Z716" s="163"/>
      <c r="AA716" s="162"/>
      <c r="AB716" s="195" t="str">
        <f t="shared" si="98"/>
        <v>Jul-26</v>
      </c>
      <c r="AC716" s="163"/>
      <c r="AD716" s="163" t="str">
        <f>IF(AC716="Yes",U716*2%,"")</f>
        <v/>
      </c>
      <c r="AE716" s="163"/>
    </row>
    <row r="717" spans="1:31" x14ac:dyDescent="0.35">
      <c r="A717" s="162">
        <v>46225</v>
      </c>
      <c r="B717" s="163" t="s">
        <v>148</v>
      </c>
      <c r="C717" s="163" t="s">
        <v>113</v>
      </c>
      <c r="D717" s="163" t="s">
        <v>165</v>
      </c>
      <c r="E717" s="163" t="s">
        <v>95</v>
      </c>
      <c r="F717" s="163" t="s">
        <v>135</v>
      </c>
      <c r="G717" s="163" t="s">
        <v>10</v>
      </c>
      <c r="H717" s="163" t="s">
        <v>115</v>
      </c>
      <c r="I717" s="163" t="s">
        <v>98</v>
      </c>
      <c r="J717" s="163" t="s">
        <v>166</v>
      </c>
      <c r="K717" s="163" t="s">
        <v>167</v>
      </c>
      <c r="L717" s="163"/>
      <c r="M717" s="163" t="s">
        <v>159</v>
      </c>
      <c r="N717" s="163" t="s">
        <v>102</v>
      </c>
      <c r="O717" s="162"/>
      <c r="P717" s="163"/>
      <c r="Q717" s="163" t="str">
        <f ca="1">IF(N717="Closed(C4)","",IF(N717="","",TODAY()-A717))</f>
        <v/>
      </c>
      <c r="R717" s="163" t="str">
        <f t="shared" ca="1" si="99"/>
        <v/>
      </c>
      <c r="S717" s="163" t="s">
        <v>103</v>
      </c>
      <c r="T717" s="164">
        <v>20000</v>
      </c>
      <c r="U717" s="164">
        <v>27499</v>
      </c>
      <c r="V717" s="162">
        <v>46225</v>
      </c>
      <c r="W717" s="163" t="s">
        <v>1221</v>
      </c>
      <c r="X717" s="163" t="s">
        <v>35</v>
      </c>
      <c r="Y717" s="163" t="s">
        <v>85</v>
      </c>
      <c r="Z717" s="163"/>
      <c r="AA717" s="162"/>
      <c r="AB717" s="195" t="str">
        <f t="shared" si="98"/>
        <v>Jul-26</v>
      </c>
      <c r="AC717" s="163"/>
      <c r="AD717" s="163"/>
      <c r="AE717" s="163"/>
    </row>
    <row r="718" spans="1:31" x14ac:dyDescent="0.35">
      <c r="A718" s="162">
        <v>46225</v>
      </c>
      <c r="B718" s="163" t="s">
        <v>92</v>
      </c>
      <c r="C718" s="163" t="s">
        <v>113</v>
      </c>
      <c r="D718" s="163" t="s">
        <v>114</v>
      </c>
      <c r="E718" s="163" t="s">
        <v>95</v>
      </c>
      <c r="F718" s="163" t="s">
        <v>96</v>
      </c>
      <c r="G718" s="163" t="s">
        <v>10</v>
      </c>
      <c r="H718" s="163" t="s">
        <v>115</v>
      </c>
      <c r="I718" s="163" t="s">
        <v>98</v>
      </c>
      <c r="J718" s="163" t="s">
        <v>116</v>
      </c>
      <c r="K718" s="163" t="s">
        <v>117</v>
      </c>
      <c r="L718" s="163"/>
      <c r="M718" s="163" t="s">
        <v>1089</v>
      </c>
      <c r="N718" s="163" t="s">
        <v>102</v>
      </c>
      <c r="O718" s="162"/>
      <c r="P718" s="163"/>
      <c r="Q718" s="163" t="str">
        <f ca="1">IF(N718="Closed(C4)","",IF(N718="","",TODAY()-A718))</f>
        <v/>
      </c>
      <c r="R718" s="163" t="str">
        <f t="shared" ca="1" si="99"/>
        <v/>
      </c>
      <c r="S718" s="163" t="s">
        <v>103</v>
      </c>
      <c r="T718" s="164">
        <v>20000</v>
      </c>
      <c r="U718" s="164">
        <v>27499</v>
      </c>
      <c r="V718" s="162">
        <v>46225</v>
      </c>
      <c r="W718" s="163" t="s">
        <v>1221</v>
      </c>
      <c r="X718" s="163" t="s">
        <v>35</v>
      </c>
      <c r="Y718" s="163" t="s">
        <v>85</v>
      </c>
      <c r="Z718" s="163"/>
      <c r="AA718" s="162"/>
      <c r="AB718" s="195" t="str">
        <f t="shared" si="98"/>
        <v>Jul-26</v>
      </c>
      <c r="AC718" s="163"/>
      <c r="AD718" s="163"/>
      <c r="AE718" s="163"/>
    </row>
    <row r="719" spans="1:31" x14ac:dyDescent="0.35">
      <c r="A719" s="162">
        <v>46225</v>
      </c>
      <c r="B719" s="163" t="s">
        <v>148</v>
      </c>
      <c r="C719" s="163" t="s">
        <v>113</v>
      </c>
      <c r="D719" s="163" t="s">
        <v>1222</v>
      </c>
      <c r="E719" s="163" t="s">
        <v>106</v>
      </c>
      <c r="F719" s="163" t="s">
        <v>135</v>
      </c>
      <c r="G719" s="163"/>
      <c r="H719" s="163" t="s">
        <v>115</v>
      </c>
      <c r="I719" s="163" t="s">
        <v>121</v>
      </c>
      <c r="J719" s="163" t="s">
        <v>147</v>
      </c>
      <c r="K719" s="163" t="s">
        <v>1223</v>
      </c>
      <c r="L719" s="163"/>
      <c r="M719" s="163" t="s">
        <v>115</v>
      </c>
      <c r="N719" s="163" t="s">
        <v>130</v>
      </c>
      <c r="O719" s="162">
        <v>46290</v>
      </c>
      <c r="P719" s="163"/>
      <c r="Q719" s="163">
        <f ca="1">IF(N719="Closed(C4)","",IF(N719="","",TODAY()-A719))</f>
        <v>100</v>
      </c>
      <c r="R719" s="163" t="str">
        <f t="shared" ca="1" si="99"/>
        <v>Yes</v>
      </c>
      <c r="S719" s="163" t="s">
        <v>103</v>
      </c>
      <c r="T719" s="164">
        <v>50000</v>
      </c>
      <c r="U719" s="164"/>
      <c r="V719" s="163"/>
      <c r="W719" s="163"/>
      <c r="X719" s="163"/>
      <c r="Y719" s="163"/>
      <c r="Z719" s="163"/>
      <c r="AA719" s="162"/>
      <c r="AB719" s="195" t="str">
        <f t="shared" si="98"/>
        <v>Jul-26</v>
      </c>
      <c r="AC719" s="163"/>
      <c r="AD719" s="163" t="str">
        <f>IF(AC719="Yes",U719*2%,"")</f>
        <v/>
      </c>
      <c r="AE719" s="163"/>
    </row>
    <row r="720" spans="1:31" x14ac:dyDescent="0.35">
      <c r="A720" s="162">
        <v>46225</v>
      </c>
      <c r="B720" s="163" t="s">
        <v>125</v>
      </c>
      <c r="C720" s="163" t="s">
        <v>113</v>
      </c>
      <c r="D720" s="163" t="s">
        <v>223</v>
      </c>
      <c r="E720" s="163" t="s">
        <v>106</v>
      </c>
      <c r="F720" s="163" t="s">
        <v>135</v>
      </c>
      <c r="G720" s="163"/>
      <c r="H720" s="163" t="s">
        <v>97</v>
      </c>
      <c r="I720" s="163" t="s">
        <v>98</v>
      </c>
      <c r="J720" s="163" t="s">
        <v>166</v>
      </c>
      <c r="K720" s="163" t="s">
        <v>224</v>
      </c>
      <c r="L720" s="163"/>
      <c r="M720" s="163" t="s">
        <v>390</v>
      </c>
      <c r="N720" s="163" t="s">
        <v>102</v>
      </c>
      <c r="O720" s="162"/>
      <c r="P720" s="163"/>
      <c r="Q720" s="163"/>
      <c r="R720" s="163" t="str">
        <f t="shared" ca="1" si="99"/>
        <v/>
      </c>
      <c r="S720" s="163" t="s">
        <v>103</v>
      </c>
      <c r="T720" s="164">
        <v>15000</v>
      </c>
      <c r="U720" s="164">
        <v>14693</v>
      </c>
      <c r="V720" s="162">
        <v>46225</v>
      </c>
      <c r="W720" s="163" t="s">
        <v>1224</v>
      </c>
      <c r="X720" s="163" t="s">
        <v>62</v>
      </c>
      <c r="Y720" s="163" t="s">
        <v>161</v>
      </c>
      <c r="Z720" s="163"/>
      <c r="AA720" s="162">
        <v>46225</v>
      </c>
      <c r="AB720" s="195" t="str">
        <f t="shared" si="98"/>
        <v>Jul-26</v>
      </c>
      <c r="AC720" s="163"/>
      <c r="AD720" s="163" t="str">
        <f>IF(AC720="Yes",#REF!*2%,"")</f>
        <v/>
      </c>
      <c r="AE720" s="163"/>
    </row>
    <row r="721" spans="1:31" x14ac:dyDescent="0.35">
      <c r="A721" s="162">
        <v>46225</v>
      </c>
      <c r="B721" s="163" t="s">
        <v>125</v>
      </c>
      <c r="C721" s="163" t="s">
        <v>113</v>
      </c>
      <c r="D721" s="163" t="s">
        <v>1225</v>
      </c>
      <c r="E721" s="163" t="s">
        <v>95</v>
      </c>
      <c r="F721" s="163" t="s">
        <v>96</v>
      </c>
      <c r="G721" s="163" t="s">
        <v>15</v>
      </c>
      <c r="H721" s="163" t="s">
        <v>163</v>
      </c>
      <c r="I721" s="163" t="s">
        <v>98</v>
      </c>
      <c r="J721" s="163" t="s">
        <v>147</v>
      </c>
      <c r="K721" s="163" t="s">
        <v>525</v>
      </c>
      <c r="L721" s="163"/>
      <c r="M721" s="163" t="s">
        <v>526</v>
      </c>
      <c r="N721" s="163" t="s">
        <v>102</v>
      </c>
      <c r="O721" s="162"/>
      <c r="P721" s="163"/>
      <c r="Q721" s="163"/>
      <c r="R721" s="163" t="str">
        <f t="shared" ca="1" si="99"/>
        <v/>
      </c>
      <c r="S721" s="163" t="s">
        <v>103</v>
      </c>
      <c r="T721" s="164">
        <v>20000</v>
      </c>
      <c r="U721" s="164">
        <v>17872</v>
      </c>
      <c r="V721" s="162">
        <v>46225</v>
      </c>
      <c r="W721" s="214" t="s">
        <v>1226</v>
      </c>
      <c r="X721" s="163" t="s">
        <v>37</v>
      </c>
      <c r="Y721" s="163" t="s">
        <v>85</v>
      </c>
      <c r="Z721" s="163"/>
      <c r="AA721" s="162">
        <v>46225</v>
      </c>
      <c r="AB721" s="195" t="str">
        <f t="shared" si="98"/>
        <v>Jul-26</v>
      </c>
      <c r="AC721" s="163"/>
      <c r="AD721" s="163" t="str">
        <f>IF(AC721="Yes",#REF!*2%,"")</f>
        <v/>
      </c>
      <c r="AE721" s="163"/>
    </row>
    <row r="722" spans="1:31" x14ac:dyDescent="0.35">
      <c r="A722" s="162">
        <v>46226</v>
      </c>
      <c r="B722" s="163" t="s">
        <v>370</v>
      </c>
      <c r="C722" s="163" t="s">
        <v>93</v>
      </c>
      <c r="D722" s="163" t="s">
        <v>1227</v>
      </c>
      <c r="E722" s="163" t="s">
        <v>106</v>
      </c>
      <c r="F722" s="163" t="s">
        <v>115</v>
      </c>
      <c r="G722" s="163"/>
      <c r="H722" s="163" t="s">
        <v>115</v>
      </c>
      <c r="I722" s="163" t="s">
        <v>121</v>
      </c>
      <c r="J722" s="163" t="s">
        <v>1117</v>
      </c>
      <c r="K722" s="163" t="s">
        <v>577</v>
      </c>
      <c r="L722" s="163"/>
      <c r="M722" s="163" t="s">
        <v>844</v>
      </c>
      <c r="N722" s="163" t="s">
        <v>102</v>
      </c>
      <c r="O722" s="162"/>
      <c r="P722" s="163"/>
      <c r="Q722" s="163" t="str">
        <f ca="1">IF(N722="Closed(C4)","",IF(N722="","",TODAY()-A722))</f>
        <v/>
      </c>
      <c r="R722" s="163" t="str">
        <f t="shared" ca="1" si="99"/>
        <v/>
      </c>
      <c r="S722" s="163" t="s">
        <v>103</v>
      </c>
      <c r="T722" s="164">
        <v>25000</v>
      </c>
      <c r="U722" s="164">
        <v>29700</v>
      </c>
      <c r="V722" s="162">
        <v>46227</v>
      </c>
      <c r="W722" s="163" t="s">
        <v>1228</v>
      </c>
      <c r="X722" s="163" t="s">
        <v>53</v>
      </c>
      <c r="Y722" s="163" t="s">
        <v>161</v>
      </c>
      <c r="Z722" s="163"/>
      <c r="AA722" s="162"/>
      <c r="AB722" s="195" t="str">
        <f t="shared" si="98"/>
        <v>Jul-26</v>
      </c>
      <c r="AC722" s="163"/>
      <c r="AD722" s="163" t="str">
        <f>IF(AC722="Yes",U722*2%,"")</f>
        <v/>
      </c>
      <c r="AE722" s="163" t="s">
        <v>270</v>
      </c>
    </row>
    <row r="723" spans="1:31" x14ac:dyDescent="0.35">
      <c r="A723" s="162">
        <v>46226</v>
      </c>
      <c r="B723" s="163" t="s">
        <v>92</v>
      </c>
      <c r="C723" s="163" t="s">
        <v>93</v>
      </c>
      <c r="D723" s="163" t="s">
        <v>1035</v>
      </c>
      <c r="E723" s="163" t="s">
        <v>106</v>
      </c>
      <c r="F723" s="163" t="s">
        <v>135</v>
      </c>
      <c r="G723" s="163"/>
      <c r="H723" s="163" t="s">
        <v>163</v>
      </c>
      <c r="I723" s="163" t="s">
        <v>121</v>
      </c>
      <c r="J723" s="163" t="s">
        <v>147</v>
      </c>
      <c r="K723" s="163" t="s">
        <v>1138</v>
      </c>
      <c r="L723" s="163"/>
      <c r="M723" s="163" t="s">
        <v>1229</v>
      </c>
      <c r="N723" s="163" t="s">
        <v>102</v>
      </c>
      <c r="O723" s="162"/>
      <c r="P723" s="163"/>
      <c r="Q723" s="163" t="str">
        <f ca="1">IF(N723="Closed(C4)","",IF(N723="","",TODAY()-A723))</f>
        <v/>
      </c>
      <c r="R723" s="163" t="str">
        <f t="shared" ca="1" si="99"/>
        <v/>
      </c>
      <c r="S723" s="163" t="s">
        <v>103</v>
      </c>
      <c r="T723" s="164">
        <v>22000</v>
      </c>
      <c r="U723" s="164">
        <v>35565</v>
      </c>
      <c r="V723" s="162">
        <v>46226</v>
      </c>
      <c r="W723" s="163" t="s">
        <v>1230</v>
      </c>
      <c r="X723" s="163" t="s">
        <v>30</v>
      </c>
      <c r="Y723" s="163" t="s">
        <v>161</v>
      </c>
      <c r="Z723" s="163"/>
      <c r="AA723" s="162">
        <v>46226</v>
      </c>
      <c r="AB723" s="195" t="str">
        <f t="shared" si="98"/>
        <v>Jul-26</v>
      </c>
      <c r="AC723" s="163"/>
      <c r="AD723" s="163" t="str">
        <f>IF(AC723="Yes",U723*2%,"")</f>
        <v/>
      </c>
      <c r="AE723" s="163"/>
    </row>
    <row r="724" spans="1:31" x14ac:dyDescent="0.35">
      <c r="A724" s="162">
        <v>46226</v>
      </c>
      <c r="B724" s="163" t="s">
        <v>370</v>
      </c>
      <c r="C724" s="163" t="s">
        <v>93</v>
      </c>
      <c r="D724" s="163" t="s">
        <v>1231</v>
      </c>
      <c r="E724" s="163" t="s">
        <v>106</v>
      </c>
      <c r="F724" s="163" t="s">
        <v>135</v>
      </c>
      <c r="G724" s="163"/>
      <c r="H724" s="163" t="s">
        <v>115</v>
      </c>
      <c r="I724" s="163" t="s">
        <v>121</v>
      </c>
      <c r="J724" s="163" t="s">
        <v>147</v>
      </c>
      <c r="K724" s="163" t="s">
        <v>1232</v>
      </c>
      <c r="L724" s="163"/>
      <c r="M724" s="163" t="s">
        <v>844</v>
      </c>
      <c r="N724" s="163" t="s">
        <v>181</v>
      </c>
      <c r="O724" s="162"/>
      <c r="P724" s="163"/>
      <c r="Q724" s="163"/>
      <c r="R724" s="163"/>
      <c r="S724" s="163" t="s">
        <v>129</v>
      </c>
      <c r="T724" s="164">
        <v>55000</v>
      </c>
      <c r="U724" s="164"/>
      <c r="V724" s="162"/>
      <c r="W724" s="163"/>
      <c r="X724" s="163"/>
      <c r="Y724" s="163"/>
      <c r="Z724" s="163"/>
      <c r="AA724" s="162"/>
      <c r="AB724" s="195" t="str">
        <f t="shared" si="98"/>
        <v>Jul-26</v>
      </c>
      <c r="AC724" s="163"/>
      <c r="AD724" s="163"/>
      <c r="AE724" s="163"/>
    </row>
    <row r="725" spans="1:31" x14ac:dyDescent="0.35">
      <c r="A725" s="162">
        <v>46226</v>
      </c>
      <c r="B725" s="163" t="s">
        <v>92</v>
      </c>
      <c r="C725" s="163" t="s">
        <v>93</v>
      </c>
      <c r="D725" s="163" t="s">
        <v>1233</v>
      </c>
      <c r="E725" s="163" t="s">
        <v>106</v>
      </c>
      <c r="F725" s="163" t="s">
        <v>135</v>
      </c>
      <c r="G725" s="163"/>
      <c r="H725" s="163" t="s">
        <v>115</v>
      </c>
      <c r="I725" s="163" t="s">
        <v>121</v>
      </c>
      <c r="J725" s="163" t="s">
        <v>147</v>
      </c>
      <c r="K725" s="163" t="s">
        <v>1234</v>
      </c>
      <c r="L725" s="163"/>
      <c r="M725" s="163" t="s">
        <v>1235</v>
      </c>
      <c r="N725" s="163" t="s">
        <v>102</v>
      </c>
      <c r="O725" s="162"/>
      <c r="P725" s="163"/>
      <c r="Q725" s="163" t="str">
        <f ca="1">IF(N725="Closed(C4)","",IF(N725="","",TODAY()-A725))</f>
        <v/>
      </c>
      <c r="R725" s="163" t="str">
        <f ca="1">IF(OR(N725="Closed( C4 )",N725="Cancelled"),"",IF(AND(O725&lt;&gt;"",O725&lt;TODAY()),"Yes",""))</f>
        <v/>
      </c>
      <c r="S725" s="163" t="s">
        <v>103</v>
      </c>
      <c r="T725" s="164">
        <v>14000</v>
      </c>
      <c r="U725" s="164">
        <v>14500</v>
      </c>
      <c r="V725" s="162">
        <v>46227</v>
      </c>
      <c r="W725" s="214" t="s">
        <v>1215</v>
      </c>
      <c r="X725" s="163" t="s">
        <v>30</v>
      </c>
      <c r="Y725" s="163" t="s">
        <v>161</v>
      </c>
      <c r="Z725" s="163"/>
      <c r="AA725" s="162"/>
      <c r="AB725" s="195" t="str">
        <f t="shared" si="98"/>
        <v>Jul-26</v>
      </c>
      <c r="AC725" s="163"/>
      <c r="AD725" s="163" t="str">
        <f>IF(AC725="Yes",U725*2%,"")</f>
        <v/>
      </c>
      <c r="AE725" s="163"/>
    </row>
    <row r="726" spans="1:31" x14ac:dyDescent="0.35">
      <c r="A726" s="162">
        <v>46226</v>
      </c>
      <c r="B726" s="163" t="s">
        <v>370</v>
      </c>
      <c r="C726" s="163" t="s">
        <v>93</v>
      </c>
      <c r="D726" s="163" t="s">
        <v>1236</v>
      </c>
      <c r="E726" s="163" t="s">
        <v>106</v>
      </c>
      <c r="F726" s="163" t="s">
        <v>135</v>
      </c>
      <c r="G726" s="163"/>
      <c r="H726" s="163" t="s">
        <v>115</v>
      </c>
      <c r="I726" s="163" t="s">
        <v>121</v>
      </c>
      <c r="J726" s="163" t="s">
        <v>147</v>
      </c>
      <c r="K726" s="163" t="s">
        <v>1237</v>
      </c>
      <c r="L726" s="163"/>
      <c r="M726" s="163" t="s">
        <v>1190</v>
      </c>
      <c r="N726" s="163" t="s">
        <v>181</v>
      </c>
      <c r="O726" s="162"/>
      <c r="P726" s="163"/>
      <c r="Q726" s="163"/>
      <c r="R726" s="163"/>
      <c r="S726" s="163" t="s">
        <v>133</v>
      </c>
      <c r="T726" s="164">
        <v>45000</v>
      </c>
      <c r="U726" s="164"/>
      <c r="V726" s="162"/>
      <c r="W726" s="163"/>
      <c r="X726" s="163"/>
      <c r="Y726" s="163"/>
      <c r="Z726" s="163"/>
      <c r="AA726" s="162"/>
      <c r="AB726" s="195" t="str">
        <f t="shared" si="98"/>
        <v>Jul-26</v>
      </c>
      <c r="AC726" s="163"/>
      <c r="AD726" s="163"/>
      <c r="AE726" s="163"/>
    </row>
    <row r="727" spans="1:31" x14ac:dyDescent="0.35">
      <c r="A727" s="162">
        <v>46226</v>
      </c>
      <c r="B727" s="163" t="s">
        <v>370</v>
      </c>
      <c r="C727" s="163" t="s">
        <v>93</v>
      </c>
      <c r="D727" s="163" t="s">
        <v>1238</v>
      </c>
      <c r="E727" s="163" t="s">
        <v>106</v>
      </c>
      <c r="F727" s="163" t="s">
        <v>135</v>
      </c>
      <c r="G727" s="163"/>
      <c r="H727" s="163" t="s">
        <v>115</v>
      </c>
      <c r="I727" s="163" t="s">
        <v>121</v>
      </c>
      <c r="J727" s="163" t="s">
        <v>147</v>
      </c>
      <c r="K727" s="163" t="s">
        <v>475</v>
      </c>
      <c r="L727" s="163"/>
      <c r="M727" s="163" t="s">
        <v>914</v>
      </c>
      <c r="N727" s="163" t="s">
        <v>181</v>
      </c>
      <c r="O727" s="162"/>
      <c r="P727" s="163"/>
      <c r="Q727" s="163"/>
      <c r="R727" s="163"/>
      <c r="S727" s="163" t="s">
        <v>133</v>
      </c>
      <c r="T727" s="164">
        <v>40000</v>
      </c>
      <c r="U727" s="164"/>
      <c r="V727" s="162"/>
      <c r="W727" s="163"/>
      <c r="X727" s="163"/>
      <c r="Y727" s="163"/>
      <c r="Z727" s="163"/>
      <c r="AA727" s="162"/>
      <c r="AB727" s="195" t="str">
        <f t="shared" si="98"/>
        <v>Jul-26</v>
      </c>
      <c r="AC727" s="163"/>
      <c r="AD727" s="163"/>
      <c r="AE727" s="163"/>
    </row>
    <row r="728" spans="1:31" x14ac:dyDescent="0.35">
      <c r="A728" s="162">
        <v>46226</v>
      </c>
      <c r="B728" s="163" t="s">
        <v>92</v>
      </c>
      <c r="C728" s="163" t="s">
        <v>93</v>
      </c>
      <c r="D728" s="163" t="s">
        <v>1239</v>
      </c>
      <c r="E728" s="163" t="s">
        <v>106</v>
      </c>
      <c r="F728" s="163" t="s">
        <v>96</v>
      </c>
      <c r="G728" s="163" t="s">
        <v>12</v>
      </c>
      <c r="H728" s="163" t="s">
        <v>163</v>
      </c>
      <c r="I728" s="163" t="s">
        <v>121</v>
      </c>
      <c r="J728" s="163" t="s">
        <v>99</v>
      </c>
      <c r="K728" s="163" t="s">
        <v>284</v>
      </c>
      <c r="L728" s="163"/>
      <c r="M728" s="163" t="s">
        <v>1240</v>
      </c>
      <c r="N728" s="163" t="s">
        <v>102</v>
      </c>
      <c r="O728" s="162"/>
      <c r="P728" s="163"/>
      <c r="Q728" s="163" t="str">
        <f ca="1">IF(N728="Closed(C4)","",IF(N728="","",TODAY()-A728))</f>
        <v/>
      </c>
      <c r="R728" s="163" t="str">
        <f ca="1">IF(OR(N728="Closed( C4 )",N728="Cancelled"),"",IF(AND(O728&lt;&gt;"",O728&lt;TODAY()),"Yes",""))</f>
        <v/>
      </c>
      <c r="S728" s="163" t="s">
        <v>103</v>
      </c>
      <c r="T728" s="164">
        <v>50000</v>
      </c>
      <c r="U728" s="164">
        <v>71731</v>
      </c>
      <c r="V728" s="162">
        <v>46226</v>
      </c>
      <c r="W728" s="163" t="s">
        <v>1241</v>
      </c>
      <c r="X728" s="163" t="s">
        <v>30</v>
      </c>
      <c r="Y728" s="163" t="s">
        <v>85</v>
      </c>
      <c r="Z728" s="163"/>
      <c r="AA728" s="162"/>
      <c r="AB728" s="195" t="str">
        <f t="shared" si="98"/>
        <v>Jul-26</v>
      </c>
      <c r="AC728" s="163"/>
      <c r="AD728" s="163" t="str">
        <f>IF(AC728="Yes",U728*2%,"")</f>
        <v/>
      </c>
      <c r="AE728" s="163"/>
    </row>
    <row r="729" spans="1:31" x14ac:dyDescent="0.35">
      <c r="A729" s="162">
        <v>46226</v>
      </c>
      <c r="B729" s="163" t="s">
        <v>125</v>
      </c>
      <c r="C729" s="163" t="s">
        <v>113</v>
      </c>
      <c r="D729" s="163" t="s">
        <v>175</v>
      </c>
      <c r="E729" s="163" t="s">
        <v>106</v>
      </c>
      <c r="F729" s="163" t="s">
        <v>135</v>
      </c>
      <c r="G729" s="163"/>
      <c r="H729" s="163" t="s">
        <v>97</v>
      </c>
      <c r="I729" s="163" t="s">
        <v>98</v>
      </c>
      <c r="J729" s="163" t="s">
        <v>166</v>
      </c>
      <c r="K729" s="163" t="s">
        <v>176</v>
      </c>
      <c r="L729" s="163"/>
      <c r="M729" s="163" t="s">
        <v>390</v>
      </c>
      <c r="N729" s="163" t="s">
        <v>102</v>
      </c>
      <c r="O729" s="162"/>
      <c r="P729" s="163"/>
      <c r="Q729" s="163"/>
      <c r="R729" s="163" t="str">
        <f ca="1">IF(OR(N729="Closed( C4 )",N729="Cancelled"),"",IF(AND(O729&lt;&gt;"",O729&lt;TODAY()),"Yes",""))</f>
        <v/>
      </c>
      <c r="S729" s="163" t="s">
        <v>103</v>
      </c>
      <c r="T729" s="164">
        <v>15000</v>
      </c>
      <c r="U729" s="164">
        <v>10742</v>
      </c>
      <c r="V729" s="162">
        <v>46226</v>
      </c>
      <c r="W729" s="163" t="s">
        <v>1242</v>
      </c>
      <c r="X729" s="163" t="s">
        <v>62</v>
      </c>
      <c r="Y729" s="163" t="s">
        <v>161</v>
      </c>
      <c r="Z729" s="163"/>
      <c r="AA729" s="162">
        <v>46226</v>
      </c>
      <c r="AB729" s="195" t="str">
        <f t="shared" si="98"/>
        <v>Jul-26</v>
      </c>
      <c r="AC729" s="163"/>
      <c r="AD729" s="163" t="str">
        <f>IF(AC729="Yes",#REF!*2%,"")</f>
        <v/>
      </c>
      <c r="AE729" s="163"/>
    </row>
    <row r="730" spans="1:31" x14ac:dyDescent="0.35">
      <c r="A730" s="162">
        <v>46226</v>
      </c>
      <c r="B730" s="163" t="s">
        <v>148</v>
      </c>
      <c r="C730" s="163" t="s">
        <v>113</v>
      </c>
      <c r="D730" s="163" t="s">
        <v>1243</v>
      </c>
      <c r="E730" s="163" t="s">
        <v>106</v>
      </c>
      <c r="F730" s="163" t="s">
        <v>135</v>
      </c>
      <c r="G730" s="163"/>
      <c r="H730" s="163" t="s">
        <v>115</v>
      </c>
      <c r="I730" s="163" t="s">
        <v>121</v>
      </c>
      <c r="J730" s="163" t="s">
        <v>147</v>
      </c>
      <c r="K730" s="163" t="s">
        <v>1244</v>
      </c>
      <c r="L730" s="163"/>
      <c r="M730" s="163" t="s">
        <v>1141</v>
      </c>
      <c r="N730" s="163" t="s">
        <v>128</v>
      </c>
      <c r="O730" s="162"/>
      <c r="P730" s="163"/>
      <c r="Q730" s="163"/>
      <c r="R730" s="163"/>
      <c r="S730" s="163" t="s">
        <v>133</v>
      </c>
      <c r="T730" s="164">
        <v>7000</v>
      </c>
      <c r="U730" s="164"/>
      <c r="V730" s="163"/>
      <c r="W730" s="163"/>
      <c r="X730" s="163"/>
      <c r="Y730" s="163"/>
      <c r="Z730" s="163"/>
      <c r="AA730" s="163"/>
      <c r="AB730" s="195" t="str">
        <f t="shared" si="98"/>
        <v>Jul-26</v>
      </c>
      <c r="AC730" s="163"/>
      <c r="AD730" s="163" t="str">
        <f>IF(AC730="Yes",#REF!*2%,"")</f>
        <v/>
      </c>
      <c r="AE730" s="163"/>
    </row>
    <row r="731" spans="1:31" x14ac:dyDescent="0.35">
      <c r="A731" s="162">
        <v>46227</v>
      </c>
      <c r="B731" s="163" t="s">
        <v>370</v>
      </c>
      <c r="C731" s="163" t="s">
        <v>93</v>
      </c>
      <c r="D731" s="163" t="s">
        <v>1245</v>
      </c>
      <c r="E731" s="163" t="s">
        <v>106</v>
      </c>
      <c r="F731" s="163" t="s">
        <v>135</v>
      </c>
      <c r="G731" s="163"/>
      <c r="H731" s="163" t="s">
        <v>115</v>
      </c>
      <c r="I731" s="163" t="s">
        <v>121</v>
      </c>
      <c r="J731" s="163" t="s">
        <v>147</v>
      </c>
      <c r="K731" s="163" t="s">
        <v>1246</v>
      </c>
      <c r="L731" s="163"/>
      <c r="M731" s="163" t="s">
        <v>844</v>
      </c>
      <c r="N731" s="163" t="s">
        <v>181</v>
      </c>
      <c r="O731" s="162"/>
      <c r="P731" s="163"/>
      <c r="Q731" s="163"/>
      <c r="R731" s="163"/>
      <c r="S731" s="163" t="s">
        <v>129</v>
      </c>
      <c r="T731" s="164">
        <v>30000</v>
      </c>
      <c r="U731" s="164"/>
      <c r="V731" s="162"/>
      <c r="W731" s="163"/>
      <c r="X731" s="163"/>
      <c r="Y731" s="163"/>
      <c r="Z731" s="163"/>
      <c r="AA731" s="162"/>
      <c r="AB731" s="195" t="str">
        <f t="shared" si="98"/>
        <v>Jul-26</v>
      </c>
      <c r="AC731" s="163"/>
      <c r="AD731" s="163"/>
      <c r="AE731" s="163"/>
    </row>
    <row r="732" spans="1:31" x14ac:dyDescent="0.35">
      <c r="A732" s="162">
        <v>46227</v>
      </c>
      <c r="B732" s="163" t="s">
        <v>92</v>
      </c>
      <c r="C732" s="163" t="s">
        <v>93</v>
      </c>
      <c r="D732" s="163" t="s">
        <v>1239</v>
      </c>
      <c r="E732" s="163" t="s">
        <v>106</v>
      </c>
      <c r="F732" s="163" t="s">
        <v>96</v>
      </c>
      <c r="G732" s="163" t="s">
        <v>12</v>
      </c>
      <c r="H732" s="163" t="s">
        <v>163</v>
      </c>
      <c r="I732" s="163" t="s">
        <v>121</v>
      </c>
      <c r="J732" s="163" t="s">
        <v>99</v>
      </c>
      <c r="K732" s="163" t="s">
        <v>284</v>
      </c>
      <c r="L732" s="163"/>
      <c r="M732" s="163" t="s">
        <v>1247</v>
      </c>
      <c r="N732" s="163" t="s">
        <v>102</v>
      </c>
      <c r="O732" s="162"/>
      <c r="P732" s="163"/>
      <c r="Q732" s="163" t="str">
        <f ca="1">IF(N732="Closed(C4)","",IF(N732="","",TODAY()-A732))</f>
        <v/>
      </c>
      <c r="R732" s="163" t="str">
        <f t="shared" ref="R732:R750" ca="1" si="100">IF(OR(N732="Closed( C4 )",N732="Cancelled"),"",IF(AND(O732&lt;&gt;"",O732&lt;TODAY()),"Yes",""))</f>
        <v/>
      </c>
      <c r="S732" s="163" t="s">
        <v>103</v>
      </c>
      <c r="T732" s="164">
        <v>40000</v>
      </c>
      <c r="U732" s="164">
        <v>43240</v>
      </c>
      <c r="V732" s="162">
        <v>46227</v>
      </c>
      <c r="W732" s="163" t="s">
        <v>1248</v>
      </c>
      <c r="X732" s="163" t="s">
        <v>30</v>
      </c>
      <c r="Y732" s="163" t="s">
        <v>85</v>
      </c>
      <c r="Z732" s="163"/>
      <c r="AA732" s="162"/>
      <c r="AB732" s="195" t="str">
        <f t="shared" si="98"/>
        <v>Jul-26</v>
      </c>
      <c r="AC732" s="163"/>
      <c r="AD732" s="163" t="str">
        <f>IF(AC732="Yes",U732*2%,"")</f>
        <v/>
      </c>
      <c r="AE732" s="163"/>
    </row>
    <row r="733" spans="1:31" x14ac:dyDescent="0.35">
      <c r="A733" s="162">
        <v>46227</v>
      </c>
      <c r="B733" s="163" t="s">
        <v>92</v>
      </c>
      <c r="C733" s="163" t="s">
        <v>93</v>
      </c>
      <c r="D733" s="163" t="s">
        <v>1035</v>
      </c>
      <c r="E733" s="163" t="s">
        <v>106</v>
      </c>
      <c r="F733" s="163" t="s">
        <v>135</v>
      </c>
      <c r="G733" s="163"/>
      <c r="H733" s="163" t="s">
        <v>163</v>
      </c>
      <c r="I733" s="163" t="s">
        <v>121</v>
      </c>
      <c r="J733" s="163" t="s">
        <v>147</v>
      </c>
      <c r="K733" s="163" t="s">
        <v>1138</v>
      </c>
      <c r="L733" s="163"/>
      <c r="M733" s="163" t="s">
        <v>1249</v>
      </c>
      <c r="N733" s="163" t="s">
        <v>102</v>
      </c>
      <c r="O733" s="162"/>
      <c r="P733" s="163"/>
      <c r="Q733" s="163" t="str">
        <f ca="1">IF(N733="Closed(C4)","",IF(N733="","",TODAY()-A733))</f>
        <v/>
      </c>
      <c r="R733" s="163" t="str">
        <f t="shared" ca="1" si="100"/>
        <v/>
      </c>
      <c r="S733" s="163" t="s">
        <v>103</v>
      </c>
      <c r="T733" s="164">
        <v>22000</v>
      </c>
      <c r="U733" s="164">
        <v>34713</v>
      </c>
      <c r="V733" s="162">
        <v>46227</v>
      </c>
      <c r="W733" s="163" t="s">
        <v>1250</v>
      </c>
      <c r="X733" s="163" t="s">
        <v>30</v>
      </c>
      <c r="Y733" s="163" t="s">
        <v>161</v>
      </c>
      <c r="Z733" s="163"/>
      <c r="AA733" s="162">
        <v>46227</v>
      </c>
      <c r="AB733" s="195" t="str">
        <f t="shared" si="98"/>
        <v>Jul-26</v>
      </c>
      <c r="AC733" s="163"/>
      <c r="AD733" s="163" t="str">
        <f>IF(AC733="Yes",U733*2%,"")</f>
        <v/>
      </c>
      <c r="AE733" s="163"/>
    </row>
    <row r="734" spans="1:31" x14ac:dyDescent="0.35">
      <c r="A734" s="162">
        <v>46227</v>
      </c>
      <c r="B734" s="163" t="s">
        <v>370</v>
      </c>
      <c r="C734" s="163" t="s">
        <v>93</v>
      </c>
      <c r="D734" s="163" t="s">
        <v>1251</v>
      </c>
      <c r="E734" s="163" t="s">
        <v>106</v>
      </c>
      <c r="F734" s="163" t="s">
        <v>135</v>
      </c>
      <c r="G734" s="163"/>
      <c r="H734" s="163" t="s">
        <v>115</v>
      </c>
      <c r="I734" s="163" t="s">
        <v>121</v>
      </c>
      <c r="J734" s="163" t="s">
        <v>147</v>
      </c>
      <c r="K734" s="163" t="s">
        <v>1127</v>
      </c>
      <c r="L734" s="163"/>
      <c r="M734" s="163" t="s">
        <v>1190</v>
      </c>
      <c r="N734" s="163" t="s">
        <v>181</v>
      </c>
      <c r="O734" s="162"/>
      <c r="P734" s="163"/>
      <c r="Q734" s="163">
        <f ca="1">IF(N734="Closed(C4)","",IF(N734="","",TODAY()-A734))</f>
        <v>98</v>
      </c>
      <c r="R734" s="163" t="str">
        <f t="shared" ca="1" si="100"/>
        <v/>
      </c>
      <c r="S734" s="163" t="s">
        <v>129</v>
      </c>
      <c r="T734" s="164">
        <v>25000</v>
      </c>
      <c r="U734" s="164"/>
      <c r="V734" s="163"/>
      <c r="W734" s="163"/>
      <c r="X734" s="163"/>
      <c r="Y734" s="163"/>
      <c r="Z734" s="163"/>
      <c r="AA734" s="162"/>
      <c r="AB734" s="195" t="str">
        <f t="shared" si="98"/>
        <v>Jul-26</v>
      </c>
      <c r="AC734" s="163"/>
      <c r="AD734" s="163" t="str">
        <f>IF(AC734="Yes",U734*2%,"")</f>
        <v/>
      </c>
      <c r="AE734" s="163"/>
    </row>
    <row r="735" spans="1:31" x14ac:dyDescent="0.35">
      <c r="A735" s="162">
        <v>46227</v>
      </c>
      <c r="B735" s="163" t="s">
        <v>370</v>
      </c>
      <c r="C735" s="163" t="s">
        <v>93</v>
      </c>
      <c r="D735" s="163" t="s">
        <v>1252</v>
      </c>
      <c r="E735" s="163" t="s">
        <v>106</v>
      </c>
      <c r="F735" s="163" t="s">
        <v>135</v>
      </c>
      <c r="G735" s="163"/>
      <c r="H735" s="163" t="s">
        <v>115</v>
      </c>
      <c r="I735" s="163" t="s">
        <v>121</v>
      </c>
      <c r="J735" s="163" t="s">
        <v>147</v>
      </c>
      <c r="K735" s="163" t="s">
        <v>1253</v>
      </c>
      <c r="L735" s="163"/>
      <c r="M735" s="163" t="s">
        <v>914</v>
      </c>
      <c r="N735" s="163" t="s">
        <v>181</v>
      </c>
      <c r="O735" s="162">
        <v>46266</v>
      </c>
      <c r="P735" s="163" t="s">
        <v>95</v>
      </c>
      <c r="Q735" s="163">
        <f ca="1">IF(N735="Closed(C4)","",IF(N735="","",TODAY()-A735))</f>
        <v>98</v>
      </c>
      <c r="R735" s="163" t="str">
        <f t="shared" ca="1" si="100"/>
        <v/>
      </c>
      <c r="S735" s="163" t="s">
        <v>133</v>
      </c>
      <c r="T735" s="164">
        <v>30000</v>
      </c>
      <c r="U735" s="164"/>
      <c r="V735" s="163"/>
      <c r="W735" s="163"/>
      <c r="X735" s="163"/>
      <c r="Y735" s="163"/>
      <c r="Z735" s="163"/>
      <c r="AA735" s="162"/>
      <c r="AB735" s="195" t="str">
        <f t="shared" si="98"/>
        <v>Jul-26</v>
      </c>
      <c r="AC735" s="163"/>
      <c r="AD735" s="163" t="str">
        <f>IF(AC735="Yes",U735*2%,"")</f>
        <v/>
      </c>
      <c r="AE735" s="163"/>
    </row>
    <row r="736" spans="1:31" x14ac:dyDescent="0.35">
      <c r="A736" s="162">
        <v>46227</v>
      </c>
      <c r="B736" s="163" t="s">
        <v>148</v>
      </c>
      <c r="C736" s="163" t="s">
        <v>113</v>
      </c>
      <c r="D736" s="163" t="s">
        <v>1254</v>
      </c>
      <c r="E736" s="163" t="s">
        <v>106</v>
      </c>
      <c r="F736" s="163" t="s">
        <v>135</v>
      </c>
      <c r="G736" s="163"/>
      <c r="H736" s="163" t="s">
        <v>163</v>
      </c>
      <c r="I736" s="163" t="s">
        <v>121</v>
      </c>
      <c r="J736" s="163" t="s">
        <v>147</v>
      </c>
      <c r="K736" s="163" t="s">
        <v>1212</v>
      </c>
      <c r="L736" s="163"/>
      <c r="M736" s="163" t="s">
        <v>1213</v>
      </c>
      <c r="N736" s="163" t="s">
        <v>130</v>
      </c>
      <c r="O736" s="162"/>
      <c r="P736" s="163"/>
      <c r="Q736" s="163">
        <f ca="1">IF(N736="Closed(C4)","",IF(N736="","",TODAY()-A736))</f>
        <v>98</v>
      </c>
      <c r="R736" s="163" t="str">
        <f t="shared" ca="1" si="100"/>
        <v/>
      </c>
      <c r="S736" s="163" t="s">
        <v>103</v>
      </c>
      <c r="T736" s="164">
        <v>50000</v>
      </c>
      <c r="U736" s="164"/>
      <c r="V736" s="162"/>
      <c r="W736" s="163"/>
      <c r="X736" s="163"/>
      <c r="Y736" s="163"/>
      <c r="Z736" s="163"/>
      <c r="AA736" s="162"/>
      <c r="AB736" s="195" t="str">
        <f t="shared" si="98"/>
        <v>Jul-26</v>
      </c>
      <c r="AC736" s="163"/>
      <c r="AD736" s="163" t="str">
        <f>IF(AC736="Yes",U736*2%,"")</f>
        <v/>
      </c>
      <c r="AE736" s="163"/>
    </row>
    <row r="737" spans="1:31" x14ac:dyDescent="0.35">
      <c r="A737" s="162">
        <v>46227</v>
      </c>
      <c r="B737" s="163" t="s">
        <v>125</v>
      </c>
      <c r="C737" s="163" t="s">
        <v>113</v>
      </c>
      <c r="D737" s="163" t="s">
        <v>246</v>
      </c>
      <c r="E737" s="163" t="s">
        <v>95</v>
      </c>
      <c r="F737" s="163" t="s">
        <v>96</v>
      </c>
      <c r="G737" s="163" t="s">
        <v>15</v>
      </c>
      <c r="H737" s="163" t="s">
        <v>163</v>
      </c>
      <c r="I737" s="163" t="s">
        <v>98</v>
      </c>
      <c r="J737" s="163" t="s">
        <v>147</v>
      </c>
      <c r="K737" s="163" t="s">
        <v>231</v>
      </c>
      <c r="L737" s="163"/>
      <c r="M737" s="163" t="s">
        <v>526</v>
      </c>
      <c r="N737" s="163" t="s">
        <v>102</v>
      </c>
      <c r="O737" s="162"/>
      <c r="P737" s="163"/>
      <c r="Q737" s="163"/>
      <c r="R737" s="163" t="str">
        <f t="shared" ca="1" si="100"/>
        <v/>
      </c>
      <c r="S737" s="163" t="s">
        <v>103</v>
      </c>
      <c r="T737" s="164">
        <v>15000</v>
      </c>
      <c r="U737" s="164">
        <v>17330</v>
      </c>
      <c r="V737" s="162">
        <v>46227</v>
      </c>
      <c r="W737" s="214" t="s">
        <v>1255</v>
      </c>
      <c r="X737" s="163" t="s">
        <v>39</v>
      </c>
      <c r="Y737" s="163" t="s">
        <v>85</v>
      </c>
      <c r="Z737" s="163"/>
      <c r="AA737" s="162">
        <v>46227</v>
      </c>
      <c r="AB737" s="195" t="str">
        <f t="shared" si="98"/>
        <v>Jul-26</v>
      </c>
      <c r="AC737" s="163"/>
      <c r="AD737" s="163" t="str">
        <f>IF(AC737="Yes",#REF!*2%,"")</f>
        <v/>
      </c>
      <c r="AE737" s="163"/>
    </row>
    <row r="738" spans="1:31" x14ac:dyDescent="0.35">
      <c r="A738" s="162">
        <v>46227</v>
      </c>
      <c r="B738" s="163" t="s">
        <v>125</v>
      </c>
      <c r="C738" s="163" t="s">
        <v>113</v>
      </c>
      <c r="D738" s="163" t="s">
        <v>260</v>
      </c>
      <c r="E738" s="163" t="s">
        <v>95</v>
      </c>
      <c r="F738" s="163" t="s">
        <v>96</v>
      </c>
      <c r="G738" s="163" t="s">
        <v>15</v>
      </c>
      <c r="H738" s="163" t="s">
        <v>163</v>
      </c>
      <c r="I738" s="163" t="s">
        <v>98</v>
      </c>
      <c r="J738" s="163" t="s">
        <v>147</v>
      </c>
      <c r="K738" s="163" t="s">
        <v>231</v>
      </c>
      <c r="L738" s="163"/>
      <c r="M738" s="163" t="s">
        <v>526</v>
      </c>
      <c r="N738" s="163" t="s">
        <v>102</v>
      </c>
      <c r="O738" s="162"/>
      <c r="P738" s="163"/>
      <c r="Q738" s="163"/>
      <c r="R738" s="163" t="str">
        <f t="shared" ca="1" si="100"/>
        <v/>
      </c>
      <c r="S738" s="163" t="s">
        <v>103</v>
      </c>
      <c r="T738" s="164">
        <v>15000</v>
      </c>
      <c r="U738" s="164">
        <v>11125</v>
      </c>
      <c r="V738" s="162">
        <v>46227</v>
      </c>
      <c r="W738" s="214" t="s">
        <v>1255</v>
      </c>
      <c r="X738" s="163" t="s">
        <v>39</v>
      </c>
      <c r="Y738" s="163" t="s">
        <v>85</v>
      </c>
      <c r="Z738" s="163"/>
      <c r="AA738" s="162">
        <v>46227</v>
      </c>
      <c r="AB738" s="195" t="str">
        <f t="shared" si="98"/>
        <v>Jul-26</v>
      </c>
      <c r="AC738" s="163"/>
      <c r="AD738" s="163" t="str">
        <f>IF(AC738="Yes",#REF!*2%,"")</f>
        <v/>
      </c>
      <c r="AE738" s="163"/>
    </row>
    <row r="739" spans="1:31" x14ac:dyDescent="0.35">
      <c r="A739" s="162">
        <v>46230</v>
      </c>
      <c r="B739" s="163" t="s">
        <v>370</v>
      </c>
      <c r="C739" s="163" t="s">
        <v>93</v>
      </c>
      <c r="D739" s="163" t="s">
        <v>1256</v>
      </c>
      <c r="E739" s="163" t="s">
        <v>106</v>
      </c>
      <c r="F739" s="163" t="s">
        <v>135</v>
      </c>
      <c r="G739" s="163"/>
      <c r="H739" s="163" t="s">
        <v>115</v>
      </c>
      <c r="I739" s="163" t="s">
        <v>121</v>
      </c>
      <c r="J739" s="163" t="s">
        <v>99</v>
      </c>
      <c r="K739" s="163" t="s">
        <v>1189</v>
      </c>
      <c r="L739" s="163"/>
      <c r="M739" s="163" t="s">
        <v>1257</v>
      </c>
      <c r="N739" s="163" t="s">
        <v>102</v>
      </c>
      <c r="O739" s="162"/>
      <c r="P739" s="163"/>
      <c r="Q739" s="163" t="str">
        <f t="shared" ref="Q739:Q749" ca="1" si="101">IF(N739="Closed(C4)","",IF(N739="","",TODAY()-A739))</f>
        <v/>
      </c>
      <c r="R739" s="163" t="str">
        <f t="shared" ca="1" si="100"/>
        <v/>
      </c>
      <c r="S739" s="163" t="s">
        <v>103</v>
      </c>
      <c r="T739" s="164"/>
      <c r="U739" s="164"/>
      <c r="V739" s="163"/>
      <c r="W739" s="163"/>
      <c r="X739" s="163"/>
      <c r="Y739" s="163"/>
      <c r="Z739" s="163"/>
      <c r="AA739" s="162"/>
      <c r="AB739" s="195" t="str">
        <f t="shared" si="98"/>
        <v>Jul-26</v>
      </c>
      <c r="AC739" s="163"/>
      <c r="AD739" s="163" t="str">
        <f t="shared" ref="AD739:AD749" si="102">IF(AC739="Yes",U739*2%,"")</f>
        <v/>
      </c>
      <c r="AE739" s="163"/>
    </row>
    <row r="740" spans="1:31" x14ac:dyDescent="0.35">
      <c r="A740" s="162">
        <v>46230</v>
      </c>
      <c r="B740" s="163" t="s">
        <v>370</v>
      </c>
      <c r="C740" s="163" t="s">
        <v>93</v>
      </c>
      <c r="D740" s="163" t="s">
        <v>1258</v>
      </c>
      <c r="E740" s="163" t="s">
        <v>106</v>
      </c>
      <c r="F740" s="163" t="s">
        <v>135</v>
      </c>
      <c r="G740" s="163"/>
      <c r="H740" s="163" t="s">
        <v>115</v>
      </c>
      <c r="I740" s="163" t="s">
        <v>121</v>
      </c>
      <c r="J740" s="163" t="s">
        <v>147</v>
      </c>
      <c r="K740" s="163" t="s">
        <v>426</v>
      </c>
      <c r="L740" s="163"/>
      <c r="M740" s="163" t="s">
        <v>914</v>
      </c>
      <c r="N740" s="163" t="s">
        <v>181</v>
      </c>
      <c r="O740" s="162"/>
      <c r="P740" s="163"/>
      <c r="Q740" s="163">
        <f t="shared" ca="1" si="101"/>
        <v>95</v>
      </c>
      <c r="R740" s="163" t="str">
        <f t="shared" ca="1" si="100"/>
        <v/>
      </c>
      <c r="S740" s="163" t="s">
        <v>133</v>
      </c>
      <c r="T740" s="164">
        <v>20000</v>
      </c>
      <c r="U740" s="164"/>
      <c r="V740" s="163"/>
      <c r="W740" s="163"/>
      <c r="X740" s="163"/>
      <c r="Y740" s="163"/>
      <c r="Z740" s="163"/>
      <c r="AA740" s="162"/>
      <c r="AB740" s="195" t="str">
        <f t="shared" si="98"/>
        <v>Jul-26</v>
      </c>
      <c r="AC740" s="163"/>
      <c r="AD740" s="163" t="str">
        <f t="shared" si="102"/>
        <v/>
      </c>
      <c r="AE740" s="163"/>
    </row>
    <row r="741" spans="1:31" x14ac:dyDescent="0.35">
      <c r="A741" s="162">
        <v>46230</v>
      </c>
      <c r="B741" s="163" t="s">
        <v>370</v>
      </c>
      <c r="C741" s="163" t="s">
        <v>93</v>
      </c>
      <c r="D741" s="163" t="s">
        <v>1259</v>
      </c>
      <c r="E741" s="163" t="s">
        <v>106</v>
      </c>
      <c r="F741" s="163" t="s">
        <v>135</v>
      </c>
      <c r="G741" s="163"/>
      <c r="H741" s="163" t="s">
        <v>115</v>
      </c>
      <c r="I741" s="163" t="s">
        <v>121</v>
      </c>
      <c r="J741" s="163" t="s">
        <v>147</v>
      </c>
      <c r="K741" s="163" t="s">
        <v>1124</v>
      </c>
      <c r="L741" s="163"/>
      <c r="M741" s="163" t="s">
        <v>844</v>
      </c>
      <c r="N741" s="163" t="s">
        <v>181</v>
      </c>
      <c r="O741" s="162"/>
      <c r="P741" s="163"/>
      <c r="Q741" s="163">
        <f t="shared" ca="1" si="101"/>
        <v>95</v>
      </c>
      <c r="R741" s="163" t="str">
        <f t="shared" ca="1" si="100"/>
        <v/>
      </c>
      <c r="S741" s="163" t="s">
        <v>129</v>
      </c>
      <c r="T741" s="164">
        <v>25000</v>
      </c>
      <c r="U741" s="164"/>
      <c r="V741" s="163"/>
      <c r="W741" s="163"/>
      <c r="X741" s="163"/>
      <c r="Y741" s="163"/>
      <c r="Z741" s="163"/>
      <c r="AA741" s="162"/>
      <c r="AB741" s="195" t="str">
        <f t="shared" si="98"/>
        <v>Jul-26</v>
      </c>
      <c r="AC741" s="163"/>
      <c r="AD741" s="163" t="str">
        <f t="shared" si="102"/>
        <v/>
      </c>
      <c r="AE741" s="163"/>
    </row>
    <row r="742" spans="1:31" x14ac:dyDescent="0.35">
      <c r="A742" s="162">
        <v>46230</v>
      </c>
      <c r="B742" s="163" t="s">
        <v>370</v>
      </c>
      <c r="C742" s="163" t="s">
        <v>93</v>
      </c>
      <c r="D742" s="163" t="s">
        <v>1260</v>
      </c>
      <c r="E742" s="163" t="s">
        <v>106</v>
      </c>
      <c r="F742" s="163" t="s">
        <v>135</v>
      </c>
      <c r="G742" s="163"/>
      <c r="H742" s="163" t="s">
        <v>115</v>
      </c>
      <c r="I742" s="163" t="s">
        <v>121</v>
      </c>
      <c r="J742" s="163" t="s">
        <v>356</v>
      </c>
      <c r="K742" s="163" t="s">
        <v>1261</v>
      </c>
      <c r="L742" s="163"/>
      <c r="M742" s="163" t="s">
        <v>914</v>
      </c>
      <c r="N742" s="163" t="s">
        <v>181</v>
      </c>
      <c r="O742" s="162"/>
      <c r="P742" s="163"/>
      <c r="Q742" s="163">
        <f t="shared" ca="1" si="101"/>
        <v>95</v>
      </c>
      <c r="R742" s="163" t="str">
        <f t="shared" ca="1" si="100"/>
        <v/>
      </c>
      <c r="S742" s="163" t="s">
        <v>129</v>
      </c>
      <c r="T742" s="164">
        <v>40000</v>
      </c>
      <c r="U742" s="164"/>
      <c r="V742" s="163"/>
      <c r="W742" s="163"/>
      <c r="X742" s="163"/>
      <c r="Y742" s="163"/>
      <c r="Z742" s="163"/>
      <c r="AA742" s="162"/>
      <c r="AB742" s="195" t="str">
        <f t="shared" si="98"/>
        <v>Jul-26</v>
      </c>
      <c r="AC742" s="163"/>
      <c r="AD742" s="163" t="str">
        <f t="shared" si="102"/>
        <v/>
      </c>
      <c r="AE742" s="163"/>
    </row>
    <row r="743" spans="1:31" x14ac:dyDescent="0.35">
      <c r="A743" s="162">
        <v>46231</v>
      </c>
      <c r="B743" s="163" t="s">
        <v>370</v>
      </c>
      <c r="C743" s="163" t="s">
        <v>93</v>
      </c>
      <c r="D743" s="163" t="s">
        <v>1011</v>
      </c>
      <c r="E743" s="163" t="s">
        <v>106</v>
      </c>
      <c r="F743" s="163" t="s">
        <v>135</v>
      </c>
      <c r="G743" s="163"/>
      <c r="H743" s="163" t="s">
        <v>115</v>
      </c>
      <c r="I743" s="163" t="s">
        <v>121</v>
      </c>
      <c r="J743" s="163" t="s">
        <v>147</v>
      </c>
      <c r="K743" s="163" t="s">
        <v>423</v>
      </c>
      <c r="L743" s="163"/>
      <c r="M743" s="163" t="s">
        <v>914</v>
      </c>
      <c r="N743" s="163" t="s">
        <v>181</v>
      </c>
      <c r="O743" s="162"/>
      <c r="P743" s="163"/>
      <c r="Q743" s="163">
        <f t="shared" ca="1" si="101"/>
        <v>94</v>
      </c>
      <c r="R743" s="163" t="str">
        <f t="shared" ca="1" si="100"/>
        <v/>
      </c>
      <c r="S743" s="163" t="s">
        <v>133</v>
      </c>
      <c r="T743" s="164">
        <v>20000</v>
      </c>
      <c r="U743" s="164"/>
      <c r="V743" s="163"/>
      <c r="W743" s="163"/>
      <c r="X743" s="163"/>
      <c r="Y743" s="163"/>
      <c r="Z743" s="163"/>
      <c r="AA743" s="162"/>
      <c r="AB743" s="195" t="str">
        <f t="shared" si="98"/>
        <v>Jul-26</v>
      </c>
      <c r="AC743" s="163"/>
      <c r="AD743" s="163" t="str">
        <f t="shared" si="102"/>
        <v/>
      </c>
      <c r="AE743" s="163"/>
    </row>
    <row r="744" spans="1:31" x14ac:dyDescent="0.35">
      <c r="A744" s="162">
        <v>46231</v>
      </c>
      <c r="B744" s="163" t="s">
        <v>370</v>
      </c>
      <c r="C744" s="163" t="s">
        <v>93</v>
      </c>
      <c r="D744" s="163" t="s">
        <v>1262</v>
      </c>
      <c r="E744" s="163" t="s">
        <v>106</v>
      </c>
      <c r="F744" s="163" t="s">
        <v>135</v>
      </c>
      <c r="G744" s="163"/>
      <c r="H744" s="163" t="s">
        <v>115</v>
      </c>
      <c r="I744" s="163" t="s">
        <v>121</v>
      </c>
      <c r="J744" s="163" t="s">
        <v>147</v>
      </c>
      <c r="K744" s="163" t="s">
        <v>1263</v>
      </c>
      <c r="L744" s="163"/>
      <c r="M744" s="163" t="s">
        <v>844</v>
      </c>
      <c r="N744" s="163" t="s">
        <v>181</v>
      </c>
      <c r="O744" s="162"/>
      <c r="P744" s="163"/>
      <c r="Q744" s="163">
        <f t="shared" ca="1" si="101"/>
        <v>94</v>
      </c>
      <c r="R744" s="163" t="str">
        <f t="shared" ca="1" si="100"/>
        <v/>
      </c>
      <c r="S744" s="163" t="s">
        <v>129</v>
      </c>
      <c r="T744" s="164">
        <v>35000</v>
      </c>
      <c r="U744" s="164"/>
      <c r="V744" s="163"/>
      <c r="W744" s="163"/>
      <c r="X744" s="163"/>
      <c r="Y744" s="163"/>
      <c r="Z744" s="163"/>
      <c r="AA744" s="162"/>
      <c r="AB744" s="195" t="str">
        <f t="shared" si="98"/>
        <v>Jul-26</v>
      </c>
      <c r="AC744" s="163"/>
      <c r="AD744" s="163" t="str">
        <f t="shared" si="102"/>
        <v/>
      </c>
      <c r="AE744" s="163"/>
    </row>
    <row r="745" spans="1:31" x14ac:dyDescent="0.35">
      <c r="A745" s="162">
        <v>46231</v>
      </c>
      <c r="B745" s="163" t="s">
        <v>92</v>
      </c>
      <c r="C745" s="163" t="s">
        <v>93</v>
      </c>
      <c r="D745" s="163" t="s">
        <v>1264</v>
      </c>
      <c r="E745" s="163" t="s">
        <v>106</v>
      </c>
      <c r="F745" s="163" t="s">
        <v>135</v>
      </c>
      <c r="G745" s="163"/>
      <c r="H745" s="163" t="s">
        <v>115</v>
      </c>
      <c r="I745" s="163" t="s">
        <v>121</v>
      </c>
      <c r="J745" s="163" t="s">
        <v>147</v>
      </c>
      <c r="K745" s="163" t="s">
        <v>370</v>
      </c>
      <c r="L745" s="163"/>
      <c r="M745" s="163" t="s">
        <v>1265</v>
      </c>
      <c r="N745" s="163" t="s">
        <v>102</v>
      </c>
      <c r="O745" s="162"/>
      <c r="P745" s="163"/>
      <c r="Q745" s="163" t="str">
        <f t="shared" ca="1" si="101"/>
        <v/>
      </c>
      <c r="R745" s="163" t="str">
        <f t="shared" ca="1" si="100"/>
        <v/>
      </c>
      <c r="S745" s="163" t="s">
        <v>103</v>
      </c>
      <c r="T745" s="164">
        <v>40000</v>
      </c>
      <c r="U745" s="164">
        <v>47548</v>
      </c>
      <c r="V745" s="162">
        <v>46234</v>
      </c>
      <c r="W745" s="163" t="s">
        <v>1266</v>
      </c>
      <c r="X745" s="163" t="s">
        <v>53</v>
      </c>
      <c r="Y745" s="163" t="s">
        <v>161</v>
      </c>
      <c r="Z745" s="163"/>
      <c r="AA745" s="162">
        <v>46234</v>
      </c>
      <c r="AB745" s="195" t="str">
        <f t="shared" si="98"/>
        <v>Jul-26</v>
      </c>
      <c r="AC745" s="163"/>
      <c r="AD745" s="163" t="str">
        <f t="shared" si="102"/>
        <v/>
      </c>
      <c r="AE745" s="163"/>
    </row>
    <row r="746" spans="1:31" x14ac:dyDescent="0.35">
      <c r="A746" s="162">
        <v>46231</v>
      </c>
      <c r="B746" s="163" t="s">
        <v>370</v>
      </c>
      <c r="C746" s="163" t="s">
        <v>93</v>
      </c>
      <c r="D746" s="163" t="s">
        <v>1267</v>
      </c>
      <c r="E746" s="163" t="s">
        <v>106</v>
      </c>
      <c r="F746" s="163" t="s">
        <v>135</v>
      </c>
      <c r="G746" s="163"/>
      <c r="H746" s="163" t="s">
        <v>115</v>
      </c>
      <c r="I746" s="163" t="s">
        <v>121</v>
      </c>
      <c r="J746" s="163" t="s">
        <v>147</v>
      </c>
      <c r="K746" s="163" t="s">
        <v>1267</v>
      </c>
      <c r="L746" s="163"/>
      <c r="M746" s="163" t="s">
        <v>914</v>
      </c>
      <c r="N746" s="163" t="s">
        <v>181</v>
      </c>
      <c r="O746" s="162"/>
      <c r="P746" s="163" t="s">
        <v>95</v>
      </c>
      <c r="Q746" s="163">
        <f t="shared" ca="1" si="101"/>
        <v>94</v>
      </c>
      <c r="R746" s="163" t="str">
        <f t="shared" ca="1" si="100"/>
        <v/>
      </c>
      <c r="S746" s="163" t="s">
        <v>129</v>
      </c>
      <c r="T746" s="164">
        <v>55000</v>
      </c>
      <c r="U746" s="164"/>
      <c r="V746" s="163"/>
      <c r="W746" s="163"/>
      <c r="X746" s="163"/>
      <c r="Y746" s="163"/>
      <c r="Z746" s="163"/>
      <c r="AA746" s="162"/>
      <c r="AB746" s="195" t="str">
        <f t="shared" si="98"/>
        <v>Jul-26</v>
      </c>
      <c r="AC746" s="163"/>
      <c r="AD746" s="163" t="str">
        <f t="shared" si="102"/>
        <v/>
      </c>
      <c r="AE746" s="163"/>
    </row>
    <row r="747" spans="1:31" x14ac:dyDescent="0.35">
      <c r="A747" s="162">
        <v>46231</v>
      </c>
      <c r="B747" s="163" t="s">
        <v>370</v>
      </c>
      <c r="C747" s="163" t="s">
        <v>93</v>
      </c>
      <c r="D747" s="163" t="s">
        <v>1268</v>
      </c>
      <c r="E747" s="163" t="s">
        <v>106</v>
      </c>
      <c r="F747" s="163" t="s">
        <v>135</v>
      </c>
      <c r="G747" s="163"/>
      <c r="H747" s="163" t="s">
        <v>115</v>
      </c>
      <c r="I747" s="163" t="s">
        <v>121</v>
      </c>
      <c r="J747" s="163" t="s">
        <v>147</v>
      </c>
      <c r="K747" s="163" t="s">
        <v>1269</v>
      </c>
      <c r="L747" s="163"/>
      <c r="M747" s="163" t="s">
        <v>914</v>
      </c>
      <c r="N747" s="163" t="s">
        <v>181</v>
      </c>
      <c r="O747" s="162"/>
      <c r="P747" s="163"/>
      <c r="Q747" s="163">
        <f t="shared" ca="1" si="101"/>
        <v>94</v>
      </c>
      <c r="R747" s="163" t="str">
        <f t="shared" ca="1" si="100"/>
        <v/>
      </c>
      <c r="S747" s="163" t="s">
        <v>133</v>
      </c>
      <c r="T747" s="164">
        <v>25000</v>
      </c>
      <c r="U747" s="164"/>
      <c r="V747" s="163"/>
      <c r="W747" s="163"/>
      <c r="X747" s="163"/>
      <c r="Y747" s="163"/>
      <c r="Z747" s="163"/>
      <c r="AA747" s="162"/>
      <c r="AB747" s="195" t="str">
        <f t="shared" si="98"/>
        <v>Jul-26</v>
      </c>
      <c r="AC747" s="163"/>
      <c r="AD747" s="163" t="str">
        <f t="shared" si="102"/>
        <v/>
      </c>
      <c r="AE747" s="163"/>
    </row>
    <row r="748" spans="1:31" x14ac:dyDescent="0.35">
      <c r="A748" s="162">
        <v>46231</v>
      </c>
      <c r="B748" s="163" t="s">
        <v>92</v>
      </c>
      <c r="C748" s="163" t="s">
        <v>93</v>
      </c>
      <c r="D748" s="163" t="s">
        <v>1270</v>
      </c>
      <c r="E748" s="163" t="s">
        <v>106</v>
      </c>
      <c r="F748" s="163" t="s">
        <v>135</v>
      </c>
      <c r="G748" s="163"/>
      <c r="H748" s="163" t="s">
        <v>115</v>
      </c>
      <c r="I748" s="163" t="s">
        <v>121</v>
      </c>
      <c r="J748" s="163" t="s">
        <v>197</v>
      </c>
      <c r="K748" s="163" t="s">
        <v>1271</v>
      </c>
      <c r="L748" s="163"/>
      <c r="M748" s="163" t="s">
        <v>1272</v>
      </c>
      <c r="N748" s="163" t="s">
        <v>156</v>
      </c>
      <c r="O748" s="162"/>
      <c r="P748" s="163"/>
      <c r="Q748" s="163">
        <f t="shared" ca="1" si="101"/>
        <v>94</v>
      </c>
      <c r="R748" s="163" t="str">
        <f t="shared" ca="1" si="100"/>
        <v/>
      </c>
      <c r="S748" s="163" t="s">
        <v>103</v>
      </c>
      <c r="T748" s="164">
        <v>0</v>
      </c>
      <c r="U748" s="164"/>
      <c r="V748" s="165">
        <v>46305</v>
      </c>
      <c r="W748" s="163"/>
      <c r="X748" s="163"/>
      <c r="Y748" s="163"/>
      <c r="Z748" s="163"/>
      <c r="AA748" s="162"/>
      <c r="AB748" s="195" t="str">
        <f t="shared" si="98"/>
        <v>Oct-26</v>
      </c>
      <c r="AC748" s="163"/>
      <c r="AD748" s="163" t="str">
        <f t="shared" si="102"/>
        <v/>
      </c>
      <c r="AE748" s="163"/>
    </row>
    <row r="749" spans="1:31" x14ac:dyDescent="0.35">
      <c r="A749" s="162">
        <v>46231</v>
      </c>
      <c r="B749" s="163" t="s">
        <v>148</v>
      </c>
      <c r="C749" s="163" t="s">
        <v>113</v>
      </c>
      <c r="D749" s="163" t="s">
        <v>1273</v>
      </c>
      <c r="E749" s="163" t="s">
        <v>106</v>
      </c>
      <c r="F749" s="163" t="s">
        <v>135</v>
      </c>
      <c r="G749" s="163"/>
      <c r="H749" s="163" t="s">
        <v>163</v>
      </c>
      <c r="I749" s="163" t="s">
        <v>121</v>
      </c>
      <c r="J749" s="163" t="s">
        <v>147</v>
      </c>
      <c r="K749" s="163" t="s">
        <v>1212</v>
      </c>
      <c r="L749" s="163"/>
      <c r="M749" s="163" t="s">
        <v>1213</v>
      </c>
      <c r="N749" s="163" t="s">
        <v>102</v>
      </c>
      <c r="O749" s="162"/>
      <c r="P749" s="163"/>
      <c r="Q749" s="163" t="str">
        <f t="shared" ca="1" si="101"/>
        <v/>
      </c>
      <c r="R749" s="163" t="str">
        <f t="shared" ca="1" si="100"/>
        <v/>
      </c>
      <c r="S749" s="163" t="s">
        <v>103</v>
      </c>
      <c r="T749" s="164">
        <v>50000</v>
      </c>
      <c r="U749" s="164">
        <v>52948</v>
      </c>
      <c r="V749" s="162">
        <v>46231</v>
      </c>
      <c r="W749" s="214" t="s">
        <v>1274</v>
      </c>
      <c r="X749" s="163" t="s">
        <v>47</v>
      </c>
      <c r="Y749" s="163" t="s">
        <v>161</v>
      </c>
      <c r="Z749" s="163"/>
      <c r="AA749" s="162"/>
      <c r="AB749" s="195" t="str">
        <f t="shared" si="98"/>
        <v>Jul-26</v>
      </c>
      <c r="AC749" s="163"/>
      <c r="AD749" s="163" t="str">
        <f t="shared" si="102"/>
        <v/>
      </c>
      <c r="AE749" s="163"/>
    </row>
    <row r="750" spans="1:31" x14ac:dyDescent="0.35">
      <c r="A750" s="162">
        <v>46231</v>
      </c>
      <c r="B750" s="163" t="s">
        <v>125</v>
      </c>
      <c r="C750" s="163" t="s">
        <v>113</v>
      </c>
      <c r="D750" s="163" t="s">
        <v>162</v>
      </c>
      <c r="E750" s="163" t="s">
        <v>106</v>
      </c>
      <c r="F750" s="163" t="s">
        <v>135</v>
      </c>
      <c r="G750" s="163"/>
      <c r="H750" s="163" t="s">
        <v>97</v>
      </c>
      <c r="I750" s="163" t="s">
        <v>98</v>
      </c>
      <c r="J750" s="163" t="s">
        <v>166</v>
      </c>
      <c r="K750" s="163" t="s">
        <v>164</v>
      </c>
      <c r="L750" s="163"/>
      <c r="M750" s="163" t="s">
        <v>390</v>
      </c>
      <c r="N750" s="163" t="s">
        <v>102</v>
      </c>
      <c r="O750" s="162"/>
      <c r="P750" s="163"/>
      <c r="Q750" s="163"/>
      <c r="R750" s="163" t="str">
        <f t="shared" ca="1" si="100"/>
        <v/>
      </c>
      <c r="S750" s="163" t="s">
        <v>103</v>
      </c>
      <c r="T750" s="164">
        <v>10000</v>
      </c>
      <c r="U750" s="163">
        <v>5723</v>
      </c>
      <c r="V750" s="162">
        <v>46231</v>
      </c>
      <c r="W750" s="163" t="s">
        <v>1275</v>
      </c>
      <c r="X750" s="163" t="s">
        <v>62</v>
      </c>
      <c r="Y750" s="163" t="s">
        <v>161</v>
      </c>
      <c r="Z750" s="163"/>
      <c r="AA750" s="162">
        <v>46231</v>
      </c>
      <c r="AB750" s="195" t="str">
        <f t="shared" si="98"/>
        <v>Jul-26</v>
      </c>
      <c r="AC750" s="163"/>
      <c r="AD750" s="163" t="str">
        <f>IF(AC750="Yes",#REF!*2%,"")</f>
        <v/>
      </c>
      <c r="AE750" s="163"/>
    </row>
    <row r="751" spans="1:31" x14ac:dyDescent="0.35">
      <c r="A751" s="162">
        <v>46232</v>
      </c>
      <c r="B751" s="163" t="s">
        <v>370</v>
      </c>
      <c r="C751" s="163" t="s">
        <v>93</v>
      </c>
      <c r="D751" s="163" t="s">
        <v>1276</v>
      </c>
      <c r="E751" s="163" t="s">
        <v>106</v>
      </c>
      <c r="F751" s="163" t="s">
        <v>135</v>
      </c>
      <c r="G751" s="163"/>
      <c r="H751" s="163" t="s">
        <v>115</v>
      </c>
      <c r="I751" s="163" t="s">
        <v>121</v>
      </c>
      <c r="J751" s="163" t="s">
        <v>356</v>
      </c>
      <c r="K751" s="163" t="s">
        <v>1277</v>
      </c>
      <c r="L751" s="163"/>
      <c r="M751" s="163" t="s">
        <v>844</v>
      </c>
      <c r="N751" s="163" t="s">
        <v>181</v>
      </c>
      <c r="O751" s="162">
        <v>46251</v>
      </c>
      <c r="P751" s="163" t="s">
        <v>95</v>
      </c>
      <c r="Q751" s="163"/>
      <c r="R751" s="163"/>
      <c r="S751" s="163" t="s">
        <v>129</v>
      </c>
      <c r="T751" s="164">
        <v>35000</v>
      </c>
      <c r="U751" s="164"/>
      <c r="V751" s="162"/>
      <c r="W751" s="163"/>
      <c r="X751" s="163"/>
      <c r="Y751" s="163"/>
      <c r="Z751" s="163"/>
      <c r="AA751" s="162"/>
      <c r="AB751" s="195" t="str">
        <f t="shared" si="98"/>
        <v>Jul-26</v>
      </c>
      <c r="AC751" s="163"/>
      <c r="AD751" s="163"/>
      <c r="AE751" s="163"/>
    </row>
    <row r="752" spans="1:31" x14ac:dyDescent="0.35">
      <c r="A752" s="162">
        <v>46232</v>
      </c>
      <c r="B752" s="163" t="s">
        <v>370</v>
      </c>
      <c r="C752" s="163" t="s">
        <v>93</v>
      </c>
      <c r="D752" s="163" t="s">
        <v>1278</v>
      </c>
      <c r="E752" s="163" t="s">
        <v>106</v>
      </c>
      <c r="F752" s="163" t="s">
        <v>135</v>
      </c>
      <c r="G752" s="163"/>
      <c r="H752" s="163" t="s">
        <v>115</v>
      </c>
      <c r="I752" s="163" t="s">
        <v>121</v>
      </c>
      <c r="J752" s="163" t="s">
        <v>698</v>
      </c>
      <c r="K752" s="163" t="s">
        <v>433</v>
      </c>
      <c r="L752" s="163"/>
      <c r="M752" s="163" t="s">
        <v>844</v>
      </c>
      <c r="N752" s="163" t="s">
        <v>181</v>
      </c>
      <c r="O752" s="162"/>
      <c r="P752" s="163"/>
      <c r="Q752" s="163"/>
      <c r="R752" s="163"/>
      <c r="S752" s="163" t="s">
        <v>129</v>
      </c>
      <c r="T752" s="164">
        <v>20000</v>
      </c>
      <c r="U752" s="164"/>
      <c r="V752" s="162"/>
      <c r="W752" s="163"/>
      <c r="X752" s="163"/>
      <c r="Y752" s="163"/>
      <c r="Z752" s="163"/>
      <c r="AA752" s="162"/>
      <c r="AB752" s="195" t="str">
        <f t="shared" si="98"/>
        <v>Jul-26</v>
      </c>
      <c r="AC752" s="163"/>
      <c r="AD752" s="163"/>
      <c r="AE752" s="163"/>
    </row>
    <row r="753" spans="1:31" x14ac:dyDescent="0.35">
      <c r="A753" s="162">
        <v>46232</v>
      </c>
      <c r="B753" s="163" t="s">
        <v>92</v>
      </c>
      <c r="C753" s="163" t="s">
        <v>93</v>
      </c>
      <c r="D753" s="163" t="s">
        <v>19</v>
      </c>
      <c r="E753" s="163" t="s">
        <v>106</v>
      </c>
      <c r="F753" s="163" t="s">
        <v>96</v>
      </c>
      <c r="G753" s="163" t="s">
        <v>10</v>
      </c>
      <c r="H753" s="163" t="s">
        <v>115</v>
      </c>
      <c r="I753" s="163" t="s">
        <v>121</v>
      </c>
      <c r="J753" s="163" t="s">
        <v>99</v>
      </c>
      <c r="K753" s="163" t="s">
        <v>256</v>
      </c>
      <c r="L753" s="163"/>
      <c r="M753" s="163" t="s">
        <v>159</v>
      </c>
      <c r="N753" s="163" t="s">
        <v>102</v>
      </c>
      <c r="O753" s="162"/>
      <c r="P753" s="163"/>
      <c r="Q753" s="163"/>
      <c r="R753" s="163" t="str">
        <f ca="1">IF(OR(N753="Closed( C4 )",N753="Cancelled"),"",IF(AND(O753&lt;&gt;"",O753&lt;TODAY()),"Yes",""))</f>
        <v/>
      </c>
      <c r="S753" s="163" t="s">
        <v>103</v>
      </c>
      <c r="T753" s="164">
        <v>300000</v>
      </c>
      <c r="U753" s="164">
        <v>331800</v>
      </c>
      <c r="V753" s="162">
        <v>46232</v>
      </c>
      <c r="W753" s="163" t="s">
        <v>1156</v>
      </c>
      <c r="X753" s="163" t="s">
        <v>42</v>
      </c>
      <c r="Y753" s="163" t="s">
        <v>85</v>
      </c>
      <c r="Z753" s="163"/>
      <c r="AA753" s="162"/>
      <c r="AB753" s="195" t="str">
        <f t="shared" si="98"/>
        <v>Jul-26</v>
      </c>
      <c r="AC753" s="163"/>
      <c r="AD753" s="163" t="str">
        <f>IF(AC753="Yes",U753*2%,"")</f>
        <v/>
      </c>
      <c r="AE753" s="163"/>
    </row>
    <row r="754" spans="1:31" x14ac:dyDescent="0.35">
      <c r="A754" s="162">
        <v>46232</v>
      </c>
      <c r="B754" s="163" t="s">
        <v>125</v>
      </c>
      <c r="C754" s="163" t="s">
        <v>93</v>
      </c>
      <c r="D754" s="163" t="s">
        <v>19</v>
      </c>
      <c r="E754" s="163" t="s">
        <v>95</v>
      </c>
      <c r="F754" s="163" t="s">
        <v>96</v>
      </c>
      <c r="G754" s="163" t="s">
        <v>10</v>
      </c>
      <c r="H754" s="163" t="s">
        <v>115</v>
      </c>
      <c r="I754" s="163" t="s">
        <v>121</v>
      </c>
      <c r="J754" s="163" t="s">
        <v>99</v>
      </c>
      <c r="K754" s="163" t="s">
        <v>256</v>
      </c>
      <c r="L754" s="163"/>
      <c r="M754" s="163" t="s">
        <v>159</v>
      </c>
      <c r="N754" s="163" t="s">
        <v>102</v>
      </c>
      <c r="O754" s="162"/>
      <c r="P754" s="163"/>
      <c r="Q754" s="163"/>
      <c r="R754" s="163" t="str">
        <f ca="1">IF(OR(N754="Closed( C4 )",N754="Cancelled"),"",IF(AND(O754&lt;&gt;"",O754&lt;TODAY()),"Yes",""))</f>
        <v/>
      </c>
      <c r="S754" s="163" t="s">
        <v>103</v>
      </c>
      <c r="T754" s="164">
        <v>300000</v>
      </c>
      <c r="U754" s="164">
        <v>331800</v>
      </c>
      <c r="V754" s="162">
        <v>46232</v>
      </c>
      <c r="W754" s="163" t="s">
        <v>1156</v>
      </c>
      <c r="X754" s="163" t="s">
        <v>42</v>
      </c>
      <c r="Y754" s="163" t="s">
        <v>85</v>
      </c>
      <c r="Z754" s="163"/>
      <c r="AA754" s="162"/>
      <c r="AB754" s="195" t="str">
        <f t="shared" si="98"/>
        <v>Jul-26</v>
      </c>
      <c r="AC754" s="163"/>
      <c r="AD754" s="163" t="str">
        <f>IF(AC754="Yes",U754*2%,"")</f>
        <v/>
      </c>
      <c r="AE754" s="163"/>
    </row>
    <row r="755" spans="1:31" x14ac:dyDescent="0.35">
      <c r="A755" s="162">
        <v>46232</v>
      </c>
      <c r="B755" s="163" t="s">
        <v>370</v>
      </c>
      <c r="C755" s="163" t="s">
        <v>93</v>
      </c>
      <c r="D755" s="163" t="s">
        <v>1279</v>
      </c>
      <c r="E755" s="163" t="s">
        <v>106</v>
      </c>
      <c r="F755" s="163" t="s">
        <v>135</v>
      </c>
      <c r="G755" s="163"/>
      <c r="H755" s="163" t="s">
        <v>115</v>
      </c>
      <c r="I755" s="163" t="s">
        <v>121</v>
      </c>
      <c r="J755" s="163" t="s">
        <v>698</v>
      </c>
      <c r="K755" s="163" t="s">
        <v>1280</v>
      </c>
      <c r="L755" s="163"/>
      <c r="M755" s="163" t="s">
        <v>914</v>
      </c>
      <c r="N755" s="163" t="s">
        <v>181</v>
      </c>
      <c r="O755" s="162"/>
      <c r="P755" s="163"/>
      <c r="Q755" s="163"/>
      <c r="R755" s="163"/>
      <c r="S755" s="163" t="s">
        <v>133</v>
      </c>
      <c r="T755" s="164">
        <v>50000</v>
      </c>
      <c r="U755" s="164"/>
      <c r="V755" s="162"/>
      <c r="W755" s="163"/>
      <c r="X755" s="163"/>
      <c r="Y755" s="163"/>
      <c r="Z755" s="163"/>
      <c r="AA755" s="162"/>
      <c r="AB755" s="195" t="str">
        <f t="shared" si="98"/>
        <v>Jul-26</v>
      </c>
      <c r="AC755" s="163"/>
      <c r="AD755" s="163"/>
      <c r="AE755" s="163"/>
    </row>
    <row r="756" spans="1:31" x14ac:dyDescent="0.35">
      <c r="A756" s="162">
        <v>46232</v>
      </c>
      <c r="B756" s="163" t="s">
        <v>92</v>
      </c>
      <c r="C756" s="163" t="s">
        <v>113</v>
      </c>
      <c r="D756" s="163" t="s">
        <v>114</v>
      </c>
      <c r="E756" s="163" t="s">
        <v>95</v>
      </c>
      <c r="F756" s="163" t="s">
        <v>96</v>
      </c>
      <c r="G756" s="163" t="s">
        <v>10</v>
      </c>
      <c r="H756" s="163" t="s">
        <v>115</v>
      </c>
      <c r="I756" s="163" t="s">
        <v>98</v>
      </c>
      <c r="J756" s="163" t="s">
        <v>116</v>
      </c>
      <c r="K756" s="163" t="s">
        <v>117</v>
      </c>
      <c r="L756" s="163"/>
      <c r="M756" s="163" t="s">
        <v>1089</v>
      </c>
      <c r="N756" s="163" t="s">
        <v>102</v>
      </c>
      <c r="O756" s="162"/>
      <c r="P756" s="163"/>
      <c r="Q756" s="163" t="str">
        <f ca="1">IF(N756="Closed(C4)","",IF(N756="","",TODAY()-A756))</f>
        <v/>
      </c>
      <c r="R756" s="163" t="str">
        <f t="shared" ref="R756:R761" ca="1" si="103">IF(OR(N756="Closed( C4 )",N756="Cancelled"),"",IF(AND(O756&lt;&gt;"",O756&lt;TODAY()),"Yes",""))</f>
        <v/>
      </c>
      <c r="S756" s="163" t="s">
        <v>103</v>
      </c>
      <c r="T756" s="164">
        <v>20000</v>
      </c>
      <c r="U756" s="164">
        <v>30249</v>
      </c>
      <c r="V756" s="162">
        <v>46232</v>
      </c>
      <c r="W756" s="163" t="s">
        <v>1281</v>
      </c>
      <c r="X756" s="163" t="s">
        <v>35</v>
      </c>
      <c r="Y756" s="163" t="s">
        <v>85</v>
      </c>
      <c r="Z756" s="163"/>
      <c r="AA756" s="162"/>
      <c r="AB756" s="195" t="str">
        <f t="shared" si="98"/>
        <v>Jul-26</v>
      </c>
      <c r="AC756" s="163"/>
      <c r="AD756" s="163" t="str">
        <f>IF(AC756="Yes",U756*2%,"")</f>
        <v/>
      </c>
      <c r="AE756" s="163"/>
    </row>
    <row r="757" spans="1:31" x14ac:dyDescent="0.35">
      <c r="A757" s="162">
        <v>46232</v>
      </c>
      <c r="B757" s="163" t="s">
        <v>370</v>
      </c>
      <c r="C757" s="163" t="s">
        <v>93</v>
      </c>
      <c r="D757" s="163" t="s">
        <v>953</v>
      </c>
      <c r="E757" s="163" t="s">
        <v>106</v>
      </c>
      <c r="F757" s="163" t="s">
        <v>135</v>
      </c>
      <c r="G757" s="163"/>
      <c r="H757" s="163" t="s">
        <v>115</v>
      </c>
      <c r="I757" s="163" t="s">
        <v>121</v>
      </c>
      <c r="J757" s="163" t="s">
        <v>147</v>
      </c>
      <c r="K757" s="163" t="s">
        <v>433</v>
      </c>
      <c r="L757" s="163"/>
      <c r="M757" s="163" t="s">
        <v>914</v>
      </c>
      <c r="N757" s="163" t="s">
        <v>181</v>
      </c>
      <c r="O757" s="162"/>
      <c r="P757" s="163"/>
      <c r="Q757" s="163">
        <f ca="1">IF(N757="Closed(C4)","",IF(N757="","",TODAY()-A757))</f>
        <v>93</v>
      </c>
      <c r="R757" s="163" t="str">
        <f t="shared" ca="1" si="103"/>
        <v/>
      </c>
      <c r="S757" s="163" t="s">
        <v>129</v>
      </c>
      <c r="T757" s="164">
        <v>25000</v>
      </c>
      <c r="U757" s="164"/>
      <c r="V757" s="162"/>
      <c r="W757" s="163"/>
      <c r="X757" s="163"/>
      <c r="Y757" s="163"/>
      <c r="Z757" s="163"/>
      <c r="AA757" s="162"/>
      <c r="AB757" s="195" t="str">
        <f t="shared" si="98"/>
        <v>Jul-26</v>
      </c>
      <c r="AC757" s="163"/>
      <c r="AD757" s="163"/>
      <c r="AE757" s="163"/>
    </row>
    <row r="758" spans="1:31" x14ac:dyDescent="0.35">
      <c r="A758" s="162">
        <v>46232</v>
      </c>
      <c r="B758" s="163" t="s">
        <v>148</v>
      </c>
      <c r="C758" s="163" t="s">
        <v>113</v>
      </c>
      <c r="D758" s="163" t="s">
        <v>1254</v>
      </c>
      <c r="E758" s="163" t="s">
        <v>106</v>
      </c>
      <c r="F758" s="163" t="s">
        <v>135</v>
      </c>
      <c r="G758" s="163"/>
      <c r="H758" s="163" t="s">
        <v>163</v>
      </c>
      <c r="I758" s="163" t="s">
        <v>121</v>
      </c>
      <c r="J758" s="163" t="s">
        <v>147</v>
      </c>
      <c r="K758" s="163" t="s">
        <v>1212</v>
      </c>
      <c r="L758" s="163"/>
      <c r="M758" s="163" t="s">
        <v>163</v>
      </c>
      <c r="N758" s="163" t="s">
        <v>102</v>
      </c>
      <c r="O758" s="162"/>
      <c r="P758" s="163"/>
      <c r="Q758" s="163" t="str">
        <f ca="1">IF(N758="Closed(C4)","",IF(N758="","",TODAY()-A758))</f>
        <v/>
      </c>
      <c r="R758" s="163" t="str">
        <f t="shared" ca="1" si="103"/>
        <v/>
      </c>
      <c r="S758" s="163" t="s">
        <v>103</v>
      </c>
      <c r="T758" s="164">
        <v>50000</v>
      </c>
      <c r="U758" s="164">
        <v>50993</v>
      </c>
      <c r="V758" s="162">
        <v>46232</v>
      </c>
      <c r="W758" s="214" t="s">
        <v>1282</v>
      </c>
      <c r="X758" s="163" t="s">
        <v>47</v>
      </c>
      <c r="Y758" s="163" t="s">
        <v>161</v>
      </c>
      <c r="Z758" s="163"/>
      <c r="AA758" s="162"/>
      <c r="AB758" s="195" t="str">
        <f t="shared" si="98"/>
        <v>Jul-26</v>
      </c>
      <c r="AC758" s="163"/>
      <c r="AD758" s="163" t="str">
        <f>IF(AC758="Yes",U758*2%,"")</f>
        <v/>
      </c>
      <c r="AE758" s="163"/>
    </row>
    <row r="759" spans="1:31" x14ac:dyDescent="0.35">
      <c r="A759" s="162">
        <v>46232</v>
      </c>
      <c r="B759" s="163" t="s">
        <v>125</v>
      </c>
      <c r="C759" s="163" t="s">
        <v>113</v>
      </c>
      <c r="D759" s="163" t="s">
        <v>223</v>
      </c>
      <c r="E759" s="163" t="s">
        <v>106</v>
      </c>
      <c r="F759" s="163" t="s">
        <v>135</v>
      </c>
      <c r="G759" s="163"/>
      <c r="H759" s="163" t="s">
        <v>97</v>
      </c>
      <c r="I759" s="163" t="s">
        <v>98</v>
      </c>
      <c r="J759" s="163" t="s">
        <v>166</v>
      </c>
      <c r="K759" s="163" t="s">
        <v>224</v>
      </c>
      <c r="L759" s="163"/>
      <c r="M759" s="163" t="s">
        <v>390</v>
      </c>
      <c r="N759" s="163" t="s">
        <v>102</v>
      </c>
      <c r="O759" s="162"/>
      <c r="P759" s="163"/>
      <c r="Q759" s="163"/>
      <c r="R759" s="163" t="str">
        <f t="shared" ca="1" si="103"/>
        <v/>
      </c>
      <c r="S759" s="163" t="s">
        <v>103</v>
      </c>
      <c r="T759" s="164">
        <v>15000</v>
      </c>
      <c r="U759" s="164">
        <v>9156</v>
      </c>
      <c r="V759" s="162">
        <v>46232</v>
      </c>
      <c r="W759" s="163" t="s">
        <v>1283</v>
      </c>
      <c r="X759" s="163" t="s">
        <v>62</v>
      </c>
      <c r="Y759" s="163" t="s">
        <v>161</v>
      </c>
      <c r="Z759" s="163"/>
      <c r="AA759" s="162">
        <v>46232</v>
      </c>
      <c r="AB759" s="195" t="str">
        <f t="shared" si="98"/>
        <v>Jul-26</v>
      </c>
      <c r="AC759" s="163"/>
      <c r="AD759" s="163" t="str">
        <f>IF(AC759="Yes",#REF!*2%,"")</f>
        <v/>
      </c>
      <c r="AE759" s="163"/>
    </row>
    <row r="760" spans="1:31" x14ac:dyDescent="0.35">
      <c r="A760" s="162">
        <v>46232</v>
      </c>
      <c r="B760" s="163" t="s">
        <v>148</v>
      </c>
      <c r="C760" s="163" t="s">
        <v>113</v>
      </c>
      <c r="D760" s="163" t="s">
        <v>165</v>
      </c>
      <c r="E760" s="163" t="s">
        <v>95</v>
      </c>
      <c r="F760" s="163" t="s">
        <v>135</v>
      </c>
      <c r="G760" s="163" t="s">
        <v>10</v>
      </c>
      <c r="H760" s="163" t="s">
        <v>115</v>
      </c>
      <c r="I760" s="163" t="s">
        <v>98</v>
      </c>
      <c r="J760" s="163" t="s">
        <v>166</v>
      </c>
      <c r="K760" s="163" t="s">
        <v>167</v>
      </c>
      <c r="L760" s="163"/>
      <c r="M760" s="163" t="s">
        <v>159</v>
      </c>
      <c r="N760" s="163" t="s">
        <v>102</v>
      </c>
      <c r="O760" s="162"/>
      <c r="P760" s="163"/>
      <c r="Q760" s="163" t="str">
        <f ca="1">IF(N760="Closed(C4)","",IF(N760="","",TODAY()-A760))</f>
        <v/>
      </c>
      <c r="R760" s="163" t="str">
        <f t="shared" ca="1" si="103"/>
        <v/>
      </c>
      <c r="S760" s="163" t="s">
        <v>103</v>
      </c>
      <c r="T760" s="164">
        <v>20000</v>
      </c>
      <c r="U760" s="164">
        <v>30250</v>
      </c>
      <c r="V760" s="162">
        <v>46232</v>
      </c>
      <c r="W760" s="163" t="s">
        <v>1281</v>
      </c>
      <c r="X760" s="163" t="s">
        <v>35</v>
      </c>
      <c r="Y760" s="163" t="s">
        <v>85</v>
      </c>
      <c r="Z760" s="163"/>
      <c r="AA760" s="162"/>
      <c r="AB760" s="195" t="str">
        <f t="shared" si="98"/>
        <v>Jul-26</v>
      </c>
      <c r="AC760" s="163"/>
      <c r="AD760" s="163" t="str">
        <f>IF(AC760="Yes",U760*2%,"")</f>
        <v/>
      </c>
      <c r="AE760" s="163"/>
    </row>
    <row r="761" spans="1:31" x14ac:dyDescent="0.35">
      <c r="A761" s="162">
        <v>46233</v>
      </c>
      <c r="B761" s="163" t="s">
        <v>370</v>
      </c>
      <c r="C761" s="163" t="s">
        <v>93</v>
      </c>
      <c r="D761" s="163" t="s">
        <v>953</v>
      </c>
      <c r="E761" s="163" t="s">
        <v>106</v>
      </c>
      <c r="F761" s="163" t="s">
        <v>135</v>
      </c>
      <c r="G761" s="163"/>
      <c r="H761" s="163" t="s">
        <v>115</v>
      </c>
      <c r="I761" s="163" t="s">
        <v>121</v>
      </c>
      <c r="J761" s="163" t="s">
        <v>147</v>
      </c>
      <c r="K761" s="163" t="s">
        <v>433</v>
      </c>
      <c r="L761" s="163"/>
      <c r="M761" s="163" t="s">
        <v>914</v>
      </c>
      <c r="N761" s="163" t="s">
        <v>181</v>
      </c>
      <c r="O761" s="162"/>
      <c r="P761" s="163"/>
      <c r="Q761" s="163">
        <f ca="1">IF(N761="Closed(C4)","",IF(N761="","",TODAY()-A761))</f>
        <v>92</v>
      </c>
      <c r="R761" s="163" t="str">
        <f t="shared" ca="1" si="103"/>
        <v/>
      </c>
      <c r="S761" s="163" t="s">
        <v>129</v>
      </c>
      <c r="T761" s="164">
        <v>25000</v>
      </c>
      <c r="U761" s="164"/>
      <c r="V761" s="163"/>
      <c r="W761" s="163"/>
      <c r="X761" s="163"/>
      <c r="Y761" s="163"/>
      <c r="Z761" s="163"/>
      <c r="AA761" s="162"/>
      <c r="AB761" s="195" t="str">
        <f t="shared" si="98"/>
        <v>Jul-26</v>
      </c>
      <c r="AC761" s="163"/>
      <c r="AD761" s="163"/>
      <c r="AE761" s="163"/>
    </row>
    <row r="762" spans="1:31" x14ac:dyDescent="0.35">
      <c r="A762" s="162">
        <v>46233</v>
      </c>
      <c r="B762" s="163" t="s">
        <v>370</v>
      </c>
      <c r="C762" s="163" t="s">
        <v>93</v>
      </c>
      <c r="D762" s="163" t="s">
        <v>973</v>
      </c>
      <c r="E762" s="163" t="s">
        <v>106</v>
      </c>
      <c r="F762" s="163" t="s">
        <v>135</v>
      </c>
      <c r="G762" s="163"/>
      <c r="H762" s="163" t="s">
        <v>115</v>
      </c>
      <c r="I762" s="163" t="s">
        <v>121</v>
      </c>
      <c r="J762" s="163" t="s">
        <v>147</v>
      </c>
      <c r="K762" s="163" t="s">
        <v>974</v>
      </c>
      <c r="L762" s="163"/>
      <c r="M762" s="163" t="s">
        <v>914</v>
      </c>
      <c r="N762" s="163" t="s">
        <v>181</v>
      </c>
      <c r="O762" s="162"/>
      <c r="P762" s="163"/>
      <c r="Q762" s="163"/>
      <c r="R762" s="163"/>
      <c r="S762" s="163" t="s">
        <v>129</v>
      </c>
      <c r="T762" s="164">
        <v>40000</v>
      </c>
      <c r="U762" s="164"/>
      <c r="V762" s="163"/>
      <c r="W762" s="163"/>
      <c r="X762" s="163"/>
      <c r="Y762" s="163"/>
      <c r="Z762" s="163"/>
      <c r="AA762" s="162"/>
      <c r="AB762" s="195" t="str">
        <f t="shared" si="98"/>
        <v>Jul-26</v>
      </c>
      <c r="AC762" s="163"/>
      <c r="AD762" s="163"/>
      <c r="AE762" s="163"/>
    </row>
    <row r="763" spans="1:31" x14ac:dyDescent="0.35">
      <c r="A763" s="162">
        <v>46233</v>
      </c>
      <c r="B763" s="163" t="s">
        <v>370</v>
      </c>
      <c r="C763" s="163" t="s">
        <v>93</v>
      </c>
      <c r="D763" s="163" t="s">
        <v>1284</v>
      </c>
      <c r="E763" s="163" t="s">
        <v>106</v>
      </c>
      <c r="F763" s="163" t="s">
        <v>135</v>
      </c>
      <c r="G763" s="163"/>
      <c r="H763" s="163" t="s">
        <v>115</v>
      </c>
      <c r="I763" s="163" t="s">
        <v>121</v>
      </c>
      <c r="J763" s="163" t="s">
        <v>432</v>
      </c>
      <c r="K763" s="163" t="s">
        <v>1285</v>
      </c>
      <c r="L763" s="163"/>
      <c r="M763" s="163" t="s">
        <v>1286</v>
      </c>
      <c r="N763" s="163" t="s">
        <v>181</v>
      </c>
      <c r="O763" s="162">
        <v>46251</v>
      </c>
      <c r="P763" s="163" t="s">
        <v>95</v>
      </c>
      <c r="Q763" s="163"/>
      <c r="R763" s="163"/>
      <c r="S763" s="163" t="s">
        <v>133</v>
      </c>
      <c r="T763" s="164">
        <v>55000</v>
      </c>
      <c r="U763" s="164"/>
      <c r="V763" s="162"/>
      <c r="W763" s="163"/>
      <c r="X763" s="163"/>
      <c r="Y763" s="163"/>
      <c r="Z763" s="163"/>
      <c r="AA763" s="162"/>
      <c r="AB763" s="195" t="str">
        <f t="shared" si="98"/>
        <v>Jul-26</v>
      </c>
      <c r="AC763" s="163"/>
      <c r="AD763" s="163"/>
      <c r="AE763" s="163"/>
    </row>
    <row r="764" spans="1:31" x14ac:dyDescent="0.35">
      <c r="A764" s="162">
        <v>46233</v>
      </c>
      <c r="B764" s="163" t="s">
        <v>370</v>
      </c>
      <c r="C764" s="163" t="s">
        <v>93</v>
      </c>
      <c r="D764" s="163" t="s">
        <v>1287</v>
      </c>
      <c r="E764" s="163" t="s">
        <v>106</v>
      </c>
      <c r="F764" s="163" t="s">
        <v>135</v>
      </c>
      <c r="G764" s="163"/>
      <c r="H764" s="163" t="s">
        <v>115</v>
      </c>
      <c r="I764" s="163" t="s">
        <v>121</v>
      </c>
      <c r="J764" s="163" t="s">
        <v>356</v>
      </c>
      <c r="K764" s="163" t="s">
        <v>1288</v>
      </c>
      <c r="L764" s="163"/>
      <c r="M764" s="163" t="s">
        <v>1289</v>
      </c>
      <c r="N764" s="163" t="s">
        <v>181</v>
      </c>
      <c r="O764" s="162"/>
      <c r="P764" s="163"/>
      <c r="Q764" s="163"/>
      <c r="R764" s="163"/>
      <c r="S764" s="163" t="s">
        <v>129</v>
      </c>
      <c r="T764" s="164">
        <v>35000</v>
      </c>
      <c r="U764" s="164"/>
      <c r="V764" s="162"/>
      <c r="W764" s="163"/>
      <c r="X764" s="163"/>
      <c r="Y764" s="163"/>
      <c r="Z764" s="163"/>
      <c r="AA764" s="162"/>
      <c r="AB764" s="195" t="str">
        <f t="shared" si="98"/>
        <v>Jul-26</v>
      </c>
      <c r="AC764" s="163"/>
      <c r="AD764" s="163"/>
      <c r="AE764" s="163"/>
    </row>
    <row r="765" spans="1:31" x14ac:dyDescent="0.35">
      <c r="A765" s="162">
        <v>46233</v>
      </c>
      <c r="B765" s="163" t="s">
        <v>148</v>
      </c>
      <c r="C765" s="163" t="s">
        <v>113</v>
      </c>
      <c r="D765" s="163" t="s">
        <v>1222</v>
      </c>
      <c r="E765" s="163" t="s">
        <v>106</v>
      </c>
      <c r="F765" s="163" t="s">
        <v>135</v>
      </c>
      <c r="G765" s="163"/>
      <c r="H765" s="163" t="s">
        <v>115</v>
      </c>
      <c r="I765" s="163" t="s">
        <v>121</v>
      </c>
      <c r="J765" s="163" t="s">
        <v>147</v>
      </c>
      <c r="K765" s="163" t="s">
        <v>1223</v>
      </c>
      <c r="L765" s="163"/>
      <c r="M765" s="163" t="s">
        <v>115</v>
      </c>
      <c r="N765" s="163" t="s">
        <v>102</v>
      </c>
      <c r="O765" s="162"/>
      <c r="P765" s="163"/>
      <c r="Q765" s="163" t="str">
        <f ca="1">IF(N765="Closed(C4)","",IF(N765="","",TODAY()-A765))</f>
        <v/>
      </c>
      <c r="R765" s="163" t="str">
        <f ca="1">IF(OR(N765="Closed( C4 )",N765="Cancelled"),"",IF(AND(O765&lt;&gt;"",O765&lt;TODAY()),"Yes",""))</f>
        <v/>
      </c>
      <c r="S765" s="163" t="s">
        <v>103</v>
      </c>
      <c r="T765" s="164">
        <v>50000</v>
      </c>
      <c r="U765" s="164">
        <v>57870.75</v>
      </c>
      <c r="V765" s="162">
        <v>46233</v>
      </c>
      <c r="W765" s="214" t="s">
        <v>1290</v>
      </c>
      <c r="X765" s="163" t="s">
        <v>35</v>
      </c>
      <c r="Y765" s="163" t="s">
        <v>85</v>
      </c>
      <c r="Z765" s="163"/>
      <c r="AA765" s="162"/>
      <c r="AB765" s="195" t="str">
        <f t="shared" si="98"/>
        <v>Jul-26</v>
      </c>
      <c r="AC765" s="163"/>
      <c r="AD765" s="163" t="str">
        <f>IF(AC765="Yes",U765*2%,"")</f>
        <v/>
      </c>
      <c r="AE765" s="163"/>
    </row>
    <row r="766" spans="1:31" x14ac:dyDescent="0.35">
      <c r="A766" s="162">
        <v>46233</v>
      </c>
      <c r="B766" s="163" t="s">
        <v>370</v>
      </c>
      <c r="C766" s="163" t="s">
        <v>93</v>
      </c>
      <c r="D766" s="163" t="s">
        <v>1291</v>
      </c>
      <c r="E766" s="163" t="s">
        <v>106</v>
      </c>
      <c r="F766" s="163" t="s">
        <v>135</v>
      </c>
      <c r="G766" s="163"/>
      <c r="H766" s="163" t="s">
        <v>115</v>
      </c>
      <c r="I766" s="163" t="s">
        <v>121</v>
      </c>
      <c r="J766" s="163" t="s">
        <v>136</v>
      </c>
      <c r="K766" s="163" t="s">
        <v>979</v>
      </c>
      <c r="L766" s="163"/>
      <c r="M766" s="163" t="s">
        <v>1292</v>
      </c>
      <c r="N766" s="163" t="s">
        <v>102</v>
      </c>
      <c r="O766" s="162"/>
      <c r="P766" s="163"/>
      <c r="Q766" s="163"/>
      <c r="R766" s="163"/>
      <c r="S766" s="163" t="s">
        <v>103</v>
      </c>
      <c r="T766" s="164">
        <v>10000</v>
      </c>
      <c r="U766" s="164">
        <v>4148</v>
      </c>
      <c r="V766" s="162">
        <v>46233</v>
      </c>
      <c r="W766" s="163" t="s">
        <v>1293</v>
      </c>
      <c r="X766" s="163" t="s">
        <v>56</v>
      </c>
      <c r="Y766" s="163" t="s">
        <v>161</v>
      </c>
      <c r="Z766" s="163"/>
      <c r="AA766" s="162">
        <v>46233</v>
      </c>
      <c r="AB766" s="195" t="str">
        <f t="shared" si="98"/>
        <v>Jul-26</v>
      </c>
      <c r="AC766" s="163"/>
      <c r="AD766" s="163"/>
      <c r="AE766" s="163" t="s">
        <v>270</v>
      </c>
    </row>
    <row r="767" spans="1:31" x14ac:dyDescent="0.35">
      <c r="A767" s="162">
        <v>46233</v>
      </c>
      <c r="B767" s="163" t="s">
        <v>148</v>
      </c>
      <c r="C767" s="163" t="s">
        <v>93</v>
      </c>
      <c r="D767" s="163" t="s">
        <v>1222</v>
      </c>
      <c r="E767" s="163" t="s">
        <v>95</v>
      </c>
      <c r="F767" s="163" t="s">
        <v>135</v>
      </c>
      <c r="G767" s="163"/>
      <c r="H767" s="163" t="s">
        <v>115</v>
      </c>
      <c r="I767" s="163" t="s">
        <v>121</v>
      </c>
      <c r="J767" s="163" t="s">
        <v>147</v>
      </c>
      <c r="K767" s="163" t="s">
        <v>1223</v>
      </c>
      <c r="L767" s="163"/>
      <c r="M767" s="163" t="s">
        <v>115</v>
      </c>
      <c r="N767" s="163" t="s">
        <v>102</v>
      </c>
      <c r="O767" s="162"/>
      <c r="P767" s="163"/>
      <c r="Q767" s="163" t="str">
        <f ca="1">IF(N767="Closed(C4)","",IF(N767="","",TODAY()-A767))</f>
        <v/>
      </c>
      <c r="R767" s="163" t="str">
        <f ca="1">IF(OR(N767="Closed( C4 )",N767="Cancelled"),"",IF(AND(O767&lt;&gt;"",O767&lt;TODAY()),"Yes",""))</f>
        <v/>
      </c>
      <c r="S767" s="163" t="s">
        <v>103</v>
      </c>
      <c r="T767" s="164">
        <v>50000</v>
      </c>
      <c r="U767" s="164">
        <v>16496</v>
      </c>
      <c r="V767" s="162">
        <v>46233</v>
      </c>
      <c r="W767" s="163" t="s">
        <v>1294</v>
      </c>
      <c r="X767" s="163" t="s">
        <v>30</v>
      </c>
      <c r="Y767" s="163" t="s">
        <v>85</v>
      </c>
      <c r="Z767" s="163"/>
      <c r="AA767" s="162"/>
      <c r="AB767" s="195" t="str">
        <f t="shared" si="98"/>
        <v>Jul-26</v>
      </c>
      <c r="AC767" s="163"/>
      <c r="AD767" s="163" t="str">
        <f>IF(AC767="Yes",U767*2%,"")</f>
        <v/>
      </c>
      <c r="AE767" s="163"/>
    </row>
    <row r="768" spans="1:31" x14ac:dyDescent="0.35">
      <c r="A768" s="162">
        <v>46234</v>
      </c>
      <c r="B768" s="163" t="s">
        <v>370</v>
      </c>
      <c r="C768" s="163" t="s">
        <v>93</v>
      </c>
      <c r="D768" s="163" t="s">
        <v>1284</v>
      </c>
      <c r="E768" s="163" t="s">
        <v>106</v>
      </c>
      <c r="F768" s="163" t="s">
        <v>135</v>
      </c>
      <c r="G768" s="163"/>
      <c r="H768" s="163" t="s">
        <v>115</v>
      </c>
      <c r="I768" s="163" t="s">
        <v>121</v>
      </c>
      <c r="J768" s="163" t="s">
        <v>432</v>
      </c>
      <c r="K768" s="163" t="s">
        <v>1285</v>
      </c>
      <c r="L768" s="163"/>
      <c r="M768" s="163" t="s">
        <v>1286</v>
      </c>
      <c r="N768" s="163" t="s">
        <v>181</v>
      </c>
      <c r="O768" s="162"/>
      <c r="P768" s="163"/>
      <c r="Q768" s="163"/>
      <c r="R768" s="163"/>
      <c r="S768" s="163" t="s">
        <v>133</v>
      </c>
      <c r="T768" s="164">
        <v>55000</v>
      </c>
      <c r="U768" s="164"/>
      <c r="V768" s="162"/>
      <c r="W768" s="163"/>
      <c r="X768" s="163"/>
      <c r="Y768" s="163"/>
      <c r="Z768" s="163"/>
      <c r="AA768" s="162"/>
      <c r="AB768" s="195" t="str">
        <f t="shared" si="98"/>
        <v>Jul-26</v>
      </c>
      <c r="AC768" s="163"/>
      <c r="AD768" s="163"/>
      <c r="AE768" s="163"/>
    </row>
    <row r="769" spans="1:31" x14ac:dyDescent="0.35">
      <c r="A769" s="162">
        <v>46234</v>
      </c>
      <c r="B769" s="163" t="s">
        <v>370</v>
      </c>
      <c r="C769" s="163" t="s">
        <v>93</v>
      </c>
      <c r="D769" s="163" t="s">
        <v>1287</v>
      </c>
      <c r="E769" s="163" t="s">
        <v>106</v>
      </c>
      <c r="F769" s="163" t="s">
        <v>135</v>
      </c>
      <c r="G769" s="163"/>
      <c r="H769" s="163" t="s">
        <v>115</v>
      </c>
      <c r="I769" s="163" t="s">
        <v>121</v>
      </c>
      <c r="J769" s="163" t="s">
        <v>356</v>
      </c>
      <c r="K769" s="163" t="s">
        <v>1288</v>
      </c>
      <c r="L769" s="163"/>
      <c r="M769" s="163" t="s">
        <v>1289</v>
      </c>
      <c r="N769" s="163" t="s">
        <v>181</v>
      </c>
      <c r="O769" s="162"/>
      <c r="P769" s="163"/>
      <c r="Q769" s="163"/>
      <c r="R769" s="163"/>
      <c r="S769" s="163" t="s">
        <v>129</v>
      </c>
      <c r="T769" s="164">
        <v>35000</v>
      </c>
      <c r="U769" s="164"/>
      <c r="V769" s="162"/>
      <c r="W769" s="163"/>
      <c r="X769" s="163"/>
      <c r="Y769" s="163"/>
      <c r="Z769" s="163"/>
      <c r="AA769" s="162"/>
      <c r="AB769" s="195" t="str">
        <f t="shared" si="98"/>
        <v>Jul-26</v>
      </c>
      <c r="AC769" s="163"/>
      <c r="AD769" s="163"/>
      <c r="AE769" s="163"/>
    </row>
    <row r="770" spans="1:31" x14ac:dyDescent="0.35">
      <c r="A770" s="162">
        <v>46234</v>
      </c>
      <c r="B770" s="163" t="s">
        <v>370</v>
      </c>
      <c r="C770" s="163" t="s">
        <v>93</v>
      </c>
      <c r="D770" s="163" t="s">
        <v>1028</v>
      </c>
      <c r="E770" s="163" t="s">
        <v>106</v>
      </c>
      <c r="F770" s="163" t="s">
        <v>135</v>
      </c>
      <c r="G770" s="163"/>
      <c r="H770" s="163" t="s">
        <v>115</v>
      </c>
      <c r="I770" s="163" t="s">
        <v>121</v>
      </c>
      <c r="J770" s="163" t="s">
        <v>147</v>
      </c>
      <c r="K770" s="163" t="s">
        <v>1295</v>
      </c>
      <c r="L770" s="163"/>
      <c r="M770" s="163" t="s">
        <v>1286</v>
      </c>
      <c r="N770" s="163" t="s">
        <v>181</v>
      </c>
      <c r="O770" s="162">
        <v>46267</v>
      </c>
      <c r="P770" s="163" t="s">
        <v>95</v>
      </c>
      <c r="Q770" s="163"/>
      <c r="R770" s="163"/>
      <c r="S770" s="163" t="s">
        <v>129</v>
      </c>
      <c r="T770" s="164">
        <v>30000</v>
      </c>
      <c r="U770" s="164"/>
      <c r="V770" s="162"/>
      <c r="W770" s="163"/>
      <c r="X770" s="163"/>
      <c r="Y770" s="163"/>
      <c r="Z770" s="163"/>
      <c r="AA770" s="162"/>
      <c r="AB770" s="195" t="str">
        <f t="shared" ref="AB770:AB833" si="104">IF($V770="",TEXT($A770,"MMM-YY"),TEXT($V770,"MMM-YY"))</f>
        <v>Jul-26</v>
      </c>
      <c r="AC770" s="163"/>
      <c r="AD770" s="163"/>
      <c r="AE770" s="163"/>
    </row>
    <row r="771" spans="1:31" x14ac:dyDescent="0.35">
      <c r="A771" s="162">
        <v>46234</v>
      </c>
      <c r="B771" s="163" t="s">
        <v>370</v>
      </c>
      <c r="C771" s="163" t="s">
        <v>93</v>
      </c>
      <c r="D771" s="163" t="s">
        <v>1296</v>
      </c>
      <c r="E771" s="163" t="s">
        <v>106</v>
      </c>
      <c r="F771" s="163" t="s">
        <v>135</v>
      </c>
      <c r="G771" s="163"/>
      <c r="H771" s="163" t="s">
        <v>115</v>
      </c>
      <c r="I771" s="163" t="s">
        <v>121</v>
      </c>
      <c r="J771" s="163" t="s">
        <v>147</v>
      </c>
      <c r="K771" s="163" t="s">
        <v>964</v>
      </c>
      <c r="L771" s="163"/>
      <c r="M771" s="163" t="s">
        <v>1289</v>
      </c>
      <c r="N771" s="163" t="s">
        <v>181</v>
      </c>
      <c r="O771" s="162"/>
      <c r="P771" s="163"/>
      <c r="Q771" s="163"/>
      <c r="R771" s="163"/>
      <c r="S771" s="163" t="s">
        <v>129</v>
      </c>
      <c r="T771" s="164">
        <v>50000</v>
      </c>
      <c r="U771" s="164"/>
      <c r="V771" s="162"/>
      <c r="W771" s="163"/>
      <c r="X771" s="163"/>
      <c r="Y771" s="163"/>
      <c r="Z771" s="163"/>
      <c r="AA771" s="162"/>
      <c r="AB771" s="195" t="str">
        <f t="shared" si="104"/>
        <v>Jul-26</v>
      </c>
      <c r="AC771" s="163"/>
      <c r="AD771" s="163"/>
      <c r="AE771" s="163"/>
    </row>
    <row r="772" spans="1:31" x14ac:dyDescent="0.35">
      <c r="A772" s="162">
        <v>46234</v>
      </c>
      <c r="B772" s="163" t="s">
        <v>370</v>
      </c>
      <c r="C772" s="163" t="s">
        <v>93</v>
      </c>
      <c r="D772" s="163" t="s">
        <v>1297</v>
      </c>
      <c r="E772" s="163" t="s">
        <v>106</v>
      </c>
      <c r="F772" s="163" t="s">
        <v>135</v>
      </c>
      <c r="G772" s="163"/>
      <c r="H772" s="163" t="s">
        <v>115</v>
      </c>
      <c r="I772" s="163" t="s">
        <v>121</v>
      </c>
      <c r="J772" s="163" t="s">
        <v>147</v>
      </c>
      <c r="K772" s="163" t="s">
        <v>1298</v>
      </c>
      <c r="L772" s="163"/>
      <c r="M772" s="163" t="s">
        <v>1289</v>
      </c>
      <c r="N772" s="163" t="s">
        <v>181</v>
      </c>
      <c r="O772" s="162"/>
      <c r="P772" s="163"/>
      <c r="Q772" s="163"/>
      <c r="R772" s="163"/>
      <c r="S772" s="163" t="s">
        <v>129</v>
      </c>
      <c r="T772" s="164">
        <v>70000</v>
      </c>
      <c r="U772" s="164"/>
      <c r="V772" s="162"/>
      <c r="W772" s="163"/>
      <c r="X772" s="163"/>
      <c r="Y772" s="163"/>
      <c r="Z772" s="163"/>
      <c r="AA772" s="162"/>
      <c r="AB772" s="195" t="str">
        <f t="shared" si="104"/>
        <v>Jul-26</v>
      </c>
      <c r="AC772" s="163"/>
      <c r="AD772" s="163"/>
      <c r="AE772" s="163"/>
    </row>
    <row r="773" spans="1:31" x14ac:dyDescent="0.35">
      <c r="A773" s="162">
        <v>46235</v>
      </c>
      <c r="B773" s="163" t="s">
        <v>125</v>
      </c>
      <c r="C773" s="163" t="s">
        <v>113</v>
      </c>
      <c r="D773" s="163" t="s">
        <v>246</v>
      </c>
      <c r="E773" s="163" t="s">
        <v>95</v>
      </c>
      <c r="F773" s="163" t="s">
        <v>96</v>
      </c>
      <c r="G773" s="163" t="s">
        <v>15</v>
      </c>
      <c r="H773" s="163" t="s">
        <v>163</v>
      </c>
      <c r="I773" s="163" t="s">
        <v>98</v>
      </c>
      <c r="J773" s="163" t="s">
        <v>147</v>
      </c>
      <c r="K773" s="163" t="s">
        <v>231</v>
      </c>
      <c r="L773" s="163"/>
      <c r="M773" s="163" t="s">
        <v>390</v>
      </c>
      <c r="N773" s="163" t="s">
        <v>156</v>
      </c>
      <c r="O773" s="162"/>
      <c r="P773" s="163"/>
      <c r="Q773" s="163"/>
      <c r="R773" s="163" t="str">
        <f t="shared" ref="R773:R783" ca="1" si="105">IF(OR(N773="Closed( C4 )",N773="Cancelled"),"",IF(AND(O773&lt;&gt;"",O773&lt;TODAY()),"Yes",""))</f>
        <v/>
      </c>
      <c r="S773" s="163" t="s">
        <v>103</v>
      </c>
      <c r="T773" s="164"/>
      <c r="U773" s="164"/>
      <c r="V773" s="162"/>
      <c r="W773" s="163"/>
      <c r="X773" s="163" t="s">
        <v>39</v>
      </c>
      <c r="Y773" s="163"/>
      <c r="Z773" s="163"/>
      <c r="AA773" s="162"/>
      <c r="AB773" s="195" t="str">
        <f t="shared" si="104"/>
        <v>Aug-26</v>
      </c>
      <c r="AC773" s="163"/>
      <c r="AD773" s="163"/>
      <c r="AE773" s="163"/>
    </row>
    <row r="774" spans="1:31" x14ac:dyDescent="0.35">
      <c r="A774" s="162">
        <v>46235</v>
      </c>
      <c r="B774" s="163" t="s">
        <v>125</v>
      </c>
      <c r="C774" s="163" t="s">
        <v>113</v>
      </c>
      <c r="D774" s="163" t="s">
        <v>260</v>
      </c>
      <c r="E774" s="163" t="s">
        <v>95</v>
      </c>
      <c r="F774" s="163" t="s">
        <v>96</v>
      </c>
      <c r="G774" s="163" t="s">
        <v>15</v>
      </c>
      <c r="H774" s="163" t="s">
        <v>163</v>
      </c>
      <c r="I774" s="163" t="s">
        <v>98</v>
      </c>
      <c r="J774" s="163" t="s">
        <v>147</v>
      </c>
      <c r="K774" s="163" t="s">
        <v>231</v>
      </c>
      <c r="L774" s="163"/>
      <c r="M774" s="163" t="s">
        <v>390</v>
      </c>
      <c r="N774" s="163" t="s">
        <v>156</v>
      </c>
      <c r="O774" s="162"/>
      <c r="P774" s="163"/>
      <c r="Q774" s="163"/>
      <c r="R774" s="163" t="str">
        <f t="shared" ca="1" si="105"/>
        <v/>
      </c>
      <c r="S774" s="163" t="s">
        <v>103</v>
      </c>
      <c r="T774" s="164"/>
      <c r="U774" s="164"/>
      <c r="V774" s="162"/>
      <c r="W774" s="163"/>
      <c r="X774" s="163" t="s">
        <v>39</v>
      </c>
      <c r="Y774" s="163"/>
      <c r="Z774" s="163"/>
      <c r="AA774" s="162"/>
      <c r="AB774" s="195" t="str">
        <f t="shared" si="104"/>
        <v>Aug-26</v>
      </c>
      <c r="AC774" s="163"/>
      <c r="AD774" s="163" t="str">
        <f t="shared" ref="AD774:AD783" si="106">IF(AC774="Yes",U774*2%,"")</f>
        <v/>
      </c>
      <c r="AE774" s="163"/>
    </row>
    <row r="775" spans="1:31" x14ac:dyDescent="0.35">
      <c r="A775" s="162">
        <v>46235</v>
      </c>
      <c r="B775" s="163" t="s">
        <v>125</v>
      </c>
      <c r="C775" s="163" t="s">
        <v>113</v>
      </c>
      <c r="D775" s="163" t="s">
        <v>554</v>
      </c>
      <c r="E775" s="163" t="s">
        <v>95</v>
      </c>
      <c r="F775" s="163" t="s">
        <v>96</v>
      </c>
      <c r="G775" s="163" t="s">
        <v>15</v>
      </c>
      <c r="H775" s="163" t="s">
        <v>163</v>
      </c>
      <c r="I775" s="163" t="s">
        <v>98</v>
      </c>
      <c r="J775" s="163" t="s">
        <v>147</v>
      </c>
      <c r="K775" s="163" t="s">
        <v>525</v>
      </c>
      <c r="L775" s="163"/>
      <c r="M775" s="163" t="s">
        <v>526</v>
      </c>
      <c r="N775" s="163" t="s">
        <v>156</v>
      </c>
      <c r="O775" s="162"/>
      <c r="P775" s="163"/>
      <c r="Q775" s="163"/>
      <c r="R775" s="163" t="str">
        <f t="shared" ca="1" si="105"/>
        <v/>
      </c>
      <c r="S775" s="163" t="s">
        <v>103</v>
      </c>
      <c r="T775" s="164"/>
      <c r="U775" s="164"/>
      <c r="V775" s="162"/>
      <c r="W775" s="163"/>
      <c r="X775" s="163" t="s">
        <v>47</v>
      </c>
      <c r="Y775" s="163"/>
      <c r="Z775" s="163"/>
      <c r="AA775" s="162"/>
      <c r="AB775" s="195" t="str">
        <f t="shared" si="104"/>
        <v>Aug-26</v>
      </c>
      <c r="AC775" s="163"/>
      <c r="AD775" s="163" t="str">
        <f t="shared" si="106"/>
        <v/>
      </c>
      <c r="AE775" s="163"/>
    </row>
    <row r="776" spans="1:31" x14ac:dyDescent="0.35">
      <c r="A776" s="162">
        <v>46235</v>
      </c>
      <c r="B776" s="163" t="s">
        <v>125</v>
      </c>
      <c r="C776" s="163" t="s">
        <v>113</v>
      </c>
      <c r="D776" s="163" t="s">
        <v>255</v>
      </c>
      <c r="E776" s="163" t="s">
        <v>106</v>
      </c>
      <c r="F776" s="163" t="s">
        <v>135</v>
      </c>
      <c r="G776" s="163"/>
      <c r="H776" s="163" t="s">
        <v>97</v>
      </c>
      <c r="I776" s="163" t="s">
        <v>98</v>
      </c>
      <c r="J776" s="163" t="s">
        <v>166</v>
      </c>
      <c r="K776" s="163" t="s">
        <v>256</v>
      </c>
      <c r="L776" s="163"/>
      <c r="M776" s="163" t="s">
        <v>390</v>
      </c>
      <c r="N776" s="163" t="s">
        <v>156</v>
      </c>
      <c r="O776" s="162"/>
      <c r="P776" s="163"/>
      <c r="Q776" s="163"/>
      <c r="R776" s="163" t="str">
        <f t="shared" ca="1" si="105"/>
        <v/>
      </c>
      <c r="S776" s="163" t="s">
        <v>103</v>
      </c>
      <c r="T776" s="164"/>
      <c r="U776" s="164"/>
      <c r="V776" s="163"/>
      <c r="W776" s="163"/>
      <c r="X776" s="163" t="s">
        <v>62</v>
      </c>
      <c r="Y776" s="163"/>
      <c r="Z776" s="163"/>
      <c r="AA776" s="162"/>
      <c r="AB776" s="195" t="str">
        <f t="shared" si="104"/>
        <v>Aug-26</v>
      </c>
      <c r="AC776" s="163"/>
      <c r="AD776" s="163" t="str">
        <f t="shared" si="106"/>
        <v/>
      </c>
      <c r="AE776" s="163"/>
    </row>
    <row r="777" spans="1:31" x14ac:dyDescent="0.35">
      <c r="A777" s="162">
        <v>46235</v>
      </c>
      <c r="B777" s="163" t="s">
        <v>125</v>
      </c>
      <c r="C777" s="163" t="s">
        <v>113</v>
      </c>
      <c r="D777" s="163" t="s">
        <v>175</v>
      </c>
      <c r="E777" s="163" t="s">
        <v>106</v>
      </c>
      <c r="F777" s="163" t="s">
        <v>135</v>
      </c>
      <c r="G777" s="163"/>
      <c r="H777" s="163" t="s">
        <v>97</v>
      </c>
      <c r="I777" s="163" t="s">
        <v>98</v>
      </c>
      <c r="J777" s="163" t="s">
        <v>166</v>
      </c>
      <c r="K777" s="163" t="s">
        <v>176</v>
      </c>
      <c r="L777" s="163"/>
      <c r="M777" s="163" t="s">
        <v>390</v>
      </c>
      <c r="N777" s="163" t="s">
        <v>156</v>
      </c>
      <c r="O777" s="162"/>
      <c r="P777" s="163"/>
      <c r="Q777" s="163"/>
      <c r="R777" s="163" t="str">
        <f t="shared" ca="1" si="105"/>
        <v/>
      </c>
      <c r="S777" s="163" t="s">
        <v>103</v>
      </c>
      <c r="T777" s="164"/>
      <c r="U777" s="164"/>
      <c r="V777" s="163"/>
      <c r="W777" s="163"/>
      <c r="X777" s="163" t="s">
        <v>62</v>
      </c>
      <c r="Y777" s="163"/>
      <c r="Z777" s="163"/>
      <c r="AA777" s="162"/>
      <c r="AB777" s="195" t="str">
        <f t="shared" si="104"/>
        <v>Aug-26</v>
      </c>
      <c r="AC777" s="163"/>
      <c r="AD777" s="163" t="str">
        <f t="shared" si="106"/>
        <v/>
      </c>
      <c r="AE777" s="163"/>
    </row>
    <row r="778" spans="1:31" x14ac:dyDescent="0.35">
      <c r="A778" s="162">
        <v>46235</v>
      </c>
      <c r="B778" s="163" t="s">
        <v>125</v>
      </c>
      <c r="C778" s="163" t="s">
        <v>113</v>
      </c>
      <c r="D778" s="163" t="s">
        <v>162</v>
      </c>
      <c r="E778" s="163" t="s">
        <v>106</v>
      </c>
      <c r="F778" s="163" t="s">
        <v>135</v>
      </c>
      <c r="G778" s="163"/>
      <c r="H778" s="163" t="s">
        <v>97</v>
      </c>
      <c r="I778" s="163" t="s">
        <v>98</v>
      </c>
      <c r="J778" s="163" t="s">
        <v>166</v>
      </c>
      <c r="K778" s="163" t="s">
        <v>164</v>
      </c>
      <c r="L778" s="163"/>
      <c r="M778" s="163" t="s">
        <v>390</v>
      </c>
      <c r="N778" s="163" t="s">
        <v>156</v>
      </c>
      <c r="O778" s="162"/>
      <c r="P778" s="163"/>
      <c r="Q778" s="163"/>
      <c r="R778" s="163" t="str">
        <f t="shared" ca="1" si="105"/>
        <v/>
      </c>
      <c r="S778" s="163" t="s">
        <v>103</v>
      </c>
      <c r="T778" s="164"/>
      <c r="U778" s="164"/>
      <c r="V778" s="162"/>
      <c r="W778" s="163"/>
      <c r="X778" s="163" t="s">
        <v>62</v>
      </c>
      <c r="Y778" s="163"/>
      <c r="Z778" s="163"/>
      <c r="AA778" s="162"/>
      <c r="AB778" s="195" t="str">
        <f t="shared" si="104"/>
        <v>Aug-26</v>
      </c>
      <c r="AC778" s="163"/>
      <c r="AD778" s="163" t="str">
        <f t="shared" si="106"/>
        <v/>
      </c>
      <c r="AE778" s="163"/>
    </row>
    <row r="779" spans="1:31" x14ac:dyDescent="0.35">
      <c r="A779" s="162">
        <v>46235</v>
      </c>
      <c r="B779" s="163" t="s">
        <v>125</v>
      </c>
      <c r="C779" s="163" t="s">
        <v>113</v>
      </c>
      <c r="D779" s="163" t="s">
        <v>223</v>
      </c>
      <c r="E779" s="163" t="s">
        <v>106</v>
      </c>
      <c r="F779" s="163" t="s">
        <v>135</v>
      </c>
      <c r="G779" s="163"/>
      <c r="H779" s="163" t="s">
        <v>97</v>
      </c>
      <c r="I779" s="163" t="s">
        <v>98</v>
      </c>
      <c r="J779" s="163" t="s">
        <v>166</v>
      </c>
      <c r="K779" s="163" t="s">
        <v>224</v>
      </c>
      <c r="L779" s="163"/>
      <c r="M779" s="163" t="s">
        <v>390</v>
      </c>
      <c r="N779" s="163" t="s">
        <v>156</v>
      </c>
      <c r="O779" s="162"/>
      <c r="P779" s="163"/>
      <c r="Q779" s="163"/>
      <c r="R779" s="163" t="str">
        <f t="shared" ca="1" si="105"/>
        <v/>
      </c>
      <c r="S779" s="163" t="s">
        <v>103</v>
      </c>
      <c r="T779" s="164"/>
      <c r="U779" s="164"/>
      <c r="V779" s="162"/>
      <c r="W779" s="163"/>
      <c r="X779" s="163" t="s">
        <v>62</v>
      </c>
      <c r="Y779" s="163"/>
      <c r="Z779" s="163"/>
      <c r="AA779" s="162"/>
      <c r="AB779" s="195" t="str">
        <f t="shared" si="104"/>
        <v>Aug-26</v>
      </c>
      <c r="AC779" s="163"/>
      <c r="AD779" s="163" t="str">
        <f t="shared" si="106"/>
        <v/>
      </c>
      <c r="AE779" s="163"/>
    </row>
    <row r="780" spans="1:31" x14ac:dyDescent="0.35">
      <c r="A780" s="162">
        <v>46235</v>
      </c>
      <c r="B780" s="163" t="s">
        <v>125</v>
      </c>
      <c r="C780" s="163" t="s">
        <v>113</v>
      </c>
      <c r="D780" s="163" t="s">
        <v>555</v>
      </c>
      <c r="E780" s="163" t="s">
        <v>95</v>
      </c>
      <c r="F780" s="163" t="s">
        <v>135</v>
      </c>
      <c r="G780" s="163"/>
      <c r="H780" s="163" t="s">
        <v>163</v>
      </c>
      <c r="I780" s="163" t="s">
        <v>98</v>
      </c>
      <c r="J780" s="163" t="s">
        <v>147</v>
      </c>
      <c r="K780" s="163" t="s">
        <v>556</v>
      </c>
      <c r="L780" s="163"/>
      <c r="M780" s="163" t="s">
        <v>557</v>
      </c>
      <c r="N780" s="163" t="s">
        <v>156</v>
      </c>
      <c r="O780" s="162"/>
      <c r="P780" s="163"/>
      <c r="Q780" s="163"/>
      <c r="R780" s="163" t="str">
        <f t="shared" ca="1" si="105"/>
        <v/>
      </c>
      <c r="S780" s="163" t="s">
        <v>103</v>
      </c>
      <c r="T780" s="164"/>
      <c r="U780" s="164"/>
      <c r="V780" s="163"/>
      <c r="W780" s="163"/>
      <c r="X780" s="163" t="s">
        <v>46</v>
      </c>
      <c r="Y780" s="163"/>
      <c r="Z780" s="163"/>
      <c r="AA780" s="162"/>
      <c r="AB780" s="195" t="str">
        <f t="shared" si="104"/>
        <v>Aug-26</v>
      </c>
      <c r="AC780" s="163"/>
      <c r="AD780" s="163" t="str">
        <f t="shared" si="106"/>
        <v/>
      </c>
      <c r="AE780" s="163"/>
    </row>
    <row r="781" spans="1:31" x14ac:dyDescent="0.35">
      <c r="A781" s="162">
        <v>46235</v>
      </c>
      <c r="B781" s="163" t="s">
        <v>125</v>
      </c>
      <c r="C781" s="163" t="s">
        <v>93</v>
      </c>
      <c r="D781" s="163" t="s">
        <v>19</v>
      </c>
      <c r="E781" s="163" t="s">
        <v>106</v>
      </c>
      <c r="F781" s="163" t="s">
        <v>96</v>
      </c>
      <c r="G781" s="163" t="s">
        <v>10</v>
      </c>
      <c r="H781" s="163" t="s">
        <v>115</v>
      </c>
      <c r="I781" s="163" t="s">
        <v>121</v>
      </c>
      <c r="J781" s="163" t="s">
        <v>99</v>
      </c>
      <c r="K781" s="163" t="s">
        <v>256</v>
      </c>
      <c r="L781" s="163"/>
      <c r="M781" s="163" t="s">
        <v>159</v>
      </c>
      <c r="N781" s="163" t="s">
        <v>156</v>
      </c>
      <c r="O781" s="162"/>
      <c r="P781" s="163"/>
      <c r="Q781" s="163"/>
      <c r="R781" s="163" t="str">
        <f t="shared" ca="1" si="105"/>
        <v/>
      </c>
      <c r="S781" s="163" t="s">
        <v>103</v>
      </c>
      <c r="T781" s="164"/>
      <c r="U781" s="164"/>
      <c r="V781" s="163"/>
      <c r="W781" s="163"/>
      <c r="X781" s="163"/>
      <c r="Y781" s="163"/>
      <c r="Z781" s="163"/>
      <c r="AA781" s="162"/>
      <c r="AB781" s="195" t="str">
        <f t="shared" si="104"/>
        <v>Aug-26</v>
      </c>
      <c r="AC781" s="163"/>
      <c r="AD781" s="163" t="str">
        <f t="shared" si="106"/>
        <v/>
      </c>
      <c r="AE781" s="163"/>
    </row>
    <row r="782" spans="1:31" x14ac:dyDescent="0.35">
      <c r="A782" s="162">
        <v>46235</v>
      </c>
      <c r="B782" s="163" t="s">
        <v>125</v>
      </c>
      <c r="C782" s="163" t="s">
        <v>113</v>
      </c>
      <c r="D782" s="163" t="s">
        <v>391</v>
      </c>
      <c r="E782" s="163" t="s">
        <v>95</v>
      </c>
      <c r="F782" s="163" t="s">
        <v>96</v>
      </c>
      <c r="G782" s="163" t="s">
        <v>11</v>
      </c>
      <c r="H782" s="163" t="s">
        <v>163</v>
      </c>
      <c r="I782" s="163" t="s">
        <v>98</v>
      </c>
      <c r="J782" s="163" t="s">
        <v>147</v>
      </c>
      <c r="K782" s="163" t="s">
        <v>210</v>
      </c>
      <c r="L782" s="163"/>
      <c r="M782" s="163" t="s">
        <v>390</v>
      </c>
      <c r="N782" s="163" t="s">
        <v>156</v>
      </c>
      <c r="O782" s="162"/>
      <c r="P782" s="163"/>
      <c r="Q782" s="163"/>
      <c r="R782" s="163" t="str">
        <f t="shared" ca="1" si="105"/>
        <v/>
      </c>
      <c r="S782" s="163" t="s">
        <v>103</v>
      </c>
      <c r="T782" s="164"/>
      <c r="U782" s="164"/>
      <c r="V782" s="162"/>
      <c r="W782" s="163"/>
      <c r="X782" s="163" t="s">
        <v>47</v>
      </c>
      <c r="Y782" s="163"/>
      <c r="Z782" s="163"/>
      <c r="AA782" s="162"/>
      <c r="AB782" s="195" t="str">
        <f t="shared" si="104"/>
        <v>Aug-26</v>
      </c>
      <c r="AC782" s="163"/>
      <c r="AD782" s="163" t="str">
        <f t="shared" si="106"/>
        <v/>
      </c>
      <c r="AE782" s="163"/>
    </row>
    <row r="783" spans="1:31" x14ac:dyDescent="0.35">
      <c r="A783" s="162">
        <v>46235</v>
      </c>
      <c r="B783" s="163" t="s">
        <v>148</v>
      </c>
      <c r="C783" s="163" t="s">
        <v>113</v>
      </c>
      <c r="D783" s="163" t="s">
        <v>165</v>
      </c>
      <c r="E783" s="163" t="s">
        <v>95</v>
      </c>
      <c r="F783" s="163" t="s">
        <v>135</v>
      </c>
      <c r="G783" s="163" t="s">
        <v>10</v>
      </c>
      <c r="H783" s="163" t="s">
        <v>115</v>
      </c>
      <c r="I783" s="163" t="s">
        <v>98</v>
      </c>
      <c r="J783" s="163" t="s">
        <v>166</v>
      </c>
      <c r="K783" s="163" t="s">
        <v>167</v>
      </c>
      <c r="L783" s="163"/>
      <c r="M783" s="163" t="s">
        <v>1299</v>
      </c>
      <c r="N783" s="163" t="s">
        <v>156</v>
      </c>
      <c r="O783" s="162"/>
      <c r="P783" s="163"/>
      <c r="Q783" s="163">
        <f ca="1">IF(N783="Closed(C4)","",IF(N783="","",TODAY()-A783))</f>
        <v>90</v>
      </c>
      <c r="R783" s="163" t="str">
        <f t="shared" ca="1" si="105"/>
        <v/>
      </c>
      <c r="S783" s="163" t="s">
        <v>103</v>
      </c>
      <c r="T783" s="164"/>
      <c r="U783" s="164"/>
      <c r="V783" s="162"/>
      <c r="W783" s="163"/>
      <c r="X783" s="163" t="s">
        <v>35</v>
      </c>
      <c r="Y783" s="163" t="s">
        <v>1017</v>
      </c>
      <c r="Z783" s="163"/>
      <c r="AA783" s="162"/>
      <c r="AB783" s="195" t="str">
        <f t="shared" si="104"/>
        <v>Aug-26</v>
      </c>
      <c r="AC783" s="163"/>
      <c r="AD783" s="163" t="str">
        <f t="shared" si="106"/>
        <v/>
      </c>
      <c r="AE783" s="163"/>
    </row>
    <row r="784" spans="1:31" x14ac:dyDescent="0.35">
      <c r="A784" s="162">
        <v>46237</v>
      </c>
      <c r="B784" s="163" t="s">
        <v>370</v>
      </c>
      <c r="C784" s="163" t="s">
        <v>93</v>
      </c>
      <c r="D784" s="163" t="s">
        <v>1264</v>
      </c>
      <c r="E784" s="163" t="s">
        <v>106</v>
      </c>
      <c r="F784" s="163" t="s">
        <v>135</v>
      </c>
      <c r="G784" s="163"/>
      <c r="H784" s="163" t="s">
        <v>115</v>
      </c>
      <c r="I784" s="163" t="s">
        <v>121</v>
      </c>
      <c r="J784" s="163" t="s">
        <v>147</v>
      </c>
      <c r="K784" s="163" t="s">
        <v>1300</v>
      </c>
      <c r="L784" s="163"/>
      <c r="M784" s="163" t="s">
        <v>1301</v>
      </c>
      <c r="N784" s="163" t="s">
        <v>130</v>
      </c>
      <c r="O784" s="162"/>
      <c r="P784" s="163"/>
      <c r="Q784" s="163"/>
      <c r="R784" s="163"/>
      <c r="S784" s="163" t="s">
        <v>129</v>
      </c>
      <c r="T784" s="164">
        <v>40000</v>
      </c>
      <c r="U784" s="164"/>
      <c r="V784" s="162"/>
      <c r="W784" s="163"/>
      <c r="X784" s="163"/>
      <c r="Y784" s="163"/>
      <c r="Z784" s="163"/>
      <c r="AA784" s="162"/>
      <c r="AB784" s="195" t="str">
        <f t="shared" si="104"/>
        <v>Aug-26</v>
      </c>
      <c r="AC784" s="163"/>
      <c r="AD784" s="163"/>
      <c r="AE784" s="163"/>
    </row>
    <row r="785" spans="1:31" x14ac:dyDescent="0.35">
      <c r="A785" s="162">
        <v>46237</v>
      </c>
      <c r="B785" s="163" t="s">
        <v>370</v>
      </c>
      <c r="C785" s="163" t="s">
        <v>93</v>
      </c>
      <c r="D785" s="163" t="s">
        <v>1302</v>
      </c>
      <c r="E785" s="163" t="s">
        <v>106</v>
      </c>
      <c r="F785" s="163" t="s">
        <v>135</v>
      </c>
      <c r="G785" s="163"/>
      <c r="H785" s="163" t="s">
        <v>115</v>
      </c>
      <c r="I785" s="163" t="s">
        <v>121</v>
      </c>
      <c r="J785" s="163" t="s">
        <v>147</v>
      </c>
      <c r="K785" s="163" t="s">
        <v>475</v>
      </c>
      <c r="L785" s="163"/>
      <c r="M785" s="163" t="s">
        <v>914</v>
      </c>
      <c r="N785" s="163" t="s">
        <v>130</v>
      </c>
      <c r="O785" s="162"/>
      <c r="P785" s="163"/>
      <c r="Q785" s="163"/>
      <c r="R785" s="163"/>
      <c r="S785" s="163" t="s">
        <v>129</v>
      </c>
      <c r="T785" s="164">
        <v>20000</v>
      </c>
      <c r="U785" s="164"/>
      <c r="V785" s="162"/>
      <c r="W785" s="163"/>
      <c r="X785" s="163"/>
      <c r="Y785" s="163"/>
      <c r="Z785" s="163"/>
      <c r="AA785" s="162"/>
      <c r="AB785" s="195" t="str">
        <f t="shared" si="104"/>
        <v>Aug-26</v>
      </c>
      <c r="AC785" s="163"/>
      <c r="AD785" s="163"/>
      <c r="AE785" s="163"/>
    </row>
    <row r="786" spans="1:31" x14ac:dyDescent="0.35">
      <c r="A786" s="162">
        <v>46237</v>
      </c>
      <c r="B786" s="163" t="s">
        <v>370</v>
      </c>
      <c r="C786" s="163" t="s">
        <v>93</v>
      </c>
      <c r="D786" s="163" t="s">
        <v>1303</v>
      </c>
      <c r="E786" s="163" t="s">
        <v>106</v>
      </c>
      <c r="F786" s="163" t="s">
        <v>135</v>
      </c>
      <c r="G786" s="163"/>
      <c r="H786" s="163" t="s">
        <v>115</v>
      </c>
      <c r="I786" s="163" t="s">
        <v>121</v>
      </c>
      <c r="J786" s="163" t="s">
        <v>147</v>
      </c>
      <c r="K786" s="163" t="s">
        <v>1253</v>
      </c>
      <c r="L786" s="163"/>
      <c r="M786" s="163" t="s">
        <v>914</v>
      </c>
      <c r="N786" s="163" t="s">
        <v>128</v>
      </c>
      <c r="O786" s="162"/>
      <c r="P786" s="163"/>
      <c r="Q786" s="163"/>
      <c r="R786" s="163"/>
      <c r="S786" s="163" t="s">
        <v>129</v>
      </c>
      <c r="T786" s="164">
        <v>30000</v>
      </c>
      <c r="U786" s="164"/>
      <c r="V786" s="162"/>
      <c r="W786" s="163"/>
      <c r="X786" s="163"/>
      <c r="Y786" s="163"/>
      <c r="Z786" s="163"/>
      <c r="AA786" s="162"/>
      <c r="AB786" s="195" t="str">
        <f t="shared" si="104"/>
        <v>Aug-26</v>
      </c>
      <c r="AC786" s="163"/>
      <c r="AD786" s="163"/>
      <c r="AE786" s="163"/>
    </row>
    <row r="787" spans="1:31" x14ac:dyDescent="0.35">
      <c r="A787" s="162">
        <v>46237</v>
      </c>
      <c r="B787" s="163" t="s">
        <v>370</v>
      </c>
      <c r="C787" s="163" t="s">
        <v>93</v>
      </c>
      <c r="D787" s="163" t="s">
        <v>1304</v>
      </c>
      <c r="E787" s="163" t="s">
        <v>106</v>
      </c>
      <c r="F787" s="163" t="s">
        <v>135</v>
      </c>
      <c r="G787" s="163"/>
      <c r="H787" s="163" t="s">
        <v>115</v>
      </c>
      <c r="I787" s="163" t="s">
        <v>121</v>
      </c>
      <c r="J787" s="163" t="s">
        <v>147</v>
      </c>
      <c r="K787" s="163" t="s">
        <v>1305</v>
      </c>
      <c r="L787" s="163"/>
      <c r="M787" s="163" t="s">
        <v>1301</v>
      </c>
      <c r="N787" s="163" t="s">
        <v>128</v>
      </c>
      <c r="O787" s="162"/>
      <c r="P787" s="163"/>
      <c r="Q787" s="163"/>
      <c r="R787" s="163"/>
      <c r="S787" s="163" t="s">
        <v>133</v>
      </c>
      <c r="T787" s="164">
        <v>25000</v>
      </c>
      <c r="U787" s="164"/>
      <c r="V787" s="162"/>
      <c r="W787" s="163"/>
      <c r="X787" s="163"/>
      <c r="Y787" s="163"/>
      <c r="Z787" s="163"/>
      <c r="AA787" s="162"/>
      <c r="AB787" s="195" t="str">
        <f t="shared" si="104"/>
        <v>Aug-26</v>
      </c>
      <c r="AC787" s="163"/>
      <c r="AD787" s="163"/>
      <c r="AE787" s="163"/>
    </row>
    <row r="788" spans="1:31" x14ac:dyDescent="0.35">
      <c r="A788" s="162">
        <v>46237</v>
      </c>
      <c r="B788" s="163" t="s">
        <v>148</v>
      </c>
      <c r="C788" s="163" t="s">
        <v>113</v>
      </c>
      <c r="D788" s="163" t="s">
        <v>1306</v>
      </c>
      <c r="E788" s="163" t="s">
        <v>106</v>
      </c>
      <c r="F788" s="163" t="s">
        <v>135</v>
      </c>
      <c r="G788" s="163"/>
      <c r="H788" s="163" t="s">
        <v>115</v>
      </c>
      <c r="I788" s="163" t="s">
        <v>121</v>
      </c>
      <c r="J788" s="163" t="s">
        <v>147</v>
      </c>
      <c r="K788" s="163" t="s">
        <v>511</v>
      </c>
      <c r="L788" s="163"/>
      <c r="M788" s="163" t="s">
        <v>1307</v>
      </c>
      <c r="N788" s="163" t="s">
        <v>128</v>
      </c>
      <c r="O788" s="162">
        <v>46268</v>
      </c>
      <c r="P788" s="163"/>
      <c r="Q788" s="163"/>
      <c r="R788" s="163"/>
      <c r="S788" s="163" t="s">
        <v>129</v>
      </c>
      <c r="T788" s="164">
        <v>9500</v>
      </c>
      <c r="U788" s="164"/>
      <c r="V788" s="163"/>
      <c r="W788" s="163"/>
      <c r="X788" s="163"/>
      <c r="Y788" s="163"/>
      <c r="Z788" s="163"/>
      <c r="AA788" s="162"/>
      <c r="AB788" s="195" t="str">
        <f t="shared" si="104"/>
        <v>Aug-26</v>
      </c>
      <c r="AC788" s="163"/>
      <c r="AD788" s="163" t="str">
        <f>IF(AC788="Yes",U788*2%,"")</f>
        <v/>
      </c>
      <c r="AE788" s="163"/>
    </row>
    <row r="789" spans="1:31" x14ac:dyDescent="0.35">
      <c r="A789" s="162">
        <v>46238</v>
      </c>
      <c r="B789" s="163" t="s">
        <v>370</v>
      </c>
      <c r="C789" s="163" t="s">
        <v>93</v>
      </c>
      <c r="D789" s="163" t="s">
        <v>1308</v>
      </c>
      <c r="E789" s="163" t="s">
        <v>106</v>
      </c>
      <c r="F789" s="163" t="s">
        <v>135</v>
      </c>
      <c r="G789" s="163"/>
      <c r="H789" s="163" t="s">
        <v>115</v>
      </c>
      <c r="I789" s="163" t="s">
        <v>121</v>
      </c>
      <c r="J789" s="163" t="s">
        <v>698</v>
      </c>
      <c r="K789" s="163" t="s">
        <v>210</v>
      </c>
      <c r="L789" s="163"/>
      <c r="M789" s="163" t="s">
        <v>1299</v>
      </c>
      <c r="N789" s="163" t="s">
        <v>130</v>
      </c>
      <c r="O789" s="162"/>
      <c r="P789" s="163"/>
      <c r="Q789" s="163"/>
      <c r="R789" s="163"/>
      <c r="S789" s="163" t="s">
        <v>133</v>
      </c>
      <c r="T789" s="164">
        <v>50000</v>
      </c>
      <c r="U789" s="164"/>
      <c r="V789" s="162"/>
      <c r="W789" s="163"/>
      <c r="X789" s="163"/>
      <c r="Y789" s="163"/>
      <c r="Z789" s="163"/>
      <c r="AA789" s="162"/>
      <c r="AB789" s="195" t="str">
        <f t="shared" si="104"/>
        <v>Aug-26</v>
      </c>
      <c r="AC789" s="163"/>
      <c r="AD789" s="163"/>
      <c r="AE789" s="163"/>
    </row>
    <row r="790" spans="1:31" x14ac:dyDescent="0.35">
      <c r="A790" s="162">
        <v>46238</v>
      </c>
      <c r="B790" s="163" t="s">
        <v>370</v>
      </c>
      <c r="C790" s="163" t="s">
        <v>93</v>
      </c>
      <c r="D790" s="163" t="s">
        <v>1309</v>
      </c>
      <c r="E790" s="163" t="s">
        <v>106</v>
      </c>
      <c r="F790" s="163" t="s">
        <v>135</v>
      </c>
      <c r="G790" s="163"/>
      <c r="H790" s="163" t="s">
        <v>115</v>
      </c>
      <c r="I790" s="163" t="s">
        <v>121</v>
      </c>
      <c r="J790" s="163" t="s">
        <v>438</v>
      </c>
      <c r="K790" s="163" t="s">
        <v>1310</v>
      </c>
      <c r="L790" s="163"/>
      <c r="M790" s="163" t="s">
        <v>914</v>
      </c>
      <c r="N790" s="163" t="s">
        <v>130</v>
      </c>
      <c r="O790" s="162"/>
      <c r="P790" s="163"/>
      <c r="Q790" s="163"/>
      <c r="R790" s="163"/>
      <c r="S790" s="163" t="s">
        <v>129</v>
      </c>
      <c r="T790" s="164">
        <v>35000</v>
      </c>
      <c r="U790" s="164"/>
      <c r="V790" s="162"/>
      <c r="W790" s="163"/>
      <c r="X790" s="163"/>
      <c r="Y790" s="163"/>
      <c r="Z790" s="163"/>
      <c r="AA790" s="162"/>
      <c r="AB790" s="195" t="str">
        <f t="shared" si="104"/>
        <v>Aug-26</v>
      </c>
      <c r="AC790" s="163"/>
      <c r="AD790" s="163"/>
      <c r="AE790" s="163"/>
    </row>
    <row r="791" spans="1:31" x14ac:dyDescent="0.35">
      <c r="A791" s="162">
        <v>46238</v>
      </c>
      <c r="B791" s="163" t="s">
        <v>370</v>
      </c>
      <c r="C791" s="163" t="s">
        <v>93</v>
      </c>
      <c r="D791" s="163" t="s">
        <v>749</v>
      </c>
      <c r="E791" s="163" t="s">
        <v>106</v>
      </c>
      <c r="F791" s="163" t="s">
        <v>135</v>
      </c>
      <c r="G791" s="163"/>
      <c r="H791" s="163" t="s">
        <v>115</v>
      </c>
      <c r="I791" s="163" t="s">
        <v>121</v>
      </c>
      <c r="J791" s="163" t="s">
        <v>147</v>
      </c>
      <c r="K791" s="163" t="s">
        <v>1311</v>
      </c>
      <c r="L791" s="163"/>
      <c r="M791" s="163" t="s">
        <v>1299</v>
      </c>
      <c r="N791" s="163" t="s">
        <v>495</v>
      </c>
      <c r="O791" s="162"/>
      <c r="P791" s="163"/>
      <c r="Q791" s="163"/>
      <c r="R791" s="163"/>
      <c r="S791" s="163" t="s">
        <v>129</v>
      </c>
      <c r="T791" s="164">
        <v>40000</v>
      </c>
      <c r="U791" s="164"/>
      <c r="V791" s="162"/>
      <c r="W791" s="163"/>
      <c r="X791" s="163"/>
      <c r="Y791" s="163"/>
      <c r="Z791" s="163"/>
      <c r="AA791" s="162"/>
      <c r="AB791" s="195" t="str">
        <f t="shared" si="104"/>
        <v>Aug-26</v>
      </c>
      <c r="AC791" s="163"/>
      <c r="AD791" s="163"/>
      <c r="AE791" s="163"/>
    </row>
    <row r="792" spans="1:31" x14ac:dyDescent="0.35">
      <c r="A792" s="162">
        <v>46238</v>
      </c>
      <c r="B792" s="163" t="s">
        <v>370</v>
      </c>
      <c r="C792" s="163" t="s">
        <v>93</v>
      </c>
      <c r="D792" s="163" t="s">
        <v>1312</v>
      </c>
      <c r="E792" s="163" t="s">
        <v>106</v>
      </c>
      <c r="F792" s="163" t="s">
        <v>135</v>
      </c>
      <c r="G792" s="163"/>
      <c r="H792" s="163" t="s">
        <v>115</v>
      </c>
      <c r="I792" s="163" t="s">
        <v>121</v>
      </c>
      <c r="J792" s="163" t="s">
        <v>147</v>
      </c>
      <c r="K792" s="163" t="s">
        <v>1313</v>
      </c>
      <c r="L792" s="163"/>
      <c r="M792" s="163" t="s">
        <v>914</v>
      </c>
      <c r="N792" s="163" t="s">
        <v>130</v>
      </c>
      <c r="O792" s="162"/>
      <c r="P792" s="163"/>
      <c r="Q792" s="163"/>
      <c r="R792" s="163"/>
      <c r="S792" s="163" t="s">
        <v>133</v>
      </c>
      <c r="T792" s="164">
        <v>50000</v>
      </c>
      <c r="U792" s="164"/>
      <c r="V792" s="162"/>
      <c r="W792" s="163"/>
      <c r="X792" s="163"/>
      <c r="Y792" s="163"/>
      <c r="Z792" s="163"/>
      <c r="AA792" s="162"/>
      <c r="AB792" s="195" t="str">
        <f t="shared" si="104"/>
        <v>Aug-26</v>
      </c>
      <c r="AC792" s="163"/>
      <c r="AD792" s="163"/>
      <c r="AE792" s="163"/>
    </row>
    <row r="793" spans="1:31" x14ac:dyDescent="0.35">
      <c r="A793" s="162">
        <v>46238</v>
      </c>
      <c r="B793" s="163" t="s">
        <v>148</v>
      </c>
      <c r="C793" s="163" t="s">
        <v>113</v>
      </c>
      <c r="D793" s="163" t="s">
        <v>139</v>
      </c>
      <c r="E793" s="163" t="s">
        <v>106</v>
      </c>
      <c r="F793" s="163" t="s">
        <v>135</v>
      </c>
      <c r="G793" s="163"/>
      <c r="H793" s="163" t="s">
        <v>115</v>
      </c>
      <c r="I793" s="163" t="s">
        <v>121</v>
      </c>
      <c r="J793" s="163" t="s">
        <v>147</v>
      </c>
      <c r="K793" s="163" t="s">
        <v>140</v>
      </c>
      <c r="L793" s="163"/>
      <c r="M793" s="163" t="s">
        <v>1307</v>
      </c>
      <c r="N793" s="163" t="s">
        <v>128</v>
      </c>
      <c r="O793" s="162">
        <v>46268</v>
      </c>
      <c r="P793" s="163"/>
      <c r="Q793" s="163"/>
      <c r="R793" s="163"/>
      <c r="S793" s="163" t="s">
        <v>129</v>
      </c>
      <c r="T793" s="164">
        <v>8500</v>
      </c>
      <c r="U793" s="164"/>
      <c r="V793" s="163"/>
      <c r="W793" s="163"/>
      <c r="X793" s="163"/>
      <c r="Y793" s="163"/>
      <c r="Z793" s="163"/>
      <c r="AA793" s="162"/>
      <c r="AB793" s="195" t="str">
        <f t="shared" si="104"/>
        <v>Aug-26</v>
      </c>
      <c r="AC793" s="163"/>
      <c r="AD793" s="163" t="str">
        <f>IF(AC793="Yes",U793*2%,"")</f>
        <v/>
      </c>
      <c r="AE793" s="163"/>
    </row>
    <row r="794" spans="1:31" x14ac:dyDescent="0.35">
      <c r="A794" s="162">
        <v>46238</v>
      </c>
      <c r="B794" s="163" t="s">
        <v>148</v>
      </c>
      <c r="C794" s="163" t="s">
        <v>113</v>
      </c>
      <c r="D794" s="163" t="s">
        <v>1314</v>
      </c>
      <c r="E794" s="163" t="s">
        <v>106</v>
      </c>
      <c r="F794" s="163" t="s">
        <v>135</v>
      </c>
      <c r="G794" s="163"/>
      <c r="H794" s="163" t="s">
        <v>115</v>
      </c>
      <c r="I794" s="163" t="s">
        <v>121</v>
      </c>
      <c r="J794" s="163" t="s">
        <v>432</v>
      </c>
      <c r="K794" s="163" t="s">
        <v>324</v>
      </c>
      <c r="L794" s="163"/>
      <c r="M794" s="163" t="s">
        <v>1307</v>
      </c>
      <c r="N794" s="163" t="s">
        <v>128</v>
      </c>
      <c r="O794" s="162">
        <v>46274</v>
      </c>
      <c r="P794" s="163"/>
      <c r="Q794" s="163"/>
      <c r="R794" s="163"/>
      <c r="S794" s="163" t="s">
        <v>129</v>
      </c>
      <c r="T794" s="164">
        <v>8000</v>
      </c>
      <c r="U794" s="164"/>
      <c r="V794" s="163"/>
      <c r="W794" s="163"/>
      <c r="X794" s="163"/>
      <c r="Y794" s="163"/>
      <c r="Z794" s="163"/>
      <c r="AA794" s="162"/>
      <c r="AB794" s="195" t="str">
        <f t="shared" si="104"/>
        <v>Aug-26</v>
      </c>
      <c r="AC794" s="195"/>
      <c r="AD794" s="163" t="str">
        <f>IF(AC794="Yes",U794*2%,"")</f>
        <v/>
      </c>
      <c r="AE794" s="163"/>
    </row>
    <row r="795" spans="1:31" x14ac:dyDescent="0.35">
      <c r="A795" s="162">
        <v>46238</v>
      </c>
      <c r="B795" s="163" t="s">
        <v>125</v>
      </c>
      <c r="C795" s="163" t="s">
        <v>113</v>
      </c>
      <c r="D795" s="163" t="s">
        <v>223</v>
      </c>
      <c r="E795" s="163" t="s">
        <v>106</v>
      </c>
      <c r="F795" s="163" t="s">
        <v>135</v>
      </c>
      <c r="G795" s="163"/>
      <c r="H795" s="163" t="s">
        <v>97</v>
      </c>
      <c r="I795" s="163" t="s">
        <v>98</v>
      </c>
      <c r="J795" s="163" t="s">
        <v>166</v>
      </c>
      <c r="K795" s="163" t="s">
        <v>224</v>
      </c>
      <c r="L795" s="163"/>
      <c r="M795" s="163" t="s">
        <v>526</v>
      </c>
      <c r="N795" s="163" t="s">
        <v>102</v>
      </c>
      <c r="O795" s="162"/>
      <c r="P795" s="163"/>
      <c r="Q795" s="163"/>
      <c r="R795" s="163" t="str">
        <f ca="1">IF(OR(N795="Closed( C4 )",N795="Cancelled"),"",IF(AND(O795&lt;&gt;"",O795&lt;TODAY()),"Yes",""))</f>
        <v/>
      </c>
      <c r="S795" s="163" t="s">
        <v>103</v>
      </c>
      <c r="T795" s="164">
        <v>10000</v>
      </c>
      <c r="U795" s="164">
        <v>8051</v>
      </c>
      <c r="V795" s="162">
        <v>46238</v>
      </c>
      <c r="W795" s="214" t="s">
        <v>1315</v>
      </c>
      <c r="X795" s="163" t="s">
        <v>62</v>
      </c>
      <c r="Y795" s="163" t="s">
        <v>85</v>
      </c>
      <c r="Z795" s="163"/>
      <c r="AA795" s="162"/>
      <c r="AB795" s="195" t="str">
        <f t="shared" si="104"/>
        <v>Aug-26</v>
      </c>
      <c r="AC795" s="163"/>
      <c r="AD795" s="163" t="str">
        <f>IF(AC795="Yes",U795*2%,"")</f>
        <v/>
      </c>
      <c r="AE795" s="163"/>
    </row>
    <row r="796" spans="1:31" x14ac:dyDescent="0.35">
      <c r="A796" s="162">
        <v>46239</v>
      </c>
      <c r="B796" s="163" t="s">
        <v>370</v>
      </c>
      <c r="C796" s="163" t="s">
        <v>93</v>
      </c>
      <c r="D796" s="163" t="s">
        <v>1316</v>
      </c>
      <c r="E796" s="163" t="s">
        <v>106</v>
      </c>
      <c r="F796" s="163" t="s">
        <v>96</v>
      </c>
      <c r="G796" s="163" t="s">
        <v>14</v>
      </c>
      <c r="H796" s="163" t="s">
        <v>163</v>
      </c>
      <c r="I796" s="163" t="s">
        <v>121</v>
      </c>
      <c r="J796" s="163" t="s">
        <v>99</v>
      </c>
      <c r="K796" s="163" t="s">
        <v>981</v>
      </c>
      <c r="L796" s="163"/>
      <c r="M796" s="163" t="s">
        <v>1317</v>
      </c>
      <c r="N796" s="163" t="s">
        <v>102</v>
      </c>
      <c r="O796" s="162"/>
      <c r="P796" s="163"/>
      <c r="Q796" s="163"/>
      <c r="R796" s="163"/>
      <c r="S796" s="163" t="s">
        <v>103</v>
      </c>
      <c r="T796" s="164">
        <v>250000</v>
      </c>
      <c r="U796" s="164">
        <v>211208</v>
      </c>
      <c r="V796" s="162">
        <v>46243</v>
      </c>
      <c r="W796" s="163" t="s">
        <v>1318</v>
      </c>
      <c r="X796" s="163" t="s">
        <v>27</v>
      </c>
      <c r="Y796" s="163" t="s">
        <v>85</v>
      </c>
      <c r="Z796" s="216"/>
      <c r="AA796" s="162"/>
      <c r="AB796" s="195" t="str">
        <f t="shared" si="104"/>
        <v>Aug-26</v>
      </c>
      <c r="AC796" s="163"/>
      <c r="AD796" s="163"/>
      <c r="AE796" s="163"/>
    </row>
    <row r="797" spans="1:31" x14ac:dyDescent="0.35">
      <c r="A797" s="162">
        <v>46239</v>
      </c>
      <c r="B797" s="163" t="s">
        <v>92</v>
      </c>
      <c r="C797" s="163" t="s">
        <v>93</v>
      </c>
      <c r="D797" s="163" t="s">
        <v>19</v>
      </c>
      <c r="E797" s="163" t="s">
        <v>106</v>
      </c>
      <c r="F797" s="163" t="s">
        <v>96</v>
      </c>
      <c r="G797" s="163" t="s">
        <v>10</v>
      </c>
      <c r="H797" s="163" t="s">
        <v>115</v>
      </c>
      <c r="I797" s="163" t="s">
        <v>121</v>
      </c>
      <c r="J797" s="163" t="s">
        <v>99</v>
      </c>
      <c r="K797" s="163" t="s">
        <v>256</v>
      </c>
      <c r="L797" s="163"/>
      <c r="M797" s="163" t="s">
        <v>159</v>
      </c>
      <c r="N797" s="163" t="s">
        <v>102</v>
      </c>
      <c r="O797" s="162"/>
      <c r="P797" s="163"/>
      <c r="Q797" s="163"/>
      <c r="R797" s="163" t="str">
        <f ca="1">IF(OR(N797="Closed( C4 )",N797="Cancelled"),"",IF(AND(O797&lt;&gt;"",O797&lt;TODAY()),"Yes",""))</f>
        <v/>
      </c>
      <c r="S797" s="163" t="s">
        <v>103</v>
      </c>
      <c r="T797" s="164">
        <v>250000</v>
      </c>
      <c r="U797" s="164">
        <v>261450</v>
      </c>
      <c r="V797" s="162">
        <v>46239</v>
      </c>
      <c r="W797" s="163" t="s">
        <v>1319</v>
      </c>
      <c r="X797" s="163" t="s">
        <v>42</v>
      </c>
      <c r="Y797" s="163" t="s">
        <v>85</v>
      </c>
      <c r="Z797" s="163"/>
      <c r="AA797" s="162"/>
      <c r="AB797" s="195" t="str">
        <f t="shared" si="104"/>
        <v>Aug-26</v>
      </c>
      <c r="AC797" s="163"/>
      <c r="AD797" s="163" t="str">
        <f>IF(AC797="Yes",U797*2%,"")</f>
        <v/>
      </c>
      <c r="AE797" s="163"/>
    </row>
    <row r="798" spans="1:31" x14ac:dyDescent="0.35">
      <c r="A798" s="162">
        <v>46239</v>
      </c>
      <c r="B798" s="163" t="s">
        <v>125</v>
      </c>
      <c r="C798" s="163" t="s">
        <v>93</v>
      </c>
      <c r="D798" s="163" t="s">
        <v>19</v>
      </c>
      <c r="E798" s="163" t="s">
        <v>95</v>
      </c>
      <c r="F798" s="163" t="s">
        <v>96</v>
      </c>
      <c r="G798" s="163" t="s">
        <v>10</v>
      </c>
      <c r="H798" s="163" t="s">
        <v>115</v>
      </c>
      <c r="I798" s="163" t="s">
        <v>121</v>
      </c>
      <c r="J798" s="163" t="s">
        <v>99</v>
      </c>
      <c r="K798" s="163" t="s">
        <v>256</v>
      </c>
      <c r="L798" s="163"/>
      <c r="M798" s="163" t="s">
        <v>159</v>
      </c>
      <c r="N798" s="163" t="s">
        <v>102</v>
      </c>
      <c r="O798" s="162"/>
      <c r="P798" s="163"/>
      <c r="Q798" s="163"/>
      <c r="R798" s="163" t="str">
        <f ca="1">IF(OR(N798="Closed( C4 )",N798="Cancelled"),"",IF(AND(O798&lt;&gt;"",O798&lt;TODAY()),"Yes",""))</f>
        <v/>
      </c>
      <c r="S798" s="163" t="s">
        <v>103</v>
      </c>
      <c r="T798" s="164">
        <v>250000</v>
      </c>
      <c r="U798" s="164">
        <v>261450</v>
      </c>
      <c r="V798" s="162">
        <v>46239</v>
      </c>
      <c r="W798" s="163" t="s">
        <v>1319</v>
      </c>
      <c r="X798" s="163" t="s">
        <v>42</v>
      </c>
      <c r="Y798" s="163" t="s">
        <v>85</v>
      </c>
      <c r="Z798" s="163"/>
      <c r="AA798" s="162"/>
      <c r="AB798" s="195" t="str">
        <f t="shared" si="104"/>
        <v>Aug-26</v>
      </c>
      <c r="AC798" s="163"/>
      <c r="AD798" s="163" t="str">
        <f>IF(AC798="Yes",U798*2%,"")</f>
        <v/>
      </c>
      <c r="AE798" s="163"/>
    </row>
    <row r="799" spans="1:31" x14ac:dyDescent="0.35">
      <c r="A799" s="162">
        <v>46239</v>
      </c>
      <c r="B799" s="163" t="s">
        <v>370</v>
      </c>
      <c r="C799" s="163" t="s">
        <v>93</v>
      </c>
      <c r="D799" s="163" t="s">
        <v>1320</v>
      </c>
      <c r="E799" s="163" t="s">
        <v>106</v>
      </c>
      <c r="F799" s="163" t="s">
        <v>135</v>
      </c>
      <c r="G799" s="163"/>
      <c r="H799" s="163" t="s">
        <v>115</v>
      </c>
      <c r="I799" s="163" t="s">
        <v>121</v>
      </c>
      <c r="J799" s="163" t="s">
        <v>356</v>
      </c>
      <c r="K799" s="163" t="s">
        <v>1065</v>
      </c>
      <c r="L799" s="163"/>
      <c r="M799" s="163" t="s">
        <v>914</v>
      </c>
      <c r="N799" s="163" t="s">
        <v>128</v>
      </c>
      <c r="O799" s="162"/>
      <c r="P799" s="163"/>
      <c r="Q799" s="163"/>
      <c r="R799" s="163"/>
      <c r="S799" s="163" t="s">
        <v>129</v>
      </c>
      <c r="T799" s="164">
        <v>60000</v>
      </c>
      <c r="U799" s="164"/>
      <c r="V799" s="162"/>
      <c r="W799" s="163"/>
      <c r="X799" s="163"/>
      <c r="Y799" s="163"/>
      <c r="Z799" s="163"/>
      <c r="AA799" s="162"/>
      <c r="AB799" s="195" t="str">
        <f t="shared" si="104"/>
        <v>Aug-26</v>
      </c>
      <c r="AC799" s="163"/>
      <c r="AD799" s="163"/>
      <c r="AE799" s="163"/>
    </row>
    <row r="800" spans="1:31" x14ac:dyDescent="0.35">
      <c r="A800" s="162">
        <v>46239</v>
      </c>
      <c r="B800" s="163" t="s">
        <v>370</v>
      </c>
      <c r="C800" s="163" t="s">
        <v>93</v>
      </c>
      <c r="D800" s="163" t="s">
        <v>637</v>
      </c>
      <c r="E800" s="163" t="s">
        <v>106</v>
      </c>
      <c r="F800" s="163" t="s">
        <v>135</v>
      </c>
      <c r="G800" s="163"/>
      <c r="H800" s="163" t="s">
        <v>115</v>
      </c>
      <c r="I800" s="163" t="s">
        <v>121</v>
      </c>
      <c r="J800" s="163" t="s">
        <v>638</v>
      </c>
      <c r="K800" s="163" t="s">
        <v>1321</v>
      </c>
      <c r="L800" s="163"/>
      <c r="M800" s="163" t="s">
        <v>159</v>
      </c>
      <c r="N800" s="163" t="s">
        <v>102</v>
      </c>
      <c r="O800" s="162"/>
      <c r="P800" s="163"/>
      <c r="Q800" s="163" t="str">
        <f ca="1">IF(N800="Closed(C4)","",IF(N800="","",TODAY()-A800))</f>
        <v/>
      </c>
      <c r="R800" s="163" t="str">
        <f ca="1">IF(OR(N800="Closed( C4 )",N800="Cancelled"),"",IF(AND(O800&lt;&gt;"",O800&lt;TODAY()),"Yes",""))</f>
        <v/>
      </c>
      <c r="S800" s="163" t="s">
        <v>103</v>
      </c>
      <c r="T800" s="164">
        <v>15000</v>
      </c>
      <c r="U800" s="164">
        <v>20399</v>
      </c>
      <c r="V800" s="162">
        <v>46239</v>
      </c>
      <c r="W800" s="163" t="s">
        <v>1322</v>
      </c>
      <c r="X800" s="163" t="s">
        <v>42</v>
      </c>
      <c r="Y800" s="163" t="s">
        <v>161</v>
      </c>
      <c r="Z800" s="163"/>
      <c r="AA800" s="162">
        <v>46239</v>
      </c>
      <c r="AB800" s="195" t="str">
        <f t="shared" si="104"/>
        <v>Aug-26</v>
      </c>
      <c r="AC800" s="163"/>
      <c r="AD800" s="163" t="str">
        <f>IF(AC800="Yes",U800*2%,"")</f>
        <v/>
      </c>
      <c r="AE800" s="163" t="s">
        <v>270</v>
      </c>
    </row>
    <row r="801" spans="1:31" x14ac:dyDescent="0.35">
      <c r="A801" s="162">
        <v>46239</v>
      </c>
      <c r="B801" s="163" t="s">
        <v>148</v>
      </c>
      <c r="C801" s="163" t="s">
        <v>113</v>
      </c>
      <c r="D801" s="163" t="s">
        <v>407</v>
      </c>
      <c r="E801" s="163" t="s">
        <v>106</v>
      </c>
      <c r="F801" s="163" t="s">
        <v>115</v>
      </c>
      <c r="G801" s="163"/>
      <c r="H801" s="163" t="s">
        <v>115</v>
      </c>
      <c r="I801" s="163" t="s">
        <v>121</v>
      </c>
      <c r="J801" s="163"/>
      <c r="K801" s="163" t="s">
        <v>525</v>
      </c>
      <c r="L801" s="163"/>
      <c r="M801" s="163" t="s">
        <v>159</v>
      </c>
      <c r="N801" s="163" t="s">
        <v>102</v>
      </c>
      <c r="O801" s="162"/>
      <c r="P801" s="163"/>
      <c r="Q801" s="163" t="str">
        <f ca="1">IF(N801="Closed(C4)","",IF(N801="","",TODAY()-A801))</f>
        <v/>
      </c>
      <c r="R801" s="163" t="str">
        <f ca="1">IF(OR(N801="Closed( C4 )",N801="Cancelled"),"",IF(AND(O801&lt;&gt;"",O801&lt;TODAY()),"Yes",""))</f>
        <v/>
      </c>
      <c r="S801" s="163" t="s">
        <v>103</v>
      </c>
      <c r="T801" s="164">
        <v>5000</v>
      </c>
      <c r="U801" s="164">
        <v>5480</v>
      </c>
      <c r="V801" s="162">
        <v>46239</v>
      </c>
      <c r="W801" s="215" t="s">
        <v>1323</v>
      </c>
      <c r="X801" s="163" t="s">
        <v>47</v>
      </c>
      <c r="Y801" s="163" t="s">
        <v>161</v>
      </c>
      <c r="Z801" s="163"/>
      <c r="AA801" s="162"/>
      <c r="AB801" s="195" t="str">
        <f t="shared" si="104"/>
        <v>Aug-26</v>
      </c>
      <c r="AC801" s="163"/>
      <c r="AD801" s="163" t="str">
        <f>IF(AC801="Yes",U801*2%,"")</f>
        <v/>
      </c>
      <c r="AE801" s="163"/>
    </row>
    <row r="802" spans="1:31" x14ac:dyDescent="0.35">
      <c r="A802" s="162">
        <v>46239</v>
      </c>
      <c r="B802" s="163" t="s">
        <v>370</v>
      </c>
      <c r="C802" s="163" t="s">
        <v>93</v>
      </c>
      <c r="D802" s="163" t="s">
        <v>1324</v>
      </c>
      <c r="E802" s="163" t="s">
        <v>106</v>
      </c>
      <c r="F802" s="163" t="s">
        <v>135</v>
      </c>
      <c r="G802" s="163"/>
      <c r="H802" s="163" t="s">
        <v>115</v>
      </c>
      <c r="I802" s="163" t="s">
        <v>121</v>
      </c>
      <c r="J802" s="163" t="s">
        <v>432</v>
      </c>
      <c r="K802" s="163" t="s">
        <v>1325</v>
      </c>
      <c r="L802" s="163"/>
      <c r="M802" s="163" t="s">
        <v>914</v>
      </c>
      <c r="N802" s="163" t="s">
        <v>130</v>
      </c>
      <c r="O802" s="162"/>
      <c r="P802" s="163"/>
      <c r="Q802" s="163"/>
      <c r="R802" s="163"/>
      <c r="S802" s="163" t="s">
        <v>129</v>
      </c>
      <c r="T802" s="164">
        <v>40000</v>
      </c>
      <c r="U802" s="164"/>
      <c r="V802" s="162"/>
      <c r="W802" s="163"/>
      <c r="X802" s="163"/>
      <c r="Y802" s="163"/>
      <c r="Z802" s="163"/>
      <c r="AA802" s="162"/>
      <c r="AB802" s="195" t="str">
        <f t="shared" si="104"/>
        <v>Aug-26</v>
      </c>
      <c r="AC802" s="163"/>
      <c r="AD802" s="163"/>
      <c r="AE802" s="163"/>
    </row>
    <row r="803" spans="1:31" x14ac:dyDescent="0.35">
      <c r="A803" s="162">
        <v>46239</v>
      </c>
      <c r="B803" s="163" t="s">
        <v>148</v>
      </c>
      <c r="C803" s="163" t="s">
        <v>113</v>
      </c>
      <c r="D803" s="163" t="s">
        <v>1326</v>
      </c>
      <c r="E803" s="163" t="s">
        <v>106</v>
      </c>
      <c r="F803" s="163" t="s">
        <v>135</v>
      </c>
      <c r="G803" s="163"/>
      <c r="H803" s="163" t="s">
        <v>115</v>
      </c>
      <c r="I803" s="163" t="s">
        <v>121</v>
      </c>
      <c r="J803" s="163" t="s">
        <v>147</v>
      </c>
      <c r="K803" s="163" t="s">
        <v>1327</v>
      </c>
      <c r="L803" s="163"/>
      <c r="M803" s="163" t="s">
        <v>1307</v>
      </c>
      <c r="N803" s="163" t="s">
        <v>128</v>
      </c>
      <c r="O803" s="162">
        <v>46269</v>
      </c>
      <c r="P803" s="163"/>
      <c r="Q803" s="163"/>
      <c r="R803" s="163"/>
      <c r="S803" s="163" t="s">
        <v>129</v>
      </c>
      <c r="T803" s="164">
        <v>10200</v>
      </c>
      <c r="U803" s="164"/>
      <c r="V803" s="163"/>
      <c r="W803" s="163"/>
      <c r="X803" s="163"/>
      <c r="Y803" s="163"/>
      <c r="Z803" s="163"/>
      <c r="AA803" s="162"/>
      <c r="AB803" s="195" t="str">
        <f t="shared" si="104"/>
        <v>Aug-26</v>
      </c>
      <c r="AC803" s="163"/>
      <c r="AD803" s="163" t="str">
        <f>IF(AC803="Yes",U803*2%,"")</f>
        <v/>
      </c>
      <c r="AE803" s="163"/>
    </row>
    <row r="804" spans="1:31" x14ac:dyDescent="0.35">
      <c r="A804" s="162">
        <v>46239</v>
      </c>
      <c r="B804" s="163" t="s">
        <v>125</v>
      </c>
      <c r="C804" s="163" t="s">
        <v>113</v>
      </c>
      <c r="D804" s="163" t="s">
        <v>175</v>
      </c>
      <c r="E804" s="163" t="s">
        <v>106</v>
      </c>
      <c r="F804" s="163" t="s">
        <v>135</v>
      </c>
      <c r="G804" s="163"/>
      <c r="H804" s="163" t="s">
        <v>97</v>
      </c>
      <c r="I804" s="163" t="s">
        <v>98</v>
      </c>
      <c r="J804" s="163" t="s">
        <v>166</v>
      </c>
      <c r="K804" s="163" t="s">
        <v>176</v>
      </c>
      <c r="L804" s="163"/>
      <c r="M804" s="163" t="s">
        <v>526</v>
      </c>
      <c r="N804" s="163" t="s">
        <v>102</v>
      </c>
      <c r="O804" s="162"/>
      <c r="P804" s="163"/>
      <c r="Q804" s="163"/>
      <c r="R804" s="163" t="str">
        <f ca="1">IF(OR(N804="Closed( C4 )",N804="Cancelled"),"",IF(AND(O804&lt;&gt;"",O804&lt;TODAY()),"Yes",""))</f>
        <v/>
      </c>
      <c r="S804" s="163" t="s">
        <v>103</v>
      </c>
      <c r="T804" s="164">
        <v>10000</v>
      </c>
      <c r="U804" s="164">
        <v>7148</v>
      </c>
      <c r="V804" s="162">
        <v>46239</v>
      </c>
      <c r="W804" s="214" t="s">
        <v>1328</v>
      </c>
      <c r="X804" s="163" t="s">
        <v>62</v>
      </c>
      <c r="Y804" s="163" t="s">
        <v>85</v>
      </c>
      <c r="Z804" s="163"/>
      <c r="AA804" s="162"/>
      <c r="AB804" s="195" t="str">
        <f t="shared" si="104"/>
        <v>Aug-26</v>
      </c>
      <c r="AC804" s="163"/>
      <c r="AD804" s="163" t="str">
        <f>IF(AC804="Yes",U804*2%,"")</f>
        <v/>
      </c>
      <c r="AE804" s="163"/>
    </row>
    <row r="805" spans="1:31" x14ac:dyDescent="0.35">
      <c r="A805" s="162">
        <v>46239</v>
      </c>
      <c r="B805" s="163" t="s">
        <v>148</v>
      </c>
      <c r="C805" s="163" t="s">
        <v>113</v>
      </c>
      <c r="D805" s="163" t="s">
        <v>887</v>
      </c>
      <c r="E805" s="163" t="s">
        <v>95</v>
      </c>
      <c r="F805" s="163" t="s">
        <v>96</v>
      </c>
      <c r="G805" s="163" t="s">
        <v>15</v>
      </c>
      <c r="H805" s="163" t="s">
        <v>163</v>
      </c>
      <c r="I805" s="163" t="s">
        <v>98</v>
      </c>
      <c r="J805" s="163" t="s">
        <v>147</v>
      </c>
      <c r="K805" s="163" t="s">
        <v>525</v>
      </c>
      <c r="L805" s="163"/>
      <c r="M805" s="163" t="s">
        <v>526</v>
      </c>
      <c r="N805" s="163" t="s">
        <v>102</v>
      </c>
      <c r="O805" s="162"/>
      <c r="P805" s="163"/>
      <c r="Q805" s="163"/>
      <c r="R805" s="163" t="str">
        <f ca="1">IF(OR(N805="Closed( C4 )",N805="Cancelled"),"",IF(AND(O805&lt;&gt;"",O805&lt;TODAY()),"Yes",""))</f>
        <v/>
      </c>
      <c r="S805" s="163" t="s">
        <v>103</v>
      </c>
      <c r="T805" s="164">
        <v>15000</v>
      </c>
      <c r="U805" s="164">
        <v>21783</v>
      </c>
      <c r="V805" s="162">
        <v>46239</v>
      </c>
      <c r="W805" s="215" t="s">
        <v>1329</v>
      </c>
      <c r="X805" s="163" t="s">
        <v>47</v>
      </c>
      <c r="Y805" s="163" t="s">
        <v>85</v>
      </c>
      <c r="Z805" s="163"/>
      <c r="AA805" s="163"/>
      <c r="AB805" s="195" t="str">
        <f t="shared" si="104"/>
        <v>Aug-26</v>
      </c>
      <c r="AC805" s="163"/>
      <c r="AD805" s="163" t="str">
        <f>IF(AC805="Yes",U805*2%,"")</f>
        <v/>
      </c>
      <c r="AE805" s="163"/>
    </row>
    <row r="806" spans="1:31" x14ac:dyDescent="0.35">
      <c r="A806" s="162">
        <v>46239</v>
      </c>
      <c r="B806" s="163" t="s">
        <v>148</v>
      </c>
      <c r="C806" s="163" t="s">
        <v>113</v>
      </c>
      <c r="D806" s="163" t="s">
        <v>165</v>
      </c>
      <c r="E806" s="163" t="s">
        <v>95</v>
      </c>
      <c r="F806" s="163" t="s">
        <v>135</v>
      </c>
      <c r="G806" s="163" t="s">
        <v>10</v>
      </c>
      <c r="H806" s="163" t="s">
        <v>115</v>
      </c>
      <c r="I806" s="163" t="s">
        <v>98</v>
      </c>
      <c r="J806" s="163" t="s">
        <v>166</v>
      </c>
      <c r="K806" s="163" t="s">
        <v>167</v>
      </c>
      <c r="L806" s="163"/>
      <c r="M806" s="163" t="s">
        <v>159</v>
      </c>
      <c r="N806" s="163" t="s">
        <v>102</v>
      </c>
      <c r="O806" s="162"/>
      <c r="P806" s="163"/>
      <c r="Q806" s="163" t="str">
        <f ca="1">IF(N806="Closed(C4)","",IF(N806="","",TODAY()-A806))</f>
        <v/>
      </c>
      <c r="R806" s="163" t="str">
        <f ca="1">IF(OR(N806="Closed( C4 )",N806="Cancelled"),"",IF(AND(O806&lt;&gt;"",O806&lt;TODAY()),"Yes",""))</f>
        <v/>
      </c>
      <c r="S806" s="163" t="s">
        <v>103</v>
      </c>
      <c r="T806" s="164">
        <v>25000</v>
      </c>
      <c r="U806" s="164">
        <v>28187</v>
      </c>
      <c r="V806" s="162">
        <v>46239</v>
      </c>
      <c r="W806" s="163" t="s">
        <v>1330</v>
      </c>
      <c r="X806" s="163" t="s">
        <v>35</v>
      </c>
      <c r="Y806" s="163" t="s">
        <v>1017</v>
      </c>
      <c r="Z806" s="163"/>
      <c r="AA806" s="162"/>
      <c r="AB806" s="195" t="str">
        <f t="shared" si="104"/>
        <v>Aug-26</v>
      </c>
      <c r="AC806" s="163"/>
      <c r="AD806" s="163" t="str">
        <f>IF(AC806="Yes",U806*2%,"")</f>
        <v/>
      </c>
      <c r="AE806" s="163"/>
    </row>
    <row r="807" spans="1:31" x14ac:dyDescent="0.35">
      <c r="A807" s="162">
        <v>46239</v>
      </c>
      <c r="B807" s="163" t="s">
        <v>92</v>
      </c>
      <c r="C807" s="163" t="s">
        <v>113</v>
      </c>
      <c r="D807" s="163" t="s">
        <v>165</v>
      </c>
      <c r="E807" s="163" t="s">
        <v>95</v>
      </c>
      <c r="F807" s="163" t="s">
        <v>135</v>
      </c>
      <c r="G807" s="163" t="s">
        <v>10</v>
      </c>
      <c r="H807" s="163" t="s">
        <v>115</v>
      </c>
      <c r="I807" s="163" t="s">
        <v>98</v>
      </c>
      <c r="J807" s="163" t="s">
        <v>166</v>
      </c>
      <c r="K807" s="163" t="s">
        <v>167</v>
      </c>
      <c r="L807" s="163"/>
      <c r="M807" s="163" t="s">
        <v>1299</v>
      </c>
      <c r="N807" s="163" t="s">
        <v>102</v>
      </c>
      <c r="O807" s="162"/>
      <c r="P807" s="163"/>
      <c r="Q807" s="163" t="str">
        <f ca="1">IF(N807="Closed(C4)","",IF(N807="","",TODAY()-A807))</f>
        <v/>
      </c>
      <c r="R807" s="163" t="str">
        <f ca="1">IF(OR(N807="Closed( C4 )",N807="Cancelled"),"",IF(AND(O807&lt;&gt;"",O807&lt;TODAY()),"Yes",""))</f>
        <v/>
      </c>
      <c r="S807" s="163" t="s">
        <v>103</v>
      </c>
      <c r="T807" s="164">
        <v>25000</v>
      </c>
      <c r="U807" s="164">
        <v>28187</v>
      </c>
      <c r="V807" s="162">
        <v>46239</v>
      </c>
      <c r="W807" s="163" t="s">
        <v>1330</v>
      </c>
      <c r="X807" s="163" t="s">
        <v>35</v>
      </c>
      <c r="Y807" s="163" t="s">
        <v>1017</v>
      </c>
      <c r="Z807" s="163"/>
      <c r="AA807" s="162"/>
      <c r="AB807" s="195" t="str">
        <f t="shared" si="104"/>
        <v>Aug-26</v>
      </c>
      <c r="AC807" s="163"/>
      <c r="AD807" s="163" t="str">
        <f>IF(AC807="Yes",U807*2%,"")</f>
        <v/>
      </c>
      <c r="AE807" s="163"/>
    </row>
    <row r="808" spans="1:31" x14ac:dyDescent="0.35">
      <c r="A808" s="162">
        <v>46240</v>
      </c>
      <c r="B808" s="163" t="s">
        <v>1331</v>
      </c>
      <c r="C808" s="163" t="s">
        <v>93</v>
      </c>
      <c r="D808" s="163" t="s">
        <v>1332</v>
      </c>
      <c r="E808" s="163" t="s">
        <v>95</v>
      </c>
      <c r="F808" s="163" t="s">
        <v>135</v>
      </c>
      <c r="G808" s="163"/>
      <c r="H808" s="163" t="s">
        <v>115</v>
      </c>
      <c r="I808" s="163" t="s">
        <v>121</v>
      </c>
      <c r="J808" s="163" t="s">
        <v>356</v>
      </c>
      <c r="K808" s="163" t="s">
        <v>298</v>
      </c>
      <c r="L808" s="163"/>
      <c r="M808" s="163" t="s">
        <v>1333</v>
      </c>
      <c r="N808" s="163" t="s">
        <v>102</v>
      </c>
      <c r="O808" s="162"/>
      <c r="P808" s="163"/>
      <c r="Q808" s="163"/>
      <c r="R808" s="163"/>
      <c r="S808" s="163" t="s">
        <v>103</v>
      </c>
      <c r="T808" s="164">
        <v>12000</v>
      </c>
      <c r="U808" s="164">
        <v>14000</v>
      </c>
      <c r="V808" s="162">
        <v>46240</v>
      </c>
      <c r="W808" s="163" t="s">
        <v>1334</v>
      </c>
      <c r="X808" s="163" t="s">
        <v>33</v>
      </c>
      <c r="Y808" s="163" t="s">
        <v>85</v>
      </c>
      <c r="Z808" s="163"/>
      <c r="AA808" s="162"/>
      <c r="AB808" s="195" t="str">
        <f t="shared" si="104"/>
        <v>Aug-26</v>
      </c>
      <c r="AC808" s="163"/>
      <c r="AD808" s="163"/>
      <c r="AE808" s="163"/>
    </row>
    <row r="809" spans="1:31" x14ac:dyDescent="0.35">
      <c r="A809" s="162">
        <v>46240</v>
      </c>
      <c r="B809" s="163" t="s">
        <v>370</v>
      </c>
      <c r="C809" s="163" t="s">
        <v>93</v>
      </c>
      <c r="D809" s="163" t="s">
        <v>1335</v>
      </c>
      <c r="E809" s="163" t="s">
        <v>106</v>
      </c>
      <c r="F809" s="163" t="s">
        <v>135</v>
      </c>
      <c r="G809" s="163"/>
      <c r="H809" s="163" t="s">
        <v>115</v>
      </c>
      <c r="I809" s="163" t="s">
        <v>121</v>
      </c>
      <c r="J809" s="163" t="s">
        <v>147</v>
      </c>
      <c r="K809" s="163" t="s">
        <v>137</v>
      </c>
      <c r="L809" s="163"/>
      <c r="M809" s="163" t="s">
        <v>1299</v>
      </c>
      <c r="N809" s="163" t="s">
        <v>130</v>
      </c>
      <c r="O809" s="162"/>
      <c r="P809" s="163"/>
      <c r="Q809" s="163"/>
      <c r="R809" s="163"/>
      <c r="S809" s="163" t="s">
        <v>133</v>
      </c>
      <c r="T809" s="164">
        <v>35000</v>
      </c>
      <c r="U809" s="164"/>
      <c r="V809" s="162"/>
      <c r="W809" s="163"/>
      <c r="X809" s="163"/>
      <c r="Y809" s="163"/>
      <c r="Z809" s="163"/>
      <c r="AA809" s="162"/>
      <c r="AB809" s="195" t="str">
        <f t="shared" si="104"/>
        <v>Aug-26</v>
      </c>
      <c r="AC809" s="163"/>
      <c r="AD809" s="163"/>
      <c r="AE809" s="163"/>
    </row>
    <row r="810" spans="1:31" x14ac:dyDescent="0.35">
      <c r="A810" s="162">
        <v>46240</v>
      </c>
      <c r="B810" s="163" t="s">
        <v>370</v>
      </c>
      <c r="C810" s="163" t="s">
        <v>93</v>
      </c>
      <c r="D810" s="163" t="s">
        <v>1336</v>
      </c>
      <c r="E810" s="163" t="s">
        <v>106</v>
      </c>
      <c r="F810" s="163" t="s">
        <v>135</v>
      </c>
      <c r="G810" s="163"/>
      <c r="H810" s="163" t="s">
        <v>115</v>
      </c>
      <c r="I810" s="163" t="s">
        <v>121</v>
      </c>
      <c r="J810" s="163" t="s">
        <v>136</v>
      </c>
      <c r="K810" s="163" t="s">
        <v>1337</v>
      </c>
      <c r="L810" s="163"/>
      <c r="M810" s="163" t="s">
        <v>914</v>
      </c>
      <c r="N810" s="163" t="s">
        <v>128</v>
      </c>
      <c r="O810" s="162"/>
      <c r="P810" s="163"/>
      <c r="Q810" s="163"/>
      <c r="R810" s="163"/>
      <c r="S810" s="163" t="s">
        <v>133</v>
      </c>
      <c r="T810" s="164">
        <v>45000</v>
      </c>
      <c r="U810" s="164"/>
      <c r="V810" s="162"/>
      <c r="W810" s="163"/>
      <c r="X810" s="163"/>
      <c r="Y810" s="163"/>
      <c r="Z810" s="163"/>
      <c r="AA810" s="162"/>
      <c r="AB810" s="195" t="str">
        <f t="shared" si="104"/>
        <v>Aug-26</v>
      </c>
      <c r="AC810" s="163"/>
      <c r="AD810" s="163"/>
      <c r="AE810" s="163"/>
    </row>
    <row r="811" spans="1:31" x14ac:dyDescent="0.35">
      <c r="A811" s="162">
        <v>46240</v>
      </c>
      <c r="B811" s="163" t="s">
        <v>370</v>
      </c>
      <c r="C811" s="163" t="s">
        <v>93</v>
      </c>
      <c r="D811" s="163" t="s">
        <v>1287</v>
      </c>
      <c r="E811" s="163" t="s">
        <v>106</v>
      </c>
      <c r="F811" s="163" t="s">
        <v>135</v>
      </c>
      <c r="G811" s="163"/>
      <c r="H811" s="163" t="s">
        <v>115</v>
      </c>
      <c r="I811" s="163" t="s">
        <v>121</v>
      </c>
      <c r="J811" s="163" t="s">
        <v>356</v>
      </c>
      <c r="K811" s="163" t="s">
        <v>1338</v>
      </c>
      <c r="L811" s="163"/>
      <c r="M811" s="163" t="s">
        <v>914</v>
      </c>
      <c r="N811" s="163" t="s">
        <v>130</v>
      </c>
      <c r="O811" s="162"/>
      <c r="P811" s="163"/>
      <c r="Q811" s="163"/>
      <c r="R811" s="163"/>
      <c r="S811" s="163" t="s">
        <v>133</v>
      </c>
      <c r="T811" s="164">
        <v>30000</v>
      </c>
      <c r="U811" s="164"/>
      <c r="V811" s="162"/>
      <c r="W811" s="163"/>
      <c r="X811" s="163"/>
      <c r="Y811" s="163"/>
      <c r="Z811" s="163"/>
      <c r="AA811" s="162"/>
      <c r="AB811" s="195" t="str">
        <f t="shared" si="104"/>
        <v>Aug-26</v>
      </c>
      <c r="AC811" s="163"/>
      <c r="AD811" s="163"/>
      <c r="AE811" s="163"/>
    </row>
    <row r="812" spans="1:31" x14ac:dyDescent="0.35">
      <c r="A812" s="162">
        <v>46240</v>
      </c>
      <c r="B812" s="163" t="s">
        <v>148</v>
      </c>
      <c r="C812" s="163" t="s">
        <v>113</v>
      </c>
      <c r="D812" s="163" t="s">
        <v>1339</v>
      </c>
      <c r="E812" s="163" t="s">
        <v>106</v>
      </c>
      <c r="F812" s="163" t="s">
        <v>135</v>
      </c>
      <c r="G812" s="163"/>
      <c r="H812" s="163" t="s">
        <v>115</v>
      </c>
      <c r="I812" s="163" t="s">
        <v>121</v>
      </c>
      <c r="J812" s="163" t="s">
        <v>147</v>
      </c>
      <c r="K812" s="163" t="s">
        <v>577</v>
      </c>
      <c r="L812" s="163"/>
      <c r="M812" s="163" t="s">
        <v>1307</v>
      </c>
      <c r="N812" s="163" t="s">
        <v>128</v>
      </c>
      <c r="O812" s="162">
        <v>46272</v>
      </c>
      <c r="P812" s="163"/>
      <c r="Q812" s="163"/>
      <c r="R812" s="163"/>
      <c r="S812" s="163" t="s">
        <v>129</v>
      </c>
      <c r="T812" s="164">
        <v>11000</v>
      </c>
      <c r="U812" s="164"/>
      <c r="V812" s="163"/>
      <c r="W812" s="163"/>
      <c r="X812" s="163"/>
      <c r="Y812" s="163"/>
      <c r="Z812" s="163"/>
      <c r="AA812" s="162"/>
      <c r="AB812" s="195" t="str">
        <f t="shared" si="104"/>
        <v>Aug-26</v>
      </c>
      <c r="AC812" s="163"/>
      <c r="AD812" s="163" t="str">
        <f>IF(AC812="Yes",U812*2%,"")</f>
        <v/>
      </c>
      <c r="AE812" s="163"/>
    </row>
    <row r="813" spans="1:31" x14ac:dyDescent="0.35">
      <c r="A813" s="162">
        <v>46240</v>
      </c>
      <c r="B813" s="163" t="s">
        <v>148</v>
      </c>
      <c r="C813" s="163" t="s">
        <v>113</v>
      </c>
      <c r="D813" s="163" t="s">
        <v>1339</v>
      </c>
      <c r="E813" s="163" t="s">
        <v>106</v>
      </c>
      <c r="F813" s="163" t="s">
        <v>135</v>
      </c>
      <c r="G813" s="163"/>
      <c r="H813" s="163" t="s">
        <v>115</v>
      </c>
      <c r="I813" s="163" t="s">
        <v>121</v>
      </c>
      <c r="J813" s="163" t="s">
        <v>147</v>
      </c>
      <c r="K813" s="163" t="s">
        <v>1340</v>
      </c>
      <c r="L813" s="163"/>
      <c r="M813" s="163" t="s">
        <v>1307</v>
      </c>
      <c r="N813" s="163" t="s">
        <v>128</v>
      </c>
      <c r="O813" s="162">
        <v>46272</v>
      </c>
      <c r="P813" s="163"/>
      <c r="Q813" s="163"/>
      <c r="R813" s="163"/>
      <c r="S813" s="163" t="s">
        <v>129</v>
      </c>
      <c r="T813" s="164">
        <v>21000</v>
      </c>
      <c r="U813" s="164"/>
      <c r="V813" s="163"/>
      <c r="W813" s="163"/>
      <c r="X813" s="163"/>
      <c r="Y813" s="163"/>
      <c r="Z813" s="163"/>
      <c r="AA813" s="162"/>
      <c r="AB813" s="195" t="str">
        <f t="shared" si="104"/>
        <v>Aug-26</v>
      </c>
      <c r="AC813" s="163"/>
      <c r="AD813" s="163" t="str">
        <f>IF(AC813="Yes",U813*2%,"")</f>
        <v/>
      </c>
      <c r="AE813" s="163"/>
    </row>
    <row r="814" spans="1:31" x14ac:dyDescent="0.35">
      <c r="A814" s="162">
        <v>46240</v>
      </c>
      <c r="B814" s="163" t="s">
        <v>125</v>
      </c>
      <c r="C814" s="163" t="s">
        <v>113</v>
      </c>
      <c r="D814" s="163" t="s">
        <v>255</v>
      </c>
      <c r="E814" s="163" t="s">
        <v>106</v>
      </c>
      <c r="F814" s="163" t="s">
        <v>135</v>
      </c>
      <c r="G814" s="163"/>
      <c r="H814" s="163" t="s">
        <v>97</v>
      </c>
      <c r="I814" s="163" t="s">
        <v>98</v>
      </c>
      <c r="J814" s="163" t="s">
        <v>166</v>
      </c>
      <c r="K814" s="163" t="s">
        <v>256</v>
      </c>
      <c r="L814" s="163"/>
      <c r="M814" s="163" t="s">
        <v>526</v>
      </c>
      <c r="N814" s="163" t="s">
        <v>102</v>
      </c>
      <c r="O814" s="162"/>
      <c r="P814" s="163"/>
      <c r="Q814" s="163"/>
      <c r="R814" s="163" t="str">
        <f ca="1">IF(OR(N814="Closed( C4 )",N814="Cancelled"),"",IF(AND(O814&lt;&gt;"",O814&lt;TODAY()),"Yes",""))</f>
        <v/>
      </c>
      <c r="S814" s="163" t="s">
        <v>103</v>
      </c>
      <c r="T814" s="164">
        <v>15000</v>
      </c>
      <c r="U814" s="164">
        <v>21282</v>
      </c>
      <c r="V814" s="162">
        <v>46240</v>
      </c>
      <c r="W814" s="214" t="s">
        <v>1341</v>
      </c>
      <c r="X814" s="163" t="s">
        <v>62</v>
      </c>
      <c r="Y814" s="163" t="s">
        <v>85</v>
      </c>
      <c r="Z814" s="163"/>
      <c r="AA814" s="162"/>
      <c r="AB814" s="195" t="str">
        <f t="shared" si="104"/>
        <v>Aug-26</v>
      </c>
      <c r="AC814" s="163"/>
      <c r="AD814" s="163" t="str">
        <f>IF(AC814="Yes",U814*2%,"")</f>
        <v/>
      </c>
      <c r="AE814" s="163"/>
    </row>
    <row r="815" spans="1:31" x14ac:dyDescent="0.35">
      <c r="A815" s="162">
        <v>46241</v>
      </c>
      <c r="B815" s="163" t="s">
        <v>370</v>
      </c>
      <c r="C815" s="163" t="s">
        <v>93</v>
      </c>
      <c r="D815" s="163" t="s">
        <v>1342</v>
      </c>
      <c r="E815" s="163" t="s">
        <v>106</v>
      </c>
      <c r="F815" s="163" t="s">
        <v>115</v>
      </c>
      <c r="G815" s="163"/>
      <c r="H815" s="163" t="s">
        <v>115</v>
      </c>
      <c r="I815" s="163" t="s">
        <v>121</v>
      </c>
      <c r="J815" s="163" t="s">
        <v>438</v>
      </c>
      <c r="K815" s="163" t="s">
        <v>668</v>
      </c>
      <c r="L815" s="163"/>
      <c r="M815" s="163" t="s">
        <v>159</v>
      </c>
      <c r="N815" s="163" t="s">
        <v>102</v>
      </c>
      <c r="O815" s="162"/>
      <c r="P815" s="163"/>
      <c r="Q815" s="163"/>
      <c r="R815" s="163"/>
      <c r="S815" s="163" t="s">
        <v>103</v>
      </c>
      <c r="T815" s="164">
        <v>20000</v>
      </c>
      <c r="U815" s="164">
        <v>9760</v>
      </c>
      <c r="V815" s="162">
        <v>46241</v>
      </c>
      <c r="W815" s="163" t="s">
        <v>1343</v>
      </c>
      <c r="X815" s="163" t="s">
        <v>60</v>
      </c>
      <c r="Y815" s="163" t="s">
        <v>161</v>
      </c>
      <c r="Z815" s="163"/>
      <c r="AA815" s="162">
        <v>46241</v>
      </c>
      <c r="AB815" s="195" t="str">
        <f t="shared" si="104"/>
        <v>Aug-26</v>
      </c>
      <c r="AC815" s="163"/>
      <c r="AD815" s="163" t="str">
        <f>IF(AC815="Yes",U815*2%,"")</f>
        <v/>
      </c>
      <c r="AE815" s="163" t="s">
        <v>270</v>
      </c>
    </row>
    <row r="816" spans="1:31" x14ac:dyDescent="0.35">
      <c r="A816" s="162">
        <v>46241</v>
      </c>
      <c r="B816" s="163" t="s">
        <v>370</v>
      </c>
      <c r="C816" s="163" t="s">
        <v>93</v>
      </c>
      <c r="D816" s="163" t="s">
        <v>1344</v>
      </c>
      <c r="E816" s="163" t="s">
        <v>106</v>
      </c>
      <c r="F816" s="163" t="s">
        <v>135</v>
      </c>
      <c r="G816" s="163"/>
      <c r="H816" s="163" t="s">
        <v>115</v>
      </c>
      <c r="I816" s="163" t="s">
        <v>121</v>
      </c>
      <c r="J816" s="163" t="s">
        <v>147</v>
      </c>
      <c r="K816" s="163" t="s">
        <v>623</v>
      </c>
      <c r="L816" s="163"/>
      <c r="M816" s="163" t="s">
        <v>1299</v>
      </c>
      <c r="N816" s="163" t="s">
        <v>130</v>
      </c>
      <c r="O816" s="162"/>
      <c r="P816" s="163"/>
      <c r="Q816" s="163"/>
      <c r="R816" s="163"/>
      <c r="S816" s="163" t="s">
        <v>133</v>
      </c>
      <c r="T816" s="164">
        <v>25000</v>
      </c>
      <c r="U816" s="164"/>
      <c r="V816" s="162"/>
      <c r="W816" s="163"/>
      <c r="X816" s="163"/>
      <c r="Y816" s="163"/>
      <c r="Z816" s="163"/>
      <c r="AA816" s="162"/>
      <c r="AB816" s="195" t="str">
        <f t="shared" si="104"/>
        <v>Aug-26</v>
      </c>
      <c r="AC816" s="163"/>
      <c r="AD816" s="163"/>
      <c r="AE816" s="163"/>
    </row>
    <row r="817" spans="1:31" x14ac:dyDescent="0.35">
      <c r="A817" s="162">
        <v>46241</v>
      </c>
      <c r="B817" s="163" t="s">
        <v>370</v>
      </c>
      <c r="C817" s="163" t="s">
        <v>93</v>
      </c>
      <c r="D817" s="163" t="s">
        <v>1345</v>
      </c>
      <c r="E817" s="163" t="s">
        <v>106</v>
      </c>
      <c r="F817" s="163" t="s">
        <v>135</v>
      </c>
      <c r="G817" s="163"/>
      <c r="H817" s="163" t="s">
        <v>115</v>
      </c>
      <c r="I817" s="163" t="s">
        <v>121</v>
      </c>
      <c r="J817" s="163" t="s">
        <v>147</v>
      </c>
      <c r="K817" s="163" t="s">
        <v>1346</v>
      </c>
      <c r="L817" s="163"/>
      <c r="M817" s="163" t="s">
        <v>1299</v>
      </c>
      <c r="N817" s="163" t="s">
        <v>130</v>
      </c>
      <c r="O817" s="162"/>
      <c r="P817" s="163"/>
      <c r="Q817" s="163"/>
      <c r="R817" s="163"/>
      <c r="S817" s="163" t="s">
        <v>129</v>
      </c>
      <c r="T817" s="164">
        <v>20000</v>
      </c>
      <c r="U817" s="164"/>
      <c r="V817" s="162"/>
      <c r="W817" s="163"/>
      <c r="X817" s="163"/>
      <c r="Y817" s="163"/>
      <c r="Z817" s="163"/>
      <c r="AA817" s="162"/>
      <c r="AB817" s="195" t="str">
        <f t="shared" si="104"/>
        <v>Aug-26</v>
      </c>
      <c r="AC817" s="163"/>
      <c r="AD817" s="163"/>
      <c r="AE817" s="163"/>
    </row>
    <row r="818" spans="1:31" x14ac:dyDescent="0.35">
      <c r="A818" s="162">
        <v>46241</v>
      </c>
      <c r="B818" s="163" t="s">
        <v>370</v>
      </c>
      <c r="C818" s="163" t="s">
        <v>93</v>
      </c>
      <c r="D818" s="163" t="s">
        <v>637</v>
      </c>
      <c r="E818" s="163" t="s">
        <v>106</v>
      </c>
      <c r="F818" s="163" t="s">
        <v>115</v>
      </c>
      <c r="G818" s="163"/>
      <c r="H818" s="163" t="s">
        <v>115</v>
      </c>
      <c r="I818" s="163" t="s">
        <v>121</v>
      </c>
      <c r="J818" s="163" t="s">
        <v>638</v>
      </c>
      <c r="K818" s="163" t="s">
        <v>1321</v>
      </c>
      <c r="L818" s="163"/>
      <c r="M818" s="163" t="s">
        <v>159</v>
      </c>
      <c r="N818" s="163" t="s">
        <v>102</v>
      </c>
      <c r="O818" s="162"/>
      <c r="P818" s="163"/>
      <c r="Q818" s="163"/>
      <c r="R818" s="163"/>
      <c r="S818" s="163" t="s">
        <v>103</v>
      </c>
      <c r="T818" s="164">
        <v>12000</v>
      </c>
      <c r="U818" s="164">
        <v>14700</v>
      </c>
      <c r="V818" s="162">
        <v>46241</v>
      </c>
      <c r="W818" s="163" t="s">
        <v>1347</v>
      </c>
      <c r="X818" s="163" t="s">
        <v>42</v>
      </c>
      <c r="Y818" s="163" t="s">
        <v>161</v>
      </c>
      <c r="Z818" s="163"/>
      <c r="AA818" s="162">
        <v>46241</v>
      </c>
      <c r="AB818" s="195" t="str">
        <f t="shared" si="104"/>
        <v>Aug-26</v>
      </c>
      <c r="AC818" s="163"/>
      <c r="AD818" s="163" t="str">
        <f>IF(AC818="Yes",U818*2%,"")</f>
        <v/>
      </c>
      <c r="AE818" s="163" t="s">
        <v>270</v>
      </c>
    </row>
    <row r="819" spans="1:31" x14ac:dyDescent="0.35">
      <c r="A819" s="162">
        <v>46241</v>
      </c>
      <c r="B819" s="163" t="s">
        <v>92</v>
      </c>
      <c r="C819" s="163" t="s">
        <v>93</v>
      </c>
      <c r="D819" s="163" t="s">
        <v>1348</v>
      </c>
      <c r="E819" s="163" t="s">
        <v>106</v>
      </c>
      <c r="F819" s="163" t="s">
        <v>115</v>
      </c>
      <c r="G819" s="163"/>
      <c r="H819" s="163" t="s">
        <v>163</v>
      </c>
      <c r="I819" s="163" t="s">
        <v>121</v>
      </c>
      <c r="J819" s="163" t="s">
        <v>153</v>
      </c>
      <c r="K819" s="163" t="s">
        <v>1349</v>
      </c>
      <c r="L819" s="163"/>
      <c r="M819" s="163" t="s">
        <v>159</v>
      </c>
      <c r="N819" s="163" t="s">
        <v>102</v>
      </c>
      <c r="O819" s="162"/>
      <c r="P819" s="163"/>
      <c r="Q819" s="163"/>
      <c r="R819" s="163"/>
      <c r="S819" s="163" t="s">
        <v>103</v>
      </c>
      <c r="T819" s="164">
        <v>70000</v>
      </c>
      <c r="U819" s="164">
        <v>103390</v>
      </c>
      <c r="V819" s="162">
        <v>46241</v>
      </c>
      <c r="W819" s="163" t="s">
        <v>1350</v>
      </c>
      <c r="X819" s="163" t="s">
        <v>51</v>
      </c>
      <c r="Y819" s="163" t="s">
        <v>85</v>
      </c>
      <c r="Z819" s="163"/>
      <c r="AA819" s="162"/>
      <c r="AB819" s="195" t="str">
        <f t="shared" si="104"/>
        <v>Aug-26</v>
      </c>
      <c r="AC819" s="163"/>
      <c r="AD819" s="163" t="str">
        <f>IF(AC819="Yes",U819*2%,"")</f>
        <v/>
      </c>
      <c r="AE819" s="163"/>
    </row>
    <row r="820" spans="1:31" x14ac:dyDescent="0.35">
      <c r="A820" s="162">
        <v>46241</v>
      </c>
      <c r="B820" s="163" t="s">
        <v>370</v>
      </c>
      <c r="C820" s="163" t="s">
        <v>93</v>
      </c>
      <c r="D820" s="163" t="s">
        <v>1351</v>
      </c>
      <c r="E820" s="163" t="s">
        <v>106</v>
      </c>
      <c r="F820" s="163" t="s">
        <v>115</v>
      </c>
      <c r="G820" s="163"/>
      <c r="H820" s="163" t="s">
        <v>115</v>
      </c>
      <c r="I820" s="163" t="s">
        <v>121</v>
      </c>
      <c r="J820" s="163" t="s">
        <v>1352</v>
      </c>
      <c r="K820" s="163" t="s">
        <v>668</v>
      </c>
      <c r="L820" s="163"/>
      <c r="M820" s="163" t="s">
        <v>159</v>
      </c>
      <c r="N820" s="163" t="s">
        <v>102</v>
      </c>
      <c r="O820" s="162"/>
      <c r="P820" s="163"/>
      <c r="Q820" s="163"/>
      <c r="R820" s="163"/>
      <c r="S820" s="163" t="s">
        <v>103</v>
      </c>
      <c r="T820" s="164">
        <v>10000</v>
      </c>
      <c r="U820" s="164">
        <v>10120</v>
      </c>
      <c r="V820" s="162">
        <v>46241</v>
      </c>
      <c r="W820" s="163" t="s">
        <v>1353</v>
      </c>
      <c r="X820" s="163" t="s">
        <v>30</v>
      </c>
      <c r="Y820" s="163" t="s">
        <v>161</v>
      </c>
      <c r="Z820" s="163"/>
      <c r="AA820" s="162">
        <v>46241</v>
      </c>
      <c r="AB820" s="195" t="str">
        <f t="shared" si="104"/>
        <v>Aug-26</v>
      </c>
      <c r="AC820" s="163"/>
      <c r="AD820" s="163" t="str">
        <f>IF(AC820="Yes",U820*2%,"")</f>
        <v/>
      </c>
      <c r="AE820" s="163" t="s">
        <v>270</v>
      </c>
    </row>
    <row r="821" spans="1:31" x14ac:dyDescent="0.35">
      <c r="A821" s="162">
        <v>46241</v>
      </c>
      <c r="B821" s="163" t="s">
        <v>148</v>
      </c>
      <c r="C821" s="163" t="s">
        <v>113</v>
      </c>
      <c r="D821" s="163" t="s">
        <v>1354</v>
      </c>
      <c r="E821" s="163" t="s">
        <v>106</v>
      </c>
      <c r="F821" s="163" t="s">
        <v>135</v>
      </c>
      <c r="G821" s="163"/>
      <c r="H821" s="163" t="s">
        <v>115</v>
      </c>
      <c r="I821" s="163" t="s">
        <v>121</v>
      </c>
      <c r="J821" s="163" t="s">
        <v>356</v>
      </c>
      <c r="K821" s="163" t="s">
        <v>1355</v>
      </c>
      <c r="L821" s="163"/>
      <c r="M821" s="163" t="s">
        <v>1307</v>
      </c>
      <c r="N821" s="163" t="s">
        <v>128</v>
      </c>
      <c r="O821" s="162">
        <v>46273</v>
      </c>
      <c r="P821" s="163"/>
      <c r="Q821" s="163"/>
      <c r="R821" s="163"/>
      <c r="S821" s="163" t="s">
        <v>129</v>
      </c>
      <c r="T821" s="164">
        <v>6500</v>
      </c>
      <c r="U821" s="164"/>
      <c r="V821" s="163"/>
      <c r="W821" s="163"/>
      <c r="X821" s="163"/>
      <c r="Y821" s="163"/>
      <c r="Z821" s="163"/>
      <c r="AA821" s="162"/>
      <c r="AB821" s="195" t="str">
        <f t="shared" si="104"/>
        <v>Aug-26</v>
      </c>
      <c r="AC821" s="163"/>
      <c r="AD821" s="163" t="str">
        <f>IF(AC821="Yes",U821*2%,"")</f>
        <v/>
      </c>
      <c r="AE821" s="163"/>
    </row>
    <row r="822" spans="1:31" x14ac:dyDescent="0.35">
      <c r="A822" s="162">
        <v>46241</v>
      </c>
      <c r="B822" s="163" t="s">
        <v>125</v>
      </c>
      <c r="C822" s="163" t="s">
        <v>113</v>
      </c>
      <c r="D822" s="163" t="s">
        <v>1356</v>
      </c>
      <c r="E822" s="163" t="s">
        <v>95</v>
      </c>
      <c r="F822" s="163" t="s">
        <v>96</v>
      </c>
      <c r="G822" s="163" t="s">
        <v>14</v>
      </c>
      <c r="H822" s="163" t="s">
        <v>163</v>
      </c>
      <c r="I822" s="163" t="s">
        <v>121</v>
      </c>
      <c r="J822" s="163" t="s">
        <v>153</v>
      </c>
      <c r="K822" s="163" t="s">
        <v>227</v>
      </c>
      <c r="L822" s="163"/>
      <c r="M822" s="163" t="s">
        <v>228</v>
      </c>
      <c r="N822" s="163" t="s">
        <v>156</v>
      </c>
      <c r="O822" s="162"/>
      <c r="P822" s="163"/>
      <c r="Q822" s="163"/>
      <c r="R822" s="163"/>
      <c r="S822" s="163" t="s">
        <v>129</v>
      </c>
      <c r="T822" s="164"/>
      <c r="U822" s="164"/>
      <c r="V822" s="163"/>
      <c r="W822" s="163"/>
      <c r="X822" s="163"/>
      <c r="Y822" s="163"/>
      <c r="Z822" s="163"/>
      <c r="AA822" s="162"/>
      <c r="AB822" s="195" t="str">
        <f t="shared" si="104"/>
        <v>Aug-26</v>
      </c>
      <c r="AC822" s="163"/>
      <c r="AD822" s="163" t="str">
        <f>IF(AC822="Yes",U822*2%,"")</f>
        <v/>
      </c>
      <c r="AE822" s="163"/>
    </row>
    <row r="823" spans="1:31" x14ac:dyDescent="0.35">
      <c r="A823" s="162">
        <v>46241</v>
      </c>
      <c r="B823" s="163" t="s">
        <v>148</v>
      </c>
      <c r="C823" s="163" t="s">
        <v>113</v>
      </c>
      <c r="D823" s="163" t="s">
        <v>246</v>
      </c>
      <c r="E823" s="163" t="s">
        <v>95</v>
      </c>
      <c r="F823" s="163" t="s">
        <v>96</v>
      </c>
      <c r="G823" s="163" t="s">
        <v>15</v>
      </c>
      <c r="H823" s="163" t="s">
        <v>163</v>
      </c>
      <c r="I823" s="163" t="s">
        <v>98</v>
      </c>
      <c r="J823" s="163" t="s">
        <v>147</v>
      </c>
      <c r="K823" s="163" t="s">
        <v>231</v>
      </c>
      <c r="L823" s="163"/>
      <c r="M823" s="163" t="s">
        <v>390</v>
      </c>
      <c r="N823" s="163" t="s">
        <v>102</v>
      </c>
      <c r="O823" s="162"/>
      <c r="P823" s="163"/>
      <c r="Q823" s="163"/>
      <c r="R823" s="163" t="str">
        <f ca="1">IF(OR(N823="Closed( C4 )",N823="Cancelled"),"",IF(AND(O823&lt;&gt;"",O823&lt;TODAY()),"Yes",""))</f>
        <v/>
      </c>
      <c r="S823" s="163" t="s">
        <v>103</v>
      </c>
      <c r="T823" s="164">
        <v>15000</v>
      </c>
      <c r="U823" s="164">
        <v>16220</v>
      </c>
      <c r="V823" s="162">
        <v>46241</v>
      </c>
      <c r="W823" s="214" t="s">
        <v>1357</v>
      </c>
      <c r="X823" s="163" t="s">
        <v>39</v>
      </c>
      <c r="Y823" s="163" t="s">
        <v>85</v>
      </c>
      <c r="Z823" s="163"/>
      <c r="AA823" s="162"/>
      <c r="AB823" s="195" t="str">
        <f t="shared" si="104"/>
        <v>Aug-26</v>
      </c>
      <c r="AC823" s="163"/>
      <c r="AD823" s="163"/>
      <c r="AE823" s="163"/>
    </row>
    <row r="824" spans="1:31" x14ac:dyDescent="0.35">
      <c r="A824" s="162">
        <v>46241</v>
      </c>
      <c r="B824" s="163" t="s">
        <v>148</v>
      </c>
      <c r="C824" s="163" t="s">
        <v>113</v>
      </c>
      <c r="D824" s="163" t="s">
        <v>260</v>
      </c>
      <c r="E824" s="163" t="s">
        <v>95</v>
      </c>
      <c r="F824" s="163" t="s">
        <v>96</v>
      </c>
      <c r="G824" s="163" t="s">
        <v>15</v>
      </c>
      <c r="H824" s="163" t="s">
        <v>163</v>
      </c>
      <c r="I824" s="163" t="s">
        <v>98</v>
      </c>
      <c r="J824" s="163" t="s">
        <v>147</v>
      </c>
      <c r="K824" s="163" t="s">
        <v>231</v>
      </c>
      <c r="L824" s="163"/>
      <c r="M824" s="163" t="s">
        <v>390</v>
      </c>
      <c r="N824" s="163" t="s">
        <v>102</v>
      </c>
      <c r="O824" s="162"/>
      <c r="P824" s="163"/>
      <c r="Q824" s="163"/>
      <c r="R824" s="163" t="str">
        <f ca="1">IF(OR(N824="Closed( C4 )",N824="Cancelled"),"",IF(AND(O824&lt;&gt;"",O824&lt;TODAY()),"Yes",""))</f>
        <v/>
      </c>
      <c r="S824" s="163" t="s">
        <v>103</v>
      </c>
      <c r="T824" s="164">
        <v>15000</v>
      </c>
      <c r="U824" s="164">
        <v>14785</v>
      </c>
      <c r="V824" s="162">
        <v>46241</v>
      </c>
      <c r="W824" s="214" t="s">
        <v>1357</v>
      </c>
      <c r="X824" s="163" t="s">
        <v>39</v>
      </c>
      <c r="Y824" s="163" t="s">
        <v>85</v>
      </c>
      <c r="Z824" s="163"/>
      <c r="AA824" s="162"/>
      <c r="AB824" s="195" t="str">
        <f t="shared" si="104"/>
        <v>Aug-26</v>
      </c>
      <c r="AC824" s="163"/>
      <c r="AD824" s="163" t="str">
        <f>IF(AC824="Yes",U824*2%,"")</f>
        <v/>
      </c>
      <c r="AE824" s="163"/>
    </row>
    <row r="825" spans="1:31" x14ac:dyDescent="0.35">
      <c r="A825" s="162">
        <v>46242</v>
      </c>
      <c r="B825" s="163" t="s">
        <v>370</v>
      </c>
      <c r="C825" s="163" t="s">
        <v>93</v>
      </c>
      <c r="D825" s="163" t="s">
        <v>262</v>
      </c>
      <c r="E825" s="163" t="s">
        <v>95</v>
      </c>
      <c r="F825" s="163" t="s">
        <v>115</v>
      </c>
      <c r="G825" s="163"/>
      <c r="H825" s="163" t="s">
        <v>115</v>
      </c>
      <c r="I825" s="163" t="s">
        <v>121</v>
      </c>
      <c r="J825" s="163" t="s">
        <v>262</v>
      </c>
      <c r="K825" s="163" t="s">
        <v>1358</v>
      </c>
      <c r="L825" s="163"/>
      <c r="M825" s="163" t="s">
        <v>159</v>
      </c>
      <c r="N825" s="163" t="s">
        <v>102</v>
      </c>
      <c r="O825" s="162"/>
      <c r="P825" s="163"/>
      <c r="Q825" s="163"/>
      <c r="R825" s="163"/>
      <c r="S825" s="163" t="s">
        <v>103</v>
      </c>
      <c r="T825" s="164">
        <v>10000</v>
      </c>
      <c r="U825" s="164">
        <v>5417</v>
      </c>
      <c r="V825" s="162">
        <v>46242</v>
      </c>
      <c r="W825" s="163" t="s">
        <v>1359</v>
      </c>
      <c r="X825" s="163" t="s">
        <v>56</v>
      </c>
      <c r="Y825" s="163" t="s">
        <v>161</v>
      </c>
      <c r="Z825" s="163"/>
      <c r="AA825" s="162">
        <v>46242</v>
      </c>
      <c r="AB825" s="195" t="str">
        <f t="shared" si="104"/>
        <v>Aug-26</v>
      </c>
      <c r="AC825" s="163"/>
      <c r="AD825" s="163" t="str">
        <f>IF(AC825="Yes",U825*2%,"")</f>
        <v/>
      </c>
      <c r="AE825" s="163" t="s">
        <v>270</v>
      </c>
    </row>
    <row r="826" spans="1:31" x14ac:dyDescent="0.35">
      <c r="A826" s="162">
        <v>46242</v>
      </c>
      <c r="B826" s="163" t="s">
        <v>92</v>
      </c>
      <c r="C826" s="163" t="s">
        <v>93</v>
      </c>
      <c r="D826" s="163" t="s">
        <v>1360</v>
      </c>
      <c r="E826" s="163" t="s">
        <v>106</v>
      </c>
      <c r="F826" s="163" t="s">
        <v>115</v>
      </c>
      <c r="G826" s="163"/>
      <c r="H826" s="163" t="s">
        <v>115</v>
      </c>
      <c r="I826" s="163" t="s">
        <v>121</v>
      </c>
      <c r="J826" s="163" t="s">
        <v>153</v>
      </c>
      <c r="K826" s="163" t="s">
        <v>1361</v>
      </c>
      <c r="L826" s="163"/>
      <c r="M826" s="163" t="s">
        <v>1362</v>
      </c>
      <c r="N826" s="163" t="s">
        <v>102</v>
      </c>
      <c r="O826" s="162"/>
      <c r="P826" s="163"/>
      <c r="Q826" s="163"/>
      <c r="R826" s="163"/>
      <c r="S826" s="163" t="s">
        <v>103</v>
      </c>
      <c r="T826" s="164">
        <v>25000</v>
      </c>
      <c r="U826" s="164">
        <v>31512</v>
      </c>
      <c r="V826" s="162">
        <v>46242</v>
      </c>
      <c r="W826" s="163" t="s">
        <v>1363</v>
      </c>
      <c r="X826" s="163" t="s">
        <v>52</v>
      </c>
      <c r="Y826" s="163" t="s">
        <v>161</v>
      </c>
      <c r="Z826" s="163"/>
      <c r="AA826" s="162">
        <v>46242</v>
      </c>
      <c r="AB826" s="195" t="str">
        <f t="shared" si="104"/>
        <v>Aug-26</v>
      </c>
      <c r="AC826" s="163"/>
      <c r="AD826" s="163"/>
      <c r="AE826" s="163"/>
    </row>
    <row r="827" spans="1:31" x14ac:dyDescent="0.35">
      <c r="A827" s="162">
        <v>46242</v>
      </c>
      <c r="B827" s="163" t="s">
        <v>370</v>
      </c>
      <c r="C827" s="163" t="s">
        <v>93</v>
      </c>
      <c r="D827" s="163" t="s">
        <v>1348</v>
      </c>
      <c r="E827" s="163" t="s">
        <v>106</v>
      </c>
      <c r="F827" s="163" t="s">
        <v>115</v>
      </c>
      <c r="G827" s="163"/>
      <c r="H827" s="163" t="s">
        <v>163</v>
      </c>
      <c r="I827" s="163" t="s">
        <v>121</v>
      </c>
      <c r="J827" s="163" t="s">
        <v>153</v>
      </c>
      <c r="K827" s="163" t="s">
        <v>1349</v>
      </c>
      <c r="L827" s="163"/>
      <c r="M827" s="163" t="s">
        <v>159</v>
      </c>
      <c r="N827" s="163" t="s">
        <v>102</v>
      </c>
      <c r="O827" s="162"/>
      <c r="P827" s="163"/>
      <c r="Q827" s="163"/>
      <c r="R827" s="163"/>
      <c r="S827" s="163" t="s">
        <v>103</v>
      </c>
      <c r="T827" s="164">
        <v>80000</v>
      </c>
      <c r="U827" s="164">
        <v>105130</v>
      </c>
      <c r="V827" s="162">
        <v>46242</v>
      </c>
      <c r="W827" s="163" t="s">
        <v>1364</v>
      </c>
      <c r="X827" s="163" t="s">
        <v>51</v>
      </c>
      <c r="Y827" s="163" t="s">
        <v>85</v>
      </c>
      <c r="Z827" s="163"/>
      <c r="AA827" s="162"/>
      <c r="AB827" s="195" t="str">
        <f t="shared" si="104"/>
        <v>Aug-26</v>
      </c>
      <c r="AC827" s="163"/>
      <c r="AD827" s="163" t="str">
        <f t="shared" ref="AD827:AD834" si="107">IF(AC827="Yes",U827*2%,"")</f>
        <v/>
      </c>
      <c r="AE827" s="163"/>
    </row>
    <row r="828" spans="1:31" x14ac:dyDescent="0.35">
      <c r="A828" s="162">
        <v>46243</v>
      </c>
      <c r="B828" s="163" t="s">
        <v>92</v>
      </c>
      <c r="C828" s="163" t="s">
        <v>93</v>
      </c>
      <c r="D828" s="163" t="s">
        <v>1348</v>
      </c>
      <c r="E828" s="163" t="s">
        <v>106</v>
      </c>
      <c r="F828" s="163" t="s">
        <v>115</v>
      </c>
      <c r="G828" s="163"/>
      <c r="H828" s="163" t="s">
        <v>163</v>
      </c>
      <c r="I828" s="163" t="s">
        <v>121</v>
      </c>
      <c r="J828" s="163" t="s">
        <v>153</v>
      </c>
      <c r="K828" s="163" t="s">
        <v>1349</v>
      </c>
      <c r="L828" s="163"/>
      <c r="M828" s="163" t="s">
        <v>159</v>
      </c>
      <c r="N828" s="163" t="s">
        <v>102</v>
      </c>
      <c r="O828" s="162"/>
      <c r="P828" s="163"/>
      <c r="Q828" s="163"/>
      <c r="R828" s="163"/>
      <c r="S828" s="163" t="s">
        <v>103</v>
      </c>
      <c r="T828" s="164">
        <v>70000</v>
      </c>
      <c r="U828" s="164">
        <v>131760</v>
      </c>
      <c r="V828" s="162">
        <v>46244</v>
      </c>
      <c r="W828" s="163" t="s">
        <v>1364</v>
      </c>
      <c r="X828" s="163" t="s">
        <v>51</v>
      </c>
      <c r="Y828" s="163" t="s">
        <v>85</v>
      </c>
      <c r="Z828" s="163"/>
      <c r="AA828" s="162"/>
      <c r="AB828" s="195" t="str">
        <f t="shared" si="104"/>
        <v>Aug-26</v>
      </c>
      <c r="AC828" s="163"/>
      <c r="AD828" s="163" t="str">
        <f t="shared" si="107"/>
        <v/>
      </c>
      <c r="AE828" s="163"/>
    </row>
    <row r="829" spans="1:31" x14ac:dyDescent="0.35">
      <c r="A829" s="162">
        <v>46244</v>
      </c>
      <c r="B829" s="163" t="s">
        <v>370</v>
      </c>
      <c r="C829" s="163" t="s">
        <v>93</v>
      </c>
      <c r="D829" s="163" t="s">
        <v>1365</v>
      </c>
      <c r="E829" s="163" t="s">
        <v>106</v>
      </c>
      <c r="F829" s="163" t="s">
        <v>135</v>
      </c>
      <c r="G829" s="163"/>
      <c r="H829" s="163" t="s">
        <v>115</v>
      </c>
      <c r="I829" s="163" t="s">
        <v>121</v>
      </c>
      <c r="J829" s="163" t="s">
        <v>147</v>
      </c>
      <c r="K829" s="163" t="s">
        <v>1366</v>
      </c>
      <c r="L829" s="163"/>
      <c r="M829" s="163" t="s">
        <v>914</v>
      </c>
      <c r="N829" s="163" t="s">
        <v>130</v>
      </c>
      <c r="O829" s="162"/>
      <c r="P829" s="163"/>
      <c r="Q829" s="163"/>
      <c r="R829" s="163"/>
      <c r="S829" s="163" t="s">
        <v>129</v>
      </c>
      <c r="T829" s="164">
        <v>40000</v>
      </c>
      <c r="U829" s="164"/>
      <c r="V829" s="163"/>
      <c r="W829" s="163"/>
      <c r="X829" s="163"/>
      <c r="Y829" s="163"/>
      <c r="Z829" s="163"/>
      <c r="AA829" s="162"/>
      <c r="AB829" s="195" t="str">
        <f t="shared" si="104"/>
        <v>Aug-26</v>
      </c>
      <c r="AC829" s="163"/>
      <c r="AD829" s="163" t="str">
        <f t="shared" si="107"/>
        <v/>
      </c>
      <c r="AE829" s="163"/>
    </row>
    <row r="830" spans="1:31" x14ac:dyDescent="0.35">
      <c r="A830" s="162">
        <v>46244</v>
      </c>
      <c r="B830" s="163" t="s">
        <v>370</v>
      </c>
      <c r="C830" s="163" t="s">
        <v>93</v>
      </c>
      <c r="D830" s="163" t="s">
        <v>1348</v>
      </c>
      <c r="E830" s="163" t="s">
        <v>106</v>
      </c>
      <c r="F830" s="163" t="s">
        <v>115</v>
      </c>
      <c r="G830" s="163"/>
      <c r="H830" s="163" t="s">
        <v>163</v>
      </c>
      <c r="I830" s="163" t="s">
        <v>121</v>
      </c>
      <c r="J830" s="163" t="s">
        <v>153</v>
      </c>
      <c r="K830" s="163" t="s">
        <v>1349</v>
      </c>
      <c r="L830" s="163"/>
      <c r="M830" s="163" t="s">
        <v>159</v>
      </c>
      <c r="N830" s="163" t="s">
        <v>102</v>
      </c>
      <c r="O830" s="162"/>
      <c r="P830" s="163"/>
      <c r="Q830" s="163"/>
      <c r="R830" s="163"/>
      <c r="S830" s="163" t="s">
        <v>103</v>
      </c>
      <c r="T830" s="164">
        <v>30000</v>
      </c>
      <c r="U830" s="164">
        <v>35820</v>
      </c>
      <c r="V830" s="162">
        <v>46242</v>
      </c>
      <c r="W830" s="163" t="s">
        <v>1350</v>
      </c>
      <c r="X830" s="163" t="s">
        <v>51</v>
      </c>
      <c r="Y830" s="163" t="s">
        <v>85</v>
      </c>
      <c r="Z830" s="163"/>
      <c r="AA830" s="162">
        <v>46242</v>
      </c>
      <c r="AB830" s="195" t="str">
        <f t="shared" si="104"/>
        <v>Aug-26</v>
      </c>
      <c r="AC830" s="163"/>
      <c r="AD830" s="163" t="str">
        <f t="shared" si="107"/>
        <v/>
      </c>
      <c r="AE830" s="163"/>
    </row>
    <row r="831" spans="1:31" x14ac:dyDescent="0.35">
      <c r="A831" s="162">
        <v>46244</v>
      </c>
      <c r="B831" s="163" t="s">
        <v>370</v>
      </c>
      <c r="C831" s="163" t="s">
        <v>93</v>
      </c>
      <c r="D831" s="163" t="s">
        <v>1367</v>
      </c>
      <c r="E831" s="163" t="s">
        <v>106</v>
      </c>
      <c r="F831" s="163" t="s">
        <v>135</v>
      </c>
      <c r="G831" s="163"/>
      <c r="H831" s="163" t="s">
        <v>115</v>
      </c>
      <c r="I831" s="163" t="s">
        <v>121</v>
      </c>
      <c r="J831" s="163" t="s">
        <v>432</v>
      </c>
      <c r="K831" s="163" t="s">
        <v>1133</v>
      </c>
      <c r="L831" s="163"/>
      <c r="M831" s="163" t="s">
        <v>1299</v>
      </c>
      <c r="N831" s="163" t="s">
        <v>130</v>
      </c>
      <c r="O831" s="162"/>
      <c r="P831" s="163"/>
      <c r="Q831" s="163"/>
      <c r="R831" s="163"/>
      <c r="S831" s="163" t="s">
        <v>133</v>
      </c>
      <c r="T831" s="164">
        <v>25000</v>
      </c>
      <c r="U831" s="164"/>
      <c r="V831" s="163"/>
      <c r="W831" s="163"/>
      <c r="X831" s="163"/>
      <c r="Y831" s="163"/>
      <c r="Z831" s="163"/>
      <c r="AA831" s="162"/>
      <c r="AB831" s="195" t="str">
        <f t="shared" si="104"/>
        <v>Aug-26</v>
      </c>
      <c r="AC831" s="163"/>
      <c r="AD831" s="163" t="str">
        <f t="shared" si="107"/>
        <v/>
      </c>
      <c r="AE831" s="163"/>
    </row>
    <row r="832" spans="1:31" x14ac:dyDescent="0.35">
      <c r="A832" s="162">
        <v>46244</v>
      </c>
      <c r="B832" s="163" t="s">
        <v>370</v>
      </c>
      <c r="C832" s="163" t="s">
        <v>93</v>
      </c>
      <c r="D832" s="163" t="s">
        <v>1368</v>
      </c>
      <c r="E832" s="163" t="s">
        <v>106</v>
      </c>
      <c r="F832" s="163" t="s">
        <v>135</v>
      </c>
      <c r="G832" s="163"/>
      <c r="H832" s="163" t="s">
        <v>115</v>
      </c>
      <c r="I832" s="163" t="s">
        <v>121</v>
      </c>
      <c r="J832" s="163" t="s">
        <v>147</v>
      </c>
      <c r="K832" s="163" t="s">
        <v>528</v>
      </c>
      <c r="L832" s="163"/>
      <c r="M832" s="163" t="s">
        <v>1299</v>
      </c>
      <c r="N832" s="163" t="s">
        <v>495</v>
      </c>
      <c r="O832" s="162"/>
      <c r="P832" s="163"/>
      <c r="Q832" s="163"/>
      <c r="R832" s="163"/>
      <c r="S832" s="163" t="s">
        <v>129</v>
      </c>
      <c r="T832" s="164">
        <v>35000</v>
      </c>
      <c r="U832" s="164"/>
      <c r="V832" s="163"/>
      <c r="W832" s="163"/>
      <c r="X832" s="163"/>
      <c r="Y832" s="163"/>
      <c r="Z832" s="163"/>
      <c r="AA832" s="162"/>
      <c r="AB832" s="195" t="str">
        <f t="shared" si="104"/>
        <v>Aug-26</v>
      </c>
      <c r="AC832" s="163"/>
      <c r="AD832" s="163" t="str">
        <f t="shared" si="107"/>
        <v/>
      </c>
      <c r="AE832" s="163"/>
    </row>
    <row r="833" spans="1:31" x14ac:dyDescent="0.35">
      <c r="A833" s="162">
        <v>46244</v>
      </c>
      <c r="B833" s="163" t="s">
        <v>1331</v>
      </c>
      <c r="C833" s="163" t="s">
        <v>93</v>
      </c>
      <c r="D833" s="163" t="s">
        <v>637</v>
      </c>
      <c r="E833" s="163" t="s">
        <v>106</v>
      </c>
      <c r="F833" s="163" t="s">
        <v>135</v>
      </c>
      <c r="G833" s="163"/>
      <c r="H833" s="163" t="s">
        <v>115</v>
      </c>
      <c r="I833" s="163" t="s">
        <v>121</v>
      </c>
      <c r="J833" s="163" t="s">
        <v>147</v>
      </c>
      <c r="K833" s="163" t="s">
        <v>528</v>
      </c>
      <c r="L833" s="163"/>
      <c r="M833" s="163" t="s">
        <v>1299</v>
      </c>
      <c r="N833" s="163" t="s">
        <v>102</v>
      </c>
      <c r="O833" s="162"/>
      <c r="P833" s="163"/>
      <c r="Q833" s="163"/>
      <c r="R833" s="163"/>
      <c r="S833" s="163" t="s">
        <v>103</v>
      </c>
      <c r="T833" s="164">
        <v>8000</v>
      </c>
      <c r="U833" s="164">
        <v>8520</v>
      </c>
      <c r="V833" s="162">
        <v>46244</v>
      </c>
      <c r="W833" s="163" t="s">
        <v>1369</v>
      </c>
      <c r="X833" s="163" t="s">
        <v>42</v>
      </c>
      <c r="Y833" s="163" t="s">
        <v>161</v>
      </c>
      <c r="Z833" s="163"/>
      <c r="AA833" s="162">
        <v>46244</v>
      </c>
      <c r="AB833" s="195" t="str">
        <f t="shared" si="104"/>
        <v>Aug-26</v>
      </c>
      <c r="AC833" s="163"/>
      <c r="AD833" s="163" t="str">
        <f t="shared" si="107"/>
        <v/>
      </c>
      <c r="AE833" s="163" t="s">
        <v>270</v>
      </c>
    </row>
    <row r="834" spans="1:31" x14ac:dyDescent="0.35">
      <c r="A834" s="162">
        <v>46244</v>
      </c>
      <c r="B834" s="163" t="s">
        <v>148</v>
      </c>
      <c r="C834" s="163" t="s">
        <v>113</v>
      </c>
      <c r="D834" s="163" t="s">
        <v>1370</v>
      </c>
      <c r="E834" s="163" t="s">
        <v>106</v>
      </c>
      <c r="F834" s="163" t="s">
        <v>135</v>
      </c>
      <c r="G834" s="163"/>
      <c r="H834" s="163" t="s">
        <v>115</v>
      </c>
      <c r="I834" s="163" t="s">
        <v>121</v>
      </c>
      <c r="J834" s="163" t="s">
        <v>147</v>
      </c>
      <c r="K834" s="163" t="s">
        <v>140</v>
      </c>
      <c r="L834" s="163"/>
      <c r="M834" s="163" t="s">
        <v>1307</v>
      </c>
      <c r="N834" s="163" t="s">
        <v>128</v>
      </c>
      <c r="O834" s="162">
        <v>46275</v>
      </c>
      <c r="P834" s="163"/>
      <c r="Q834" s="163"/>
      <c r="R834" s="163"/>
      <c r="S834" s="163" t="s">
        <v>129</v>
      </c>
      <c r="T834" s="164">
        <v>9000</v>
      </c>
      <c r="U834" s="164"/>
      <c r="V834" s="163"/>
      <c r="W834" s="163"/>
      <c r="X834" s="163"/>
      <c r="Y834" s="163"/>
      <c r="Z834" s="163"/>
      <c r="AA834" s="162"/>
      <c r="AB834" s="195" t="str">
        <f t="shared" ref="AB834:AB896" si="108">IF($V834="",TEXT($A834,"MMM-YY"),TEXT($V834,"MMM-YY"))</f>
        <v>Aug-26</v>
      </c>
      <c r="AC834" s="163"/>
      <c r="AD834" s="163" t="str">
        <f t="shared" si="107"/>
        <v/>
      </c>
      <c r="AE834" s="163"/>
    </row>
    <row r="835" spans="1:31" x14ac:dyDescent="0.35">
      <c r="A835" s="162">
        <v>46245</v>
      </c>
      <c r="B835" s="163" t="s">
        <v>370</v>
      </c>
      <c r="C835" s="163" t="s">
        <v>93</v>
      </c>
      <c r="D835" s="163" t="s">
        <v>1371</v>
      </c>
      <c r="E835" s="163" t="s">
        <v>106</v>
      </c>
      <c r="F835" s="163" t="s">
        <v>135</v>
      </c>
      <c r="G835" s="163"/>
      <c r="H835" s="163" t="s">
        <v>115</v>
      </c>
      <c r="I835" s="163" t="s">
        <v>121</v>
      </c>
      <c r="J835" s="163" t="s">
        <v>432</v>
      </c>
      <c r="K835" s="163" t="s">
        <v>1372</v>
      </c>
      <c r="L835" s="163"/>
      <c r="M835" s="163" t="s">
        <v>669</v>
      </c>
      <c r="N835" s="163" t="s">
        <v>495</v>
      </c>
      <c r="O835" s="162"/>
      <c r="P835" s="163"/>
      <c r="Q835" s="163"/>
      <c r="R835" s="163"/>
      <c r="S835" s="163" t="s">
        <v>129</v>
      </c>
      <c r="T835" s="164">
        <v>30000</v>
      </c>
      <c r="U835" s="164"/>
      <c r="V835" s="163"/>
      <c r="W835" s="163"/>
      <c r="X835" s="163"/>
      <c r="Y835" s="163"/>
      <c r="Z835" s="163"/>
      <c r="AA835" s="162"/>
      <c r="AB835" s="195" t="str">
        <f t="shared" si="108"/>
        <v>Aug-26</v>
      </c>
      <c r="AC835" s="163"/>
      <c r="AD835" s="163"/>
      <c r="AE835" s="163"/>
    </row>
    <row r="836" spans="1:31" x14ac:dyDescent="0.35">
      <c r="A836" s="162">
        <v>46245</v>
      </c>
      <c r="B836" s="163" t="s">
        <v>370</v>
      </c>
      <c r="C836" s="163" t="s">
        <v>93</v>
      </c>
      <c r="D836" s="163" t="s">
        <v>1373</v>
      </c>
      <c r="E836" s="163" t="s">
        <v>106</v>
      </c>
      <c r="F836" s="163" t="s">
        <v>135</v>
      </c>
      <c r="G836" s="163"/>
      <c r="H836" s="163" t="s">
        <v>115</v>
      </c>
      <c r="I836" s="163" t="s">
        <v>121</v>
      </c>
      <c r="J836" s="163" t="s">
        <v>356</v>
      </c>
      <c r="K836" s="163" t="s">
        <v>913</v>
      </c>
      <c r="L836" s="163"/>
      <c r="M836" s="163" t="s">
        <v>669</v>
      </c>
      <c r="N836" s="163" t="s">
        <v>495</v>
      </c>
      <c r="O836" s="162"/>
      <c r="P836" s="163"/>
      <c r="Q836" s="163"/>
      <c r="R836" s="163"/>
      <c r="S836" s="163" t="s">
        <v>129</v>
      </c>
      <c r="T836" s="164">
        <v>25000</v>
      </c>
      <c r="U836" s="164"/>
      <c r="V836" s="163"/>
      <c r="W836" s="163"/>
      <c r="X836" s="163"/>
      <c r="Y836" s="163"/>
      <c r="Z836" s="163"/>
      <c r="AA836" s="162"/>
      <c r="AB836" s="195" t="str">
        <f t="shared" si="108"/>
        <v>Aug-26</v>
      </c>
      <c r="AC836" s="163"/>
      <c r="AD836" s="163"/>
      <c r="AE836" s="163"/>
    </row>
    <row r="837" spans="1:31" x14ac:dyDescent="0.35">
      <c r="A837" s="162">
        <v>46245</v>
      </c>
      <c r="B837" s="163" t="s">
        <v>370</v>
      </c>
      <c r="C837" s="163" t="s">
        <v>93</v>
      </c>
      <c r="D837" s="163" t="s">
        <v>262</v>
      </c>
      <c r="E837" s="163" t="s">
        <v>95</v>
      </c>
      <c r="F837" s="163" t="s">
        <v>115</v>
      </c>
      <c r="G837" s="163"/>
      <c r="H837" s="163" t="s">
        <v>115</v>
      </c>
      <c r="I837" s="163" t="s">
        <v>121</v>
      </c>
      <c r="J837" s="163" t="s">
        <v>262</v>
      </c>
      <c r="K837" s="163" t="s">
        <v>1267</v>
      </c>
      <c r="L837" s="163"/>
      <c r="M837" s="163" t="s">
        <v>369</v>
      </c>
      <c r="N837" s="163" t="s">
        <v>102</v>
      </c>
      <c r="O837" s="162">
        <v>46245</v>
      </c>
      <c r="P837" s="163"/>
      <c r="Q837" s="163"/>
      <c r="R837" s="163"/>
      <c r="S837" s="163" t="s">
        <v>103</v>
      </c>
      <c r="T837" s="164">
        <v>5000</v>
      </c>
      <c r="U837" s="164">
        <v>4099</v>
      </c>
      <c r="V837" s="162">
        <v>46245</v>
      </c>
      <c r="W837" s="163" t="s">
        <v>1374</v>
      </c>
      <c r="X837" s="163" t="s">
        <v>42</v>
      </c>
      <c r="Y837" s="163" t="s">
        <v>161</v>
      </c>
      <c r="Z837" s="163"/>
      <c r="AA837" s="162">
        <v>46245</v>
      </c>
      <c r="AB837" s="195" t="str">
        <f t="shared" si="108"/>
        <v>Aug-26</v>
      </c>
      <c r="AC837" s="163"/>
      <c r="AD837" s="163"/>
      <c r="AE837" s="163" t="s">
        <v>270</v>
      </c>
    </row>
    <row r="838" spans="1:31" x14ac:dyDescent="0.35">
      <c r="A838" s="162">
        <v>46245</v>
      </c>
      <c r="B838" s="163" t="s">
        <v>125</v>
      </c>
      <c r="C838" s="163" t="s">
        <v>113</v>
      </c>
      <c r="D838" s="163" t="s">
        <v>162</v>
      </c>
      <c r="E838" s="163" t="s">
        <v>106</v>
      </c>
      <c r="F838" s="163" t="s">
        <v>135</v>
      </c>
      <c r="G838" s="163"/>
      <c r="H838" s="163" t="s">
        <v>97</v>
      </c>
      <c r="I838" s="163" t="s">
        <v>98</v>
      </c>
      <c r="J838" s="163" t="s">
        <v>166</v>
      </c>
      <c r="K838" s="163" t="s">
        <v>164</v>
      </c>
      <c r="L838" s="163"/>
      <c r="M838" s="163" t="s">
        <v>526</v>
      </c>
      <c r="N838" s="163" t="s">
        <v>102</v>
      </c>
      <c r="O838" s="162"/>
      <c r="P838" s="163"/>
      <c r="Q838" s="163"/>
      <c r="R838" s="163" t="str">
        <f ca="1">IF(OR(N838="Closed( C4 )",N838="Cancelled"),"",IF(AND(O838&lt;&gt;"",O838&lt;TODAY()),"Yes",""))</f>
        <v/>
      </c>
      <c r="S838" s="163" t="s">
        <v>103</v>
      </c>
      <c r="T838" s="164">
        <v>10000</v>
      </c>
      <c r="U838" s="164">
        <v>7252</v>
      </c>
      <c r="V838" s="162">
        <v>46245</v>
      </c>
      <c r="W838" s="214" t="s">
        <v>1375</v>
      </c>
      <c r="X838" s="163" t="s">
        <v>62</v>
      </c>
      <c r="Y838" s="163" t="s">
        <v>85</v>
      </c>
      <c r="Z838" s="163"/>
      <c r="AA838" s="162"/>
      <c r="AB838" s="195" t="str">
        <f t="shared" si="108"/>
        <v>Aug-26</v>
      </c>
      <c r="AC838" s="163"/>
      <c r="AD838" s="163" t="str">
        <f>IF(AC838="Yes",U838*2%,"")</f>
        <v/>
      </c>
      <c r="AE838" s="163"/>
    </row>
    <row r="839" spans="1:31" x14ac:dyDescent="0.35">
      <c r="A839" s="162">
        <v>46245</v>
      </c>
      <c r="B839" s="163" t="s">
        <v>370</v>
      </c>
      <c r="C839" s="163" t="s">
        <v>93</v>
      </c>
      <c r="D839" s="163" t="s">
        <v>1376</v>
      </c>
      <c r="E839" s="163" t="s">
        <v>95</v>
      </c>
      <c r="F839" s="163" t="s">
        <v>226</v>
      </c>
      <c r="G839" s="163"/>
      <c r="H839" s="163" t="s">
        <v>163</v>
      </c>
      <c r="I839" s="163" t="s">
        <v>121</v>
      </c>
      <c r="J839" s="163" t="s">
        <v>153</v>
      </c>
      <c r="K839" s="163" t="s">
        <v>1377</v>
      </c>
      <c r="L839" s="163"/>
      <c r="M839" s="163" t="s">
        <v>1378</v>
      </c>
      <c r="N839" s="163" t="s">
        <v>181</v>
      </c>
      <c r="O839" s="162">
        <v>46266</v>
      </c>
      <c r="P839" s="163" t="s">
        <v>95</v>
      </c>
      <c r="Q839" s="163"/>
      <c r="R839" s="163"/>
      <c r="S839" s="163" t="s">
        <v>129</v>
      </c>
      <c r="T839" s="164">
        <v>0</v>
      </c>
      <c r="U839" s="164">
        <v>0</v>
      </c>
      <c r="V839" s="162"/>
      <c r="W839" s="163"/>
      <c r="X839" s="163"/>
      <c r="Y839" s="163"/>
      <c r="Z839" s="163"/>
      <c r="AA839" s="162"/>
      <c r="AB839" s="195" t="str">
        <f t="shared" si="108"/>
        <v>Aug-26</v>
      </c>
      <c r="AC839" s="163"/>
      <c r="AD839" s="163"/>
      <c r="AE839" s="163"/>
    </row>
    <row r="840" spans="1:31" x14ac:dyDescent="0.35">
      <c r="A840" s="162">
        <v>46245</v>
      </c>
      <c r="B840" s="163" t="s">
        <v>148</v>
      </c>
      <c r="C840" s="163" t="s">
        <v>113</v>
      </c>
      <c r="D840" s="163" t="s">
        <v>1080</v>
      </c>
      <c r="E840" s="163" t="s">
        <v>95</v>
      </c>
      <c r="F840" s="163" t="s">
        <v>96</v>
      </c>
      <c r="G840" s="163" t="s">
        <v>15</v>
      </c>
      <c r="H840" s="163" t="s">
        <v>163</v>
      </c>
      <c r="I840" s="163" t="s">
        <v>121</v>
      </c>
      <c r="J840" s="163" t="s">
        <v>147</v>
      </c>
      <c r="K840" s="163" t="s">
        <v>231</v>
      </c>
      <c r="L840" s="163"/>
      <c r="M840" s="163" t="s">
        <v>390</v>
      </c>
      <c r="N840" s="163" t="s">
        <v>102</v>
      </c>
      <c r="O840" s="162"/>
      <c r="P840" s="163"/>
      <c r="Q840" s="163"/>
      <c r="R840" s="163" t="str">
        <f ca="1">IF(OR(N840="Closed( C4 )",N840="Cancelled"),"",IF(AND(O840&lt;&gt;"",O840&lt;TODAY()),"Yes",""))</f>
        <v/>
      </c>
      <c r="S840" s="163" t="s">
        <v>103</v>
      </c>
      <c r="T840" s="164">
        <v>10000</v>
      </c>
      <c r="U840" s="164">
        <v>9907</v>
      </c>
      <c r="V840" s="162">
        <v>46245</v>
      </c>
      <c r="W840" s="163" t="s">
        <v>1379</v>
      </c>
      <c r="X840" s="163" t="s">
        <v>46</v>
      </c>
      <c r="Y840" s="163" t="s">
        <v>85</v>
      </c>
      <c r="Z840" s="163"/>
      <c r="AA840" s="162"/>
      <c r="AB840" s="195" t="str">
        <f t="shared" si="108"/>
        <v>Aug-26</v>
      </c>
      <c r="AC840" s="163"/>
      <c r="AD840" s="163" t="str">
        <f t="shared" ref="AD840:AD849" si="109">IF(AC840="Yes",U840*2%,"")</f>
        <v/>
      </c>
      <c r="AE840" s="163"/>
    </row>
    <row r="841" spans="1:31" x14ac:dyDescent="0.35">
      <c r="A841" s="162">
        <v>46246</v>
      </c>
      <c r="B841" s="163" t="s">
        <v>370</v>
      </c>
      <c r="C841" s="163" t="s">
        <v>93</v>
      </c>
      <c r="D841" s="163" t="s">
        <v>1380</v>
      </c>
      <c r="E841" s="163" t="s">
        <v>106</v>
      </c>
      <c r="F841" s="163" t="s">
        <v>135</v>
      </c>
      <c r="G841" s="163"/>
      <c r="H841" s="163" t="s">
        <v>115</v>
      </c>
      <c r="I841" s="163" t="s">
        <v>121</v>
      </c>
      <c r="J841" s="163" t="s">
        <v>356</v>
      </c>
      <c r="K841" s="163" t="s">
        <v>475</v>
      </c>
      <c r="L841" s="163"/>
      <c r="M841" s="163" t="s">
        <v>914</v>
      </c>
      <c r="N841" s="163" t="s">
        <v>128</v>
      </c>
      <c r="O841" s="162"/>
      <c r="P841" s="163"/>
      <c r="Q841" s="163"/>
      <c r="R841" s="163"/>
      <c r="S841" s="163" t="s">
        <v>133</v>
      </c>
      <c r="T841" s="164">
        <v>15000</v>
      </c>
      <c r="U841" s="164"/>
      <c r="V841" s="163"/>
      <c r="W841" s="163"/>
      <c r="X841" s="163"/>
      <c r="Y841" s="163"/>
      <c r="Z841" s="163"/>
      <c r="AA841" s="162"/>
      <c r="AB841" s="195" t="str">
        <f t="shared" si="108"/>
        <v>Aug-26</v>
      </c>
      <c r="AC841" s="163"/>
      <c r="AD841" s="163" t="str">
        <f t="shared" si="109"/>
        <v/>
      </c>
      <c r="AE841" s="163"/>
    </row>
    <row r="842" spans="1:31" x14ac:dyDescent="0.35">
      <c r="A842" s="162">
        <v>46246</v>
      </c>
      <c r="B842" s="163" t="s">
        <v>370</v>
      </c>
      <c r="C842" s="163" t="s">
        <v>93</v>
      </c>
      <c r="D842" s="163" t="s">
        <v>1381</v>
      </c>
      <c r="E842" s="163" t="s">
        <v>106</v>
      </c>
      <c r="F842" s="163" t="s">
        <v>135</v>
      </c>
      <c r="G842" s="163"/>
      <c r="H842" s="163" t="s">
        <v>115</v>
      </c>
      <c r="I842" s="163" t="s">
        <v>121</v>
      </c>
      <c r="J842" s="163" t="s">
        <v>147</v>
      </c>
      <c r="K842" s="163" t="s">
        <v>1382</v>
      </c>
      <c r="L842" s="163"/>
      <c r="M842" s="163" t="s">
        <v>1299</v>
      </c>
      <c r="N842" s="163" t="s">
        <v>130</v>
      </c>
      <c r="O842" s="162"/>
      <c r="P842" s="163"/>
      <c r="Q842" s="163"/>
      <c r="R842" s="163"/>
      <c r="S842" s="163" t="s">
        <v>129</v>
      </c>
      <c r="T842" s="164">
        <v>25000</v>
      </c>
      <c r="U842" s="164"/>
      <c r="V842" s="163"/>
      <c r="W842" s="163"/>
      <c r="X842" s="163"/>
      <c r="Y842" s="163"/>
      <c r="Z842" s="163"/>
      <c r="AA842" s="162"/>
      <c r="AB842" s="195" t="str">
        <f t="shared" si="108"/>
        <v>Aug-26</v>
      </c>
      <c r="AC842" s="163"/>
      <c r="AD842" s="163" t="str">
        <f t="shared" si="109"/>
        <v/>
      </c>
      <c r="AE842" s="163"/>
    </row>
    <row r="843" spans="1:31" x14ac:dyDescent="0.35">
      <c r="A843" s="162">
        <v>46246</v>
      </c>
      <c r="B843" s="163" t="s">
        <v>370</v>
      </c>
      <c r="C843" s="163" t="s">
        <v>93</v>
      </c>
      <c r="D843" s="163" t="s">
        <v>912</v>
      </c>
      <c r="E843" s="163" t="s">
        <v>106</v>
      </c>
      <c r="F843" s="163" t="s">
        <v>135</v>
      </c>
      <c r="G843" s="163"/>
      <c r="H843" s="163" t="s">
        <v>163</v>
      </c>
      <c r="I843" s="163" t="s">
        <v>121</v>
      </c>
      <c r="J843" s="163" t="s">
        <v>147</v>
      </c>
      <c r="K843" s="163" t="s">
        <v>1383</v>
      </c>
      <c r="L843" s="163"/>
      <c r="M843" s="163" t="s">
        <v>1307</v>
      </c>
      <c r="N843" s="163" t="s">
        <v>495</v>
      </c>
      <c r="O843" s="162"/>
      <c r="P843" s="163"/>
      <c r="Q843" s="163"/>
      <c r="R843" s="163"/>
      <c r="S843" s="163" t="s">
        <v>129</v>
      </c>
      <c r="T843" s="164">
        <v>30000</v>
      </c>
      <c r="U843" s="164"/>
      <c r="V843" s="163"/>
      <c r="W843" s="163"/>
      <c r="X843" s="163"/>
      <c r="Y843" s="163"/>
      <c r="Z843" s="163"/>
      <c r="AA843" s="162"/>
      <c r="AB843" s="195" t="str">
        <f t="shared" si="108"/>
        <v>Aug-26</v>
      </c>
      <c r="AC843" s="163"/>
      <c r="AD843" s="163" t="str">
        <f t="shared" si="109"/>
        <v/>
      </c>
      <c r="AE843" s="163"/>
    </row>
    <row r="844" spans="1:31" x14ac:dyDescent="0.35">
      <c r="A844" s="162">
        <v>46246</v>
      </c>
      <c r="B844" s="163" t="s">
        <v>92</v>
      </c>
      <c r="C844" s="163" t="s">
        <v>93</v>
      </c>
      <c r="D844" s="163" t="s">
        <v>19</v>
      </c>
      <c r="E844" s="163" t="s">
        <v>106</v>
      </c>
      <c r="F844" s="163" t="s">
        <v>96</v>
      </c>
      <c r="G844" s="163" t="s">
        <v>10</v>
      </c>
      <c r="H844" s="163" t="s">
        <v>115</v>
      </c>
      <c r="I844" s="163" t="s">
        <v>121</v>
      </c>
      <c r="J844" s="163" t="s">
        <v>99</v>
      </c>
      <c r="K844" s="163" t="s">
        <v>256</v>
      </c>
      <c r="L844" s="163"/>
      <c r="M844" s="163" t="s">
        <v>159</v>
      </c>
      <c r="N844" s="163" t="s">
        <v>102</v>
      </c>
      <c r="O844" s="162"/>
      <c r="P844" s="163"/>
      <c r="Q844" s="163"/>
      <c r="R844" s="163" t="str">
        <f ca="1">IF(OR(N844="Closed( C4 )",N844="Cancelled"),"",IF(AND(O844&lt;&gt;"",O844&lt;TODAY()),"Yes",""))</f>
        <v/>
      </c>
      <c r="S844" s="163" t="s">
        <v>103</v>
      </c>
      <c r="T844" s="164">
        <v>250000</v>
      </c>
      <c r="U844" s="164">
        <v>312900</v>
      </c>
      <c r="V844" s="162">
        <v>46246</v>
      </c>
      <c r="W844" s="163" t="s">
        <v>1384</v>
      </c>
      <c r="X844" s="163" t="s">
        <v>42</v>
      </c>
      <c r="Y844" s="163" t="s">
        <v>85</v>
      </c>
      <c r="Z844" s="163"/>
      <c r="AA844" s="162"/>
      <c r="AB844" s="195" t="str">
        <f t="shared" si="108"/>
        <v>Aug-26</v>
      </c>
      <c r="AC844" s="163"/>
      <c r="AD844" s="163" t="str">
        <f t="shared" si="109"/>
        <v/>
      </c>
      <c r="AE844" s="163"/>
    </row>
    <row r="845" spans="1:31" x14ac:dyDescent="0.35">
      <c r="A845" s="162">
        <v>46246</v>
      </c>
      <c r="B845" s="163" t="s">
        <v>125</v>
      </c>
      <c r="C845" s="163" t="s">
        <v>93</v>
      </c>
      <c r="D845" s="163" t="s">
        <v>19</v>
      </c>
      <c r="E845" s="163" t="s">
        <v>95</v>
      </c>
      <c r="F845" s="163" t="s">
        <v>96</v>
      </c>
      <c r="G845" s="163" t="s">
        <v>10</v>
      </c>
      <c r="H845" s="163" t="s">
        <v>115</v>
      </c>
      <c r="I845" s="163" t="s">
        <v>121</v>
      </c>
      <c r="J845" s="163" t="s">
        <v>99</v>
      </c>
      <c r="K845" s="163" t="s">
        <v>256</v>
      </c>
      <c r="L845" s="163"/>
      <c r="M845" s="163" t="s">
        <v>159</v>
      </c>
      <c r="N845" s="163" t="s">
        <v>102</v>
      </c>
      <c r="O845" s="162"/>
      <c r="P845" s="163"/>
      <c r="Q845" s="163"/>
      <c r="R845" s="163" t="str">
        <f ca="1">IF(OR(N845="Closed( C4 )",N845="Cancelled"),"",IF(AND(O845&lt;&gt;"",O845&lt;TODAY()),"Yes",""))</f>
        <v/>
      </c>
      <c r="S845" s="163" t="s">
        <v>103</v>
      </c>
      <c r="T845" s="164">
        <v>250000</v>
      </c>
      <c r="U845" s="164">
        <v>312900</v>
      </c>
      <c r="V845" s="162">
        <v>46246</v>
      </c>
      <c r="W845" s="163" t="s">
        <v>1384</v>
      </c>
      <c r="X845" s="163" t="s">
        <v>42</v>
      </c>
      <c r="Y845" s="163" t="s">
        <v>85</v>
      </c>
      <c r="Z845" s="163"/>
      <c r="AA845" s="162"/>
      <c r="AB845" s="195" t="str">
        <f t="shared" si="108"/>
        <v>Aug-26</v>
      </c>
      <c r="AC845" s="163"/>
      <c r="AD845" s="163" t="str">
        <f t="shared" si="109"/>
        <v/>
      </c>
      <c r="AE845" s="163"/>
    </row>
    <row r="846" spans="1:31" x14ac:dyDescent="0.35">
      <c r="A846" s="162">
        <v>46246</v>
      </c>
      <c r="B846" s="163" t="s">
        <v>92</v>
      </c>
      <c r="C846" s="163" t="s">
        <v>93</v>
      </c>
      <c r="D846" s="163" t="s">
        <v>1385</v>
      </c>
      <c r="E846" s="163" t="s">
        <v>106</v>
      </c>
      <c r="F846" s="163" t="s">
        <v>135</v>
      </c>
      <c r="G846" s="163"/>
      <c r="H846" s="163" t="s">
        <v>163</v>
      </c>
      <c r="I846" s="163" t="s">
        <v>121</v>
      </c>
      <c r="J846" s="163" t="s">
        <v>147</v>
      </c>
      <c r="K846" s="163" t="s">
        <v>1386</v>
      </c>
      <c r="L846" s="163"/>
      <c r="M846" s="163" t="s">
        <v>1387</v>
      </c>
      <c r="N846" s="163" t="s">
        <v>156</v>
      </c>
      <c r="O846" s="162"/>
      <c r="P846" s="163"/>
      <c r="Q846" s="163"/>
      <c r="R846" s="163"/>
      <c r="S846" s="163" t="s">
        <v>103</v>
      </c>
      <c r="T846" s="164">
        <v>0</v>
      </c>
      <c r="U846" s="164"/>
      <c r="V846" s="163"/>
      <c r="W846" s="163"/>
      <c r="X846" s="163"/>
      <c r="Y846" s="163"/>
      <c r="Z846" s="163"/>
      <c r="AA846" s="162"/>
      <c r="AB846" s="195" t="str">
        <f t="shared" si="108"/>
        <v>Aug-26</v>
      </c>
      <c r="AC846" s="163"/>
      <c r="AD846" s="163" t="str">
        <f t="shared" si="109"/>
        <v/>
      </c>
      <c r="AE846" s="163"/>
    </row>
    <row r="847" spans="1:31" x14ac:dyDescent="0.35">
      <c r="A847" s="162">
        <v>46246</v>
      </c>
      <c r="B847" s="163" t="s">
        <v>125</v>
      </c>
      <c r="C847" s="163" t="s">
        <v>113</v>
      </c>
      <c r="D847" s="163" t="s">
        <v>255</v>
      </c>
      <c r="E847" s="163" t="s">
        <v>106</v>
      </c>
      <c r="F847" s="163" t="s">
        <v>135</v>
      </c>
      <c r="G847" s="163"/>
      <c r="H847" s="163" t="s">
        <v>97</v>
      </c>
      <c r="I847" s="163" t="s">
        <v>98</v>
      </c>
      <c r="J847" s="163" t="s">
        <v>166</v>
      </c>
      <c r="K847" s="163" t="s">
        <v>256</v>
      </c>
      <c r="L847" s="163"/>
      <c r="M847" s="163" t="s">
        <v>526</v>
      </c>
      <c r="N847" s="163" t="s">
        <v>102</v>
      </c>
      <c r="O847" s="162"/>
      <c r="P847" s="163"/>
      <c r="Q847" s="163"/>
      <c r="R847" s="163" t="str">
        <f ca="1">IF(OR(N847="Closed( C4 )",N847="Cancelled"),"",IF(AND(O847&lt;&gt;"",O847&lt;TODAY()),"Yes",""))</f>
        <v/>
      </c>
      <c r="S847" s="163" t="s">
        <v>103</v>
      </c>
      <c r="T847" s="164">
        <v>15000</v>
      </c>
      <c r="U847" s="164">
        <v>18432</v>
      </c>
      <c r="V847" s="162">
        <v>46246</v>
      </c>
      <c r="W847" s="214" t="s">
        <v>1388</v>
      </c>
      <c r="X847" s="163" t="s">
        <v>62</v>
      </c>
      <c r="Y847" s="163" t="s">
        <v>85</v>
      </c>
      <c r="Z847" s="163"/>
      <c r="AA847" s="162"/>
      <c r="AB847" s="195" t="str">
        <f t="shared" si="108"/>
        <v>Aug-26</v>
      </c>
      <c r="AC847" s="163"/>
      <c r="AD847" s="163" t="str">
        <f t="shared" si="109"/>
        <v/>
      </c>
      <c r="AE847" s="163"/>
    </row>
    <row r="848" spans="1:31" x14ac:dyDescent="0.35">
      <c r="A848" s="162">
        <v>46246</v>
      </c>
      <c r="B848" s="163" t="s">
        <v>148</v>
      </c>
      <c r="C848" s="163" t="s">
        <v>113</v>
      </c>
      <c r="D848" s="163" t="s">
        <v>165</v>
      </c>
      <c r="E848" s="163" t="s">
        <v>95</v>
      </c>
      <c r="F848" s="163" t="s">
        <v>135</v>
      </c>
      <c r="G848" s="163" t="s">
        <v>10</v>
      </c>
      <c r="H848" s="163" t="s">
        <v>115</v>
      </c>
      <c r="I848" s="163" t="s">
        <v>98</v>
      </c>
      <c r="J848" s="163" t="s">
        <v>166</v>
      </c>
      <c r="K848" s="163" t="s">
        <v>167</v>
      </c>
      <c r="L848" s="163"/>
      <c r="M848" s="163" t="s">
        <v>159</v>
      </c>
      <c r="N848" s="163" t="s">
        <v>102</v>
      </c>
      <c r="O848" s="162"/>
      <c r="P848" s="163"/>
      <c r="Q848" s="163" t="str">
        <f ca="1">IF(N848="Closed(C4)","",IF(N848="","",TODAY()-A848))</f>
        <v/>
      </c>
      <c r="R848" s="163" t="str">
        <f ca="1">IF(OR(N848="Closed( C4 )",N848="Cancelled"),"",IF(AND(O848&lt;&gt;"",O848&lt;TODAY()),"Yes",""))</f>
        <v/>
      </c>
      <c r="S848" s="163" t="s">
        <v>103</v>
      </c>
      <c r="T848" s="164">
        <v>25000</v>
      </c>
      <c r="U848" s="164">
        <v>28875</v>
      </c>
      <c r="V848" s="162">
        <v>46246</v>
      </c>
      <c r="W848" s="163" t="s">
        <v>1389</v>
      </c>
      <c r="X848" s="163" t="s">
        <v>35</v>
      </c>
      <c r="Y848" s="163" t="s">
        <v>1017</v>
      </c>
      <c r="Z848" s="163"/>
      <c r="AA848" s="162"/>
      <c r="AB848" s="195" t="str">
        <f t="shared" si="108"/>
        <v>Aug-26</v>
      </c>
      <c r="AC848" s="163"/>
      <c r="AD848" s="163" t="str">
        <f t="shared" si="109"/>
        <v/>
      </c>
      <c r="AE848" s="163"/>
    </row>
    <row r="849" spans="1:31" x14ac:dyDescent="0.35">
      <c r="A849" s="162">
        <v>46246</v>
      </c>
      <c r="B849" s="163" t="s">
        <v>92</v>
      </c>
      <c r="C849" s="163" t="s">
        <v>113</v>
      </c>
      <c r="D849" s="163" t="s">
        <v>165</v>
      </c>
      <c r="E849" s="163" t="s">
        <v>95</v>
      </c>
      <c r="F849" s="163" t="s">
        <v>135</v>
      </c>
      <c r="G849" s="163" t="s">
        <v>10</v>
      </c>
      <c r="H849" s="163" t="s">
        <v>115</v>
      </c>
      <c r="I849" s="163" t="s">
        <v>98</v>
      </c>
      <c r="J849" s="163" t="s">
        <v>166</v>
      </c>
      <c r="K849" s="163" t="s">
        <v>167</v>
      </c>
      <c r="L849" s="163"/>
      <c r="M849" s="163" t="s">
        <v>1299</v>
      </c>
      <c r="N849" s="163" t="s">
        <v>102</v>
      </c>
      <c r="O849" s="162"/>
      <c r="P849" s="163"/>
      <c r="Q849" s="163" t="str">
        <f ca="1">IF(N849="Closed(C4)","",IF(N849="","",TODAY()-A849))</f>
        <v/>
      </c>
      <c r="R849" s="163" t="str">
        <f ca="1">IF(OR(N849="Closed( C4 )",N849="Cancelled"),"",IF(AND(O849&lt;&gt;"",O849&lt;TODAY()),"Yes",""))</f>
        <v/>
      </c>
      <c r="S849" s="163" t="s">
        <v>103</v>
      </c>
      <c r="T849" s="164">
        <v>25000</v>
      </c>
      <c r="U849" s="164">
        <v>28874</v>
      </c>
      <c r="V849" s="162">
        <v>46246</v>
      </c>
      <c r="W849" s="163" t="s">
        <v>1389</v>
      </c>
      <c r="X849" s="163" t="s">
        <v>35</v>
      </c>
      <c r="Y849" s="163" t="s">
        <v>1017</v>
      </c>
      <c r="Z849" s="163"/>
      <c r="AA849" s="162"/>
      <c r="AB849" s="195" t="str">
        <f t="shared" si="108"/>
        <v>Aug-26</v>
      </c>
      <c r="AC849" s="163"/>
      <c r="AD849" s="163" t="str">
        <f t="shared" si="109"/>
        <v/>
      </c>
      <c r="AE849" s="163"/>
    </row>
    <row r="850" spans="1:31" x14ac:dyDescent="0.35">
      <c r="A850" s="162">
        <v>46247</v>
      </c>
      <c r="B850" s="163" t="s">
        <v>370</v>
      </c>
      <c r="C850" s="163" t="s">
        <v>93</v>
      </c>
      <c r="D850" s="163" t="s">
        <v>1390</v>
      </c>
      <c r="E850" s="163" t="s">
        <v>106</v>
      </c>
      <c r="F850" s="163" t="s">
        <v>135</v>
      </c>
      <c r="G850" s="163"/>
      <c r="H850" s="163" t="s">
        <v>115</v>
      </c>
      <c r="I850" s="163" t="s">
        <v>121</v>
      </c>
      <c r="J850" s="163" t="s">
        <v>147</v>
      </c>
      <c r="K850" s="163" t="s">
        <v>1391</v>
      </c>
      <c r="L850" s="163"/>
      <c r="M850" s="163" t="s">
        <v>914</v>
      </c>
      <c r="N850" s="163" t="s">
        <v>130</v>
      </c>
      <c r="O850" s="162">
        <v>46272</v>
      </c>
      <c r="P850" s="163" t="s">
        <v>95</v>
      </c>
      <c r="Q850" s="163"/>
      <c r="R850" s="163"/>
      <c r="S850" s="163" t="s">
        <v>133</v>
      </c>
      <c r="T850" s="164">
        <v>40000</v>
      </c>
      <c r="U850" s="164"/>
      <c r="V850" s="162"/>
      <c r="W850" s="163"/>
      <c r="X850" s="163"/>
      <c r="Y850" s="163"/>
      <c r="Z850" s="163"/>
      <c r="AA850" s="162"/>
      <c r="AB850" s="195" t="str">
        <f t="shared" si="108"/>
        <v>Aug-26</v>
      </c>
      <c r="AC850" s="163"/>
      <c r="AD850" s="163"/>
      <c r="AE850" s="163"/>
    </row>
    <row r="851" spans="1:31" x14ac:dyDescent="0.35">
      <c r="A851" s="162">
        <v>46247</v>
      </c>
      <c r="B851" s="163" t="s">
        <v>370</v>
      </c>
      <c r="C851" s="163" t="s">
        <v>93</v>
      </c>
      <c r="D851" s="163" t="s">
        <v>1392</v>
      </c>
      <c r="E851" s="163" t="s">
        <v>106</v>
      </c>
      <c r="F851" s="163" t="s">
        <v>135</v>
      </c>
      <c r="G851" s="163"/>
      <c r="H851" s="163" t="s">
        <v>115</v>
      </c>
      <c r="I851" s="163" t="s">
        <v>121</v>
      </c>
      <c r="J851" s="163" t="s">
        <v>147</v>
      </c>
      <c r="K851" s="163" t="s">
        <v>501</v>
      </c>
      <c r="L851" s="163"/>
      <c r="M851" s="163" t="s">
        <v>1307</v>
      </c>
      <c r="N851" s="163" t="s">
        <v>128</v>
      </c>
      <c r="O851" s="162">
        <v>46265</v>
      </c>
      <c r="P851" s="163" t="s">
        <v>95</v>
      </c>
      <c r="Q851" s="163"/>
      <c r="R851" s="163"/>
      <c r="S851" s="163" t="s">
        <v>133</v>
      </c>
      <c r="T851" s="164">
        <v>20000</v>
      </c>
      <c r="U851" s="164"/>
      <c r="V851" s="162"/>
      <c r="W851" s="163"/>
      <c r="X851" s="163"/>
      <c r="Y851" s="163"/>
      <c r="Z851" s="163"/>
      <c r="AA851" s="162"/>
      <c r="AB851" s="195" t="str">
        <f t="shared" si="108"/>
        <v>Aug-26</v>
      </c>
      <c r="AC851" s="163"/>
      <c r="AD851" s="163"/>
      <c r="AE851" s="163"/>
    </row>
    <row r="852" spans="1:31" x14ac:dyDescent="0.35">
      <c r="A852" s="162">
        <v>46247</v>
      </c>
      <c r="B852" s="163" t="s">
        <v>370</v>
      </c>
      <c r="C852" s="163" t="s">
        <v>93</v>
      </c>
      <c r="D852" s="163" t="s">
        <v>1393</v>
      </c>
      <c r="E852" s="163" t="s">
        <v>106</v>
      </c>
      <c r="F852" s="163" t="s">
        <v>135</v>
      </c>
      <c r="G852" s="163"/>
      <c r="H852" s="163" t="s">
        <v>115</v>
      </c>
      <c r="I852" s="163" t="s">
        <v>121</v>
      </c>
      <c r="J852" s="163" t="s">
        <v>147</v>
      </c>
      <c r="K852" s="163" t="s">
        <v>1394</v>
      </c>
      <c r="L852" s="163"/>
      <c r="M852" s="163" t="s">
        <v>1307</v>
      </c>
      <c r="N852" s="163" t="s">
        <v>495</v>
      </c>
      <c r="O852" s="162"/>
      <c r="P852" s="163"/>
      <c r="Q852" s="163"/>
      <c r="R852" s="163"/>
      <c r="S852" s="163" t="s">
        <v>129</v>
      </c>
      <c r="T852" s="164">
        <v>35000</v>
      </c>
      <c r="U852" s="164"/>
      <c r="V852" s="162"/>
      <c r="W852" s="163"/>
      <c r="X852" s="163"/>
      <c r="Y852" s="163"/>
      <c r="Z852" s="163"/>
      <c r="AA852" s="162"/>
      <c r="AB852" s="195" t="str">
        <f t="shared" si="108"/>
        <v>Aug-26</v>
      </c>
      <c r="AC852" s="163"/>
      <c r="AD852" s="163"/>
      <c r="AE852" s="163"/>
    </row>
    <row r="853" spans="1:31" x14ac:dyDescent="0.35">
      <c r="A853" s="162">
        <v>46248</v>
      </c>
      <c r="B853" s="163" t="s">
        <v>1331</v>
      </c>
      <c r="C853" s="163" t="s">
        <v>93</v>
      </c>
      <c r="D853" s="163" t="s">
        <v>1395</v>
      </c>
      <c r="E853" s="163" t="s">
        <v>95</v>
      </c>
      <c r="F853" s="163" t="s">
        <v>135</v>
      </c>
      <c r="G853" s="163"/>
      <c r="H853" s="163" t="s">
        <v>115</v>
      </c>
      <c r="I853" s="163" t="s">
        <v>121</v>
      </c>
      <c r="J853" s="163" t="s">
        <v>356</v>
      </c>
      <c r="K853" s="163" t="s">
        <v>357</v>
      </c>
      <c r="L853" s="163"/>
      <c r="M853" s="163" t="s">
        <v>1396</v>
      </c>
      <c r="N853" s="163" t="s">
        <v>102</v>
      </c>
      <c r="O853" s="162"/>
      <c r="P853" s="163"/>
      <c r="Q853" s="163"/>
      <c r="R853" s="163"/>
      <c r="S853" s="163" t="s">
        <v>103</v>
      </c>
      <c r="T853" s="164">
        <v>8000</v>
      </c>
      <c r="U853" s="164">
        <v>8100</v>
      </c>
      <c r="V853" s="162">
        <v>46248</v>
      </c>
      <c r="W853" s="163" t="s">
        <v>1397</v>
      </c>
      <c r="X853" s="163" t="s">
        <v>56</v>
      </c>
      <c r="Y853" s="163" t="s">
        <v>161</v>
      </c>
      <c r="Z853" s="163"/>
      <c r="AA853" s="162">
        <v>46248</v>
      </c>
      <c r="AB853" s="195" t="str">
        <f t="shared" si="108"/>
        <v>Aug-26</v>
      </c>
      <c r="AC853" s="163"/>
      <c r="AD853" s="163" t="str">
        <f t="shared" ref="AD853:AD858" si="110">IF(AC853="Yes",U853*2%,"")</f>
        <v/>
      </c>
      <c r="AE853" s="163" t="s">
        <v>270</v>
      </c>
    </row>
    <row r="854" spans="1:31" x14ac:dyDescent="0.35">
      <c r="A854" s="162">
        <v>46248</v>
      </c>
      <c r="B854" s="163" t="s">
        <v>370</v>
      </c>
      <c r="C854" s="163" t="s">
        <v>93</v>
      </c>
      <c r="D854" s="163" t="s">
        <v>486</v>
      </c>
      <c r="E854" s="163" t="s">
        <v>106</v>
      </c>
      <c r="F854" s="163" t="s">
        <v>135</v>
      </c>
      <c r="G854" s="163"/>
      <c r="H854" s="163" t="s">
        <v>115</v>
      </c>
      <c r="I854" s="163" t="s">
        <v>121</v>
      </c>
      <c r="J854" s="163" t="s">
        <v>147</v>
      </c>
      <c r="K854" s="163" t="s">
        <v>1398</v>
      </c>
      <c r="L854" s="163"/>
      <c r="M854" s="163" t="s">
        <v>914</v>
      </c>
      <c r="N854" s="163" t="s">
        <v>128</v>
      </c>
      <c r="O854" s="162">
        <v>46266</v>
      </c>
      <c r="P854" s="163" t="s">
        <v>95</v>
      </c>
      <c r="Q854" s="163"/>
      <c r="R854" s="163"/>
      <c r="S854" s="163" t="s">
        <v>133</v>
      </c>
      <c r="T854" s="164">
        <v>25000</v>
      </c>
      <c r="U854" s="164"/>
      <c r="V854" s="163"/>
      <c r="W854" s="163"/>
      <c r="X854" s="163"/>
      <c r="Y854" s="163"/>
      <c r="Z854" s="163"/>
      <c r="AA854" s="162"/>
      <c r="AB854" s="195" t="str">
        <f t="shared" si="108"/>
        <v>Aug-26</v>
      </c>
      <c r="AC854" s="163"/>
      <c r="AD854" s="163" t="str">
        <f t="shared" si="110"/>
        <v/>
      </c>
      <c r="AE854" s="163"/>
    </row>
    <row r="855" spans="1:31" x14ac:dyDescent="0.35">
      <c r="A855" s="162">
        <v>46248</v>
      </c>
      <c r="B855" s="163" t="s">
        <v>370</v>
      </c>
      <c r="C855" s="163" t="s">
        <v>93</v>
      </c>
      <c r="D855" s="190" t="s">
        <v>973</v>
      </c>
      <c r="E855" s="163" t="s">
        <v>106</v>
      </c>
      <c r="F855" s="163" t="s">
        <v>135</v>
      </c>
      <c r="G855" s="163"/>
      <c r="H855" s="163" t="s">
        <v>115</v>
      </c>
      <c r="I855" s="163" t="s">
        <v>121</v>
      </c>
      <c r="J855" s="163" t="s">
        <v>147</v>
      </c>
      <c r="K855" s="163" t="s">
        <v>1399</v>
      </c>
      <c r="L855" s="163"/>
      <c r="M855" s="163" t="s">
        <v>1307</v>
      </c>
      <c r="N855" s="163" t="s">
        <v>495</v>
      </c>
      <c r="O855" s="162">
        <v>46259</v>
      </c>
      <c r="P855" s="163" t="s">
        <v>95</v>
      </c>
      <c r="Q855" s="163"/>
      <c r="R855" s="163"/>
      <c r="S855" s="163" t="s">
        <v>103</v>
      </c>
      <c r="T855" s="164">
        <v>40000</v>
      </c>
      <c r="U855" s="164"/>
      <c r="V855" s="163"/>
      <c r="W855" s="163"/>
      <c r="X855" s="163"/>
      <c r="Y855" s="163"/>
      <c r="Z855" s="163"/>
      <c r="AA855" s="162"/>
      <c r="AB855" s="195" t="str">
        <f t="shared" si="108"/>
        <v>Aug-26</v>
      </c>
      <c r="AC855" s="163"/>
      <c r="AD855" s="163" t="str">
        <f t="shared" si="110"/>
        <v/>
      </c>
      <c r="AE855" s="163"/>
    </row>
    <row r="856" spans="1:31" x14ac:dyDescent="0.35">
      <c r="A856" s="162">
        <v>46248</v>
      </c>
      <c r="B856" s="163" t="s">
        <v>370</v>
      </c>
      <c r="C856" s="163" t="s">
        <v>93</v>
      </c>
      <c r="D856" s="163" t="s">
        <v>262</v>
      </c>
      <c r="E856" s="163" t="s">
        <v>95</v>
      </c>
      <c r="F856" s="163" t="s">
        <v>115</v>
      </c>
      <c r="G856" s="163"/>
      <c r="H856" s="163" t="s">
        <v>115</v>
      </c>
      <c r="I856" s="163" t="s">
        <v>121</v>
      </c>
      <c r="J856" s="163" t="s">
        <v>262</v>
      </c>
      <c r="K856" s="163" t="s">
        <v>1400</v>
      </c>
      <c r="L856" s="163"/>
      <c r="M856" s="163" t="s">
        <v>1401</v>
      </c>
      <c r="N856" s="163" t="s">
        <v>181</v>
      </c>
      <c r="O856" s="162"/>
      <c r="P856" s="163"/>
      <c r="Q856" s="163"/>
      <c r="R856" s="163"/>
      <c r="S856" s="163" t="s">
        <v>133</v>
      </c>
      <c r="T856" s="164">
        <v>20000</v>
      </c>
      <c r="U856" s="164"/>
      <c r="V856" s="163"/>
      <c r="W856" s="163"/>
      <c r="X856" s="163"/>
      <c r="Y856" s="163"/>
      <c r="Z856" s="163"/>
      <c r="AA856" s="162"/>
      <c r="AB856" s="195" t="str">
        <f t="shared" si="108"/>
        <v>Aug-26</v>
      </c>
      <c r="AC856" s="163"/>
      <c r="AD856" s="163" t="str">
        <f t="shared" si="110"/>
        <v/>
      </c>
      <c r="AE856" s="163"/>
    </row>
    <row r="857" spans="1:31" x14ac:dyDescent="0.35">
      <c r="A857" s="162">
        <v>46248</v>
      </c>
      <c r="B857" s="163" t="s">
        <v>370</v>
      </c>
      <c r="C857" s="163" t="s">
        <v>93</v>
      </c>
      <c r="D857" s="163" t="s">
        <v>1402</v>
      </c>
      <c r="E857" s="163" t="s">
        <v>95</v>
      </c>
      <c r="F857" s="163" t="s">
        <v>115</v>
      </c>
      <c r="G857" s="163"/>
      <c r="H857" s="163" t="s">
        <v>115</v>
      </c>
      <c r="I857" s="163" t="s">
        <v>121</v>
      </c>
      <c r="J857" s="163" t="s">
        <v>147</v>
      </c>
      <c r="K857" s="163" t="s">
        <v>1403</v>
      </c>
      <c r="L857" s="163"/>
      <c r="M857" s="163" t="s">
        <v>1401</v>
      </c>
      <c r="N857" s="163" t="s">
        <v>181</v>
      </c>
      <c r="O857" s="162"/>
      <c r="P857" s="163"/>
      <c r="Q857" s="163"/>
      <c r="R857" s="163"/>
      <c r="S857" s="163" t="s">
        <v>133</v>
      </c>
      <c r="T857" s="164">
        <v>35000</v>
      </c>
      <c r="U857" s="164"/>
      <c r="V857" s="163"/>
      <c r="W857" s="163"/>
      <c r="X857" s="163"/>
      <c r="Y857" s="163"/>
      <c r="Z857" s="163"/>
      <c r="AA857" s="162"/>
      <c r="AB857" s="195" t="str">
        <f t="shared" si="108"/>
        <v>Aug-26</v>
      </c>
      <c r="AC857" s="163"/>
      <c r="AD857" s="163" t="str">
        <f t="shared" si="110"/>
        <v/>
      </c>
      <c r="AE857" s="163"/>
    </row>
    <row r="858" spans="1:31" x14ac:dyDescent="0.35">
      <c r="A858" s="162">
        <v>46248</v>
      </c>
      <c r="B858" s="163" t="s">
        <v>148</v>
      </c>
      <c r="C858" s="163" t="s">
        <v>143</v>
      </c>
      <c r="D858" s="163" t="s">
        <v>1404</v>
      </c>
      <c r="E858" s="163" t="s">
        <v>95</v>
      </c>
      <c r="F858" s="163" t="s">
        <v>96</v>
      </c>
      <c r="G858" s="163"/>
      <c r="H858" s="163" t="s">
        <v>163</v>
      </c>
      <c r="I858" s="163" t="s">
        <v>121</v>
      </c>
      <c r="J858" s="163" t="s">
        <v>153</v>
      </c>
      <c r="K858" s="163" t="s">
        <v>1405</v>
      </c>
      <c r="L858" s="163"/>
      <c r="M858" s="163" t="s">
        <v>1406</v>
      </c>
      <c r="N858" s="163" t="s">
        <v>130</v>
      </c>
      <c r="O858" s="162">
        <v>46293</v>
      </c>
      <c r="P858" s="163" t="s">
        <v>95</v>
      </c>
      <c r="Q858" s="163"/>
      <c r="R858" s="163"/>
      <c r="S858" s="163" t="s">
        <v>129</v>
      </c>
      <c r="T858" s="164"/>
      <c r="U858" s="164"/>
      <c r="V858" s="163"/>
      <c r="W858" s="163"/>
      <c r="X858" s="163"/>
      <c r="Y858" s="163"/>
      <c r="Z858" s="163"/>
      <c r="AA858" s="162"/>
      <c r="AB858" s="195" t="str">
        <f t="shared" si="108"/>
        <v>Aug-26</v>
      </c>
      <c r="AC858" s="163"/>
      <c r="AD858" s="163" t="str">
        <f t="shared" si="110"/>
        <v/>
      </c>
      <c r="AE858" s="163"/>
    </row>
    <row r="859" spans="1:31" x14ac:dyDescent="0.35">
      <c r="A859" s="162">
        <v>46251</v>
      </c>
      <c r="B859" s="163" t="s">
        <v>370</v>
      </c>
      <c r="C859" s="163" t="s">
        <v>93</v>
      </c>
      <c r="D859" s="163" t="s">
        <v>1380</v>
      </c>
      <c r="E859" s="163" t="s">
        <v>106</v>
      </c>
      <c r="F859" s="163" t="s">
        <v>135</v>
      </c>
      <c r="G859" s="163"/>
      <c r="H859" s="163" t="s">
        <v>115</v>
      </c>
      <c r="I859" s="163" t="s">
        <v>121</v>
      </c>
      <c r="J859" s="163" t="s">
        <v>356</v>
      </c>
      <c r="K859" s="163" t="s">
        <v>1253</v>
      </c>
      <c r="L859" s="163"/>
      <c r="M859" s="163" t="s">
        <v>914</v>
      </c>
      <c r="N859" s="163" t="s">
        <v>130</v>
      </c>
      <c r="O859" s="162">
        <v>46258</v>
      </c>
      <c r="P859" s="163" t="s">
        <v>95</v>
      </c>
      <c r="Q859" s="163"/>
      <c r="R859" s="163"/>
      <c r="S859" s="163" t="s">
        <v>129</v>
      </c>
      <c r="T859" s="164">
        <v>20000</v>
      </c>
      <c r="U859" s="164"/>
      <c r="V859" s="163"/>
      <c r="W859" s="163"/>
      <c r="X859" s="163"/>
      <c r="Y859" s="163"/>
      <c r="Z859" s="163"/>
      <c r="AA859" s="162"/>
      <c r="AB859" s="195" t="str">
        <f t="shared" si="108"/>
        <v>Aug-26</v>
      </c>
      <c r="AC859" s="163"/>
      <c r="AD859" s="163"/>
      <c r="AE859" s="163"/>
    </row>
    <row r="860" spans="1:31" x14ac:dyDescent="0.35">
      <c r="A860" s="162">
        <v>46251</v>
      </c>
      <c r="B860" s="163" t="s">
        <v>370</v>
      </c>
      <c r="C860" s="163" t="s">
        <v>93</v>
      </c>
      <c r="D860" s="163" t="s">
        <v>1407</v>
      </c>
      <c r="E860" s="163" t="s">
        <v>106</v>
      </c>
      <c r="F860" s="163" t="s">
        <v>135</v>
      </c>
      <c r="G860" s="163"/>
      <c r="H860" s="163" t="s">
        <v>115</v>
      </c>
      <c r="I860" s="163" t="s">
        <v>121</v>
      </c>
      <c r="J860" s="163" t="s">
        <v>147</v>
      </c>
      <c r="K860" s="163" t="s">
        <v>1408</v>
      </c>
      <c r="L860" s="163"/>
      <c r="M860" s="163" t="s">
        <v>1307</v>
      </c>
      <c r="N860" s="163" t="s">
        <v>495</v>
      </c>
      <c r="O860" s="162">
        <v>46266</v>
      </c>
      <c r="P860" s="163" t="s">
        <v>95</v>
      </c>
      <c r="Q860" s="163"/>
      <c r="R860" s="163"/>
      <c r="S860" s="163" t="s">
        <v>129</v>
      </c>
      <c r="T860" s="164">
        <v>40000</v>
      </c>
      <c r="U860" s="164"/>
      <c r="V860" s="163"/>
      <c r="W860" s="163"/>
      <c r="X860" s="163"/>
      <c r="Y860" s="163"/>
      <c r="Z860" s="163"/>
      <c r="AA860" s="162"/>
      <c r="AB860" s="195" t="str">
        <f t="shared" si="108"/>
        <v>Aug-26</v>
      </c>
      <c r="AC860" s="163"/>
      <c r="AD860" s="163"/>
      <c r="AE860" s="163"/>
    </row>
    <row r="861" spans="1:31" x14ac:dyDescent="0.35">
      <c r="A861" s="162">
        <v>46251</v>
      </c>
      <c r="B861" s="163" t="s">
        <v>370</v>
      </c>
      <c r="C861" s="163" t="s">
        <v>93</v>
      </c>
      <c r="D861" s="163" t="s">
        <v>1409</v>
      </c>
      <c r="E861" s="163" t="s">
        <v>106</v>
      </c>
      <c r="F861" s="163" t="s">
        <v>135</v>
      </c>
      <c r="G861" s="163"/>
      <c r="H861" s="163" t="s">
        <v>115</v>
      </c>
      <c r="I861" s="163" t="s">
        <v>121</v>
      </c>
      <c r="J861" s="163" t="s">
        <v>147</v>
      </c>
      <c r="K861" s="163" t="s">
        <v>1065</v>
      </c>
      <c r="L861" s="163"/>
      <c r="M861" s="163" t="s">
        <v>914</v>
      </c>
      <c r="N861" s="163" t="s">
        <v>128</v>
      </c>
      <c r="O861" s="162">
        <v>46262</v>
      </c>
      <c r="P861" s="163" t="s">
        <v>95</v>
      </c>
      <c r="Q861" s="163"/>
      <c r="R861" s="163"/>
      <c r="S861" s="163" t="s">
        <v>129</v>
      </c>
      <c r="T861" s="164">
        <v>15000</v>
      </c>
      <c r="U861" s="164"/>
      <c r="V861" s="163"/>
      <c r="W861" s="163"/>
      <c r="X861" s="163"/>
      <c r="Y861" s="163"/>
      <c r="Z861" s="163"/>
      <c r="AA861" s="162"/>
      <c r="AB861" s="195" t="str">
        <f t="shared" si="108"/>
        <v>Aug-26</v>
      </c>
      <c r="AC861" s="163"/>
      <c r="AD861" s="163"/>
      <c r="AE861" s="163"/>
    </row>
    <row r="862" spans="1:31" x14ac:dyDescent="0.35">
      <c r="A862" s="162">
        <v>46251</v>
      </c>
      <c r="B862" s="163" t="s">
        <v>148</v>
      </c>
      <c r="C862" s="163" t="s">
        <v>113</v>
      </c>
      <c r="D862" s="163" t="s">
        <v>1410</v>
      </c>
      <c r="E862" s="163" t="s">
        <v>106</v>
      </c>
      <c r="F862" s="163" t="s">
        <v>135</v>
      </c>
      <c r="G862" s="163"/>
      <c r="H862" s="163" t="s">
        <v>115</v>
      </c>
      <c r="I862" s="163" t="s">
        <v>121</v>
      </c>
      <c r="J862" s="163" t="s">
        <v>147</v>
      </c>
      <c r="K862" s="163" t="s">
        <v>1411</v>
      </c>
      <c r="L862" s="163"/>
      <c r="M862" s="163" t="s">
        <v>1412</v>
      </c>
      <c r="N862" s="163" t="s">
        <v>128</v>
      </c>
      <c r="O862" s="162">
        <v>46272</v>
      </c>
      <c r="P862" s="163" t="s">
        <v>106</v>
      </c>
      <c r="Q862" s="163"/>
      <c r="R862" s="163"/>
      <c r="S862" s="163" t="s">
        <v>129</v>
      </c>
      <c r="T862" s="164">
        <v>6500</v>
      </c>
      <c r="U862" s="164"/>
      <c r="V862" s="163"/>
      <c r="W862" s="163"/>
      <c r="X862" s="163"/>
      <c r="Y862" s="163"/>
      <c r="Z862" s="163"/>
      <c r="AA862" s="162"/>
      <c r="AB862" s="195" t="str">
        <f t="shared" si="108"/>
        <v>Aug-26</v>
      </c>
      <c r="AC862" s="163"/>
      <c r="AD862" s="163" t="str">
        <f>IF(AC862="Yes",U862*2%,"")</f>
        <v/>
      </c>
      <c r="AE862" s="163"/>
    </row>
    <row r="863" spans="1:31" x14ac:dyDescent="0.35">
      <c r="A863" s="162">
        <v>46252</v>
      </c>
      <c r="B863" s="163" t="s">
        <v>92</v>
      </c>
      <c r="C863" s="163" t="s">
        <v>93</v>
      </c>
      <c r="D863" s="163" t="s">
        <v>1385</v>
      </c>
      <c r="E863" s="163" t="s">
        <v>95</v>
      </c>
      <c r="F863" s="163" t="s">
        <v>115</v>
      </c>
      <c r="G863" s="163"/>
      <c r="H863" s="163" t="s">
        <v>115</v>
      </c>
      <c r="I863" s="163" t="s">
        <v>121</v>
      </c>
      <c r="J863" s="163" t="s">
        <v>147</v>
      </c>
      <c r="K863" s="163" t="s">
        <v>1413</v>
      </c>
      <c r="L863" s="163"/>
      <c r="M863" s="163" t="s">
        <v>1414</v>
      </c>
      <c r="N863" s="163" t="s">
        <v>495</v>
      </c>
      <c r="O863" s="162">
        <v>46254</v>
      </c>
      <c r="P863" s="163" t="s">
        <v>95</v>
      </c>
      <c r="Q863" s="163"/>
      <c r="R863" s="163"/>
      <c r="S863" s="163" t="s">
        <v>103</v>
      </c>
      <c r="T863" s="164">
        <v>50000</v>
      </c>
      <c r="U863" s="164"/>
      <c r="V863" s="163"/>
      <c r="W863" s="163"/>
      <c r="X863" s="163"/>
      <c r="Y863" s="163"/>
      <c r="Z863" s="163"/>
      <c r="AA863" s="162"/>
      <c r="AB863" s="195" t="str">
        <f t="shared" si="108"/>
        <v>Aug-26</v>
      </c>
      <c r="AC863" s="163"/>
      <c r="AD863" s="163"/>
      <c r="AE863" s="163"/>
    </row>
    <row r="864" spans="1:31" x14ac:dyDescent="0.35">
      <c r="A864" s="162">
        <v>46252</v>
      </c>
      <c r="B864" s="163" t="s">
        <v>370</v>
      </c>
      <c r="C864" s="163" t="s">
        <v>93</v>
      </c>
      <c r="D864" s="163" t="s">
        <v>213</v>
      </c>
      <c r="E864" s="163" t="s">
        <v>106</v>
      </c>
      <c r="F864" s="163" t="s">
        <v>135</v>
      </c>
      <c r="G864" s="163"/>
      <c r="H864" s="163" t="s">
        <v>115</v>
      </c>
      <c r="I864" s="163" t="s">
        <v>121</v>
      </c>
      <c r="J864" s="163" t="s">
        <v>147</v>
      </c>
      <c r="K864" s="163" t="s">
        <v>1415</v>
      </c>
      <c r="L864" s="163"/>
      <c r="M864" s="163" t="s">
        <v>914</v>
      </c>
      <c r="N864" s="163" t="s">
        <v>128</v>
      </c>
      <c r="O864" s="162">
        <v>46266</v>
      </c>
      <c r="P864" s="163" t="s">
        <v>106</v>
      </c>
      <c r="Q864" s="163"/>
      <c r="R864" s="163"/>
      <c r="S864" s="163" t="s">
        <v>129</v>
      </c>
      <c r="T864" s="164">
        <v>25000</v>
      </c>
      <c r="U864" s="164"/>
      <c r="V864" s="163"/>
      <c r="W864" s="163"/>
      <c r="X864" s="163"/>
      <c r="Y864" s="163"/>
      <c r="Z864" s="163"/>
      <c r="AA864" s="162"/>
      <c r="AB864" s="195" t="str">
        <f t="shared" si="108"/>
        <v>Aug-26</v>
      </c>
      <c r="AC864" s="163"/>
      <c r="AD864" s="163"/>
      <c r="AE864" s="163"/>
    </row>
    <row r="865" spans="1:31" x14ac:dyDescent="0.35">
      <c r="A865" s="162">
        <v>46252</v>
      </c>
      <c r="B865" s="163" t="s">
        <v>370</v>
      </c>
      <c r="C865" s="163" t="s">
        <v>93</v>
      </c>
      <c r="D865" s="163" t="s">
        <v>1416</v>
      </c>
      <c r="E865" s="163" t="s">
        <v>106</v>
      </c>
      <c r="F865" s="163" t="s">
        <v>135</v>
      </c>
      <c r="G865" s="163"/>
      <c r="H865" s="163" t="s">
        <v>115</v>
      </c>
      <c r="I865" s="163" t="s">
        <v>121</v>
      </c>
      <c r="J865" s="163" t="s">
        <v>147</v>
      </c>
      <c r="K865" s="163" t="s">
        <v>1417</v>
      </c>
      <c r="L865" s="163"/>
      <c r="M865" s="163" t="s">
        <v>1307</v>
      </c>
      <c r="N865" s="163" t="s">
        <v>495</v>
      </c>
      <c r="O865" s="162"/>
      <c r="P865" s="163" t="s">
        <v>95</v>
      </c>
      <c r="Q865" s="163"/>
      <c r="R865" s="163"/>
      <c r="S865" s="163" t="s">
        <v>129</v>
      </c>
      <c r="T865" s="164">
        <v>20000</v>
      </c>
      <c r="U865" s="164"/>
      <c r="V865" s="163"/>
      <c r="W865" s="163"/>
      <c r="X865" s="163"/>
      <c r="Y865" s="163"/>
      <c r="Z865" s="163"/>
      <c r="AA865" s="162"/>
      <c r="AB865" s="195" t="str">
        <f t="shared" si="108"/>
        <v>Aug-26</v>
      </c>
      <c r="AC865" s="163"/>
      <c r="AD865" s="163"/>
      <c r="AE865" s="163"/>
    </row>
    <row r="866" spans="1:31" x14ac:dyDescent="0.35">
      <c r="A866" s="162">
        <v>46252</v>
      </c>
      <c r="B866" s="163" t="s">
        <v>148</v>
      </c>
      <c r="C866" s="163" t="s">
        <v>113</v>
      </c>
      <c r="D866" s="163" t="s">
        <v>1418</v>
      </c>
      <c r="E866" s="163" t="s">
        <v>106</v>
      </c>
      <c r="F866" s="163" t="s">
        <v>96</v>
      </c>
      <c r="G866" s="163"/>
      <c r="H866" s="163" t="s">
        <v>163</v>
      </c>
      <c r="I866" s="163" t="s">
        <v>121</v>
      </c>
      <c r="J866" s="163" t="s">
        <v>153</v>
      </c>
      <c r="K866" s="163" t="s">
        <v>1419</v>
      </c>
      <c r="L866" s="163"/>
      <c r="M866" s="163" t="s">
        <v>1406</v>
      </c>
      <c r="N866" s="163" t="s">
        <v>128</v>
      </c>
      <c r="O866" s="162">
        <v>46262</v>
      </c>
      <c r="P866" s="163" t="s">
        <v>106</v>
      </c>
      <c r="Q866" s="163"/>
      <c r="R866" s="163"/>
      <c r="S866" s="163" t="s">
        <v>129</v>
      </c>
      <c r="T866" s="164"/>
      <c r="U866" s="164"/>
      <c r="V866" s="163"/>
      <c r="W866" s="163"/>
      <c r="X866" s="163"/>
      <c r="Y866" s="163"/>
      <c r="Z866" s="163"/>
      <c r="AA866" s="162"/>
      <c r="AB866" s="195" t="str">
        <f t="shared" si="108"/>
        <v>Aug-26</v>
      </c>
      <c r="AC866" s="163"/>
      <c r="AD866" s="163" t="str">
        <f>IF(AC866="Yes",U866*2%,"")</f>
        <v/>
      </c>
      <c r="AE866" s="163"/>
    </row>
    <row r="867" spans="1:31" x14ac:dyDescent="0.35">
      <c r="A867" s="162">
        <v>46253</v>
      </c>
      <c r="B867" s="163" t="s">
        <v>92</v>
      </c>
      <c r="C867" s="163" t="s">
        <v>93</v>
      </c>
      <c r="D867" s="163" t="s">
        <v>19</v>
      </c>
      <c r="E867" s="163" t="s">
        <v>106</v>
      </c>
      <c r="F867" s="163" t="s">
        <v>96</v>
      </c>
      <c r="G867" s="163" t="s">
        <v>10</v>
      </c>
      <c r="H867" s="163" t="s">
        <v>115</v>
      </c>
      <c r="I867" s="163" t="s">
        <v>121</v>
      </c>
      <c r="J867" s="163" t="s">
        <v>99</v>
      </c>
      <c r="K867" s="163" t="s">
        <v>256</v>
      </c>
      <c r="L867" s="163"/>
      <c r="M867" s="163" t="s">
        <v>159</v>
      </c>
      <c r="N867" s="163" t="s">
        <v>102</v>
      </c>
      <c r="O867" s="162"/>
      <c r="P867" s="163"/>
      <c r="Q867" s="163"/>
      <c r="R867" s="163" t="str">
        <f ca="1">IF(OR(N867="Closed( C4 )",N867="Cancelled"),"",IF(AND(O867&lt;&gt;"",O867&lt;TODAY()),"Yes",""))</f>
        <v/>
      </c>
      <c r="S867" s="163" t="s">
        <v>103</v>
      </c>
      <c r="T867" s="164">
        <v>250000</v>
      </c>
      <c r="U867" s="164">
        <v>256200</v>
      </c>
      <c r="V867" s="162">
        <v>46253</v>
      </c>
      <c r="W867" s="163" t="s">
        <v>1420</v>
      </c>
      <c r="X867" s="163" t="s">
        <v>42</v>
      </c>
      <c r="Y867" s="163" t="s">
        <v>85</v>
      </c>
      <c r="Z867" s="163"/>
      <c r="AA867" s="162"/>
      <c r="AB867" s="195" t="str">
        <f t="shared" si="108"/>
        <v>Aug-26</v>
      </c>
      <c r="AC867" s="163"/>
      <c r="AD867" s="163" t="str">
        <f>IF(AC867="Yes",U867*2%,"")</f>
        <v/>
      </c>
      <c r="AE867" s="163"/>
    </row>
    <row r="868" spans="1:31" x14ac:dyDescent="0.35">
      <c r="A868" s="162">
        <v>46253</v>
      </c>
      <c r="B868" s="163" t="s">
        <v>125</v>
      </c>
      <c r="C868" s="163" t="s">
        <v>93</v>
      </c>
      <c r="D868" s="163" t="s">
        <v>19</v>
      </c>
      <c r="E868" s="163" t="s">
        <v>95</v>
      </c>
      <c r="F868" s="163" t="s">
        <v>96</v>
      </c>
      <c r="G868" s="163" t="s">
        <v>10</v>
      </c>
      <c r="H868" s="163" t="s">
        <v>115</v>
      </c>
      <c r="I868" s="163" t="s">
        <v>121</v>
      </c>
      <c r="J868" s="163" t="s">
        <v>99</v>
      </c>
      <c r="K868" s="163" t="s">
        <v>256</v>
      </c>
      <c r="L868" s="163"/>
      <c r="M868" s="163" t="s">
        <v>159</v>
      </c>
      <c r="N868" s="163" t="s">
        <v>102</v>
      </c>
      <c r="O868" s="162"/>
      <c r="P868" s="163"/>
      <c r="Q868" s="163"/>
      <c r="R868" s="163" t="str">
        <f ca="1">IF(OR(N868="Closed( C4 )",N868="Cancelled"),"",IF(AND(O868&lt;&gt;"",O868&lt;TODAY()),"Yes",""))</f>
        <v/>
      </c>
      <c r="S868" s="163" t="s">
        <v>103</v>
      </c>
      <c r="T868" s="164">
        <v>250000</v>
      </c>
      <c r="U868" s="164">
        <v>256200</v>
      </c>
      <c r="V868" s="162">
        <v>46253</v>
      </c>
      <c r="W868" s="163" t="s">
        <v>1420</v>
      </c>
      <c r="X868" s="163" t="s">
        <v>42</v>
      </c>
      <c r="Y868" s="163" t="s">
        <v>85</v>
      </c>
      <c r="Z868" s="163"/>
      <c r="AA868" s="162"/>
      <c r="AB868" s="195" t="str">
        <f t="shared" si="108"/>
        <v>Aug-26</v>
      </c>
      <c r="AC868" s="163"/>
      <c r="AD868" s="163" t="str">
        <f>IF(AC868="Yes",U868*2%,"")</f>
        <v/>
      </c>
      <c r="AE868" s="163"/>
    </row>
    <row r="869" spans="1:31" x14ac:dyDescent="0.35">
      <c r="A869" s="162">
        <v>46253</v>
      </c>
      <c r="B869" s="163" t="s">
        <v>370</v>
      </c>
      <c r="C869" s="163" t="s">
        <v>93</v>
      </c>
      <c r="D869" s="163" t="s">
        <v>1421</v>
      </c>
      <c r="E869" s="163" t="s">
        <v>106</v>
      </c>
      <c r="F869" s="163" t="s">
        <v>135</v>
      </c>
      <c r="G869" s="163"/>
      <c r="H869" s="163" t="s">
        <v>115</v>
      </c>
      <c r="I869" s="163" t="s">
        <v>121</v>
      </c>
      <c r="J869" s="163" t="s">
        <v>147</v>
      </c>
      <c r="K869" s="163" t="s">
        <v>1422</v>
      </c>
      <c r="L869" s="163"/>
      <c r="M869" s="163" t="s">
        <v>1307</v>
      </c>
      <c r="N869" s="163" t="s">
        <v>130</v>
      </c>
      <c r="O869" s="162">
        <v>46260</v>
      </c>
      <c r="P869" s="163" t="s">
        <v>106</v>
      </c>
      <c r="Q869" s="163"/>
      <c r="R869" s="163"/>
      <c r="S869" s="163" t="s">
        <v>129</v>
      </c>
      <c r="T869" s="164">
        <v>20000</v>
      </c>
      <c r="U869" s="164"/>
      <c r="V869" s="162"/>
      <c r="W869" s="163"/>
      <c r="X869" s="163"/>
      <c r="Y869" s="163"/>
      <c r="Z869" s="163"/>
      <c r="AA869" s="162"/>
      <c r="AB869" s="195" t="str">
        <f t="shared" si="108"/>
        <v>Aug-26</v>
      </c>
      <c r="AC869" s="163"/>
      <c r="AD869" s="163"/>
      <c r="AE869" s="163"/>
    </row>
    <row r="870" spans="1:31" ht="29" x14ac:dyDescent="0.35">
      <c r="A870" s="162">
        <v>46253</v>
      </c>
      <c r="B870" s="163" t="s">
        <v>370</v>
      </c>
      <c r="C870" s="163" t="s">
        <v>93</v>
      </c>
      <c r="D870" s="190" t="s">
        <v>1423</v>
      </c>
      <c r="E870" s="163" t="s">
        <v>106</v>
      </c>
      <c r="F870" s="163" t="s">
        <v>135</v>
      </c>
      <c r="G870" s="163"/>
      <c r="H870" s="163" t="s">
        <v>115</v>
      </c>
      <c r="I870" s="163" t="s">
        <v>121</v>
      </c>
      <c r="J870" s="163" t="s">
        <v>698</v>
      </c>
      <c r="K870" s="163" t="s">
        <v>1127</v>
      </c>
      <c r="L870" s="163"/>
      <c r="M870" s="163" t="s">
        <v>1307</v>
      </c>
      <c r="N870" s="163" t="s">
        <v>495</v>
      </c>
      <c r="O870" s="162">
        <v>46268</v>
      </c>
      <c r="P870" s="163" t="s">
        <v>106</v>
      </c>
      <c r="Q870" s="163"/>
      <c r="R870" s="163"/>
      <c r="S870" s="163" t="s">
        <v>133</v>
      </c>
      <c r="T870" s="164">
        <v>35000</v>
      </c>
      <c r="U870" s="164"/>
      <c r="V870" s="162"/>
      <c r="W870" s="163"/>
      <c r="X870" s="163"/>
      <c r="Y870" s="163"/>
      <c r="Z870" s="163"/>
      <c r="AA870" s="162"/>
      <c r="AB870" s="195" t="str">
        <f t="shared" si="108"/>
        <v>Aug-26</v>
      </c>
      <c r="AC870" s="163"/>
      <c r="AD870" s="163"/>
      <c r="AE870" s="163"/>
    </row>
    <row r="871" spans="1:31" x14ac:dyDescent="0.35">
      <c r="A871" s="162">
        <v>46253</v>
      </c>
      <c r="B871" s="163" t="s">
        <v>92</v>
      </c>
      <c r="C871" s="163" t="s">
        <v>93</v>
      </c>
      <c r="D871" s="163" t="s">
        <v>992</v>
      </c>
      <c r="E871" s="163" t="s">
        <v>106</v>
      </c>
      <c r="F871" s="163" t="s">
        <v>135</v>
      </c>
      <c r="G871" s="163"/>
      <c r="H871" s="163" t="s">
        <v>115</v>
      </c>
      <c r="I871" s="163" t="s">
        <v>121</v>
      </c>
      <c r="J871" s="163" t="s">
        <v>147</v>
      </c>
      <c r="K871" s="163" t="s">
        <v>1424</v>
      </c>
      <c r="L871" s="163"/>
      <c r="M871" s="163" t="s">
        <v>1425</v>
      </c>
      <c r="N871" s="163" t="s">
        <v>495</v>
      </c>
      <c r="O871" s="162">
        <v>46258</v>
      </c>
      <c r="P871" s="163" t="s">
        <v>95</v>
      </c>
      <c r="Q871" s="163"/>
      <c r="R871" s="163"/>
      <c r="S871" s="163" t="s">
        <v>103</v>
      </c>
      <c r="T871" s="164">
        <v>50000</v>
      </c>
      <c r="U871" s="164"/>
      <c r="V871" s="163"/>
      <c r="W871" s="163"/>
      <c r="X871" s="163"/>
      <c r="Y871" s="163"/>
      <c r="Z871" s="163"/>
      <c r="AA871" s="162"/>
      <c r="AB871" s="195" t="str">
        <f t="shared" si="108"/>
        <v>Aug-26</v>
      </c>
      <c r="AC871" s="163"/>
      <c r="AD871" s="163" t="str">
        <f t="shared" ref="AD871:AD881" si="111">IF(AC871="Yes",U871*2%,"")</f>
        <v/>
      </c>
      <c r="AE871" s="163"/>
    </row>
    <row r="872" spans="1:31" x14ac:dyDescent="0.35">
      <c r="A872" s="162">
        <v>46253</v>
      </c>
      <c r="B872" s="163" t="s">
        <v>370</v>
      </c>
      <c r="C872" s="163" t="s">
        <v>93</v>
      </c>
      <c r="D872" s="163" t="s">
        <v>1304</v>
      </c>
      <c r="E872" s="163" t="s">
        <v>106</v>
      </c>
      <c r="F872" s="163" t="s">
        <v>135</v>
      </c>
      <c r="G872" s="163"/>
      <c r="H872" s="163" t="s">
        <v>115</v>
      </c>
      <c r="I872" s="163" t="s">
        <v>121</v>
      </c>
      <c r="J872" s="163" t="s">
        <v>147</v>
      </c>
      <c r="K872" s="163" t="s">
        <v>1426</v>
      </c>
      <c r="L872" s="163"/>
      <c r="M872" s="163" t="s">
        <v>1307</v>
      </c>
      <c r="N872" s="163" t="s">
        <v>130</v>
      </c>
      <c r="O872" s="162">
        <v>46272</v>
      </c>
      <c r="P872" s="163" t="s">
        <v>106</v>
      </c>
      <c r="Q872" s="163"/>
      <c r="R872" s="163"/>
      <c r="S872" s="163" t="s">
        <v>129</v>
      </c>
      <c r="T872" s="164">
        <v>40000</v>
      </c>
      <c r="U872" s="164"/>
      <c r="V872" s="163"/>
      <c r="W872" s="163"/>
      <c r="X872" s="163"/>
      <c r="Y872" s="163"/>
      <c r="Z872" s="163"/>
      <c r="AA872" s="162"/>
      <c r="AB872" s="195" t="str">
        <f t="shared" si="108"/>
        <v>Aug-26</v>
      </c>
      <c r="AC872" s="163"/>
      <c r="AD872" s="163" t="str">
        <f t="shared" si="111"/>
        <v/>
      </c>
      <c r="AE872" s="163"/>
    </row>
    <row r="873" spans="1:31" x14ac:dyDescent="0.35">
      <c r="A873" s="162">
        <v>46253</v>
      </c>
      <c r="B873" s="163" t="s">
        <v>370</v>
      </c>
      <c r="C873" s="163" t="s">
        <v>93</v>
      </c>
      <c r="D873" s="163" t="s">
        <v>1427</v>
      </c>
      <c r="E873" s="163" t="s">
        <v>106</v>
      </c>
      <c r="F873" s="163" t="s">
        <v>135</v>
      </c>
      <c r="G873" s="163"/>
      <c r="H873" s="163" t="s">
        <v>115</v>
      </c>
      <c r="I873" s="163" t="s">
        <v>121</v>
      </c>
      <c r="J873" s="163" t="s">
        <v>698</v>
      </c>
      <c r="K873" s="163" t="s">
        <v>1133</v>
      </c>
      <c r="L873" s="163"/>
      <c r="M873" s="163" t="s">
        <v>914</v>
      </c>
      <c r="N873" s="163" t="s">
        <v>495</v>
      </c>
      <c r="O873" s="162">
        <v>46262</v>
      </c>
      <c r="P873" s="163" t="s">
        <v>95</v>
      </c>
      <c r="Q873" s="163"/>
      <c r="R873" s="163"/>
      <c r="S873" s="163" t="s">
        <v>129</v>
      </c>
      <c r="T873" s="164">
        <v>25000</v>
      </c>
      <c r="U873" s="164"/>
      <c r="V873" s="163"/>
      <c r="W873" s="163"/>
      <c r="X873" s="163"/>
      <c r="Y873" s="163"/>
      <c r="Z873" s="163"/>
      <c r="AA873" s="162"/>
      <c r="AB873" s="195" t="str">
        <f t="shared" si="108"/>
        <v>Aug-26</v>
      </c>
      <c r="AC873" s="163"/>
      <c r="AD873" s="163" t="str">
        <f t="shared" si="111"/>
        <v/>
      </c>
      <c r="AE873" s="163"/>
    </row>
    <row r="874" spans="1:31" x14ac:dyDescent="0.35">
      <c r="A874" s="162">
        <v>46253</v>
      </c>
      <c r="B874" s="163" t="s">
        <v>148</v>
      </c>
      <c r="C874" s="163" t="s">
        <v>113</v>
      </c>
      <c r="D874" s="163" t="s">
        <v>1428</v>
      </c>
      <c r="E874" s="163" t="s">
        <v>106</v>
      </c>
      <c r="F874" s="163" t="s">
        <v>96</v>
      </c>
      <c r="G874" s="163"/>
      <c r="H874" s="163" t="s">
        <v>163</v>
      </c>
      <c r="I874" s="163" t="s">
        <v>121</v>
      </c>
      <c r="J874" s="163" t="s">
        <v>153</v>
      </c>
      <c r="K874" s="163" t="s">
        <v>1429</v>
      </c>
      <c r="L874" s="163"/>
      <c r="M874" s="163" t="s">
        <v>1406</v>
      </c>
      <c r="N874" s="163" t="s">
        <v>128</v>
      </c>
      <c r="O874" s="162">
        <v>46272</v>
      </c>
      <c r="P874" s="163"/>
      <c r="Q874" s="163"/>
      <c r="R874" s="163"/>
      <c r="S874" s="163" t="s">
        <v>129</v>
      </c>
      <c r="T874" s="164"/>
      <c r="U874" s="164"/>
      <c r="V874" s="163"/>
      <c r="W874" s="163"/>
      <c r="X874" s="163"/>
      <c r="Y874" s="163"/>
      <c r="Z874" s="163"/>
      <c r="AA874" s="162"/>
      <c r="AB874" s="195" t="str">
        <f t="shared" si="108"/>
        <v>Aug-26</v>
      </c>
      <c r="AC874" s="163"/>
      <c r="AD874" s="163" t="str">
        <f t="shared" si="111"/>
        <v/>
      </c>
      <c r="AE874" s="163"/>
    </row>
    <row r="875" spans="1:31" x14ac:dyDescent="0.35">
      <c r="A875" s="162">
        <v>46253</v>
      </c>
      <c r="B875" s="163" t="s">
        <v>148</v>
      </c>
      <c r="C875" s="163" t="s">
        <v>113</v>
      </c>
      <c r="D875" s="163" t="s">
        <v>165</v>
      </c>
      <c r="E875" s="163" t="s">
        <v>95</v>
      </c>
      <c r="F875" s="163" t="s">
        <v>135</v>
      </c>
      <c r="G875" s="163" t="s">
        <v>10</v>
      </c>
      <c r="H875" s="163" t="s">
        <v>115</v>
      </c>
      <c r="I875" s="163" t="s">
        <v>98</v>
      </c>
      <c r="J875" s="163" t="s">
        <v>166</v>
      </c>
      <c r="K875" s="163" t="s">
        <v>167</v>
      </c>
      <c r="L875" s="163"/>
      <c r="M875" s="163" t="s">
        <v>159</v>
      </c>
      <c r="N875" s="163" t="s">
        <v>102</v>
      </c>
      <c r="O875" s="162"/>
      <c r="P875" s="163"/>
      <c r="Q875" s="163" t="str">
        <f ca="1">IF(N875="Closed(C4)","",IF(N875="","",TODAY()-A875))</f>
        <v/>
      </c>
      <c r="R875" s="163" t="str">
        <f ca="1">IF(OR(N875="Closed( C4 )",N875="Cancelled"),"",IF(AND(O875&lt;&gt;"",O875&lt;TODAY()),"Yes",""))</f>
        <v/>
      </c>
      <c r="S875" s="163" t="s">
        <v>103</v>
      </c>
      <c r="T875" s="164">
        <v>25000</v>
      </c>
      <c r="U875" s="164">
        <v>27958</v>
      </c>
      <c r="V875" s="162">
        <v>46253</v>
      </c>
      <c r="W875" s="163" t="s">
        <v>1430</v>
      </c>
      <c r="X875" s="163" t="s">
        <v>35</v>
      </c>
      <c r="Y875" s="163" t="s">
        <v>1017</v>
      </c>
      <c r="Z875" s="163"/>
      <c r="AA875" s="162"/>
      <c r="AB875" s="195" t="str">
        <f t="shared" si="108"/>
        <v>Aug-26</v>
      </c>
      <c r="AC875" s="163"/>
      <c r="AD875" s="163" t="str">
        <f t="shared" si="111"/>
        <v/>
      </c>
      <c r="AE875" s="163"/>
    </row>
    <row r="876" spans="1:31" x14ac:dyDescent="0.35">
      <c r="A876" s="162">
        <v>46253</v>
      </c>
      <c r="B876" s="163" t="s">
        <v>92</v>
      </c>
      <c r="C876" s="163" t="s">
        <v>113</v>
      </c>
      <c r="D876" s="163" t="s">
        <v>165</v>
      </c>
      <c r="E876" s="163" t="s">
        <v>95</v>
      </c>
      <c r="F876" s="163" t="s">
        <v>135</v>
      </c>
      <c r="G876" s="163" t="s">
        <v>10</v>
      </c>
      <c r="H876" s="163" t="s">
        <v>115</v>
      </c>
      <c r="I876" s="163" t="s">
        <v>98</v>
      </c>
      <c r="J876" s="163" t="s">
        <v>166</v>
      </c>
      <c r="K876" s="163" t="s">
        <v>167</v>
      </c>
      <c r="L876" s="163"/>
      <c r="M876" s="163" t="s">
        <v>1299</v>
      </c>
      <c r="N876" s="163" t="s">
        <v>102</v>
      </c>
      <c r="O876" s="162"/>
      <c r="P876" s="163"/>
      <c r="Q876" s="163" t="str">
        <f ca="1">IF(N876="Closed(C4)","",IF(N876="","",TODAY()-A876))</f>
        <v/>
      </c>
      <c r="R876" s="163" t="str">
        <f ca="1">IF(OR(N876="Closed( C4 )",N876="Cancelled"),"",IF(AND(O876&lt;&gt;"",O876&lt;TODAY()),"Yes",""))</f>
        <v/>
      </c>
      <c r="S876" s="163" t="s">
        <v>103</v>
      </c>
      <c r="T876" s="164">
        <v>25000</v>
      </c>
      <c r="U876" s="164">
        <v>27958</v>
      </c>
      <c r="V876" s="162">
        <v>46253</v>
      </c>
      <c r="W876" s="163" t="s">
        <v>1430</v>
      </c>
      <c r="X876" s="163" t="s">
        <v>35</v>
      </c>
      <c r="Y876" s="163" t="s">
        <v>1017</v>
      </c>
      <c r="Z876" s="163"/>
      <c r="AA876" s="162"/>
      <c r="AB876" s="195" t="str">
        <f t="shared" si="108"/>
        <v>Aug-26</v>
      </c>
      <c r="AC876" s="163"/>
      <c r="AD876" s="163" t="str">
        <f t="shared" si="111"/>
        <v/>
      </c>
      <c r="AE876" s="163"/>
    </row>
    <row r="877" spans="1:31" x14ac:dyDescent="0.35">
      <c r="A877" s="162">
        <v>46254</v>
      </c>
      <c r="B877" s="163" t="s">
        <v>148</v>
      </c>
      <c r="C877" s="163" t="s">
        <v>113</v>
      </c>
      <c r="D877" s="163" t="s">
        <v>1431</v>
      </c>
      <c r="E877" s="163" t="s">
        <v>106</v>
      </c>
      <c r="F877" s="163" t="s">
        <v>135</v>
      </c>
      <c r="G877" s="163"/>
      <c r="H877" s="163" t="s">
        <v>115</v>
      </c>
      <c r="I877" s="163" t="s">
        <v>121</v>
      </c>
      <c r="J877" s="163" t="s">
        <v>698</v>
      </c>
      <c r="K877" s="163" t="s">
        <v>1432</v>
      </c>
      <c r="L877" s="163"/>
      <c r="M877" s="163" t="s">
        <v>1412</v>
      </c>
      <c r="N877" s="163" t="s">
        <v>128</v>
      </c>
      <c r="O877" s="162">
        <v>46272</v>
      </c>
      <c r="P877" s="163" t="s">
        <v>106</v>
      </c>
      <c r="Q877" s="163"/>
      <c r="R877" s="163"/>
      <c r="S877" s="163" t="s">
        <v>129</v>
      </c>
      <c r="T877" s="164"/>
      <c r="U877" s="164"/>
      <c r="V877" s="163"/>
      <c r="W877" s="163"/>
      <c r="X877" s="163"/>
      <c r="Y877" s="163"/>
      <c r="Z877" s="163"/>
      <c r="AA877" s="162"/>
      <c r="AB877" s="195" t="str">
        <f t="shared" si="108"/>
        <v>Aug-26</v>
      </c>
      <c r="AC877" s="163"/>
      <c r="AD877" s="163" t="str">
        <f t="shared" si="111"/>
        <v/>
      </c>
      <c r="AE877" s="163"/>
    </row>
    <row r="878" spans="1:31" x14ac:dyDescent="0.35">
      <c r="A878" s="162">
        <v>46254</v>
      </c>
      <c r="B878" s="163" t="s">
        <v>148</v>
      </c>
      <c r="C878" s="163" t="s">
        <v>113</v>
      </c>
      <c r="D878" s="163" t="s">
        <v>1433</v>
      </c>
      <c r="E878" s="163" t="s">
        <v>106</v>
      </c>
      <c r="F878" s="163" t="s">
        <v>96</v>
      </c>
      <c r="G878" s="163" t="s">
        <v>14</v>
      </c>
      <c r="H878" s="163" t="s">
        <v>226</v>
      </c>
      <c r="I878" s="163" t="s">
        <v>121</v>
      </c>
      <c r="J878" s="163" t="s">
        <v>388</v>
      </c>
      <c r="K878" s="163" t="s">
        <v>227</v>
      </c>
      <c r="L878" s="163"/>
      <c r="M878" s="163" t="s">
        <v>159</v>
      </c>
      <c r="N878" s="163" t="s">
        <v>102</v>
      </c>
      <c r="O878" s="162"/>
      <c r="P878" s="163"/>
      <c r="Q878" s="163"/>
      <c r="R878" s="163"/>
      <c r="S878" s="163" t="s">
        <v>103</v>
      </c>
      <c r="T878" s="164">
        <v>50000</v>
      </c>
      <c r="U878" s="164">
        <v>43500</v>
      </c>
      <c r="V878" s="162">
        <v>46254</v>
      </c>
      <c r="W878" s="214" t="s">
        <v>1434</v>
      </c>
      <c r="X878" s="163" t="s">
        <v>37</v>
      </c>
      <c r="Y878" s="163" t="s">
        <v>85</v>
      </c>
      <c r="Z878" s="163"/>
      <c r="AA878" s="162"/>
      <c r="AB878" s="195" t="str">
        <f t="shared" si="108"/>
        <v>Aug-26</v>
      </c>
      <c r="AC878" s="163"/>
      <c r="AD878" s="163" t="str">
        <f t="shared" si="111"/>
        <v/>
      </c>
      <c r="AE878" s="163"/>
    </row>
    <row r="879" spans="1:31" x14ac:dyDescent="0.35">
      <c r="A879" s="162">
        <v>46254</v>
      </c>
      <c r="B879" s="163" t="s">
        <v>370</v>
      </c>
      <c r="C879" s="163" t="s">
        <v>93</v>
      </c>
      <c r="D879" s="163" t="s">
        <v>1435</v>
      </c>
      <c r="E879" s="163" t="s">
        <v>106</v>
      </c>
      <c r="F879" s="163" t="s">
        <v>135</v>
      </c>
      <c r="G879" s="163"/>
      <c r="H879" s="163" t="s">
        <v>115</v>
      </c>
      <c r="I879" s="163" t="s">
        <v>121</v>
      </c>
      <c r="J879" s="163" t="s">
        <v>147</v>
      </c>
      <c r="K879" s="163" t="s">
        <v>1436</v>
      </c>
      <c r="L879" s="163"/>
      <c r="M879" s="163" t="s">
        <v>1412</v>
      </c>
      <c r="N879" s="163" t="s">
        <v>495</v>
      </c>
      <c r="O879" s="162">
        <v>46266</v>
      </c>
      <c r="P879" s="163" t="s">
        <v>106</v>
      </c>
      <c r="Q879" s="163"/>
      <c r="R879" s="163"/>
      <c r="S879" s="163" t="s">
        <v>129</v>
      </c>
      <c r="T879" s="164">
        <v>25000</v>
      </c>
      <c r="U879" s="164"/>
      <c r="V879" s="163"/>
      <c r="W879" s="163"/>
      <c r="X879" s="163"/>
      <c r="Y879" s="163"/>
      <c r="Z879" s="163"/>
      <c r="AA879" s="162"/>
      <c r="AB879" s="195" t="str">
        <f t="shared" si="108"/>
        <v>Aug-26</v>
      </c>
      <c r="AC879" s="163"/>
      <c r="AD879" s="163" t="str">
        <f t="shared" si="111"/>
        <v/>
      </c>
      <c r="AE879" s="163"/>
    </row>
    <row r="880" spans="1:31" x14ac:dyDescent="0.35">
      <c r="A880" s="162">
        <v>46254</v>
      </c>
      <c r="B880" s="163" t="s">
        <v>370</v>
      </c>
      <c r="C880" s="163" t="s">
        <v>93</v>
      </c>
      <c r="D880" s="163" t="s">
        <v>1437</v>
      </c>
      <c r="E880" s="163" t="s">
        <v>106</v>
      </c>
      <c r="F880" s="163" t="s">
        <v>135</v>
      </c>
      <c r="G880" s="163"/>
      <c r="H880" s="163" t="s">
        <v>115</v>
      </c>
      <c r="I880" s="163" t="s">
        <v>121</v>
      </c>
      <c r="J880" s="163" t="s">
        <v>356</v>
      </c>
      <c r="K880" s="163" t="s">
        <v>1438</v>
      </c>
      <c r="L880" s="163"/>
      <c r="M880" s="163" t="s">
        <v>914</v>
      </c>
      <c r="N880" s="163" t="s">
        <v>130</v>
      </c>
      <c r="O880" s="162">
        <v>46265</v>
      </c>
      <c r="P880" s="163" t="s">
        <v>106</v>
      </c>
      <c r="Q880" s="163"/>
      <c r="R880" s="163"/>
      <c r="S880" s="163" t="s">
        <v>129</v>
      </c>
      <c r="T880" s="164">
        <v>20000</v>
      </c>
      <c r="U880" s="164"/>
      <c r="V880" s="163"/>
      <c r="W880" s="163"/>
      <c r="X880" s="163"/>
      <c r="Y880" s="163"/>
      <c r="Z880" s="163"/>
      <c r="AA880" s="162"/>
      <c r="AB880" s="195" t="str">
        <f t="shared" si="108"/>
        <v>Aug-26</v>
      </c>
      <c r="AC880" s="163"/>
      <c r="AD880" s="163" t="str">
        <f t="shared" si="111"/>
        <v/>
      </c>
      <c r="AE880" s="163"/>
    </row>
    <row r="881" spans="1:31" x14ac:dyDescent="0.35">
      <c r="A881" s="162">
        <v>46254</v>
      </c>
      <c r="B881" s="163" t="s">
        <v>370</v>
      </c>
      <c r="C881" s="163" t="s">
        <v>93</v>
      </c>
      <c r="D881" s="163" t="s">
        <v>1439</v>
      </c>
      <c r="E881" s="163" t="s">
        <v>106</v>
      </c>
      <c r="F881" s="163" t="s">
        <v>135</v>
      </c>
      <c r="G881" s="163"/>
      <c r="H881" s="163" t="s">
        <v>115</v>
      </c>
      <c r="I881" s="163" t="s">
        <v>121</v>
      </c>
      <c r="J881" s="163" t="s">
        <v>147</v>
      </c>
      <c r="K881" s="163" t="s">
        <v>1133</v>
      </c>
      <c r="L881" s="163"/>
      <c r="M881" s="163" t="s">
        <v>1307</v>
      </c>
      <c r="N881" s="163" t="s">
        <v>495</v>
      </c>
      <c r="O881" s="162">
        <v>46267</v>
      </c>
      <c r="P881" s="163" t="s">
        <v>95</v>
      </c>
      <c r="Q881" s="163"/>
      <c r="R881" s="163"/>
      <c r="S881" s="163" t="s">
        <v>133</v>
      </c>
      <c r="T881" s="164">
        <v>30000</v>
      </c>
      <c r="U881" s="164"/>
      <c r="V881" s="163"/>
      <c r="W881" s="163"/>
      <c r="X881" s="163"/>
      <c r="Y881" s="163"/>
      <c r="Z881" s="163"/>
      <c r="AA881" s="162"/>
      <c r="AB881" s="195" t="str">
        <f t="shared" si="108"/>
        <v>Aug-26</v>
      </c>
      <c r="AC881" s="163"/>
      <c r="AD881" s="163" t="str">
        <f t="shared" si="111"/>
        <v/>
      </c>
      <c r="AE881" s="163"/>
    </row>
    <row r="882" spans="1:31" x14ac:dyDescent="0.35">
      <c r="A882" s="162">
        <v>46254</v>
      </c>
      <c r="B882" s="163" t="s">
        <v>92</v>
      </c>
      <c r="C882" s="163" t="s">
        <v>93</v>
      </c>
      <c r="D882" s="163" t="s">
        <v>1440</v>
      </c>
      <c r="E882" s="163" t="s">
        <v>106</v>
      </c>
      <c r="F882" s="163" t="s">
        <v>135</v>
      </c>
      <c r="G882" s="163"/>
      <c r="H882" s="163" t="s">
        <v>115</v>
      </c>
      <c r="I882" s="163" t="s">
        <v>121</v>
      </c>
      <c r="J882" s="163" t="s">
        <v>147</v>
      </c>
      <c r="K882" s="163" t="s">
        <v>1441</v>
      </c>
      <c r="L882" s="163"/>
      <c r="M882" s="163" t="s">
        <v>1307</v>
      </c>
      <c r="N882" s="163" t="s">
        <v>495</v>
      </c>
      <c r="O882" s="162">
        <v>46280</v>
      </c>
      <c r="P882" s="163" t="s">
        <v>95</v>
      </c>
      <c r="Q882" s="163"/>
      <c r="R882" s="163"/>
      <c r="S882" s="163" t="s">
        <v>129</v>
      </c>
      <c r="T882" s="164">
        <v>25000</v>
      </c>
      <c r="U882" s="164"/>
      <c r="V882" s="163"/>
      <c r="W882" s="163"/>
      <c r="X882" s="163"/>
      <c r="Y882" s="163"/>
      <c r="Z882" s="163"/>
      <c r="AA882" s="162"/>
      <c r="AB882" s="195" t="str">
        <f t="shared" si="108"/>
        <v>Aug-26</v>
      </c>
      <c r="AC882" s="163"/>
      <c r="AD882" s="163"/>
      <c r="AE882" s="163"/>
    </row>
    <row r="883" spans="1:31" x14ac:dyDescent="0.35">
      <c r="A883" s="162">
        <v>46255</v>
      </c>
      <c r="B883" s="163" t="s">
        <v>370</v>
      </c>
      <c r="C883" s="163" t="s">
        <v>93</v>
      </c>
      <c r="D883" s="163" t="s">
        <v>1442</v>
      </c>
      <c r="E883" s="163" t="s">
        <v>106</v>
      </c>
      <c r="F883" s="163" t="s">
        <v>135</v>
      </c>
      <c r="G883" s="163"/>
      <c r="H883" s="163" t="s">
        <v>115</v>
      </c>
      <c r="I883" s="163" t="s">
        <v>121</v>
      </c>
      <c r="J883" s="163" t="s">
        <v>698</v>
      </c>
      <c r="K883" s="163" t="s">
        <v>1443</v>
      </c>
      <c r="L883" s="163"/>
      <c r="M883" s="163" t="s">
        <v>914</v>
      </c>
      <c r="N883" s="163" t="s">
        <v>495</v>
      </c>
      <c r="O883" s="162">
        <v>46272</v>
      </c>
      <c r="P883" s="163" t="s">
        <v>95</v>
      </c>
      <c r="Q883" s="163"/>
      <c r="R883" s="163"/>
      <c r="S883" s="163" t="s">
        <v>129</v>
      </c>
      <c r="T883" s="164">
        <v>40000</v>
      </c>
      <c r="U883" s="164"/>
      <c r="V883" s="163"/>
      <c r="W883" s="163"/>
      <c r="X883" s="163"/>
      <c r="Y883" s="163"/>
      <c r="Z883" s="163"/>
      <c r="AA883" s="162"/>
      <c r="AB883" s="195" t="str">
        <f t="shared" si="108"/>
        <v>Aug-26</v>
      </c>
      <c r="AC883" s="163"/>
      <c r="AD883" s="163" t="str">
        <f>IF(AC883="Yes",U883*2%,"")</f>
        <v/>
      </c>
      <c r="AE883" s="163"/>
    </row>
    <row r="884" spans="1:31" x14ac:dyDescent="0.35">
      <c r="A884" s="162">
        <v>46255</v>
      </c>
      <c r="B884" s="163" t="s">
        <v>370</v>
      </c>
      <c r="C884" s="163" t="s">
        <v>93</v>
      </c>
      <c r="D884" s="163" t="s">
        <v>1444</v>
      </c>
      <c r="E884" s="163" t="s">
        <v>106</v>
      </c>
      <c r="F884" s="163" t="s">
        <v>135</v>
      </c>
      <c r="G884" s="163"/>
      <c r="H884" s="163" t="s">
        <v>115</v>
      </c>
      <c r="I884" s="163" t="s">
        <v>121</v>
      </c>
      <c r="J884" s="163" t="s">
        <v>147</v>
      </c>
      <c r="K884" s="163" t="s">
        <v>964</v>
      </c>
      <c r="L884" s="163"/>
      <c r="M884" s="163" t="s">
        <v>1307</v>
      </c>
      <c r="N884" s="163" t="s">
        <v>495</v>
      </c>
      <c r="O884" s="162">
        <v>46273</v>
      </c>
      <c r="P884" s="163" t="s">
        <v>106</v>
      </c>
      <c r="Q884" s="163"/>
      <c r="R884" s="163"/>
      <c r="S884" s="163" t="s">
        <v>129</v>
      </c>
      <c r="T884" s="164">
        <v>35000</v>
      </c>
      <c r="U884" s="164"/>
      <c r="V884" s="163"/>
      <c r="W884" s="163"/>
      <c r="X884" s="163"/>
      <c r="Y884" s="163"/>
      <c r="Z884" s="163"/>
      <c r="AA884" s="162"/>
      <c r="AB884" s="195" t="str">
        <f t="shared" si="108"/>
        <v>Aug-26</v>
      </c>
      <c r="AC884" s="163"/>
      <c r="AD884" s="163" t="str">
        <f>IF(AC884="Yes",U884*2%,"")</f>
        <v/>
      </c>
      <c r="AE884" s="163"/>
    </row>
    <row r="885" spans="1:31" x14ac:dyDescent="0.35">
      <c r="A885" s="162">
        <v>46255</v>
      </c>
      <c r="B885" s="163" t="s">
        <v>370</v>
      </c>
      <c r="C885" s="163" t="s">
        <v>93</v>
      </c>
      <c r="D885" s="163" t="s">
        <v>1371</v>
      </c>
      <c r="E885" s="163" t="s">
        <v>106</v>
      </c>
      <c r="F885" s="163" t="s">
        <v>135</v>
      </c>
      <c r="G885" s="163"/>
      <c r="H885" s="163" t="s">
        <v>115</v>
      </c>
      <c r="I885" s="163" t="s">
        <v>121</v>
      </c>
      <c r="J885" s="163" t="s">
        <v>432</v>
      </c>
      <c r="K885" s="163" t="s">
        <v>1445</v>
      </c>
      <c r="L885" s="163"/>
      <c r="M885" s="163" t="s">
        <v>1307</v>
      </c>
      <c r="N885" s="163" t="s">
        <v>130</v>
      </c>
      <c r="O885" s="162">
        <v>46279</v>
      </c>
      <c r="P885" s="163" t="s">
        <v>106</v>
      </c>
      <c r="Q885" s="163"/>
      <c r="R885" s="163"/>
      <c r="S885" s="163" t="s">
        <v>133</v>
      </c>
      <c r="T885" s="164">
        <v>30000</v>
      </c>
      <c r="U885" s="164"/>
      <c r="V885" s="163"/>
      <c r="W885" s="163"/>
      <c r="X885" s="163"/>
      <c r="Y885" s="163"/>
      <c r="Z885" s="163"/>
      <c r="AA885" s="162"/>
      <c r="AB885" s="195" t="str">
        <f t="shared" si="108"/>
        <v>Aug-26</v>
      </c>
      <c r="AC885" s="163"/>
      <c r="AD885" s="163" t="str">
        <f>IF(AC885="Yes",U885*2%,"")</f>
        <v/>
      </c>
      <c r="AE885" s="163"/>
    </row>
    <row r="886" spans="1:31" x14ac:dyDescent="0.35">
      <c r="A886" s="162">
        <v>46255</v>
      </c>
      <c r="B886" s="163" t="s">
        <v>370</v>
      </c>
      <c r="C886" s="163" t="s">
        <v>93</v>
      </c>
      <c r="D886" s="163" t="s">
        <v>262</v>
      </c>
      <c r="E886" s="163" t="s">
        <v>95</v>
      </c>
      <c r="F886" s="163" t="s">
        <v>115</v>
      </c>
      <c r="G886" s="163"/>
      <c r="H886" s="163" t="s">
        <v>115</v>
      </c>
      <c r="I886" s="163" t="s">
        <v>121</v>
      </c>
      <c r="J886" s="163" t="s">
        <v>262</v>
      </c>
      <c r="K886" s="163" t="s">
        <v>1024</v>
      </c>
      <c r="L886" s="163"/>
      <c r="M886" s="163" t="s">
        <v>159</v>
      </c>
      <c r="N886" s="163" t="s">
        <v>102</v>
      </c>
      <c r="O886" s="162"/>
      <c r="P886" s="163"/>
      <c r="Q886" s="163"/>
      <c r="R886" s="163"/>
      <c r="S886" s="163" t="s">
        <v>103</v>
      </c>
      <c r="T886" s="164">
        <v>10000</v>
      </c>
      <c r="U886" s="164">
        <v>7110</v>
      </c>
      <c r="V886" s="162">
        <v>46255</v>
      </c>
      <c r="W886" s="163" t="s">
        <v>1446</v>
      </c>
      <c r="X886" s="163" t="s">
        <v>38</v>
      </c>
      <c r="Y886" s="163" t="s">
        <v>161</v>
      </c>
      <c r="Z886" s="163"/>
      <c r="AA886" s="162">
        <v>46255</v>
      </c>
      <c r="AB886" s="195" t="str">
        <f t="shared" si="108"/>
        <v>Aug-26</v>
      </c>
      <c r="AC886" s="163"/>
      <c r="AD886" s="163"/>
      <c r="AE886" s="163" t="s">
        <v>270</v>
      </c>
    </row>
    <row r="887" spans="1:31" x14ac:dyDescent="0.35">
      <c r="A887" s="162">
        <v>46255</v>
      </c>
      <c r="B887" s="163" t="s">
        <v>92</v>
      </c>
      <c r="C887" s="163" t="s">
        <v>93</v>
      </c>
      <c r="D887" s="163" t="s">
        <v>1447</v>
      </c>
      <c r="E887" s="163" t="s">
        <v>106</v>
      </c>
      <c r="F887" s="163" t="s">
        <v>96</v>
      </c>
      <c r="G887" s="163" t="s">
        <v>10</v>
      </c>
      <c r="H887" s="163" t="s">
        <v>115</v>
      </c>
      <c r="I887" s="163" t="s">
        <v>121</v>
      </c>
      <c r="J887" s="163" t="s">
        <v>99</v>
      </c>
      <c r="K887" s="163" t="s">
        <v>1448</v>
      </c>
      <c r="L887" s="163"/>
      <c r="M887" s="163" t="s">
        <v>1449</v>
      </c>
      <c r="N887" s="163" t="s">
        <v>102</v>
      </c>
      <c r="O887" s="162"/>
      <c r="P887" s="163"/>
      <c r="Q887" s="163"/>
      <c r="R887" s="163"/>
      <c r="S887" s="163" t="s">
        <v>103</v>
      </c>
      <c r="T887" s="164">
        <v>5000</v>
      </c>
      <c r="U887" s="164">
        <v>7500</v>
      </c>
      <c r="V887" s="162">
        <v>46255</v>
      </c>
      <c r="W887" s="163" t="s">
        <v>1450</v>
      </c>
      <c r="X887" s="163" t="s">
        <v>42</v>
      </c>
      <c r="Y887" s="163" t="s">
        <v>85</v>
      </c>
      <c r="Z887" s="163"/>
      <c r="AA887" s="162"/>
      <c r="AB887" s="195" t="str">
        <f t="shared" si="108"/>
        <v>Aug-26</v>
      </c>
      <c r="AC887" s="163"/>
      <c r="AD887" s="163"/>
      <c r="AE887" s="163"/>
    </row>
    <row r="888" spans="1:31" x14ac:dyDescent="0.35">
      <c r="A888" s="162">
        <v>46255</v>
      </c>
      <c r="B888" s="163" t="s">
        <v>148</v>
      </c>
      <c r="C888" s="163" t="s">
        <v>113</v>
      </c>
      <c r="D888" s="163" t="s">
        <v>1433</v>
      </c>
      <c r="E888" s="163" t="s">
        <v>106</v>
      </c>
      <c r="F888" s="163" t="s">
        <v>96</v>
      </c>
      <c r="G888" s="163" t="s">
        <v>14</v>
      </c>
      <c r="H888" s="163" t="s">
        <v>226</v>
      </c>
      <c r="I888" s="163" t="s">
        <v>121</v>
      </c>
      <c r="J888" s="163" t="s">
        <v>388</v>
      </c>
      <c r="K888" s="163" t="s">
        <v>227</v>
      </c>
      <c r="L888" s="163"/>
      <c r="M888" s="163" t="s">
        <v>159</v>
      </c>
      <c r="N888" s="163" t="s">
        <v>102</v>
      </c>
      <c r="O888" s="162"/>
      <c r="P888" s="163"/>
      <c r="Q888" s="163"/>
      <c r="R888" s="163"/>
      <c r="S888" s="163" t="s">
        <v>103</v>
      </c>
      <c r="T888" s="164">
        <v>50000</v>
      </c>
      <c r="U888" s="164">
        <v>43100</v>
      </c>
      <c r="V888" s="162">
        <v>46255</v>
      </c>
      <c r="W888" s="214" t="s">
        <v>1434</v>
      </c>
      <c r="X888" s="163" t="s">
        <v>37</v>
      </c>
      <c r="Y888" s="163" t="s">
        <v>85</v>
      </c>
      <c r="Z888" s="163"/>
      <c r="AA888" s="162"/>
      <c r="AB888" s="195" t="str">
        <f t="shared" si="108"/>
        <v>Aug-26</v>
      </c>
      <c r="AC888" s="163"/>
      <c r="AD888" s="163" t="str">
        <f>IF(AC888="Yes",U888*2%,"")</f>
        <v/>
      </c>
      <c r="AE888" s="163"/>
    </row>
    <row r="889" spans="1:31" x14ac:dyDescent="0.35">
      <c r="A889" s="162">
        <v>46255</v>
      </c>
      <c r="B889" s="163" t="s">
        <v>148</v>
      </c>
      <c r="C889" s="163" t="s">
        <v>113</v>
      </c>
      <c r="D889" s="163" t="s">
        <v>1451</v>
      </c>
      <c r="E889" s="163" t="s">
        <v>106</v>
      </c>
      <c r="F889" s="163" t="s">
        <v>96</v>
      </c>
      <c r="G889" s="163" t="s">
        <v>15</v>
      </c>
      <c r="H889" s="163" t="s">
        <v>163</v>
      </c>
      <c r="I889" s="163" t="s">
        <v>98</v>
      </c>
      <c r="J889" s="163" t="s">
        <v>136</v>
      </c>
      <c r="K889" s="163" t="s">
        <v>231</v>
      </c>
      <c r="L889" s="163"/>
      <c r="M889" s="163" t="s">
        <v>369</v>
      </c>
      <c r="N889" s="163" t="s">
        <v>102</v>
      </c>
      <c r="O889" s="162"/>
      <c r="P889" s="163"/>
      <c r="Q889" s="163"/>
      <c r="R889" s="163"/>
      <c r="S889" s="163" t="s">
        <v>103</v>
      </c>
      <c r="T889" s="164">
        <v>50000</v>
      </c>
      <c r="U889" s="164">
        <v>13300</v>
      </c>
      <c r="V889" s="162">
        <v>46255</v>
      </c>
      <c r="W889" s="163" t="s">
        <v>1452</v>
      </c>
      <c r="X889" s="163" t="s">
        <v>47</v>
      </c>
      <c r="Y889" s="163" t="s">
        <v>85</v>
      </c>
      <c r="Z889" s="163"/>
      <c r="AA889" s="162"/>
      <c r="AB889" s="195" t="str">
        <f t="shared" si="108"/>
        <v>Aug-26</v>
      </c>
      <c r="AC889" s="163"/>
      <c r="AD889" s="163" t="str">
        <f>IF(AC889="Yes",U889*2%,"")</f>
        <v/>
      </c>
      <c r="AE889" s="163"/>
    </row>
    <row r="890" spans="1:31" x14ac:dyDescent="0.35">
      <c r="A890" s="162">
        <v>46256</v>
      </c>
      <c r="B890" s="163" t="s">
        <v>148</v>
      </c>
      <c r="C890" s="163" t="s">
        <v>113</v>
      </c>
      <c r="D890" s="163" t="s">
        <v>1433</v>
      </c>
      <c r="E890" s="163" t="s">
        <v>106</v>
      </c>
      <c r="F890" s="163" t="s">
        <v>96</v>
      </c>
      <c r="G890" s="163" t="s">
        <v>14</v>
      </c>
      <c r="H890" s="163" t="s">
        <v>226</v>
      </c>
      <c r="I890" s="163" t="s">
        <v>121</v>
      </c>
      <c r="J890" s="163" t="s">
        <v>388</v>
      </c>
      <c r="K890" s="163" t="s">
        <v>227</v>
      </c>
      <c r="L890" s="163"/>
      <c r="M890" s="163" t="s">
        <v>369</v>
      </c>
      <c r="N890" s="163" t="s">
        <v>102</v>
      </c>
      <c r="O890" s="162"/>
      <c r="P890" s="163"/>
      <c r="Q890" s="163"/>
      <c r="R890" s="163"/>
      <c r="S890" s="163" t="s">
        <v>103</v>
      </c>
      <c r="T890" s="164">
        <v>50000</v>
      </c>
      <c r="U890" s="164">
        <v>31700</v>
      </c>
      <c r="V890" s="162">
        <v>46256</v>
      </c>
      <c r="W890" s="214" t="s">
        <v>1434</v>
      </c>
      <c r="X890" s="163" t="s">
        <v>37</v>
      </c>
      <c r="Y890" s="163" t="s">
        <v>85</v>
      </c>
      <c r="Z890" s="163"/>
      <c r="AA890" s="162"/>
      <c r="AB890" s="195" t="str">
        <f t="shared" si="108"/>
        <v>Aug-26</v>
      </c>
      <c r="AC890" s="163"/>
      <c r="AD890" s="163" t="str">
        <f>IF(AC890="Yes",U890*2%,"")</f>
        <v/>
      </c>
      <c r="AE890" s="163"/>
    </row>
    <row r="891" spans="1:31" x14ac:dyDescent="0.35">
      <c r="A891" s="162">
        <v>46256</v>
      </c>
      <c r="B891" s="163" t="s">
        <v>125</v>
      </c>
      <c r="C891" s="163" t="s">
        <v>113</v>
      </c>
      <c r="D891" s="163" t="s">
        <v>1082</v>
      </c>
      <c r="E891" s="163" t="s">
        <v>95</v>
      </c>
      <c r="F891" s="163" t="s">
        <v>96</v>
      </c>
      <c r="G891" s="163" t="s">
        <v>15</v>
      </c>
      <c r="H891" s="163" t="s">
        <v>163</v>
      </c>
      <c r="I891" s="163" t="s">
        <v>121</v>
      </c>
      <c r="J891" s="163" t="s">
        <v>147</v>
      </c>
      <c r="K891" s="163" t="s">
        <v>231</v>
      </c>
      <c r="L891" s="163"/>
      <c r="M891" s="163" t="s">
        <v>390</v>
      </c>
      <c r="N891" s="163" t="s">
        <v>102</v>
      </c>
      <c r="O891" s="162"/>
      <c r="P891" s="163"/>
      <c r="Q891" s="163"/>
      <c r="R891" s="163" t="str">
        <f ca="1">IF(OR(N891="Closed( C4 )",N891="Cancelled"),"",IF(AND(O891&lt;&gt;"",O891&lt;TODAY()),"Yes",""))</f>
        <v/>
      </c>
      <c r="S891" s="163" t="s">
        <v>103</v>
      </c>
      <c r="T891" s="164">
        <v>20000</v>
      </c>
      <c r="U891" s="164">
        <v>24170</v>
      </c>
      <c r="V891" s="165">
        <v>46287</v>
      </c>
      <c r="W891" s="163" t="s">
        <v>1453</v>
      </c>
      <c r="X891" s="163" t="s">
        <v>46</v>
      </c>
      <c r="Y891" s="163" t="s">
        <v>85</v>
      </c>
      <c r="Z891" s="163"/>
      <c r="AA891" s="162"/>
      <c r="AB891" s="195" t="str">
        <f t="shared" si="108"/>
        <v>Sep-26</v>
      </c>
      <c r="AC891" s="163"/>
      <c r="AD891" s="163" t="str">
        <f>IF(AC891="Yes",U891*2%,"")</f>
        <v/>
      </c>
      <c r="AE891" s="163"/>
    </row>
    <row r="892" spans="1:31" x14ac:dyDescent="0.35">
      <c r="A892" s="162">
        <v>46257</v>
      </c>
      <c r="B892" s="163" t="s">
        <v>370</v>
      </c>
      <c r="C892" s="163" t="s">
        <v>93</v>
      </c>
      <c r="D892" s="163" t="s">
        <v>1454</v>
      </c>
      <c r="E892" s="163" t="s">
        <v>95</v>
      </c>
      <c r="F892" s="163" t="s">
        <v>135</v>
      </c>
      <c r="G892" s="163"/>
      <c r="H892" s="163" t="s">
        <v>115</v>
      </c>
      <c r="I892" s="163" t="s">
        <v>121</v>
      </c>
      <c r="J892" s="163" t="s">
        <v>147</v>
      </c>
      <c r="K892" s="163" t="s">
        <v>1234</v>
      </c>
      <c r="L892" s="163"/>
      <c r="M892" s="163" t="s">
        <v>159</v>
      </c>
      <c r="N892" s="163" t="s">
        <v>102</v>
      </c>
      <c r="O892" s="162"/>
      <c r="P892" s="163"/>
      <c r="Q892" s="163"/>
      <c r="R892" s="163"/>
      <c r="S892" s="163" t="s">
        <v>103</v>
      </c>
      <c r="T892" s="164">
        <v>15000</v>
      </c>
      <c r="U892" s="164">
        <v>11000</v>
      </c>
      <c r="V892" s="162">
        <v>46257</v>
      </c>
      <c r="W892" s="163" t="s">
        <v>1455</v>
      </c>
      <c r="X892" s="163" t="s">
        <v>61</v>
      </c>
      <c r="Y892" s="163" t="s">
        <v>161</v>
      </c>
      <c r="Z892" s="163"/>
      <c r="AA892" s="162">
        <v>46257</v>
      </c>
      <c r="AB892" s="195" t="str">
        <f t="shared" si="108"/>
        <v>Aug-26</v>
      </c>
      <c r="AC892" s="163"/>
      <c r="AD892" s="163" t="str">
        <f>IF(AC892="Yes",U892*2%,"")</f>
        <v/>
      </c>
      <c r="AE892" s="163" t="s">
        <v>270</v>
      </c>
    </row>
    <row r="893" spans="1:31" x14ac:dyDescent="0.35">
      <c r="A893" s="162">
        <v>46257</v>
      </c>
      <c r="B893" s="163" t="s">
        <v>370</v>
      </c>
      <c r="C893" s="163" t="s">
        <v>93</v>
      </c>
      <c r="D893" s="163" t="s">
        <v>262</v>
      </c>
      <c r="E893" s="163" t="s">
        <v>95</v>
      </c>
      <c r="F893" s="163" t="s">
        <v>115</v>
      </c>
      <c r="G893" s="163"/>
      <c r="H893" s="163" t="s">
        <v>115</v>
      </c>
      <c r="I893" s="163" t="s">
        <v>121</v>
      </c>
      <c r="J893" s="163" t="s">
        <v>262</v>
      </c>
      <c r="K893" s="163" t="s">
        <v>475</v>
      </c>
      <c r="L893" s="163"/>
      <c r="M893" s="163" t="s">
        <v>159</v>
      </c>
      <c r="N893" s="163" t="s">
        <v>102</v>
      </c>
      <c r="O893" s="162"/>
      <c r="P893" s="163"/>
      <c r="Q893" s="163"/>
      <c r="R893" s="163"/>
      <c r="S893" s="163" t="s">
        <v>103</v>
      </c>
      <c r="T893" s="164">
        <v>15000</v>
      </c>
      <c r="U893" s="164">
        <v>11790</v>
      </c>
      <c r="V893" s="162">
        <v>46257</v>
      </c>
      <c r="W893" s="163" t="s">
        <v>1456</v>
      </c>
      <c r="X893" s="163" t="s">
        <v>61</v>
      </c>
      <c r="Y893" s="163" t="s">
        <v>161</v>
      </c>
      <c r="Z893" s="163"/>
      <c r="AA893" s="162">
        <v>46257</v>
      </c>
      <c r="AB893" s="195" t="str">
        <f t="shared" si="108"/>
        <v>Aug-26</v>
      </c>
      <c r="AC893" s="163"/>
      <c r="AD893" s="163"/>
      <c r="AE893" s="163" t="s">
        <v>270</v>
      </c>
    </row>
    <row r="894" spans="1:31" x14ac:dyDescent="0.35">
      <c r="A894" s="162">
        <v>46258</v>
      </c>
      <c r="B894" s="163" t="s">
        <v>148</v>
      </c>
      <c r="C894" s="163" t="s">
        <v>113</v>
      </c>
      <c r="D894" s="163" t="s">
        <v>1457</v>
      </c>
      <c r="E894" s="163" t="s">
        <v>106</v>
      </c>
      <c r="F894" s="163" t="s">
        <v>96</v>
      </c>
      <c r="G894" s="163"/>
      <c r="H894" s="163" t="s">
        <v>163</v>
      </c>
      <c r="I894" s="163" t="s">
        <v>121</v>
      </c>
      <c r="J894" s="163" t="s">
        <v>388</v>
      </c>
      <c r="K894" s="163" t="s">
        <v>1458</v>
      </c>
      <c r="L894" s="163"/>
      <c r="M894" s="163" t="s">
        <v>1459</v>
      </c>
      <c r="N894" s="163" t="s">
        <v>128</v>
      </c>
      <c r="O894" s="162">
        <v>46288</v>
      </c>
      <c r="P894" s="163"/>
      <c r="Q894" s="163"/>
      <c r="R894" s="163"/>
      <c r="S894" s="163" t="s">
        <v>129</v>
      </c>
      <c r="T894" s="164"/>
      <c r="U894" s="164"/>
      <c r="V894" s="163"/>
      <c r="W894" s="163"/>
      <c r="X894" s="163"/>
      <c r="Y894" s="163"/>
      <c r="Z894" s="163"/>
      <c r="AA894" s="162"/>
      <c r="AB894" s="195" t="str">
        <f t="shared" si="108"/>
        <v>Aug-26</v>
      </c>
      <c r="AC894" s="163"/>
      <c r="AD894" s="163" t="str">
        <f>IF(AC894="Yes",U894*2%,"")</f>
        <v/>
      </c>
      <c r="AE894" s="163"/>
    </row>
    <row r="895" spans="1:31" x14ac:dyDescent="0.35">
      <c r="A895" s="162">
        <v>46258</v>
      </c>
      <c r="B895" s="163" t="s">
        <v>148</v>
      </c>
      <c r="C895" s="163" t="s">
        <v>113</v>
      </c>
      <c r="D895" s="163" t="s">
        <v>1460</v>
      </c>
      <c r="E895" s="163" t="s">
        <v>106</v>
      </c>
      <c r="F895" s="163" t="s">
        <v>115</v>
      </c>
      <c r="G895" s="163"/>
      <c r="H895" s="163" t="s">
        <v>115</v>
      </c>
      <c r="I895" s="163" t="s">
        <v>121</v>
      </c>
      <c r="J895" s="163" t="s">
        <v>438</v>
      </c>
      <c r="K895" s="163" t="s">
        <v>556</v>
      </c>
      <c r="L895" s="163"/>
      <c r="M895" s="163" t="s">
        <v>844</v>
      </c>
      <c r="N895" s="163" t="s">
        <v>128</v>
      </c>
      <c r="O895" s="162">
        <v>46288</v>
      </c>
      <c r="P895" s="163"/>
      <c r="Q895" s="163"/>
      <c r="R895" s="163"/>
      <c r="S895" s="163" t="s">
        <v>129</v>
      </c>
      <c r="T895" s="164">
        <v>12500</v>
      </c>
      <c r="U895" s="164"/>
      <c r="V895" s="163"/>
      <c r="W895" s="163"/>
      <c r="X895" s="163"/>
      <c r="Y895" s="163"/>
      <c r="Z895" s="163"/>
      <c r="AA895" s="162"/>
      <c r="AB895" s="195" t="str">
        <f t="shared" si="108"/>
        <v>Aug-26</v>
      </c>
      <c r="AC895" s="163"/>
      <c r="AD895" s="163" t="str">
        <f>IF(AC895="Yes",U895*2%,"")</f>
        <v/>
      </c>
      <c r="AE895" s="163"/>
    </row>
    <row r="896" spans="1:31" x14ac:dyDescent="0.35">
      <c r="A896" s="162">
        <v>46258</v>
      </c>
      <c r="B896" s="163" t="s">
        <v>370</v>
      </c>
      <c r="C896" s="163" t="s">
        <v>93</v>
      </c>
      <c r="D896" s="163" t="s">
        <v>500</v>
      </c>
      <c r="E896" s="163" t="s">
        <v>106</v>
      </c>
      <c r="F896" s="163" t="s">
        <v>135</v>
      </c>
      <c r="G896" s="163"/>
      <c r="H896" s="163" t="s">
        <v>115</v>
      </c>
      <c r="I896" s="163" t="s">
        <v>121</v>
      </c>
      <c r="J896" s="163" t="s">
        <v>356</v>
      </c>
      <c r="K896" s="163" t="s">
        <v>1461</v>
      </c>
      <c r="L896" s="163"/>
      <c r="M896" s="163" t="s">
        <v>914</v>
      </c>
      <c r="N896" s="163" t="s">
        <v>130</v>
      </c>
      <c r="O896" s="162">
        <v>46280</v>
      </c>
      <c r="P896" s="163" t="s">
        <v>95</v>
      </c>
      <c r="Q896" s="163"/>
      <c r="R896" s="163"/>
      <c r="S896" s="163" t="s">
        <v>129</v>
      </c>
      <c r="T896" s="164">
        <v>40000</v>
      </c>
      <c r="U896" s="164"/>
      <c r="V896" s="163"/>
      <c r="W896" s="163"/>
      <c r="X896" s="163"/>
      <c r="Y896" s="163"/>
      <c r="Z896" s="163"/>
      <c r="AA896" s="162"/>
      <c r="AB896" s="195" t="str">
        <f t="shared" si="108"/>
        <v>Aug-26</v>
      </c>
      <c r="AC896" s="163"/>
      <c r="AD896" s="163"/>
      <c r="AE896" s="163"/>
    </row>
    <row r="897" spans="1:31" x14ac:dyDescent="0.35">
      <c r="A897" s="162">
        <v>46258</v>
      </c>
      <c r="B897" s="163" t="s">
        <v>370</v>
      </c>
      <c r="C897" s="163" t="s">
        <v>93</v>
      </c>
      <c r="D897" s="163" t="s">
        <v>1462</v>
      </c>
      <c r="E897" s="163" t="s">
        <v>106</v>
      </c>
      <c r="F897" s="163" t="s">
        <v>135</v>
      </c>
      <c r="G897" s="163"/>
      <c r="H897" s="163" t="s">
        <v>115</v>
      </c>
      <c r="I897" s="163" t="s">
        <v>121</v>
      </c>
      <c r="J897" s="163" t="s">
        <v>147</v>
      </c>
      <c r="K897" s="163" t="s">
        <v>1463</v>
      </c>
      <c r="L897" s="163"/>
      <c r="M897" s="163" t="s">
        <v>1307</v>
      </c>
      <c r="N897" s="163" t="s">
        <v>128</v>
      </c>
      <c r="O897" s="162">
        <v>46273</v>
      </c>
      <c r="P897" s="163" t="s">
        <v>106</v>
      </c>
      <c r="Q897" s="163"/>
      <c r="R897" s="163"/>
      <c r="S897" s="163" t="s">
        <v>133</v>
      </c>
      <c r="T897" s="164">
        <v>20000</v>
      </c>
      <c r="U897" s="164"/>
      <c r="V897" s="163"/>
      <c r="W897" s="163"/>
      <c r="X897" s="163"/>
      <c r="Y897" s="163"/>
      <c r="Z897" s="163"/>
      <c r="AA897" s="162"/>
      <c r="AB897" s="195" t="str">
        <f t="shared" ref="AB897:AB960" si="112">IF($V897="",TEXT($A897,"MMM-YY"),TEXT($V897,"MMM-YY"))</f>
        <v>Aug-26</v>
      </c>
      <c r="AC897" s="163"/>
      <c r="AD897" s="163"/>
      <c r="AE897" s="163"/>
    </row>
    <row r="898" spans="1:31" x14ac:dyDescent="0.35">
      <c r="A898" s="162">
        <v>46258</v>
      </c>
      <c r="B898" s="163" t="s">
        <v>92</v>
      </c>
      <c r="C898" s="163" t="s">
        <v>93</v>
      </c>
      <c r="D898" s="163" t="s">
        <v>213</v>
      </c>
      <c r="E898" s="163" t="s">
        <v>106</v>
      </c>
      <c r="F898" s="163" t="s">
        <v>135</v>
      </c>
      <c r="G898" s="163"/>
      <c r="H898" s="163" t="s">
        <v>115</v>
      </c>
      <c r="I898" s="163" t="s">
        <v>121</v>
      </c>
      <c r="J898" s="163" t="s">
        <v>147</v>
      </c>
      <c r="K898" s="163" t="s">
        <v>863</v>
      </c>
      <c r="L898" s="163"/>
      <c r="M898" s="163" t="s">
        <v>1307</v>
      </c>
      <c r="N898" s="163" t="s">
        <v>130</v>
      </c>
      <c r="O898" s="162">
        <v>46286</v>
      </c>
      <c r="P898" s="163" t="s">
        <v>95</v>
      </c>
      <c r="Q898" s="163"/>
      <c r="R898" s="163"/>
      <c r="S898" s="163" t="s">
        <v>129</v>
      </c>
      <c r="T898" s="164">
        <v>50000</v>
      </c>
      <c r="U898" s="164"/>
      <c r="V898" s="163"/>
      <c r="W898" s="163"/>
      <c r="X898" s="163"/>
      <c r="Y898" s="163"/>
      <c r="Z898" s="163"/>
      <c r="AA898" s="162"/>
      <c r="AB898" s="195" t="str">
        <f t="shared" si="112"/>
        <v>Aug-26</v>
      </c>
      <c r="AC898" s="163"/>
      <c r="AD898" s="163"/>
      <c r="AE898" s="163"/>
    </row>
    <row r="899" spans="1:31" x14ac:dyDescent="0.35">
      <c r="A899" s="162">
        <v>46258</v>
      </c>
      <c r="B899" s="163" t="s">
        <v>92</v>
      </c>
      <c r="C899" s="163" t="s">
        <v>93</v>
      </c>
      <c r="D899" s="163" t="s">
        <v>1464</v>
      </c>
      <c r="E899" s="163" t="s">
        <v>106</v>
      </c>
      <c r="F899" s="163" t="s">
        <v>135</v>
      </c>
      <c r="G899" s="163"/>
      <c r="H899" s="163" t="s">
        <v>115</v>
      </c>
      <c r="I899" s="163" t="s">
        <v>121</v>
      </c>
      <c r="J899" s="163" t="s">
        <v>147</v>
      </c>
      <c r="K899" s="163" t="s">
        <v>1465</v>
      </c>
      <c r="L899" s="163"/>
      <c r="M899" s="163" t="s">
        <v>914</v>
      </c>
      <c r="N899" s="163" t="s">
        <v>130</v>
      </c>
      <c r="O899" s="162">
        <v>46272</v>
      </c>
      <c r="P899" s="163" t="s">
        <v>95</v>
      </c>
      <c r="Q899" s="163"/>
      <c r="R899" s="163"/>
      <c r="S899" s="163" t="s">
        <v>129</v>
      </c>
      <c r="T899" s="164">
        <v>25000</v>
      </c>
      <c r="U899" s="164"/>
      <c r="V899" s="163"/>
      <c r="W899" s="163"/>
      <c r="X899" s="163"/>
      <c r="Y899" s="163"/>
      <c r="Z899" s="163"/>
      <c r="AA899" s="162"/>
      <c r="AB899" s="195" t="str">
        <f t="shared" si="112"/>
        <v>Aug-26</v>
      </c>
      <c r="AC899" s="163"/>
      <c r="AD899" s="163"/>
      <c r="AE899" s="163"/>
    </row>
    <row r="900" spans="1:31" x14ac:dyDescent="0.35">
      <c r="A900" s="162">
        <v>46258</v>
      </c>
      <c r="B900" s="163" t="s">
        <v>370</v>
      </c>
      <c r="C900" s="163" t="s">
        <v>93</v>
      </c>
      <c r="D900" s="163" t="s">
        <v>1466</v>
      </c>
      <c r="E900" s="163" t="s">
        <v>106</v>
      </c>
      <c r="F900" s="163" t="s">
        <v>135</v>
      </c>
      <c r="G900" s="163"/>
      <c r="H900" s="163" t="s">
        <v>115</v>
      </c>
      <c r="I900" s="163" t="s">
        <v>121</v>
      </c>
      <c r="J900" s="163" t="s">
        <v>147</v>
      </c>
      <c r="K900" s="163" t="s">
        <v>137</v>
      </c>
      <c r="L900" s="163"/>
      <c r="M900" s="163" t="s">
        <v>1307</v>
      </c>
      <c r="N900" s="163" t="s">
        <v>495</v>
      </c>
      <c r="O900" s="162"/>
      <c r="P900" s="163"/>
      <c r="Q900" s="163"/>
      <c r="R900" s="163"/>
      <c r="S900" s="163" t="s">
        <v>129</v>
      </c>
      <c r="T900" s="164">
        <v>30000</v>
      </c>
      <c r="U900" s="164"/>
      <c r="V900" s="163"/>
      <c r="W900" s="163"/>
      <c r="X900" s="163"/>
      <c r="Y900" s="163"/>
      <c r="Z900" s="163"/>
      <c r="AA900" s="162"/>
      <c r="AB900" s="195" t="str">
        <f t="shared" si="112"/>
        <v>Aug-26</v>
      </c>
      <c r="AC900" s="163"/>
      <c r="AD900" s="163"/>
      <c r="AE900" s="163"/>
    </row>
    <row r="901" spans="1:31" x14ac:dyDescent="0.35">
      <c r="A901" s="162">
        <v>46258</v>
      </c>
      <c r="B901" s="163" t="s">
        <v>370</v>
      </c>
      <c r="C901" s="163" t="s">
        <v>93</v>
      </c>
      <c r="D901" s="163" t="s">
        <v>1467</v>
      </c>
      <c r="E901" s="163" t="s">
        <v>106</v>
      </c>
      <c r="F901" s="163" t="s">
        <v>135</v>
      </c>
      <c r="G901" s="163"/>
      <c r="H901" s="163" t="s">
        <v>115</v>
      </c>
      <c r="I901" s="163" t="s">
        <v>121</v>
      </c>
      <c r="J901" s="163" t="s">
        <v>147</v>
      </c>
      <c r="K901" s="163" t="s">
        <v>1253</v>
      </c>
      <c r="L901" s="163"/>
      <c r="M901" s="163" t="s">
        <v>1307</v>
      </c>
      <c r="N901" s="163" t="s">
        <v>130</v>
      </c>
      <c r="O901" s="162">
        <v>46273</v>
      </c>
      <c r="P901" s="163"/>
      <c r="Q901" s="163"/>
      <c r="R901" s="163"/>
      <c r="S901" s="163" t="s">
        <v>133</v>
      </c>
      <c r="T901" s="164">
        <v>40000</v>
      </c>
      <c r="U901" s="164"/>
      <c r="V901" s="163"/>
      <c r="W901" s="163"/>
      <c r="X901" s="163"/>
      <c r="Y901" s="163"/>
      <c r="Z901" s="163"/>
      <c r="AA901" s="162"/>
      <c r="AB901" s="195" t="str">
        <f t="shared" si="112"/>
        <v>Aug-26</v>
      </c>
      <c r="AC901" s="163"/>
      <c r="AD901" s="163"/>
      <c r="AE901" s="163"/>
    </row>
    <row r="902" spans="1:31" x14ac:dyDescent="0.35">
      <c r="A902" s="162">
        <v>46258</v>
      </c>
      <c r="B902" s="163" t="s">
        <v>370</v>
      </c>
      <c r="C902" s="163" t="s">
        <v>93</v>
      </c>
      <c r="D902" s="163" t="s">
        <v>1468</v>
      </c>
      <c r="E902" s="163" t="s">
        <v>106</v>
      </c>
      <c r="F902" s="163" t="s">
        <v>135</v>
      </c>
      <c r="G902" s="163"/>
      <c r="H902" s="163" t="s">
        <v>115</v>
      </c>
      <c r="I902" s="163" t="s">
        <v>121</v>
      </c>
      <c r="J902" s="163" t="s">
        <v>147</v>
      </c>
      <c r="K902" s="163" t="s">
        <v>1469</v>
      </c>
      <c r="L902" s="163"/>
      <c r="M902" s="163" t="s">
        <v>159</v>
      </c>
      <c r="N902" s="163" t="s">
        <v>102</v>
      </c>
      <c r="O902" s="162"/>
      <c r="P902" s="163"/>
      <c r="Q902" s="163"/>
      <c r="R902" s="163"/>
      <c r="S902" s="163" t="s">
        <v>103</v>
      </c>
      <c r="T902" s="164">
        <v>10000</v>
      </c>
      <c r="U902" s="161">
        <v>9600</v>
      </c>
      <c r="V902" s="162">
        <v>46258</v>
      </c>
      <c r="W902" s="163" t="s">
        <v>1470</v>
      </c>
      <c r="X902" s="163" t="s">
        <v>42</v>
      </c>
      <c r="Y902" s="163" t="s">
        <v>161</v>
      </c>
      <c r="Z902" s="163"/>
      <c r="AA902" s="162">
        <v>46258</v>
      </c>
      <c r="AB902" s="195" t="str">
        <f t="shared" si="112"/>
        <v>Aug-26</v>
      </c>
      <c r="AC902" s="163"/>
      <c r="AD902" s="163"/>
      <c r="AE902" s="163" t="s">
        <v>270</v>
      </c>
    </row>
    <row r="903" spans="1:31" x14ac:dyDescent="0.35">
      <c r="A903" s="162">
        <v>46259</v>
      </c>
      <c r="B903" s="163" t="s">
        <v>148</v>
      </c>
      <c r="C903" s="163" t="s">
        <v>113</v>
      </c>
      <c r="D903" s="163" t="s">
        <v>1471</v>
      </c>
      <c r="E903" s="163" t="s">
        <v>106</v>
      </c>
      <c r="F903" s="163" t="s">
        <v>115</v>
      </c>
      <c r="G903" s="163"/>
      <c r="H903" s="163" t="s">
        <v>115</v>
      </c>
      <c r="I903" s="163" t="s">
        <v>121</v>
      </c>
      <c r="J903" s="163" t="s">
        <v>438</v>
      </c>
      <c r="K903" s="163" t="s">
        <v>1472</v>
      </c>
      <c r="L903" s="163"/>
      <c r="M903" s="163" t="s">
        <v>1473</v>
      </c>
      <c r="N903" s="163" t="s">
        <v>128</v>
      </c>
      <c r="O903" s="162">
        <v>46287</v>
      </c>
      <c r="P903" s="163"/>
      <c r="Q903" s="163"/>
      <c r="R903" s="163"/>
      <c r="S903" s="163" t="s">
        <v>129</v>
      </c>
      <c r="T903" s="164">
        <v>5500</v>
      </c>
      <c r="U903" s="164"/>
      <c r="V903" s="163"/>
      <c r="W903" s="163"/>
      <c r="X903" s="163"/>
      <c r="Y903" s="163"/>
      <c r="Z903" s="163"/>
      <c r="AA903" s="162"/>
      <c r="AB903" s="195" t="str">
        <f t="shared" si="112"/>
        <v>Aug-26</v>
      </c>
      <c r="AC903" s="163"/>
      <c r="AD903" s="163" t="str">
        <f>IF(AC903="Yes",U903*2%,"")</f>
        <v/>
      </c>
      <c r="AE903" s="163"/>
    </row>
    <row r="904" spans="1:31" x14ac:dyDescent="0.35">
      <c r="A904" s="162">
        <v>46259</v>
      </c>
      <c r="B904" s="163" t="s">
        <v>148</v>
      </c>
      <c r="C904" s="163" t="s">
        <v>113</v>
      </c>
      <c r="D904" s="163" t="s">
        <v>1474</v>
      </c>
      <c r="E904" s="163" t="s">
        <v>106</v>
      </c>
      <c r="F904" s="163" t="s">
        <v>115</v>
      </c>
      <c r="G904" s="163"/>
      <c r="H904" s="163" t="s">
        <v>115</v>
      </c>
      <c r="I904" s="163" t="s">
        <v>121</v>
      </c>
      <c r="J904" s="163" t="s">
        <v>153</v>
      </c>
      <c r="K904" s="163" t="s">
        <v>812</v>
      </c>
      <c r="L904" s="163"/>
      <c r="M904" s="163" t="s">
        <v>1473</v>
      </c>
      <c r="N904" s="163" t="s">
        <v>128</v>
      </c>
      <c r="O904" s="162">
        <v>46289</v>
      </c>
      <c r="P904" s="163"/>
      <c r="Q904" s="163"/>
      <c r="R904" s="163"/>
      <c r="S904" s="163" t="s">
        <v>129</v>
      </c>
      <c r="T904" s="164">
        <v>10000</v>
      </c>
      <c r="U904" s="164"/>
      <c r="V904" s="163"/>
      <c r="W904" s="163"/>
      <c r="X904" s="163"/>
      <c r="Y904" s="163"/>
      <c r="Z904" s="163"/>
      <c r="AA904" s="162"/>
      <c r="AB904" s="195" t="str">
        <f t="shared" si="112"/>
        <v>Aug-26</v>
      </c>
      <c r="AC904" s="163"/>
      <c r="AD904" s="163" t="str">
        <f>IF(AC904="Yes",U904*2%,"")</f>
        <v/>
      </c>
      <c r="AE904" s="163"/>
    </row>
    <row r="905" spans="1:31" x14ac:dyDescent="0.35">
      <c r="A905" s="162">
        <v>46259</v>
      </c>
      <c r="B905" s="163" t="s">
        <v>370</v>
      </c>
      <c r="C905" s="163" t="s">
        <v>93</v>
      </c>
      <c r="D905" s="163" t="s">
        <v>1475</v>
      </c>
      <c r="E905" s="163" t="s">
        <v>106</v>
      </c>
      <c r="F905" s="163" t="s">
        <v>135</v>
      </c>
      <c r="G905" s="163"/>
      <c r="H905" s="163" t="s">
        <v>115</v>
      </c>
      <c r="I905" s="163" t="s">
        <v>121</v>
      </c>
      <c r="J905" s="163" t="s">
        <v>147</v>
      </c>
      <c r="K905" s="163" t="s">
        <v>256</v>
      </c>
      <c r="L905" s="163"/>
      <c r="M905" s="163" t="s">
        <v>914</v>
      </c>
      <c r="N905" s="163" t="s">
        <v>128</v>
      </c>
      <c r="O905" s="162">
        <v>46282</v>
      </c>
      <c r="P905" s="163" t="s">
        <v>95</v>
      </c>
      <c r="Q905" s="163"/>
      <c r="R905" s="163"/>
      <c r="S905" s="163" t="s">
        <v>129</v>
      </c>
      <c r="T905" s="164">
        <v>35000</v>
      </c>
      <c r="U905" s="164"/>
      <c r="V905" s="163"/>
      <c r="W905" s="163"/>
      <c r="X905" s="163"/>
      <c r="Y905" s="163"/>
      <c r="Z905" s="163"/>
      <c r="AA905" s="162"/>
      <c r="AB905" s="195" t="str">
        <f t="shared" si="112"/>
        <v>Aug-26</v>
      </c>
      <c r="AC905" s="163"/>
      <c r="AD905" s="163"/>
      <c r="AE905" s="163"/>
    </row>
    <row r="906" spans="1:31" x14ac:dyDescent="0.35">
      <c r="A906" s="162">
        <v>46259</v>
      </c>
      <c r="B906" s="163" t="s">
        <v>370</v>
      </c>
      <c r="C906" s="163" t="s">
        <v>93</v>
      </c>
      <c r="D906" s="163" t="s">
        <v>1476</v>
      </c>
      <c r="E906" s="163" t="s">
        <v>106</v>
      </c>
      <c r="F906" s="163" t="s">
        <v>135</v>
      </c>
      <c r="G906" s="163"/>
      <c r="H906" s="163" t="s">
        <v>115</v>
      </c>
      <c r="I906" s="163" t="s">
        <v>121</v>
      </c>
      <c r="J906" s="163" t="s">
        <v>147</v>
      </c>
      <c r="K906" s="163" t="s">
        <v>1477</v>
      </c>
      <c r="L906" s="163"/>
      <c r="M906" s="163" t="s">
        <v>914</v>
      </c>
      <c r="N906" s="163" t="s">
        <v>128</v>
      </c>
      <c r="O906" s="162"/>
      <c r="P906" s="163"/>
      <c r="Q906" s="163"/>
      <c r="R906" s="163"/>
      <c r="S906" s="163" t="s">
        <v>103</v>
      </c>
      <c r="T906" s="164">
        <v>28000</v>
      </c>
      <c r="U906" s="164"/>
      <c r="V906" s="163"/>
      <c r="W906" s="163"/>
      <c r="X906" s="163"/>
      <c r="Y906" s="163"/>
      <c r="Z906" s="163"/>
      <c r="AA906" s="162"/>
      <c r="AB906" s="195" t="str">
        <f t="shared" si="112"/>
        <v>Aug-26</v>
      </c>
      <c r="AC906" s="163"/>
      <c r="AD906" s="163"/>
      <c r="AE906" s="163"/>
    </row>
    <row r="907" spans="1:31" x14ac:dyDescent="0.35">
      <c r="A907" s="162">
        <v>46259</v>
      </c>
      <c r="B907" s="163" t="s">
        <v>92</v>
      </c>
      <c r="C907" s="163" t="s">
        <v>93</v>
      </c>
      <c r="D907" s="163" t="s">
        <v>1478</v>
      </c>
      <c r="E907" s="163" t="s">
        <v>106</v>
      </c>
      <c r="F907" s="163" t="s">
        <v>135</v>
      </c>
      <c r="G907" s="163"/>
      <c r="H907" s="163" t="s">
        <v>115</v>
      </c>
      <c r="I907" s="163" t="s">
        <v>121</v>
      </c>
      <c r="J907" s="163" t="s">
        <v>923</v>
      </c>
      <c r="K907" s="163" t="s">
        <v>1479</v>
      </c>
      <c r="L907" s="163"/>
      <c r="M907" s="163" t="s">
        <v>1307</v>
      </c>
      <c r="N907" s="163" t="s">
        <v>495</v>
      </c>
      <c r="O907" s="162">
        <v>46286</v>
      </c>
      <c r="P907" s="163" t="s">
        <v>95</v>
      </c>
      <c r="Q907" s="163"/>
      <c r="R907" s="163"/>
      <c r="S907" s="163" t="s">
        <v>129</v>
      </c>
      <c r="T907" s="164">
        <v>55000</v>
      </c>
      <c r="U907" s="164"/>
      <c r="V907" s="163"/>
      <c r="W907" s="163"/>
      <c r="X907" s="163"/>
      <c r="Y907" s="163"/>
      <c r="Z907" s="163"/>
      <c r="AA907" s="162"/>
      <c r="AB907" s="195" t="str">
        <f t="shared" si="112"/>
        <v>Aug-26</v>
      </c>
      <c r="AC907" s="163"/>
      <c r="AD907" s="163"/>
      <c r="AE907" s="163"/>
    </row>
    <row r="908" spans="1:31" x14ac:dyDescent="0.35">
      <c r="A908" s="162">
        <v>46259</v>
      </c>
      <c r="B908" s="163" t="s">
        <v>92</v>
      </c>
      <c r="C908" s="163" t="s">
        <v>93</v>
      </c>
      <c r="D908" s="163" t="s">
        <v>1259</v>
      </c>
      <c r="E908" s="163" t="s">
        <v>106</v>
      </c>
      <c r="F908" s="163" t="s">
        <v>135</v>
      </c>
      <c r="G908" s="163"/>
      <c r="H908" s="163" t="s">
        <v>115</v>
      </c>
      <c r="I908" s="163" t="s">
        <v>121</v>
      </c>
      <c r="J908" s="163" t="s">
        <v>147</v>
      </c>
      <c r="K908" s="163" t="s">
        <v>931</v>
      </c>
      <c r="L908" s="163"/>
      <c r="M908" s="163" t="s">
        <v>1473</v>
      </c>
      <c r="N908" s="163" t="s">
        <v>128</v>
      </c>
      <c r="O908" s="162"/>
      <c r="P908" s="163"/>
      <c r="Q908" s="163"/>
      <c r="R908" s="163"/>
      <c r="S908" s="163" t="s">
        <v>103</v>
      </c>
      <c r="T908" s="164">
        <v>35000</v>
      </c>
      <c r="U908" s="164"/>
      <c r="V908" s="163"/>
      <c r="W908" s="163"/>
      <c r="X908" s="163"/>
      <c r="Y908" s="163"/>
      <c r="Z908" s="163"/>
      <c r="AA908" s="162"/>
      <c r="AB908" s="195" t="str">
        <f t="shared" si="112"/>
        <v>Aug-26</v>
      </c>
      <c r="AC908" s="163"/>
      <c r="AD908" s="163"/>
      <c r="AE908" s="163"/>
    </row>
    <row r="909" spans="1:31" x14ac:dyDescent="0.35">
      <c r="A909" s="162">
        <v>46259</v>
      </c>
      <c r="B909" s="163" t="s">
        <v>370</v>
      </c>
      <c r="C909" s="163" t="s">
        <v>93</v>
      </c>
      <c r="D909" s="163" t="s">
        <v>1011</v>
      </c>
      <c r="E909" s="163" t="s">
        <v>106</v>
      </c>
      <c r="F909" s="163" t="s">
        <v>135</v>
      </c>
      <c r="G909" s="163"/>
      <c r="H909" s="163" t="s">
        <v>115</v>
      </c>
      <c r="I909" s="163" t="s">
        <v>121</v>
      </c>
      <c r="J909" s="163" t="s">
        <v>147</v>
      </c>
      <c r="K909" s="163" t="s">
        <v>964</v>
      </c>
      <c r="L909" s="163"/>
      <c r="M909" s="163" t="s">
        <v>1307</v>
      </c>
      <c r="N909" s="163" t="s">
        <v>130</v>
      </c>
      <c r="O909" s="162"/>
      <c r="P909" s="163"/>
      <c r="Q909" s="163"/>
      <c r="R909" s="163"/>
      <c r="S909" s="163" t="s">
        <v>129</v>
      </c>
      <c r="T909" s="164">
        <v>70000</v>
      </c>
      <c r="U909" s="164"/>
      <c r="V909" s="163"/>
      <c r="W909" s="163"/>
      <c r="X909" s="163"/>
      <c r="Y909" s="163"/>
      <c r="Z909" s="163"/>
      <c r="AA909" s="162"/>
      <c r="AB909" s="195" t="str">
        <f t="shared" si="112"/>
        <v>Aug-26</v>
      </c>
      <c r="AC909" s="163"/>
      <c r="AD909" s="163"/>
      <c r="AE909" s="163"/>
    </row>
    <row r="910" spans="1:31" x14ac:dyDescent="0.35">
      <c r="A910" s="162">
        <v>46260</v>
      </c>
      <c r="B910" s="163" t="s">
        <v>148</v>
      </c>
      <c r="C910" s="163" t="s">
        <v>113</v>
      </c>
      <c r="D910" s="163" t="s">
        <v>1480</v>
      </c>
      <c r="E910" s="163" t="s">
        <v>106</v>
      </c>
      <c r="F910" s="163" t="s">
        <v>135</v>
      </c>
      <c r="G910" s="163"/>
      <c r="H910" s="163" t="s">
        <v>115</v>
      </c>
      <c r="I910" s="163" t="s">
        <v>121</v>
      </c>
      <c r="J910" s="163" t="s">
        <v>438</v>
      </c>
      <c r="K910" s="163" t="s">
        <v>1481</v>
      </c>
      <c r="L910" s="163"/>
      <c r="M910" s="163" t="s">
        <v>1473</v>
      </c>
      <c r="N910" s="163" t="s">
        <v>128</v>
      </c>
      <c r="O910" s="162">
        <v>46286</v>
      </c>
      <c r="P910" s="163"/>
      <c r="Q910" s="163"/>
      <c r="R910" s="163"/>
      <c r="S910" s="163" t="s">
        <v>129</v>
      </c>
      <c r="T910" s="164">
        <v>6000</v>
      </c>
      <c r="U910" s="164"/>
      <c r="V910" s="163"/>
      <c r="W910" s="163"/>
      <c r="X910" s="163"/>
      <c r="Y910" s="163"/>
      <c r="Z910" s="163"/>
      <c r="AA910" s="162"/>
      <c r="AB910" s="195" t="str">
        <f t="shared" si="112"/>
        <v>Aug-26</v>
      </c>
      <c r="AC910" s="163"/>
      <c r="AD910" s="163" t="str">
        <f>IF(AC910="Yes",U910*2%,"")</f>
        <v/>
      </c>
      <c r="AE910" s="163"/>
    </row>
    <row r="911" spans="1:31" x14ac:dyDescent="0.35">
      <c r="A911" s="162">
        <v>46260</v>
      </c>
      <c r="B911" s="163" t="s">
        <v>148</v>
      </c>
      <c r="C911" s="163" t="s">
        <v>113</v>
      </c>
      <c r="D911" s="163" t="s">
        <v>1482</v>
      </c>
      <c r="E911" s="163" t="s">
        <v>106</v>
      </c>
      <c r="F911" s="163" t="s">
        <v>135</v>
      </c>
      <c r="G911" s="163"/>
      <c r="H911" s="163" t="s">
        <v>115</v>
      </c>
      <c r="I911" s="163" t="s">
        <v>121</v>
      </c>
      <c r="J911" s="163" t="s">
        <v>153</v>
      </c>
      <c r="K911" s="163" t="s">
        <v>1483</v>
      </c>
      <c r="L911" s="163"/>
      <c r="M911" s="163" t="s">
        <v>1473</v>
      </c>
      <c r="N911" s="163" t="s">
        <v>128</v>
      </c>
      <c r="O911" s="162">
        <v>46287</v>
      </c>
      <c r="P911" s="163"/>
      <c r="Q911" s="163"/>
      <c r="R911" s="163"/>
      <c r="S911" s="163" t="s">
        <v>129</v>
      </c>
      <c r="T911" s="164">
        <v>5500</v>
      </c>
      <c r="U911" s="164"/>
      <c r="V911" s="163"/>
      <c r="W911" s="163"/>
      <c r="X911" s="163"/>
      <c r="Y911" s="163"/>
      <c r="Z911" s="163"/>
      <c r="AA911" s="162"/>
      <c r="AB911" s="195" t="str">
        <f t="shared" si="112"/>
        <v>Aug-26</v>
      </c>
      <c r="AC911" s="163"/>
      <c r="AD911" s="163" t="str">
        <f>IF(AC911="Yes",U911*2%,"")</f>
        <v/>
      </c>
      <c r="AE911" s="163"/>
    </row>
    <row r="912" spans="1:31" x14ac:dyDescent="0.35">
      <c r="A912" s="162">
        <v>46260</v>
      </c>
      <c r="B912" s="163" t="s">
        <v>370</v>
      </c>
      <c r="C912" s="163" t="s">
        <v>93</v>
      </c>
      <c r="D912" s="163" t="s">
        <v>1113</v>
      </c>
      <c r="E912" s="163" t="s">
        <v>106</v>
      </c>
      <c r="F912" s="163" t="s">
        <v>135</v>
      </c>
      <c r="G912" s="163"/>
      <c r="H912" s="163" t="s">
        <v>115</v>
      </c>
      <c r="I912" s="163" t="s">
        <v>121</v>
      </c>
      <c r="J912" s="163" t="s">
        <v>147</v>
      </c>
      <c r="K912" s="163" t="s">
        <v>1484</v>
      </c>
      <c r="L912" s="163"/>
      <c r="M912" s="163" t="s">
        <v>1307</v>
      </c>
      <c r="N912" s="163" t="s">
        <v>130</v>
      </c>
      <c r="O912" s="162">
        <v>46282</v>
      </c>
      <c r="P912" s="163" t="s">
        <v>95</v>
      </c>
      <c r="Q912" s="163"/>
      <c r="R912" s="163"/>
      <c r="S912" s="163" t="s">
        <v>133</v>
      </c>
      <c r="T912" s="164">
        <v>45000</v>
      </c>
      <c r="U912" s="164"/>
      <c r="V912" s="163"/>
      <c r="W912" s="163"/>
      <c r="X912" s="163"/>
      <c r="Y912" s="163"/>
      <c r="Z912" s="163"/>
      <c r="AA912" s="162"/>
      <c r="AB912" s="195" t="str">
        <f t="shared" si="112"/>
        <v>Aug-26</v>
      </c>
      <c r="AC912" s="163"/>
      <c r="AD912" s="163"/>
      <c r="AE912" s="163"/>
    </row>
    <row r="913" spans="1:31" x14ac:dyDescent="0.35">
      <c r="A913" s="162">
        <v>46260</v>
      </c>
      <c r="B913" s="163" t="s">
        <v>92</v>
      </c>
      <c r="C913" s="163" t="s">
        <v>93</v>
      </c>
      <c r="D913" s="163" t="s">
        <v>19</v>
      </c>
      <c r="E913" s="163" t="s">
        <v>106</v>
      </c>
      <c r="F913" s="163" t="s">
        <v>96</v>
      </c>
      <c r="G913" s="163" t="s">
        <v>10</v>
      </c>
      <c r="H913" s="163" t="s">
        <v>115</v>
      </c>
      <c r="I913" s="163" t="s">
        <v>121</v>
      </c>
      <c r="J913" s="163" t="s">
        <v>99</v>
      </c>
      <c r="K913" s="163" t="s">
        <v>256</v>
      </c>
      <c r="L913" s="163"/>
      <c r="M913" s="163" t="s">
        <v>159</v>
      </c>
      <c r="N913" s="163" t="s">
        <v>102</v>
      </c>
      <c r="O913" s="162"/>
      <c r="P913" s="163"/>
      <c r="Q913" s="163"/>
      <c r="R913" s="163" t="str">
        <f ca="1">IF(OR(N913="Closed( C4 )",N913="Cancelled"),"",IF(AND(O913&lt;&gt;"",O913&lt;TODAY()),"Yes",""))</f>
        <v/>
      </c>
      <c r="S913" s="163" t="s">
        <v>103</v>
      </c>
      <c r="T913" s="164">
        <v>400000</v>
      </c>
      <c r="U913" s="164">
        <v>411600</v>
      </c>
      <c r="V913" s="162">
        <v>46260</v>
      </c>
      <c r="W913" s="163" t="s">
        <v>1485</v>
      </c>
      <c r="X913" s="163" t="s">
        <v>27</v>
      </c>
      <c r="Y913" s="163" t="s">
        <v>85</v>
      </c>
      <c r="Z913" s="163"/>
      <c r="AA913" s="162"/>
      <c r="AB913" s="195" t="str">
        <f t="shared" si="112"/>
        <v>Aug-26</v>
      </c>
      <c r="AC913" s="163"/>
      <c r="AD913" s="163" t="str">
        <f>IF(AC913="Yes",U913*2%,"")</f>
        <v/>
      </c>
      <c r="AE913" s="163"/>
    </row>
    <row r="914" spans="1:31" x14ac:dyDescent="0.35">
      <c r="A914" s="162">
        <v>46260</v>
      </c>
      <c r="B914" s="163" t="s">
        <v>125</v>
      </c>
      <c r="C914" s="163" t="s">
        <v>93</v>
      </c>
      <c r="D914" s="163" t="s">
        <v>19</v>
      </c>
      <c r="E914" s="163" t="s">
        <v>95</v>
      </c>
      <c r="F914" s="163" t="s">
        <v>96</v>
      </c>
      <c r="G914" s="163" t="s">
        <v>10</v>
      </c>
      <c r="H914" s="163" t="s">
        <v>115</v>
      </c>
      <c r="I914" s="163" t="s">
        <v>121</v>
      </c>
      <c r="J914" s="163" t="s">
        <v>99</v>
      </c>
      <c r="K914" s="163" t="s">
        <v>256</v>
      </c>
      <c r="L914" s="163"/>
      <c r="M914" s="163" t="s">
        <v>159</v>
      </c>
      <c r="N914" s="163" t="s">
        <v>102</v>
      </c>
      <c r="O914" s="162"/>
      <c r="P914" s="163"/>
      <c r="Q914" s="163"/>
      <c r="R914" s="163" t="str">
        <f ca="1">IF(OR(N914="Closed( C4 )",N914="Cancelled"),"",IF(AND(O914&lt;&gt;"",O914&lt;TODAY()),"Yes",""))</f>
        <v/>
      </c>
      <c r="S914" s="163" t="s">
        <v>103</v>
      </c>
      <c r="T914" s="164">
        <v>400000</v>
      </c>
      <c r="U914" s="164">
        <v>411600</v>
      </c>
      <c r="V914" s="162">
        <v>46260</v>
      </c>
      <c r="W914" s="163" t="s">
        <v>1485</v>
      </c>
      <c r="X914" s="163" t="s">
        <v>27</v>
      </c>
      <c r="Y914" s="163" t="s">
        <v>85</v>
      </c>
      <c r="Z914" s="163"/>
      <c r="AA914" s="162"/>
      <c r="AB914" s="195" t="str">
        <f t="shared" si="112"/>
        <v>Aug-26</v>
      </c>
      <c r="AC914" s="163"/>
      <c r="AD914" s="163" t="str">
        <f>IF(AC914="Yes",U914*2%,"")</f>
        <v/>
      </c>
      <c r="AE914" s="163"/>
    </row>
    <row r="915" spans="1:31" x14ac:dyDescent="0.35">
      <c r="A915" s="162">
        <v>46260</v>
      </c>
      <c r="B915" s="163" t="s">
        <v>370</v>
      </c>
      <c r="C915" s="163" t="s">
        <v>93</v>
      </c>
      <c r="D915" s="163" t="s">
        <v>1486</v>
      </c>
      <c r="E915" s="163" t="s">
        <v>95</v>
      </c>
      <c r="F915" s="163" t="s">
        <v>96</v>
      </c>
      <c r="G915" s="163"/>
      <c r="H915" s="163" t="s">
        <v>115</v>
      </c>
      <c r="I915" s="163" t="s">
        <v>121</v>
      </c>
      <c r="J915" s="163" t="s">
        <v>1487</v>
      </c>
      <c r="K915" s="163" t="s">
        <v>1488</v>
      </c>
      <c r="L915" s="163"/>
      <c r="M915" s="163" t="s">
        <v>914</v>
      </c>
      <c r="N915" s="163" t="s">
        <v>130</v>
      </c>
      <c r="O915" s="162">
        <v>46290</v>
      </c>
      <c r="P915" s="163" t="s">
        <v>95</v>
      </c>
      <c r="Q915" s="163"/>
      <c r="R915" s="163"/>
      <c r="S915" s="163" t="s">
        <v>129</v>
      </c>
      <c r="T915" s="164">
        <v>60000</v>
      </c>
      <c r="U915" s="164"/>
      <c r="V915" s="162"/>
      <c r="W915" s="163"/>
      <c r="X915" s="163"/>
      <c r="Y915" s="163"/>
      <c r="Z915" s="163"/>
      <c r="AA915" s="162"/>
      <c r="AB915" s="195" t="str">
        <f t="shared" si="112"/>
        <v>Aug-26</v>
      </c>
      <c r="AC915" s="163"/>
      <c r="AD915" s="163"/>
      <c r="AE915" s="163"/>
    </row>
    <row r="916" spans="1:31" x14ac:dyDescent="0.35">
      <c r="A916" s="162">
        <v>46260</v>
      </c>
      <c r="B916" s="163" t="s">
        <v>370</v>
      </c>
      <c r="C916" s="163" t="s">
        <v>93</v>
      </c>
      <c r="D916" s="163" t="s">
        <v>1489</v>
      </c>
      <c r="E916" s="163" t="s">
        <v>106</v>
      </c>
      <c r="F916" s="163" t="s">
        <v>135</v>
      </c>
      <c r="G916" s="163"/>
      <c r="H916" s="163" t="s">
        <v>115</v>
      </c>
      <c r="I916" s="163" t="s">
        <v>121</v>
      </c>
      <c r="J916" s="163" t="s">
        <v>356</v>
      </c>
      <c r="K916" s="163" t="s">
        <v>1490</v>
      </c>
      <c r="L916" s="163"/>
      <c r="M916" s="163" t="s">
        <v>1307</v>
      </c>
      <c r="N916" s="163" t="s">
        <v>130</v>
      </c>
      <c r="O916" s="162">
        <v>46281</v>
      </c>
      <c r="P916" s="163" t="s">
        <v>95</v>
      </c>
      <c r="Q916" s="163"/>
      <c r="R916" s="163"/>
      <c r="S916" s="163" t="s">
        <v>129</v>
      </c>
      <c r="T916" s="164">
        <v>50000</v>
      </c>
      <c r="U916" s="164"/>
      <c r="V916" s="162"/>
      <c r="W916" s="163"/>
      <c r="X916" s="163"/>
      <c r="Y916" s="163"/>
      <c r="Z916" s="163"/>
      <c r="AA916" s="162"/>
      <c r="AB916" s="195" t="str">
        <f t="shared" si="112"/>
        <v>Aug-26</v>
      </c>
      <c r="AC916" s="163"/>
      <c r="AD916" s="163"/>
      <c r="AE916" s="163"/>
    </row>
    <row r="917" spans="1:31" x14ac:dyDescent="0.35">
      <c r="A917" s="162">
        <v>46260</v>
      </c>
      <c r="B917" s="163" t="s">
        <v>148</v>
      </c>
      <c r="C917" s="163" t="s">
        <v>113</v>
      </c>
      <c r="D917" s="163" t="s">
        <v>165</v>
      </c>
      <c r="E917" s="163" t="s">
        <v>95</v>
      </c>
      <c r="F917" s="163" t="s">
        <v>135</v>
      </c>
      <c r="G917" s="163" t="s">
        <v>10</v>
      </c>
      <c r="H917" s="163" t="s">
        <v>115</v>
      </c>
      <c r="I917" s="163" t="s">
        <v>98</v>
      </c>
      <c r="J917" s="163" t="s">
        <v>166</v>
      </c>
      <c r="K917" s="163" t="s">
        <v>167</v>
      </c>
      <c r="L917" s="163"/>
      <c r="M917" s="163" t="s">
        <v>159</v>
      </c>
      <c r="N917" s="163" t="s">
        <v>102</v>
      </c>
      <c r="O917" s="162"/>
      <c r="P917" s="163"/>
      <c r="Q917" s="163" t="str">
        <f ca="1">IF(N917="Closed(C4)","",IF(N917="","",TODAY()-A917))</f>
        <v/>
      </c>
      <c r="R917" s="163" t="str">
        <f ca="1">IF(OR(N917="Closed( C4 )",N917="Cancelled"),"",IF(AND(O917&lt;&gt;"",O917&lt;TODAY()),"Yes",""))</f>
        <v/>
      </c>
      <c r="S917" s="163" t="s">
        <v>103</v>
      </c>
      <c r="T917" s="164">
        <v>25000</v>
      </c>
      <c r="U917" s="164">
        <v>25895</v>
      </c>
      <c r="V917" s="162">
        <v>46260</v>
      </c>
      <c r="W917" s="163" t="s">
        <v>1491</v>
      </c>
      <c r="X917" s="163" t="s">
        <v>35</v>
      </c>
      <c r="Y917" s="163" t="s">
        <v>1017</v>
      </c>
      <c r="Z917" s="163"/>
      <c r="AA917" s="162"/>
      <c r="AB917" s="195" t="str">
        <f t="shared" si="112"/>
        <v>Aug-26</v>
      </c>
      <c r="AC917" s="163"/>
      <c r="AD917" s="163" t="str">
        <f>IF(AC917="Yes",U917*2%,"")</f>
        <v/>
      </c>
      <c r="AE917" s="163"/>
    </row>
    <row r="918" spans="1:31" x14ac:dyDescent="0.35">
      <c r="A918" s="162">
        <v>46260</v>
      </c>
      <c r="B918" s="163" t="s">
        <v>92</v>
      </c>
      <c r="C918" s="163" t="s">
        <v>113</v>
      </c>
      <c r="D918" s="163" t="s">
        <v>165</v>
      </c>
      <c r="E918" s="163" t="s">
        <v>95</v>
      </c>
      <c r="F918" s="163" t="s">
        <v>135</v>
      </c>
      <c r="G918" s="163" t="s">
        <v>10</v>
      </c>
      <c r="H918" s="163" t="s">
        <v>115</v>
      </c>
      <c r="I918" s="163" t="s">
        <v>98</v>
      </c>
      <c r="J918" s="163" t="s">
        <v>166</v>
      </c>
      <c r="K918" s="163" t="s">
        <v>167</v>
      </c>
      <c r="L918" s="163"/>
      <c r="M918" s="163" t="s">
        <v>1299</v>
      </c>
      <c r="N918" s="163" t="s">
        <v>102</v>
      </c>
      <c r="O918" s="162"/>
      <c r="P918" s="163"/>
      <c r="Q918" s="163" t="str">
        <f ca="1">IF(N918="Closed(C4)","",IF(N918="","",TODAY()-A918))</f>
        <v/>
      </c>
      <c r="R918" s="163" t="str">
        <f ca="1">IF(OR(N918="Closed( C4 )",N918="Cancelled"),"",IF(AND(O918&lt;&gt;"",O918&lt;TODAY()),"Yes",""))</f>
        <v/>
      </c>
      <c r="S918" s="163" t="s">
        <v>103</v>
      </c>
      <c r="T918" s="164">
        <v>25000</v>
      </c>
      <c r="U918" s="164">
        <v>25896</v>
      </c>
      <c r="V918" s="162">
        <v>46260</v>
      </c>
      <c r="W918" s="163" t="s">
        <v>1491</v>
      </c>
      <c r="X918" s="163" t="s">
        <v>35</v>
      </c>
      <c r="Y918" s="163" t="s">
        <v>1017</v>
      </c>
      <c r="Z918" s="163"/>
      <c r="AA918" s="162"/>
      <c r="AB918" s="195" t="str">
        <f t="shared" si="112"/>
        <v>Aug-26</v>
      </c>
      <c r="AC918" s="163"/>
      <c r="AD918" s="163" t="str">
        <f>IF(AC918="Yes",U918*2%,"")</f>
        <v/>
      </c>
      <c r="AE918" s="163"/>
    </row>
    <row r="919" spans="1:31" x14ac:dyDescent="0.35">
      <c r="A919" s="162">
        <v>46260</v>
      </c>
      <c r="B919" s="163" t="s">
        <v>370</v>
      </c>
      <c r="C919" s="163" t="s">
        <v>93</v>
      </c>
      <c r="D919" s="163" t="s">
        <v>1492</v>
      </c>
      <c r="E919" s="163" t="s">
        <v>106</v>
      </c>
      <c r="F919" s="163" t="s">
        <v>135</v>
      </c>
      <c r="G919" s="163"/>
      <c r="H919" s="163" t="s">
        <v>115</v>
      </c>
      <c r="I919" s="163" t="s">
        <v>121</v>
      </c>
      <c r="J919" s="163" t="s">
        <v>356</v>
      </c>
      <c r="K919" s="163" t="s">
        <v>194</v>
      </c>
      <c r="L919" s="163"/>
      <c r="M919" s="163" t="s">
        <v>1307</v>
      </c>
      <c r="N919" s="163" t="s">
        <v>130</v>
      </c>
      <c r="O919" s="162">
        <v>46275</v>
      </c>
      <c r="P919" s="163" t="s">
        <v>95</v>
      </c>
      <c r="Q919" s="163"/>
      <c r="R919" s="163"/>
      <c r="S919" s="163" t="s">
        <v>103</v>
      </c>
      <c r="T919" s="164">
        <v>30000</v>
      </c>
      <c r="U919" s="164"/>
      <c r="V919" s="162"/>
      <c r="W919" s="163"/>
      <c r="X919" s="163"/>
      <c r="Y919" s="163"/>
      <c r="Z919" s="163"/>
      <c r="AA919" s="162"/>
      <c r="AB919" s="195" t="str">
        <f t="shared" si="112"/>
        <v>Aug-26</v>
      </c>
      <c r="AC919" s="163"/>
      <c r="AD919" s="163"/>
      <c r="AE919" s="163"/>
    </row>
    <row r="920" spans="1:31" x14ac:dyDescent="0.35">
      <c r="A920" s="162">
        <v>46261</v>
      </c>
      <c r="B920" s="163" t="s">
        <v>148</v>
      </c>
      <c r="C920" s="163" t="s">
        <v>113</v>
      </c>
      <c r="D920" s="163" t="s">
        <v>1493</v>
      </c>
      <c r="E920" s="163" t="s">
        <v>106</v>
      </c>
      <c r="F920" s="163" t="s">
        <v>135</v>
      </c>
      <c r="G920" s="163"/>
      <c r="H920" s="163" t="s">
        <v>115</v>
      </c>
      <c r="I920" s="163" t="s">
        <v>121</v>
      </c>
      <c r="J920" s="163" t="s">
        <v>153</v>
      </c>
      <c r="K920" s="163" t="s">
        <v>433</v>
      </c>
      <c r="L920" s="163"/>
      <c r="M920" s="163" t="s">
        <v>1473</v>
      </c>
      <c r="N920" s="163" t="s">
        <v>128</v>
      </c>
      <c r="O920" s="162">
        <v>46289</v>
      </c>
      <c r="P920" s="163"/>
      <c r="Q920" s="163"/>
      <c r="R920" s="163"/>
      <c r="S920" s="163" t="s">
        <v>129</v>
      </c>
      <c r="T920" s="164">
        <v>6500</v>
      </c>
      <c r="U920" s="164"/>
      <c r="V920" s="163"/>
      <c r="W920" s="163"/>
      <c r="X920" s="163"/>
      <c r="Y920" s="163"/>
      <c r="Z920" s="163"/>
      <c r="AA920" s="162"/>
      <c r="AB920" s="195" t="str">
        <f t="shared" si="112"/>
        <v>Aug-26</v>
      </c>
      <c r="AC920" s="163"/>
      <c r="AD920" s="163" t="str">
        <f>IF(AC920="Yes",U920*2%,"")</f>
        <v/>
      </c>
      <c r="AE920" s="163"/>
    </row>
    <row r="921" spans="1:31" x14ac:dyDescent="0.35">
      <c r="A921" s="162">
        <v>46261</v>
      </c>
      <c r="B921" s="163" t="s">
        <v>370</v>
      </c>
      <c r="C921" s="163" t="s">
        <v>93</v>
      </c>
      <c r="D921" s="163" t="s">
        <v>1494</v>
      </c>
      <c r="E921" s="163" t="s">
        <v>106</v>
      </c>
      <c r="F921" s="163" t="s">
        <v>115</v>
      </c>
      <c r="G921" s="163"/>
      <c r="H921" s="163" t="s">
        <v>115</v>
      </c>
      <c r="I921" s="163" t="s">
        <v>121</v>
      </c>
      <c r="J921" s="163" t="s">
        <v>1495</v>
      </c>
      <c r="K921" s="163" t="s">
        <v>633</v>
      </c>
      <c r="L921" s="163"/>
      <c r="M921" s="163" t="s">
        <v>1307</v>
      </c>
      <c r="N921" s="163" t="s">
        <v>130</v>
      </c>
      <c r="O921" s="162">
        <v>46276</v>
      </c>
      <c r="P921" s="163" t="s">
        <v>95</v>
      </c>
      <c r="Q921" s="163"/>
      <c r="R921" s="163"/>
      <c r="S921" s="163" t="s">
        <v>103</v>
      </c>
      <c r="T921" s="164">
        <v>35000</v>
      </c>
      <c r="U921" s="164"/>
      <c r="V921" s="163"/>
      <c r="W921" s="163"/>
      <c r="X921" s="163"/>
      <c r="Y921" s="163"/>
      <c r="Z921" s="163"/>
      <c r="AA921" s="162"/>
      <c r="AB921" s="195" t="str">
        <f t="shared" si="112"/>
        <v>Aug-26</v>
      </c>
      <c r="AC921" s="163"/>
      <c r="AD921" s="163"/>
      <c r="AE921" s="163"/>
    </row>
    <row r="922" spans="1:31" x14ac:dyDescent="0.35">
      <c r="A922" s="162">
        <v>46261</v>
      </c>
      <c r="B922" s="163" t="s">
        <v>370</v>
      </c>
      <c r="C922" s="163" t="s">
        <v>93</v>
      </c>
      <c r="D922" s="163" t="s">
        <v>1496</v>
      </c>
      <c r="E922" s="163" t="s">
        <v>106</v>
      </c>
      <c r="F922" s="163" t="s">
        <v>115</v>
      </c>
      <c r="G922" s="163"/>
      <c r="H922" s="163" t="s">
        <v>115</v>
      </c>
      <c r="I922" s="163" t="s">
        <v>121</v>
      </c>
      <c r="J922" s="163" t="s">
        <v>1495</v>
      </c>
      <c r="K922" s="163" t="s">
        <v>1445</v>
      </c>
      <c r="L922" s="163"/>
      <c r="M922" s="163" t="s">
        <v>1307</v>
      </c>
      <c r="N922" s="163" t="s">
        <v>495</v>
      </c>
      <c r="O922" s="162">
        <v>46285</v>
      </c>
      <c r="P922" s="163" t="s">
        <v>95</v>
      </c>
      <c r="Q922" s="163"/>
      <c r="R922" s="163"/>
      <c r="S922" s="163" t="s">
        <v>129</v>
      </c>
      <c r="T922" s="164">
        <v>50000</v>
      </c>
      <c r="U922" s="164"/>
      <c r="V922" s="163"/>
      <c r="W922" s="163"/>
      <c r="X922" s="163"/>
      <c r="Y922" s="163"/>
      <c r="Z922" s="163"/>
      <c r="AA922" s="162"/>
      <c r="AB922" s="195" t="str">
        <f t="shared" si="112"/>
        <v>Aug-26</v>
      </c>
      <c r="AC922" s="163"/>
      <c r="AD922" s="163"/>
      <c r="AE922" s="163"/>
    </row>
    <row r="923" spans="1:31" x14ac:dyDescent="0.35">
      <c r="A923" s="162">
        <v>46261</v>
      </c>
      <c r="B923" s="163" t="s">
        <v>148</v>
      </c>
      <c r="C923" s="163" t="s">
        <v>113</v>
      </c>
      <c r="D923" s="163" t="s">
        <v>1497</v>
      </c>
      <c r="E923" s="163" t="s">
        <v>106</v>
      </c>
      <c r="F923" s="163" t="s">
        <v>135</v>
      </c>
      <c r="G923" s="163"/>
      <c r="H923" s="163" t="s">
        <v>115</v>
      </c>
      <c r="I923" s="163" t="s">
        <v>121</v>
      </c>
      <c r="J923" s="163" t="s">
        <v>153</v>
      </c>
      <c r="K923" s="163" t="s">
        <v>231</v>
      </c>
      <c r="L923" s="163"/>
      <c r="M923" s="163" t="s">
        <v>1473</v>
      </c>
      <c r="N923" s="163" t="s">
        <v>128</v>
      </c>
      <c r="O923" s="162">
        <v>46286</v>
      </c>
      <c r="P923" s="163"/>
      <c r="Q923" s="163"/>
      <c r="R923" s="163"/>
      <c r="S923" s="163" t="s">
        <v>129</v>
      </c>
      <c r="T923" s="164">
        <v>8000</v>
      </c>
      <c r="U923" s="164"/>
      <c r="V923" s="163"/>
      <c r="W923" s="163"/>
      <c r="X923" s="163"/>
      <c r="Y923" s="163"/>
      <c r="Z923" s="163"/>
      <c r="AA923" s="162"/>
      <c r="AB923" s="195" t="str">
        <f t="shared" si="112"/>
        <v>Aug-26</v>
      </c>
      <c r="AC923" s="163"/>
      <c r="AD923" s="163" t="str">
        <f>IF(AC923="Yes",U923*2%,"")</f>
        <v/>
      </c>
      <c r="AE923" s="163"/>
    </row>
    <row r="924" spans="1:31" x14ac:dyDescent="0.35">
      <c r="A924" s="162">
        <v>46261</v>
      </c>
      <c r="B924" s="163" t="s">
        <v>370</v>
      </c>
      <c r="C924" s="163" t="s">
        <v>93</v>
      </c>
      <c r="D924" s="163" t="s">
        <v>1498</v>
      </c>
      <c r="E924" s="163" t="s">
        <v>106</v>
      </c>
      <c r="F924" s="163" t="s">
        <v>135</v>
      </c>
      <c r="G924" s="163"/>
      <c r="H924" s="163" t="s">
        <v>115</v>
      </c>
      <c r="I924" s="163" t="s">
        <v>121</v>
      </c>
      <c r="J924" s="163" t="s">
        <v>356</v>
      </c>
      <c r="K924" s="163" t="s">
        <v>1372</v>
      </c>
      <c r="L924" s="163"/>
      <c r="M924" s="163" t="s">
        <v>1307</v>
      </c>
      <c r="N924" s="163" t="s">
        <v>130</v>
      </c>
      <c r="O924" s="162">
        <v>46290</v>
      </c>
      <c r="P924" s="163" t="s">
        <v>95</v>
      </c>
      <c r="Q924" s="163"/>
      <c r="R924" s="163"/>
      <c r="S924" s="163" t="s">
        <v>129</v>
      </c>
      <c r="T924" s="164">
        <v>50000</v>
      </c>
      <c r="U924" s="164"/>
      <c r="V924" s="163"/>
      <c r="W924" s="163"/>
      <c r="X924" s="163"/>
      <c r="Y924" s="163"/>
      <c r="Z924" s="163"/>
      <c r="AA924" s="162"/>
      <c r="AB924" s="195" t="str">
        <f t="shared" si="112"/>
        <v>Aug-26</v>
      </c>
      <c r="AC924" s="163"/>
      <c r="AD924" s="163"/>
      <c r="AE924" s="163"/>
    </row>
    <row r="925" spans="1:31" x14ac:dyDescent="0.35">
      <c r="A925" s="162">
        <v>46261</v>
      </c>
      <c r="B925" s="163" t="s">
        <v>92</v>
      </c>
      <c r="C925" s="163" t="s">
        <v>93</v>
      </c>
      <c r="D925" s="163" t="s">
        <v>283</v>
      </c>
      <c r="E925" s="163" t="s">
        <v>95</v>
      </c>
      <c r="F925" s="163" t="s">
        <v>96</v>
      </c>
      <c r="G925" s="163" t="s">
        <v>12</v>
      </c>
      <c r="H925" s="163" t="s">
        <v>163</v>
      </c>
      <c r="I925" s="163" t="s">
        <v>121</v>
      </c>
      <c r="J925" s="163" t="s">
        <v>99</v>
      </c>
      <c r="K925" s="163" t="s">
        <v>284</v>
      </c>
      <c r="L925" s="163"/>
      <c r="M925" s="163" t="s">
        <v>1499</v>
      </c>
      <c r="N925" s="163" t="s">
        <v>102</v>
      </c>
      <c r="O925" s="162"/>
      <c r="P925" s="163"/>
      <c r="Q925" s="163"/>
      <c r="R925" s="163"/>
      <c r="S925" s="163" t="s">
        <v>103</v>
      </c>
      <c r="T925" s="164">
        <v>70000</v>
      </c>
      <c r="U925" s="164">
        <v>76345</v>
      </c>
      <c r="V925" s="162">
        <v>46261</v>
      </c>
      <c r="W925" s="163" t="s">
        <v>1500</v>
      </c>
      <c r="X925" s="163" t="s">
        <v>41</v>
      </c>
      <c r="Y925" s="163" t="s">
        <v>85</v>
      </c>
      <c r="Z925" s="163"/>
      <c r="AA925" s="162"/>
      <c r="AB925" s="195" t="str">
        <f t="shared" si="112"/>
        <v>Aug-26</v>
      </c>
      <c r="AC925" s="163"/>
      <c r="AD925" s="163"/>
      <c r="AE925" s="163"/>
    </row>
    <row r="926" spans="1:31" x14ac:dyDescent="0.35">
      <c r="A926" s="162">
        <v>46261</v>
      </c>
      <c r="B926" s="163" t="s">
        <v>370</v>
      </c>
      <c r="C926" s="163" t="s">
        <v>93</v>
      </c>
      <c r="D926" s="163" t="s">
        <v>1501</v>
      </c>
      <c r="E926" s="163" t="s">
        <v>106</v>
      </c>
      <c r="F926" s="163" t="s">
        <v>135</v>
      </c>
      <c r="G926" s="163"/>
      <c r="H926" s="163" t="s">
        <v>115</v>
      </c>
      <c r="I926" s="163" t="s">
        <v>121</v>
      </c>
      <c r="J926" s="163" t="s">
        <v>356</v>
      </c>
      <c r="K926" s="163" t="s">
        <v>1502</v>
      </c>
      <c r="L926" s="163"/>
      <c r="M926" s="163" t="s">
        <v>914</v>
      </c>
      <c r="N926" s="163" t="s">
        <v>495</v>
      </c>
      <c r="O926" s="162">
        <v>46285</v>
      </c>
      <c r="P926" s="163" t="s">
        <v>95</v>
      </c>
      <c r="Q926" s="163"/>
      <c r="R926" s="163"/>
      <c r="S926" s="163" t="s">
        <v>129</v>
      </c>
      <c r="T926" s="164">
        <v>25000</v>
      </c>
      <c r="U926" s="164"/>
      <c r="V926" s="163"/>
      <c r="W926" s="163"/>
      <c r="X926" s="163"/>
      <c r="Y926" s="163"/>
      <c r="Z926" s="163"/>
      <c r="AA926" s="162"/>
      <c r="AB926" s="195" t="str">
        <f t="shared" si="112"/>
        <v>Aug-26</v>
      </c>
      <c r="AC926" s="163"/>
      <c r="AD926" s="163"/>
      <c r="AE926" s="163"/>
    </row>
    <row r="927" spans="1:31" x14ac:dyDescent="0.35">
      <c r="A927" s="162">
        <v>46261</v>
      </c>
      <c r="B927" s="163" t="s">
        <v>370</v>
      </c>
      <c r="C927" s="163" t="s">
        <v>93</v>
      </c>
      <c r="D927" s="163" t="s">
        <v>1385</v>
      </c>
      <c r="E927" s="163" t="s">
        <v>95</v>
      </c>
      <c r="F927" s="163" t="s">
        <v>96</v>
      </c>
      <c r="G927" s="163" t="s">
        <v>10</v>
      </c>
      <c r="H927" s="163" t="s">
        <v>163</v>
      </c>
      <c r="I927" s="163" t="s">
        <v>121</v>
      </c>
      <c r="J927" s="163" t="s">
        <v>99</v>
      </c>
      <c r="K927" s="163" t="s">
        <v>1386</v>
      </c>
      <c r="L927" s="163"/>
      <c r="M927" s="163" t="s">
        <v>1503</v>
      </c>
      <c r="N927" s="163" t="s">
        <v>102</v>
      </c>
      <c r="O927" s="162"/>
      <c r="P927" s="163"/>
      <c r="Q927" s="163"/>
      <c r="R927" s="163"/>
      <c r="S927" s="163" t="s">
        <v>103</v>
      </c>
      <c r="T927" s="164">
        <v>50000</v>
      </c>
      <c r="U927" s="164">
        <v>52185</v>
      </c>
      <c r="V927" s="162">
        <v>46261</v>
      </c>
      <c r="W927" s="163" t="s">
        <v>1504</v>
      </c>
      <c r="X927" s="163" t="s">
        <v>34</v>
      </c>
      <c r="Y927" s="163" t="s">
        <v>85</v>
      </c>
      <c r="Z927" s="163"/>
      <c r="AA927" s="162"/>
      <c r="AB927" s="195" t="str">
        <f t="shared" si="112"/>
        <v>Aug-26</v>
      </c>
      <c r="AC927" s="163"/>
      <c r="AD927" s="163"/>
      <c r="AE927" s="163"/>
    </row>
    <row r="928" spans="1:31" x14ac:dyDescent="0.35">
      <c r="A928" s="162">
        <v>46262</v>
      </c>
      <c r="B928" s="163" t="s">
        <v>148</v>
      </c>
      <c r="C928" s="163" t="s">
        <v>113</v>
      </c>
      <c r="D928" s="163" t="s">
        <v>1505</v>
      </c>
      <c r="E928" s="163" t="s">
        <v>106</v>
      </c>
      <c r="F928" s="163" t="s">
        <v>135</v>
      </c>
      <c r="G928" s="163"/>
      <c r="H928" s="163" t="s">
        <v>115</v>
      </c>
      <c r="I928" s="163" t="s">
        <v>121</v>
      </c>
      <c r="J928" s="163" t="s">
        <v>388</v>
      </c>
      <c r="K928" s="163" t="s">
        <v>511</v>
      </c>
      <c r="L928" s="163"/>
      <c r="M928" s="163" t="s">
        <v>1473</v>
      </c>
      <c r="N928" s="163" t="s">
        <v>128</v>
      </c>
      <c r="O928" s="162">
        <v>46283</v>
      </c>
      <c r="P928" s="163"/>
      <c r="Q928" s="163"/>
      <c r="R928" s="163"/>
      <c r="S928" s="163" t="s">
        <v>129</v>
      </c>
      <c r="T928" s="164"/>
      <c r="U928" s="164"/>
      <c r="V928" s="163"/>
      <c r="W928" s="163"/>
      <c r="X928" s="163"/>
      <c r="Y928" s="163"/>
      <c r="Z928" s="163"/>
      <c r="AA928" s="162"/>
      <c r="AB928" s="195" t="str">
        <f t="shared" si="112"/>
        <v>Aug-26</v>
      </c>
      <c r="AC928" s="163"/>
      <c r="AD928" s="163" t="str">
        <f>IF(AC928="Yes",U928*2%,"")</f>
        <v/>
      </c>
      <c r="AE928" s="163"/>
    </row>
    <row r="929" spans="1:31" x14ac:dyDescent="0.35">
      <c r="A929" s="162">
        <v>46262</v>
      </c>
      <c r="B929" s="163" t="s">
        <v>148</v>
      </c>
      <c r="C929" s="163" t="s">
        <v>113</v>
      </c>
      <c r="D929" s="163" t="s">
        <v>1506</v>
      </c>
      <c r="E929" s="163" t="s">
        <v>106</v>
      </c>
      <c r="F929" s="163" t="s">
        <v>115</v>
      </c>
      <c r="G929" s="163"/>
      <c r="H929" s="163" t="s">
        <v>115</v>
      </c>
      <c r="I929" s="163" t="s">
        <v>121</v>
      </c>
      <c r="J929" s="163" t="s">
        <v>388</v>
      </c>
      <c r="K929" s="163" t="s">
        <v>1507</v>
      </c>
      <c r="L929" s="163"/>
      <c r="M929" s="163" t="s">
        <v>1473</v>
      </c>
      <c r="N929" s="163" t="s">
        <v>128</v>
      </c>
      <c r="O929" s="162">
        <v>46283</v>
      </c>
      <c r="P929" s="163"/>
      <c r="Q929" s="163"/>
      <c r="R929" s="163"/>
      <c r="S929" s="163" t="s">
        <v>129</v>
      </c>
      <c r="T929" s="164">
        <v>5500</v>
      </c>
      <c r="U929" s="164"/>
      <c r="V929" s="163"/>
      <c r="W929" s="163"/>
      <c r="X929" s="163"/>
      <c r="Y929" s="163"/>
      <c r="Z929" s="163"/>
      <c r="AA929" s="162"/>
      <c r="AB929" s="195" t="str">
        <f t="shared" si="112"/>
        <v>Aug-26</v>
      </c>
      <c r="AC929" s="163"/>
      <c r="AD929" s="163" t="str">
        <f>IF(AC929="Yes",U929*2%,"")</f>
        <v/>
      </c>
      <c r="AE929" s="163"/>
    </row>
    <row r="930" spans="1:31" x14ac:dyDescent="0.35">
      <c r="A930" s="162">
        <v>46262</v>
      </c>
      <c r="B930" s="163" t="s">
        <v>370</v>
      </c>
      <c r="C930" s="163" t="s">
        <v>93</v>
      </c>
      <c r="D930" s="163" t="s">
        <v>1508</v>
      </c>
      <c r="E930" s="163" t="s">
        <v>106</v>
      </c>
      <c r="F930" s="163" t="s">
        <v>135</v>
      </c>
      <c r="G930" s="163"/>
      <c r="H930" s="163" t="s">
        <v>115</v>
      </c>
      <c r="I930" s="163" t="s">
        <v>121</v>
      </c>
      <c r="J930" s="163" t="s">
        <v>356</v>
      </c>
      <c r="K930" s="163" t="s">
        <v>1509</v>
      </c>
      <c r="L930" s="163"/>
      <c r="M930" s="163" t="s">
        <v>1307</v>
      </c>
      <c r="N930" s="163" t="s">
        <v>130</v>
      </c>
      <c r="O930" s="162">
        <v>46282</v>
      </c>
      <c r="P930" s="163"/>
      <c r="Q930" s="163"/>
      <c r="R930" s="163"/>
      <c r="S930" s="163" t="s">
        <v>129</v>
      </c>
      <c r="T930" s="164">
        <v>30000</v>
      </c>
      <c r="U930" s="164"/>
      <c r="V930" s="163"/>
      <c r="W930" s="163"/>
      <c r="X930" s="163"/>
      <c r="Y930" s="163"/>
      <c r="Z930" s="163"/>
      <c r="AA930" s="162"/>
      <c r="AB930" s="195" t="str">
        <f t="shared" si="112"/>
        <v>Aug-26</v>
      </c>
      <c r="AC930" s="163"/>
      <c r="AD930" s="163"/>
      <c r="AE930" s="163"/>
    </row>
    <row r="931" spans="1:31" x14ac:dyDescent="0.35">
      <c r="A931" s="162">
        <v>46262</v>
      </c>
      <c r="B931" s="163" t="s">
        <v>370</v>
      </c>
      <c r="C931" s="163" t="s">
        <v>93</v>
      </c>
      <c r="D931" s="163" t="s">
        <v>1510</v>
      </c>
      <c r="E931" s="163" t="s">
        <v>106</v>
      </c>
      <c r="F931" s="163" t="s">
        <v>135</v>
      </c>
      <c r="G931" s="163"/>
      <c r="H931" s="163" t="s">
        <v>115</v>
      </c>
      <c r="I931" s="163" t="s">
        <v>121</v>
      </c>
      <c r="J931" s="163" t="s">
        <v>356</v>
      </c>
      <c r="K931" s="163" t="s">
        <v>1511</v>
      </c>
      <c r="L931" s="163"/>
      <c r="M931" s="163" t="s">
        <v>1307</v>
      </c>
      <c r="N931" s="163" t="s">
        <v>130</v>
      </c>
      <c r="O931" s="162">
        <v>46277</v>
      </c>
      <c r="P931" s="163" t="s">
        <v>95</v>
      </c>
      <c r="Q931" s="163"/>
      <c r="R931" s="163"/>
      <c r="S931" s="163" t="s">
        <v>103</v>
      </c>
      <c r="T931" s="164">
        <v>45000</v>
      </c>
      <c r="U931" s="164"/>
      <c r="V931" s="163"/>
      <c r="W931" s="163"/>
      <c r="X931" s="163"/>
      <c r="Y931" s="163"/>
      <c r="Z931" s="163"/>
      <c r="AA931" s="162"/>
      <c r="AB931" s="195" t="str">
        <f t="shared" si="112"/>
        <v>Aug-26</v>
      </c>
      <c r="AC931" s="163"/>
      <c r="AD931" s="163"/>
      <c r="AE931" s="163"/>
    </row>
    <row r="932" spans="1:31" x14ac:dyDescent="0.35">
      <c r="A932" s="162">
        <v>46262</v>
      </c>
      <c r="B932" s="163" t="s">
        <v>148</v>
      </c>
      <c r="C932" s="163" t="s">
        <v>113</v>
      </c>
      <c r="D932" s="163" t="s">
        <v>246</v>
      </c>
      <c r="E932" s="163" t="s">
        <v>95</v>
      </c>
      <c r="F932" s="163" t="s">
        <v>96</v>
      </c>
      <c r="G932" s="163" t="s">
        <v>15</v>
      </c>
      <c r="H932" s="163" t="s">
        <v>163</v>
      </c>
      <c r="I932" s="163" t="s">
        <v>98</v>
      </c>
      <c r="J932" s="163" t="s">
        <v>147</v>
      </c>
      <c r="K932" s="163" t="s">
        <v>231</v>
      </c>
      <c r="L932" s="163"/>
      <c r="M932" s="163" t="s">
        <v>97</v>
      </c>
      <c r="N932" s="163" t="s">
        <v>102</v>
      </c>
      <c r="O932" s="162"/>
      <c r="P932" s="163"/>
      <c r="Q932" s="163"/>
      <c r="R932" s="163" t="str">
        <f ca="1">IF(OR(N932="Closed( C4 )",N932="Cancelled"),"",IF(AND(O932&lt;&gt;"",O932&lt;TODAY()),"Yes",""))</f>
        <v/>
      </c>
      <c r="S932" s="163" t="s">
        <v>103</v>
      </c>
      <c r="T932" s="164">
        <v>10000</v>
      </c>
      <c r="U932" s="164">
        <v>9505</v>
      </c>
      <c r="V932" s="162">
        <v>46262</v>
      </c>
      <c r="W932" s="214" t="s">
        <v>1512</v>
      </c>
      <c r="X932" s="163" t="s">
        <v>39</v>
      </c>
      <c r="Y932" s="163" t="s">
        <v>85</v>
      </c>
      <c r="Z932" s="163"/>
      <c r="AA932" s="162"/>
      <c r="AB932" s="195" t="str">
        <f t="shared" si="112"/>
        <v>Aug-26</v>
      </c>
      <c r="AC932" s="163"/>
      <c r="AD932" s="163"/>
      <c r="AE932" s="163"/>
    </row>
    <row r="933" spans="1:31" x14ac:dyDescent="0.35">
      <c r="A933" s="162">
        <v>46262</v>
      </c>
      <c r="B933" s="163" t="s">
        <v>370</v>
      </c>
      <c r="C933" s="163" t="s">
        <v>93</v>
      </c>
      <c r="D933" s="163" t="s">
        <v>1513</v>
      </c>
      <c r="E933" s="163" t="s">
        <v>106</v>
      </c>
      <c r="F933" s="163" t="s">
        <v>135</v>
      </c>
      <c r="G933" s="163"/>
      <c r="H933" s="163" t="s">
        <v>115</v>
      </c>
      <c r="I933" s="163" t="s">
        <v>121</v>
      </c>
      <c r="J933" s="163" t="s">
        <v>356</v>
      </c>
      <c r="K933" s="163" t="s">
        <v>511</v>
      </c>
      <c r="L933" s="163"/>
      <c r="M933" s="163" t="s">
        <v>1307</v>
      </c>
      <c r="N933" s="163" t="s">
        <v>495</v>
      </c>
      <c r="O933" s="162"/>
      <c r="P933" s="163"/>
      <c r="Q933" s="163"/>
      <c r="R933" s="163"/>
      <c r="S933" s="163" t="s">
        <v>129</v>
      </c>
      <c r="T933" s="164">
        <v>20000</v>
      </c>
      <c r="U933" s="164"/>
      <c r="V933" s="162"/>
      <c r="W933" s="163"/>
      <c r="X933" s="163"/>
      <c r="Y933" s="163"/>
      <c r="Z933" s="163"/>
      <c r="AA933" s="162"/>
      <c r="AB933" s="195" t="str">
        <f t="shared" si="112"/>
        <v>Aug-26</v>
      </c>
      <c r="AC933" s="163"/>
      <c r="AD933" s="163"/>
      <c r="AE933" s="163"/>
    </row>
    <row r="934" spans="1:31" x14ac:dyDescent="0.35">
      <c r="A934" s="162">
        <v>46262</v>
      </c>
      <c r="B934" s="163" t="s">
        <v>370</v>
      </c>
      <c r="C934" s="163" t="s">
        <v>93</v>
      </c>
      <c r="D934" s="163" t="s">
        <v>1514</v>
      </c>
      <c r="E934" s="163" t="s">
        <v>106</v>
      </c>
      <c r="F934" s="163" t="s">
        <v>135</v>
      </c>
      <c r="G934" s="163"/>
      <c r="H934" s="163" t="s">
        <v>115</v>
      </c>
      <c r="I934" s="163" t="s">
        <v>121</v>
      </c>
      <c r="J934" s="163" t="s">
        <v>356</v>
      </c>
      <c r="K934" s="163" t="s">
        <v>140</v>
      </c>
      <c r="L934" s="163"/>
      <c r="M934" s="163" t="s">
        <v>1307</v>
      </c>
      <c r="N934" s="163" t="s">
        <v>495</v>
      </c>
      <c r="O934" s="162">
        <v>46284</v>
      </c>
      <c r="P934" s="163" t="s">
        <v>95</v>
      </c>
      <c r="Q934" s="163"/>
      <c r="R934" s="163"/>
      <c r="S934" s="163" t="s">
        <v>129</v>
      </c>
      <c r="T934" s="164">
        <v>40000</v>
      </c>
      <c r="U934" s="164"/>
      <c r="V934" s="162"/>
      <c r="W934" s="163"/>
      <c r="X934" s="163"/>
      <c r="Y934" s="163"/>
      <c r="Z934" s="163"/>
      <c r="AA934" s="162"/>
      <c r="AB934" s="195" t="str">
        <f t="shared" si="112"/>
        <v>Aug-26</v>
      </c>
      <c r="AC934" s="163"/>
      <c r="AD934" s="163"/>
      <c r="AE934" s="163"/>
    </row>
    <row r="935" spans="1:31" x14ac:dyDescent="0.35">
      <c r="A935" s="162">
        <v>46262</v>
      </c>
      <c r="B935" s="163" t="s">
        <v>148</v>
      </c>
      <c r="C935" s="163" t="s">
        <v>113</v>
      </c>
      <c r="D935" s="163" t="s">
        <v>260</v>
      </c>
      <c r="E935" s="163" t="s">
        <v>95</v>
      </c>
      <c r="F935" s="163" t="s">
        <v>96</v>
      </c>
      <c r="G935" s="163" t="s">
        <v>15</v>
      </c>
      <c r="H935" s="163" t="s">
        <v>163</v>
      </c>
      <c r="I935" s="163" t="s">
        <v>98</v>
      </c>
      <c r="J935" s="163" t="s">
        <v>147</v>
      </c>
      <c r="K935" s="163" t="s">
        <v>231</v>
      </c>
      <c r="L935" s="163"/>
      <c r="M935" s="163" t="s">
        <v>97</v>
      </c>
      <c r="N935" s="163" t="s">
        <v>102</v>
      </c>
      <c r="O935" s="162"/>
      <c r="P935" s="163"/>
      <c r="Q935" s="163"/>
      <c r="R935" s="163" t="str">
        <f ca="1">IF(OR(N935="Closed( C4 )",N935="Cancelled"),"",IF(AND(O935&lt;&gt;"",O935&lt;TODAY()),"Yes",""))</f>
        <v/>
      </c>
      <c r="S935" s="163" t="s">
        <v>103</v>
      </c>
      <c r="T935" s="164">
        <v>15000</v>
      </c>
      <c r="U935" s="164">
        <v>11380</v>
      </c>
      <c r="V935" s="162">
        <v>46262</v>
      </c>
      <c r="W935" s="214" t="s">
        <v>1512</v>
      </c>
      <c r="X935" s="163" t="s">
        <v>39</v>
      </c>
      <c r="Y935" s="163" t="s">
        <v>85</v>
      </c>
      <c r="Z935" s="163"/>
      <c r="AA935" s="162"/>
      <c r="AB935" s="195" t="str">
        <f t="shared" si="112"/>
        <v>Aug-26</v>
      </c>
      <c r="AC935" s="163"/>
      <c r="AD935" s="163" t="str">
        <f>IF(AC935="Yes",U935*2%,"")</f>
        <v/>
      </c>
      <c r="AE935" s="163"/>
    </row>
    <row r="936" spans="1:31" x14ac:dyDescent="0.35">
      <c r="A936" s="162">
        <v>46265</v>
      </c>
      <c r="B936" s="163" t="s">
        <v>370</v>
      </c>
      <c r="C936" s="163" t="s">
        <v>93</v>
      </c>
      <c r="D936" s="163" t="s">
        <v>1515</v>
      </c>
      <c r="E936" s="163" t="s">
        <v>106</v>
      </c>
      <c r="F936" s="163" t="s">
        <v>135</v>
      </c>
      <c r="G936" s="163"/>
      <c r="H936" s="163" t="s">
        <v>115</v>
      </c>
      <c r="I936" s="163" t="s">
        <v>121</v>
      </c>
      <c r="J936" s="163" t="s">
        <v>356</v>
      </c>
      <c r="K936" s="163" t="s">
        <v>1516</v>
      </c>
      <c r="L936" s="163"/>
      <c r="M936" s="163" t="s">
        <v>1307</v>
      </c>
      <c r="N936" s="163" t="s">
        <v>495</v>
      </c>
      <c r="O936" s="162">
        <v>46278</v>
      </c>
      <c r="P936" s="163" t="s">
        <v>95</v>
      </c>
      <c r="Q936" s="163"/>
      <c r="R936" s="163"/>
      <c r="S936" s="163" t="s">
        <v>129</v>
      </c>
      <c r="T936" s="164">
        <v>50000</v>
      </c>
      <c r="U936" s="164"/>
      <c r="V936" s="162"/>
      <c r="W936" s="163"/>
      <c r="X936" s="163"/>
      <c r="Y936" s="163"/>
      <c r="Z936" s="163"/>
      <c r="AA936" s="162"/>
      <c r="AB936" s="195" t="str">
        <f t="shared" si="112"/>
        <v>Aug-26</v>
      </c>
      <c r="AC936" s="163"/>
      <c r="AD936" s="163"/>
      <c r="AE936" s="163"/>
    </row>
    <row r="937" spans="1:31" x14ac:dyDescent="0.35">
      <c r="A937" s="162">
        <v>46265</v>
      </c>
      <c r="B937" s="163" t="s">
        <v>370</v>
      </c>
      <c r="C937" s="163" t="s">
        <v>93</v>
      </c>
      <c r="D937" s="163" t="s">
        <v>1517</v>
      </c>
      <c r="E937" s="163" t="s">
        <v>106</v>
      </c>
      <c r="F937" s="163" t="s">
        <v>115</v>
      </c>
      <c r="G937" s="163"/>
      <c r="H937" s="163" t="s">
        <v>115</v>
      </c>
      <c r="I937" s="163" t="s">
        <v>121</v>
      </c>
      <c r="J937" s="163" t="s">
        <v>438</v>
      </c>
      <c r="K937" s="163" t="s">
        <v>1518</v>
      </c>
      <c r="L937" s="163"/>
      <c r="M937" s="163" t="s">
        <v>1307</v>
      </c>
      <c r="N937" s="163" t="s">
        <v>130</v>
      </c>
      <c r="O937" s="162">
        <v>46289</v>
      </c>
      <c r="P937" s="163" t="s">
        <v>95</v>
      </c>
      <c r="Q937" s="163"/>
      <c r="R937" s="163"/>
      <c r="S937" s="163" t="s">
        <v>129</v>
      </c>
      <c r="T937" s="164">
        <v>35000</v>
      </c>
      <c r="U937" s="164"/>
      <c r="V937" s="162"/>
      <c r="W937" s="163"/>
      <c r="X937" s="163"/>
      <c r="Y937" s="163"/>
      <c r="Z937" s="163"/>
      <c r="AA937" s="162"/>
      <c r="AB937" s="195" t="str">
        <f t="shared" si="112"/>
        <v>Aug-26</v>
      </c>
      <c r="AC937" s="163"/>
      <c r="AD937" s="163"/>
      <c r="AE937" s="163"/>
    </row>
    <row r="938" spans="1:31" x14ac:dyDescent="0.35">
      <c r="A938" s="162">
        <v>46265</v>
      </c>
      <c r="B938" s="163" t="s">
        <v>92</v>
      </c>
      <c r="C938" s="163" t="s">
        <v>93</v>
      </c>
      <c r="D938" s="163" t="s">
        <v>983</v>
      </c>
      <c r="E938" s="163" t="s">
        <v>106</v>
      </c>
      <c r="F938" s="163" t="s">
        <v>135</v>
      </c>
      <c r="G938" s="163"/>
      <c r="H938" s="163" t="s">
        <v>115</v>
      </c>
      <c r="I938" s="163" t="s">
        <v>121</v>
      </c>
      <c r="J938" s="163" t="s">
        <v>147</v>
      </c>
      <c r="K938" s="163" t="s">
        <v>1519</v>
      </c>
      <c r="L938" s="163"/>
      <c r="M938" s="163" t="s">
        <v>1307</v>
      </c>
      <c r="N938" s="163" t="s">
        <v>495</v>
      </c>
      <c r="O938" s="162">
        <v>46282</v>
      </c>
      <c r="P938" s="163" t="s">
        <v>95</v>
      </c>
      <c r="Q938" s="163"/>
      <c r="R938" s="163"/>
      <c r="S938" s="163" t="s">
        <v>129</v>
      </c>
      <c r="T938" s="164">
        <v>30000</v>
      </c>
      <c r="U938" s="164"/>
      <c r="V938" s="163"/>
      <c r="W938" s="163"/>
      <c r="X938" s="163"/>
      <c r="Y938" s="163"/>
      <c r="Z938" s="163"/>
      <c r="AA938" s="162"/>
      <c r="AB938" s="195" t="str">
        <f t="shared" si="112"/>
        <v>Aug-26</v>
      </c>
      <c r="AC938" s="163"/>
      <c r="AD938" s="163" t="str">
        <f t="shared" ref="AD938:AD943" si="113">IF(AC938="Yes",U938*2%,"")</f>
        <v/>
      </c>
      <c r="AE938" s="163"/>
    </row>
    <row r="939" spans="1:31" x14ac:dyDescent="0.35">
      <c r="A939" s="162">
        <v>46265</v>
      </c>
      <c r="B939" s="163" t="s">
        <v>370</v>
      </c>
      <c r="C939" s="163" t="s">
        <v>93</v>
      </c>
      <c r="D939" s="163" t="s">
        <v>504</v>
      </c>
      <c r="E939" s="163" t="s">
        <v>106</v>
      </c>
      <c r="F939" s="163" t="s">
        <v>135</v>
      </c>
      <c r="G939" s="163"/>
      <c r="H939" s="163" t="s">
        <v>115</v>
      </c>
      <c r="I939" s="163" t="s">
        <v>121</v>
      </c>
      <c r="J939" s="163" t="s">
        <v>147</v>
      </c>
      <c r="K939" s="163" t="s">
        <v>979</v>
      </c>
      <c r="L939" s="163"/>
      <c r="M939" s="163" t="s">
        <v>1307</v>
      </c>
      <c r="N939" s="163" t="s">
        <v>130</v>
      </c>
      <c r="O939" s="162">
        <v>46285</v>
      </c>
      <c r="P939" s="163" t="s">
        <v>95</v>
      </c>
      <c r="Q939" s="163"/>
      <c r="R939" s="163"/>
      <c r="S939" s="163" t="s">
        <v>129</v>
      </c>
      <c r="T939" s="164">
        <v>50000</v>
      </c>
      <c r="U939" s="164"/>
      <c r="V939" s="163"/>
      <c r="W939" s="163"/>
      <c r="X939" s="163"/>
      <c r="Y939" s="163"/>
      <c r="Z939" s="163"/>
      <c r="AA939" s="162"/>
      <c r="AB939" s="195" t="str">
        <f t="shared" si="112"/>
        <v>Aug-26</v>
      </c>
      <c r="AC939" s="163"/>
      <c r="AD939" s="163" t="str">
        <f t="shared" si="113"/>
        <v/>
      </c>
      <c r="AE939" s="163"/>
    </row>
    <row r="940" spans="1:31" x14ac:dyDescent="0.35">
      <c r="A940" s="162">
        <v>46265</v>
      </c>
      <c r="B940" s="163" t="s">
        <v>370</v>
      </c>
      <c r="C940" s="163" t="s">
        <v>93</v>
      </c>
      <c r="D940" s="163" t="s">
        <v>1520</v>
      </c>
      <c r="E940" s="163" t="s">
        <v>106</v>
      </c>
      <c r="F940" s="163" t="s">
        <v>135</v>
      </c>
      <c r="G940" s="163"/>
      <c r="H940" s="163" t="s">
        <v>115</v>
      </c>
      <c r="I940" s="163" t="s">
        <v>121</v>
      </c>
      <c r="J940" s="163" t="s">
        <v>356</v>
      </c>
      <c r="K940" s="163" t="s">
        <v>368</v>
      </c>
      <c r="L940" s="163"/>
      <c r="M940" s="163" t="s">
        <v>1307</v>
      </c>
      <c r="N940" s="163" t="s">
        <v>495</v>
      </c>
      <c r="O940" s="162">
        <v>46286</v>
      </c>
      <c r="P940" s="163" t="s">
        <v>95</v>
      </c>
      <c r="Q940" s="163"/>
      <c r="R940" s="163"/>
      <c r="S940" s="163" t="s">
        <v>129</v>
      </c>
      <c r="T940" s="164">
        <v>33000</v>
      </c>
      <c r="U940" s="164"/>
      <c r="V940" s="163"/>
      <c r="W940" s="163"/>
      <c r="X940" s="163"/>
      <c r="Y940" s="163"/>
      <c r="Z940" s="163"/>
      <c r="AA940" s="162"/>
      <c r="AB940" s="195" t="str">
        <f t="shared" si="112"/>
        <v>Aug-26</v>
      </c>
      <c r="AC940" s="163"/>
      <c r="AD940" s="163" t="str">
        <f t="shared" si="113"/>
        <v/>
      </c>
      <c r="AE940" s="163"/>
    </row>
    <row r="941" spans="1:31" x14ac:dyDescent="0.35">
      <c r="A941" s="162">
        <v>46265</v>
      </c>
      <c r="B941" s="163" t="s">
        <v>92</v>
      </c>
      <c r="C941" s="163" t="s">
        <v>93</v>
      </c>
      <c r="D941" s="163" t="s">
        <v>1521</v>
      </c>
      <c r="E941" s="163" t="s">
        <v>106</v>
      </c>
      <c r="F941" s="163" t="s">
        <v>135</v>
      </c>
      <c r="G941" s="163"/>
      <c r="H941" s="163" t="s">
        <v>115</v>
      </c>
      <c r="I941" s="163" t="s">
        <v>121</v>
      </c>
      <c r="J941" s="163" t="s">
        <v>356</v>
      </c>
      <c r="K941" s="163" t="s">
        <v>1522</v>
      </c>
      <c r="L941" s="163"/>
      <c r="M941" s="163" t="s">
        <v>1307</v>
      </c>
      <c r="N941" s="163" t="s">
        <v>130</v>
      </c>
      <c r="O941" s="162">
        <v>46289</v>
      </c>
      <c r="P941" s="163" t="s">
        <v>95</v>
      </c>
      <c r="Q941" s="163"/>
      <c r="R941" s="163"/>
      <c r="S941" s="163" t="s">
        <v>129</v>
      </c>
      <c r="T941" s="164">
        <v>50000</v>
      </c>
      <c r="U941" s="164"/>
      <c r="V941" s="163"/>
      <c r="W941" s="163"/>
      <c r="X941" s="163"/>
      <c r="Y941" s="163"/>
      <c r="Z941" s="163"/>
      <c r="AA941" s="162"/>
      <c r="AB941" s="195" t="str">
        <f t="shared" si="112"/>
        <v>Aug-26</v>
      </c>
      <c r="AC941" s="163"/>
      <c r="AD941" s="163" t="str">
        <f t="shared" si="113"/>
        <v/>
      </c>
      <c r="AE941" s="163"/>
    </row>
    <row r="942" spans="1:31" x14ac:dyDescent="0.35">
      <c r="A942" s="162">
        <v>46265</v>
      </c>
      <c r="B942" s="163" t="s">
        <v>148</v>
      </c>
      <c r="C942" s="163" t="s">
        <v>113</v>
      </c>
      <c r="D942" s="163" t="s">
        <v>1523</v>
      </c>
      <c r="E942" s="163" t="s">
        <v>106</v>
      </c>
      <c r="F942" s="163" t="s">
        <v>135</v>
      </c>
      <c r="G942" s="163"/>
      <c r="H942" s="163" t="s">
        <v>115</v>
      </c>
      <c r="I942" s="163" t="s">
        <v>121</v>
      </c>
      <c r="J942" s="163" t="s">
        <v>147</v>
      </c>
      <c r="K942" s="163" t="s">
        <v>1524</v>
      </c>
      <c r="L942" s="163"/>
      <c r="M942" s="163" t="s">
        <v>1307</v>
      </c>
      <c r="N942" s="163" t="s">
        <v>130</v>
      </c>
      <c r="O942" s="162">
        <v>46290</v>
      </c>
      <c r="P942" s="163"/>
      <c r="Q942" s="163"/>
      <c r="R942" s="163"/>
      <c r="S942" s="163" t="s">
        <v>129</v>
      </c>
      <c r="T942" s="164"/>
      <c r="U942" s="164"/>
      <c r="V942" s="163"/>
      <c r="W942" s="163"/>
      <c r="X942" s="163"/>
      <c r="Y942" s="163"/>
      <c r="Z942" s="163"/>
      <c r="AA942" s="163"/>
      <c r="AB942" s="195" t="str">
        <f t="shared" si="112"/>
        <v>Aug-26</v>
      </c>
      <c r="AC942" s="163"/>
      <c r="AD942" s="163" t="str">
        <f t="shared" si="113"/>
        <v/>
      </c>
      <c r="AE942" s="163"/>
    </row>
    <row r="943" spans="1:31" x14ac:dyDescent="0.35">
      <c r="A943" s="162">
        <v>46266</v>
      </c>
      <c r="B943" s="163" t="s">
        <v>370</v>
      </c>
      <c r="C943" s="163" t="s">
        <v>93</v>
      </c>
      <c r="D943" s="163" t="s">
        <v>262</v>
      </c>
      <c r="E943" s="163" t="s">
        <v>106</v>
      </c>
      <c r="F943" s="163" t="s">
        <v>135</v>
      </c>
      <c r="G943" s="163"/>
      <c r="H943" s="163" t="s">
        <v>115</v>
      </c>
      <c r="I943" s="163" t="s">
        <v>121</v>
      </c>
      <c r="J943" s="163" t="s">
        <v>136</v>
      </c>
      <c r="K943" s="163" t="s">
        <v>1525</v>
      </c>
      <c r="L943" s="163"/>
      <c r="M943" s="163" t="s">
        <v>1526</v>
      </c>
      <c r="N943" s="163" t="s">
        <v>102</v>
      </c>
      <c r="O943" s="162"/>
      <c r="P943" s="163"/>
      <c r="Q943" s="163"/>
      <c r="R943" s="163"/>
      <c r="S943" s="163" t="s">
        <v>103</v>
      </c>
      <c r="T943" s="164">
        <v>10000</v>
      </c>
      <c r="U943" s="164">
        <v>4147</v>
      </c>
      <c r="V943" s="162">
        <v>46266</v>
      </c>
      <c r="W943" s="163" t="s">
        <v>1527</v>
      </c>
      <c r="X943" s="163" t="s">
        <v>56</v>
      </c>
      <c r="Y943" s="163" t="s">
        <v>161</v>
      </c>
      <c r="Z943" s="163"/>
      <c r="AA943" s="162">
        <v>46266</v>
      </c>
      <c r="AB943" s="195" t="str">
        <f t="shared" si="112"/>
        <v>Sep-26</v>
      </c>
      <c r="AC943" s="163"/>
      <c r="AD943" s="163" t="str">
        <f t="shared" si="113"/>
        <v/>
      </c>
      <c r="AE943" s="163" t="s">
        <v>270</v>
      </c>
    </row>
    <row r="944" spans="1:31" x14ac:dyDescent="0.35">
      <c r="A944" s="162">
        <v>46266</v>
      </c>
      <c r="B944" s="163" t="s">
        <v>370</v>
      </c>
      <c r="C944" s="163" t="s">
        <v>93</v>
      </c>
      <c r="D944" s="163" t="s">
        <v>1528</v>
      </c>
      <c r="E944" s="163" t="s">
        <v>106</v>
      </c>
      <c r="F944" s="163" t="s">
        <v>135</v>
      </c>
      <c r="G944" s="163"/>
      <c r="H944" s="163" t="s">
        <v>115</v>
      </c>
      <c r="I944" s="163" t="s">
        <v>121</v>
      </c>
      <c r="J944" s="163" t="s">
        <v>356</v>
      </c>
      <c r="K944" s="163" t="s">
        <v>370</v>
      </c>
      <c r="L944" s="163"/>
      <c r="M944" s="163" t="s">
        <v>1307</v>
      </c>
      <c r="N944" s="163" t="s">
        <v>495</v>
      </c>
      <c r="O944" s="162">
        <v>46290</v>
      </c>
      <c r="P944" s="163" t="s">
        <v>95</v>
      </c>
      <c r="Q944" s="163"/>
      <c r="R944" s="163"/>
      <c r="S944" s="163" t="s">
        <v>129</v>
      </c>
      <c r="T944" s="164">
        <v>60000</v>
      </c>
      <c r="U944" s="164"/>
      <c r="V944" s="162"/>
      <c r="W944" s="163"/>
      <c r="X944" s="163"/>
      <c r="Y944" s="163"/>
      <c r="Z944" s="163"/>
      <c r="AA944" s="162"/>
      <c r="AB944" s="195" t="str">
        <f t="shared" si="112"/>
        <v>Sep-26</v>
      </c>
      <c r="AC944" s="163"/>
      <c r="AD944" s="163"/>
      <c r="AE944" s="163"/>
    </row>
    <row r="945" spans="1:31" x14ac:dyDescent="0.35">
      <c r="A945" s="162">
        <v>46266</v>
      </c>
      <c r="B945" s="163" t="s">
        <v>370</v>
      </c>
      <c r="C945" s="163" t="s">
        <v>93</v>
      </c>
      <c r="D945" s="163" t="s">
        <v>1529</v>
      </c>
      <c r="E945" s="163" t="s">
        <v>106</v>
      </c>
      <c r="F945" s="163" t="s">
        <v>135</v>
      </c>
      <c r="G945" s="163"/>
      <c r="H945" s="163" t="s">
        <v>115</v>
      </c>
      <c r="I945" s="163" t="s">
        <v>121</v>
      </c>
      <c r="J945" s="163" t="s">
        <v>356</v>
      </c>
      <c r="K945" s="163" t="s">
        <v>1530</v>
      </c>
      <c r="L945" s="163"/>
      <c r="M945" s="163" t="s">
        <v>914</v>
      </c>
      <c r="N945" s="163" t="s">
        <v>181</v>
      </c>
      <c r="O945" s="162">
        <v>46308</v>
      </c>
      <c r="P945" s="163"/>
      <c r="Q945" s="163"/>
      <c r="R945" s="163"/>
      <c r="S945" s="163" t="s">
        <v>103</v>
      </c>
      <c r="T945" s="164">
        <v>30000</v>
      </c>
      <c r="U945" s="164"/>
      <c r="V945" s="162"/>
      <c r="W945" s="163"/>
      <c r="X945" s="163"/>
      <c r="Y945" s="163"/>
      <c r="Z945" s="163"/>
      <c r="AA945" s="162"/>
      <c r="AB945" s="195" t="str">
        <f t="shared" si="112"/>
        <v>Sep-26</v>
      </c>
      <c r="AC945" s="163"/>
      <c r="AD945" s="163"/>
      <c r="AE945" s="163"/>
    </row>
    <row r="946" spans="1:31" x14ac:dyDescent="0.35">
      <c r="A946" s="162">
        <v>46266</v>
      </c>
      <c r="B946" s="163" t="s">
        <v>125</v>
      </c>
      <c r="C946" s="163" t="s">
        <v>113</v>
      </c>
      <c r="D946" s="163" t="s">
        <v>246</v>
      </c>
      <c r="E946" s="163" t="s">
        <v>95</v>
      </c>
      <c r="F946" s="163" t="s">
        <v>96</v>
      </c>
      <c r="G946" s="163" t="s">
        <v>15</v>
      </c>
      <c r="H946" s="163" t="s">
        <v>163</v>
      </c>
      <c r="I946" s="163" t="s">
        <v>98</v>
      </c>
      <c r="J946" s="163" t="s">
        <v>147</v>
      </c>
      <c r="K946" s="163" t="s">
        <v>231</v>
      </c>
      <c r="L946" s="163"/>
      <c r="M946" s="163" t="s">
        <v>390</v>
      </c>
      <c r="N946" s="163" t="s">
        <v>156</v>
      </c>
      <c r="O946" s="162"/>
      <c r="P946" s="163"/>
      <c r="Q946" s="163"/>
      <c r="R946" s="163" t="str">
        <f ca="1">IF(OR(N946="Closed( C4 )",N946="Cancelled"),"",IF(AND(O946&lt;&gt;"",O946&lt;TODAY()),"Yes",""))</f>
        <v/>
      </c>
      <c r="S946" s="163" t="s">
        <v>103</v>
      </c>
      <c r="T946" s="164"/>
      <c r="U946" s="164"/>
      <c r="V946" s="162"/>
      <c r="W946" s="163"/>
      <c r="X946" s="163" t="s">
        <v>39</v>
      </c>
      <c r="Y946" s="163"/>
      <c r="Z946" s="163"/>
      <c r="AA946" s="162"/>
      <c r="AB946" s="195" t="str">
        <f t="shared" si="112"/>
        <v>Sep-26</v>
      </c>
      <c r="AC946" s="163"/>
      <c r="AD946" s="163"/>
      <c r="AE946" s="163"/>
    </row>
    <row r="947" spans="1:31" x14ac:dyDescent="0.35">
      <c r="A947" s="162">
        <v>46266</v>
      </c>
      <c r="B947" s="163" t="s">
        <v>148</v>
      </c>
      <c r="C947" s="163" t="s">
        <v>113</v>
      </c>
      <c r="D947" s="163" t="s">
        <v>1531</v>
      </c>
      <c r="E947" s="163" t="s">
        <v>106</v>
      </c>
      <c r="F947" s="163" t="s">
        <v>96</v>
      </c>
      <c r="G947" s="163" t="s">
        <v>10</v>
      </c>
      <c r="H947" s="163" t="s">
        <v>115</v>
      </c>
      <c r="I947" s="163" t="s">
        <v>98</v>
      </c>
      <c r="J947" s="163" t="s">
        <v>147</v>
      </c>
      <c r="K947" s="163" t="s">
        <v>1532</v>
      </c>
      <c r="L947" s="163"/>
      <c r="M947" s="163" t="s">
        <v>159</v>
      </c>
      <c r="N947" s="163" t="s">
        <v>156</v>
      </c>
      <c r="O947" s="162"/>
      <c r="P947" s="163"/>
      <c r="Q947" s="163"/>
      <c r="R947" s="163"/>
      <c r="S947" s="163" t="s">
        <v>103</v>
      </c>
      <c r="T947" s="164"/>
      <c r="U947" s="164"/>
      <c r="V947" s="162"/>
      <c r="W947" s="163"/>
      <c r="X947" s="163" t="s">
        <v>35</v>
      </c>
      <c r="Y947" s="163"/>
      <c r="Z947" s="163"/>
      <c r="AA947" s="162"/>
      <c r="AB947" s="195" t="str">
        <f t="shared" si="112"/>
        <v>Sep-26</v>
      </c>
      <c r="AC947" s="163"/>
      <c r="AD947" s="163"/>
      <c r="AE947" s="163"/>
    </row>
    <row r="948" spans="1:31" x14ac:dyDescent="0.35">
      <c r="A948" s="162">
        <v>46266</v>
      </c>
      <c r="B948" s="163" t="s">
        <v>148</v>
      </c>
      <c r="C948" s="163" t="s">
        <v>113</v>
      </c>
      <c r="D948" s="163" t="s">
        <v>1533</v>
      </c>
      <c r="E948" s="163" t="s">
        <v>106</v>
      </c>
      <c r="F948" s="163" t="s">
        <v>96</v>
      </c>
      <c r="G948" s="163" t="s">
        <v>15</v>
      </c>
      <c r="H948" s="163" t="s">
        <v>115</v>
      </c>
      <c r="I948" s="163" t="s">
        <v>98</v>
      </c>
      <c r="J948" s="163" t="s">
        <v>147</v>
      </c>
      <c r="K948" s="163" t="s">
        <v>231</v>
      </c>
      <c r="L948" s="163"/>
      <c r="M948" s="163" t="s">
        <v>390</v>
      </c>
      <c r="N948" s="163" t="s">
        <v>156</v>
      </c>
      <c r="O948" s="162"/>
      <c r="P948" s="163"/>
      <c r="Q948" s="163"/>
      <c r="R948" s="163"/>
      <c r="S948" s="163" t="s">
        <v>129</v>
      </c>
      <c r="T948" s="164"/>
      <c r="U948" s="164"/>
      <c r="V948" s="162"/>
      <c r="W948" s="163"/>
      <c r="X948" s="163"/>
      <c r="Y948" s="163"/>
      <c r="Z948" s="163"/>
      <c r="AA948" s="162"/>
      <c r="AB948" s="195" t="str">
        <f t="shared" si="112"/>
        <v>Sep-26</v>
      </c>
      <c r="AC948" s="163"/>
      <c r="AD948" s="163"/>
      <c r="AE948" s="163"/>
    </row>
    <row r="949" spans="1:31" x14ac:dyDescent="0.35">
      <c r="A949" s="162">
        <v>46266</v>
      </c>
      <c r="B949" s="163" t="s">
        <v>125</v>
      </c>
      <c r="C949" s="163" t="s">
        <v>113</v>
      </c>
      <c r="D949" s="163" t="s">
        <v>260</v>
      </c>
      <c r="E949" s="163" t="s">
        <v>95</v>
      </c>
      <c r="F949" s="163" t="s">
        <v>96</v>
      </c>
      <c r="G949" s="163" t="s">
        <v>15</v>
      </c>
      <c r="H949" s="163" t="s">
        <v>163</v>
      </c>
      <c r="I949" s="163" t="s">
        <v>98</v>
      </c>
      <c r="J949" s="163" t="s">
        <v>147</v>
      </c>
      <c r="K949" s="163" t="s">
        <v>231</v>
      </c>
      <c r="L949" s="163"/>
      <c r="M949" s="163" t="s">
        <v>390</v>
      </c>
      <c r="N949" s="163" t="s">
        <v>156</v>
      </c>
      <c r="O949" s="162"/>
      <c r="P949" s="163"/>
      <c r="Q949" s="163"/>
      <c r="R949" s="163" t="str">
        <f t="shared" ref="R949:R957" ca="1" si="114">IF(OR(N949="Closed( C4 )",N949="Cancelled"),"",IF(AND(O949&lt;&gt;"",O949&lt;TODAY()),"Yes",""))</f>
        <v/>
      </c>
      <c r="S949" s="163" t="s">
        <v>103</v>
      </c>
      <c r="T949" s="164"/>
      <c r="U949" s="164"/>
      <c r="V949" s="162"/>
      <c r="W949" s="163"/>
      <c r="X949" s="163" t="s">
        <v>39</v>
      </c>
      <c r="Y949" s="163"/>
      <c r="Z949" s="163"/>
      <c r="AA949" s="162"/>
      <c r="AB949" s="195" t="str">
        <f t="shared" si="112"/>
        <v>Sep-26</v>
      </c>
      <c r="AC949" s="163"/>
      <c r="AD949" s="163" t="str">
        <f t="shared" ref="AD949:AD963" si="115">IF(AC949="Yes",U949*2%,"")</f>
        <v/>
      </c>
      <c r="AE949" s="163"/>
    </row>
    <row r="950" spans="1:31" x14ac:dyDescent="0.35">
      <c r="A950" s="162">
        <v>46266</v>
      </c>
      <c r="B950" s="163" t="s">
        <v>125</v>
      </c>
      <c r="C950" s="163" t="s">
        <v>113</v>
      </c>
      <c r="D950" s="163" t="s">
        <v>554</v>
      </c>
      <c r="E950" s="163" t="s">
        <v>95</v>
      </c>
      <c r="F950" s="163" t="s">
        <v>96</v>
      </c>
      <c r="G950" s="163" t="s">
        <v>15</v>
      </c>
      <c r="H950" s="163" t="s">
        <v>163</v>
      </c>
      <c r="I950" s="163" t="s">
        <v>98</v>
      </c>
      <c r="J950" s="163" t="s">
        <v>147</v>
      </c>
      <c r="K950" s="163" t="s">
        <v>525</v>
      </c>
      <c r="L950" s="163"/>
      <c r="M950" s="163" t="s">
        <v>526</v>
      </c>
      <c r="N950" s="163" t="s">
        <v>156</v>
      </c>
      <c r="O950" s="162"/>
      <c r="P950" s="163"/>
      <c r="Q950" s="163"/>
      <c r="R950" s="163" t="str">
        <f t="shared" ca="1" si="114"/>
        <v/>
      </c>
      <c r="S950" s="163" t="s">
        <v>103</v>
      </c>
      <c r="T950" s="164"/>
      <c r="U950" s="164"/>
      <c r="V950" s="162"/>
      <c r="W950" s="163"/>
      <c r="X950" s="163" t="s">
        <v>47</v>
      </c>
      <c r="Y950" s="163"/>
      <c r="Z950" s="163"/>
      <c r="AA950" s="162"/>
      <c r="AB950" s="195" t="str">
        <f t="shared" si="112"/>
        <v>Sep-26</v>
      </c>
      <c r="AC950" s="163"/>
      <c r="AD950" s="163" t="str">
        <f t="shared" si="115"/>
        <v/>
      </c>
      <c r="AE950" s="163"/>
    </row>
    <row r="951" spans="1:31" x14ac:dyDescent="0.35">
      <c r="A951" s="162">
        <v>46266</v>
      </c>
      <c r="B951" s="163" t="s">
        <v>125</v>
      </c>
      <c r="C951" s="163" t="s">
        <v>113</v>
      </c>
      <c r="D951" s="163" t="s">
        <v>887</v>
      </c>
      <c r="E951" s="163" t="s">
        <v>106</v>
      </c>
      <c r="F951" s="163" t="s">
        <v>96</v>
      </c>
      <c r="G951" s="163" t="s">
        <v>15</v>
      </c>
      <c r="H951" s="163" t="s">
        <v>97</v>
      </c>
      <c r="I951" s="163" t="s">
        <v>98</v>
      </c>
      <c r="J951" s="163" t="s">
        <v>147</v>
      </c>
      <c r="K951" s="163" t="s">
        <v>525</v>
      </c>
      <c r="L951" s="163"/>
      <c r="M951" s="163" t="s">
        <v>390</v>
      </c>
      <c r="N951" s="163" t="s">
        <v>156</v>
      </c>
      <c r="O951" s="162"/>
      <c r="P951" s="163"/>
      <c r="Q951" s="163"/>
      <c r="R951" s="163" t="str">
        <f t="shared" ca="1" si="114"/>
        <v/>
      </c>
      <c r="S951" s="163" t="s">
        <v>103</v>
      </c>
      <c r="T951" s="164"/>
      <c r="U951" s="164"/>
      <c r="V951" s="163"/>
      <c r="W951" s="163"/>
      <c r="X951" s="163" t="s">
        <v>47</v>
      </c>
      <c r="Y951" s="163"/>
      <c r="Z951" s="163"/>
      <c r="AA951" s="162"/>
      <c r="AB951" s="195" t="str">
        <f t="shared" si="112"/>
        <v>Sep-26</v>
      </c>
      <c r="AC951" s="163"/>
      <c r="AD951" s="163" t="str">
        <f t="shared" si="115"/>
        <v/>
      </c>
      <c r="AE951" s="163"/>
    </row>
    <row r="952" spans="1:31" x14ac:dyDescent="0.35">
      <c r="A952" s="162">
        <v>46266</v>
      </c>
      <c r="B952" s="163" t="s">
        <v>125</v>
      </c>
      <c r="C952" s="163" t="s">
        <v>113</v>
      </c>
      <c r="D952" s="163" t="s">
        <v>1534</v>
      </c>
      <c r="E952" s="163" t="s">
        <v>106</v>
      </c>
      <c r="F952" s="163" t="s">
        <v>96</v>
      </c>
      <c r="G952" s="163" t="s">
        <v>14</v>
      </c>
      <c r="H952" s="163" t="s">
        <v>226</v>
      </c>
      <c r="I952" s="163" t="s">
        <v>98</v>
      </c>
      <c r="J952" s="163" t="s">
        <v>153</v>
      </c>
      <c r="K952" s="163" t="s">
        <v>227</v>
      </c>
      <c r="L952" s="163"/>
      <c r="M952" s="163" t="s">
        <v>1535</v>
      </c>
      <c r="N952" s="163" t="s">
        <v>156</v>
      </c>
      <c r="O952" s="162"/>
      <c r="P952" s="163"/>
      <c r="Q952" s="163"/>
      <c r="R952" s="163" t="str">
        <f t="shared" ca="1" si="114"/>
        <v/>
      </c>
      <c r="S952" s="163" t="s">
        <v>103</v>
      </c>
      <c r="T952" s="164"/>
      <c r="U952" s="164"/>
      <c r="V952" s="163"/>
      <c r="W952" s="163"/>
      <c r="X952" s="163" t="s">
        <v>37</v>
      </c>
      <c r="Y952" s="163"/>
      <c r="Z952" s="163"/>
      <c r="AA952" s="162"/>
      <c r="AB952" s="195" t="str">
        <f t="shared" si="112"/>
        <v>Sep-26</v>
      </c>
      <c r="AC952" s="163"/>
      <c r="AD952" s="163" t="str">
        <f t="shared" si="115"/>
        <v/>
      </c>
      <c r="AE952" s="163"/>
    </row>
    <row r="953" spans="1:31" x14ac:dyDescent="0.35">
      <c r="A953" s="162">
        <v>46266</v>
      </c>
      <c r="B953" s="163" t="s">
        <v>125</v>
      </c>
      <c r="C953" s="163" t="s">
        <v>113</v>
      </c>
      <c r="D953" s="163" t="s">
        <v>1534</v>
      </c>
      <c r="E953" s="163" t="s">
        <v>106</v>
      </c>
      <c r="F953" s="163" t="s">
        <v>96</v>
      </c>
      <c r="G953" s="163" t="s">
        <v>13</v>
      </c>
      <c r="H953" s="163" t="s">
        <v>226</v>
      </c>
      <c r="I953" s="163" t="s">
        <v>98</v>
      </c>
      <c r="J953" s="163" t="s">
        <v>153</v>
      </c>
      <c r="K953" s="201" t="s">
        <v>361</v>
      </c>
      <c r="L953" s="163"/>
      <c r="M953" s="163" t="s">
        <v>1535</v>
      </c>
      <c r="N953" s="163" t="s">
        <v>156</v>
      </c>
      <c r="O953" s="162"/>
      <c r="P953" s="163"/>
      <c r="Q953" s="163"/>
      <c r="R953" s="163" t="str">
        <f t="shared" ca="1" si="114"/>
        <v/>
      </c>
      <c r="S953" s="163" t="s">
        <v>103</v>
      </c>
      <c r="T953" s="164"/>
      <c r="U953" s="164"/>
      <c r="V953" s="162"/>
      <c r="W953" s="163"/>
      <c r="X953" s="163" t="s">
        <v>37</v>
      </c>
      <c r="Y953" s="163"/>
      <c r="Z953" s="163"/>
      <c r="AA953" s="162"/>
      <c r="AB953" s="195" t="str">
        <f t="shared" si="112"/>
        <v>Sep-26</v>
      </c>
      <c r="AC953" s="163"/>
      <c r="AD953" s="163" t="str">
        <f t="shared" si="115"/>
        <v/>
      </c>
      <c r="AE953" s="163"/>
    </row>
    <row r="954" spans="1:31" x14ac:dyDescent="0.35">
      <c r="A954" s="162">
        <v>46266</v>
      </c>
      <c r="B954" s="163" t="s">
        <v>148</v>
      </c>
      <c r="C954" s="163" t="s">
        <v>113</v>
      </c>
      <c r="D954" s="163" t="s">
        <v>1536</v>
      </c>
      <c r="E954" s="163" t="s">
        <v>106</v>
      </c>
      <c r="F954" s="163" t="s">
        <v>135</v>
      </c>
      <c r="G954" s="163"/>
      <c r="H954" s="163" t="s">
        <v>115</v>
      </c>
      <c r="I954" s="163" t="s">
        <v>121</v>
      </c>
      <c r="J954" s="199" t="s">
        <v>147</v>
      </c>
      <c r="K954" s="163" t="s">
        <v>1537</v>
      </c>
      <c r="L954" s="200"/>
      <c r="M954" s="163" t="s">
        <v>1538</v>
      </c>
      <c r="N954" s="163" t="s">
        <v>181</v>
      </c>
      <c r="O954" s="162"/>
      <c r="P954" s="163"/>
      <c r="Q954" s="163"/>
      <c r="R954" s="163" t="str">
        <f t="shared" ca="1" si="114"/>
        <v/>
      </c>
      <c r="S954" s="163" t="s">
        <v>129</v>
      </c>
      <c r="T954" s="164">
        <v>100000</v>
      </c>
      <c r="U954" s="164"/>
      <c r="V954" s="162"/>
      <c r="W954" s="163"/>
      <c r="X954" s="163"/>
      <c r="Y954" s="163"/>
      <c r="Z954" s="163"/>
      <c r="AA954" s="162"/>
      <c r="AB954" s="195" t="str">
        <f t="shared" si="112"/>
        <v>Sep-26</v>
      </c>
      <c r="AC954" s="163"/>
      <c r="AD954" s="163" t="str">
        <f t="shared" si="115"/>
        <v/>
      </c>
      <c r="AE954" s="163"/>
    </row>
    <row r="955" spans="1:31" x14ac:dyDescent="0.35">
      <c r="A955" s="162">
        <v>46266</v>
      </c>
      <c r="B955" s="163" t="s">
        <v>148</v>
      </c>
      <c r="C955" s="163" t="s">
        <v>113</v>
      </c>
      <c r="D955" s="163" t="s">
        <v>1539</v>
      </c>
      <c r="E955" s="163" t="s">
        <v>95</v>
      </c>
      <c r="F955" s="163" t="s">
        <v>135</v>
      </c>
      <c r="G955" s="163"/>
      <c r="H955" s="163" t="s">
        <v>115</v>
      </c>
      <c r="I955" s="163" t="s">
        <v>121</v>
      </c>
      <c r="J955" s="163" t="s">
        <v>147</v>
      </c>
      <c r="K955" s="161" t="s">
        <v>556</v>
      </c>
      <c r="L955" s="163"/>
      <c r="M955" s="163" t="s">
        <v>557</v>
      </c>
      <c r="N955" s="163" t="s">
        <v>156</v>
      </c>
      <c r="O955" s="162"/>
      <c r="P955" s="163"/>
      <c r="Q955" s="163"/>
      <c r="R955" s="163" t="str">
        <f t="shared" ca="1" si="114"/>
        <v/>
      </c>
      <c r="S955" s="163" t="s">
        <v>103</v>
      </c>
      <c r="T955" s="164"/>
      <c r="U955" s="164"/>
      <c r="V955" s="163"/>
      <c r="W955" s="163"/>
      <c r="X955" s="163" t="s">
        <v>46</v>
      </c>
      <c r="Y955" s="163"/>
      <c r="Z955" s="163"/>
      <c r="AA955" s="162"/>
      <c r="AB955" s="195" t="str">
        <f t="shared" si="112"/>
        <v>Sep-26</v>
      </c>
      <c r="AC955" s="163"/>
      <c r="AD955" s="163" t="str">
        <f t="shared" si="115"/>
        <v/>
      </c>
      <c r="AE955" s="163"/>
    </row>
    <row r="956" spans="1:31" x14ac:dyDescent="0.35">
      <c r="A956" s="162">
        <v>46266</v>
      </c>
      <c r="B956" s="163" t="s">
        <v>125</v>
      </c>
      <c r="C956" s="163" t="s">
        <v>93</v>
      </c>
      <c r="D956" s="163" t="s">
        <v>19</v>
      </c>
      <c r="E956" s="163" t="s">
        <v>106</v>
      </c>
      <c r="F956" s="163" t="s">
        <v>96</v>
      </c>
      <c r="G956" s="163" t="s">
        <v>10</v>
      </c>
      <c r="H956" s="163" t="s">
        <v>115</v>
      </c>
      <c r="I956" s="163" t="s">
        <v>121</v>
      </c>
      <c r="J956" s="163" t="s">
        <v>99</v>
      </c>
      <c r="K956" s="163" t="s">
        <v>256</v>
      </c>
      <c r="L956" s="163"/>
      <c r="M956" s="163" t="s">
        <v>159</v>
      </c>
      <c r="N956" s="163" t="s">
        <v>156</v>
      </c>
      <c r="O956" s="162"/>
      <c r="P956" s="163"/>
      <c r="Q956" s="163"/>
      <c r="R956" s="163" t="str">
        <f t="shared" ca="1" si="114"/>
        <v/>
      </c>
      <c r="S956" s="163" t="s">
        <v>103</v>
      </c>
      <c r="T956" s="164"/>
      <c r="U956" s="164"/>
      <c r="V956" s="163"/>
      <c r="W956" s="163"/>
      <c r="X956" s="163"/>
      <c r="Y956" s="163"/>
      <c r="Z956" s="163"/>
      <c r="AA956" s="162"/>
      <c r="AB956" s="195" t="str">
        <f t="shared" si="112"/>
        <v>Sep-26</v>
      </c>
      <c r="AC956" s="163"/>
      <c r="AD956" s="163" t="str">
        <f t="shared" si="115"/>
        <v/>
      </c>
      <c r="AE956" s="163"/>
    </row>
    <row r="957" spans="1:31" x14ac:dyDescent="0.35">
      <c r="A957" s="162">
        <v>46266</v>
      </c>
      <c r="B957" s="163" t="s">
        <v>125</v>
      </c>
      <c r="C957" s="163" t="s">
        <v>113</v>
      </c>
      <c r="D957" s="201" t="s">
        <v>391</v>
      </c>
      <c r="E957" s="163" t="s">
        <v>95</v>
      </c>
      <c r="F957" s="163" t="s">
        <v>96</v>
      </c>
      <c r="G957" s="163" t="s">
        <v>11</v>
      </c>
      <c r="H957" s="163" t="s">
        <v>163</v>
      </c>
      <c r="I957" s="163" t="s">
        <v>98</v>
      </c>
      <c r="J957" s="163" t="s">
        <v>147</v>
      </c>
      <c r="K957" s="201" t="s">
        <v>210</v>
      </c>
      <c r="L957" s="163"/>
      <c r="M957" s="163" t="s">
        <v>390</v>
      </c>
      <c r="N957" s="163" t="s">
        <v>156</v>
      </c>
      <c r="O957" s="162"/>
      <c r="P957" s="163"/>
      <c r="Q957" s="163"/>
      <c r="R957" s="163" t="str">
        <f t="shared" ca="1" si="114"/>
        <v/>
      </c>
      <c r="S957" s="163" t="s">
        <v>103</v>
      </c>
      <c r="T957" s="164"/>
      <c r="U957" s="164"/>
      <c r="V957" s="162"/>
      <c r="W957" s="163"/>
      <c r="X957" s="163" t="s">
        <v>47</v>
      </c>
      <c r="Y957" s="163"/>
      <c r="Z957" s="163"/>
      <c r="AA957" s="162"/>
      <c r="AB957" s="195" t="str">
        <f t="shared" si="112"/>
        <v>Sep-26</v>
      </c>
      <c r="AC957" s="163"/>
      <c r="AD957" s="163" t="str">
        <f t="shared" si="115"/>
        <v/>
      </c>
      <c r="AE957" s="163"/>
    </row>
    <row r="958" spans="1:31" x14ac:dyDescent="0.35">
      <c r="A958" s="162">
        <v>46266</v>
      </c>
      <c r="B958" s="163" t="s">
        <v>148</v>
      </c>
      <c r="C958" s="199" t="s">
        <v>113</v>
      </c>
      <c r="D958" s="163" t="s">
        <v>1540</v>
      </c>
      <c r="E958" s="200" t="s">
        <v>106</v>
      </c>
      <c r="F958" s="163" t="s">
        <v>135</v>
      </c>
      <c r="G958" s="163"/>
      <c r="H958" s="163" t="s">
        <v>115</v>
      </c>
      <c r="I958" s="163" t="s">
        <v>121</v>
      </c>
      <c r="J958" s="199" t="s">
        <v>147</v>
      </c>
      <c r="K958" s="163" t="s">
        <v>1541</v>
      </c>
      <c r="L958" s="200"/>
      <c r="M958" s="163" t="s">
        <v>1307</v>
      </c>
      <c r="N958" s="163" t="s">
        <v>130</v>
      </c>
      <c r="O958" s="162">
        <v>46293</v>
      </c>
      <c r="P958" s="163"/>
      <c r="Q958" s="163"/>
      <c r="R958" s="163"/>
      <c r="S958" s="163" t="s">
        <v>129</v>
      </c>
      <c r="T958" s="164"/>
      <c r="U958" s="164"/>
      <c r="V958" s="163"/>
      <c r="W958" s="163"/>
      <c r="X958" s="163"/>
      <c r="Y958" s="163"/>
      <c r="Z958" s="163"/>
      <c r="AA958" s="163"/>
      <c r="AB958" s="195" t="str">
        <f t="shared" si="112"/>
        <v>Sep-26</v>
      </c>
      <c r="AC958" s="163"/>
      <c r="AD958" s="163" t="str">
        <f t="shared" si="115"/>
        <v/>
      </c>
      <c r="AE958" s="163"/>
    </row>
    <row r="959" spans="1:31" x14ac:dyDescent="0.35">
      <c r="A959" s="162">
        <v>46266</v>
      </c>
      <c r="B959" s="163" t="s">
        <v>148</v>
      </c>
      <c r="C959" s="163" t="s">
        <v>113</v>
      </c>
      <c r="D959" s="161" t="s">
        <v>1542</v>
      </c>
      <c r="E959" s="163" t="s">
        <v>106</v>
      </c>
      <c r="F959" s="163" t="s">
        <v>135</v>
      </c>
      <c r="G959" s="163"/>
      <c r="H959" s="163" t="s">
        <v>115</v>
      </c>
      <c r="I959" s="163" t="s">
        <v>121</v>
      </c>
      <c r="J959" s="163" t="s">
        <v>147</v>
      </c>
      <c r="K959" s="161" t="s">
        <v>1543</v>
      </c>
      <c r="L959" s="163"/>
      <c r="M959" s="163" t="s">
        <v>1307</v>
      </c>
      <c r="N959" s="163" t="s">
        <v>130</v>
      </c>
      <c r="O959" s="162">
        <v>46286</v>
      </c>
      <c r="P959" s="163"/>
      <c r="Q959" s="163"/>
      <c r="R959" s="163"/>
      <c r="S959" s="163" t="s">
        <v>129</v>
      </c>
      <c r="T959" s="164"/>
      <c r="U959" s="164"/>
      <c r="V959" s="163"/>
      <c r="W959" s="163"/>
      <c r="X959" s="163"/>
      <c r="Y959" s="163"/>
      <c r="Z959" s="163"/>
      <c r="AA959" s="163"/>
      <c r="AB959" s="195" t="str">
        <f t="shared" si="112"/>
        <v>Sep-26</v>
      </c>
      <c r="AC959" s="163"/>
      <c r="AD959" s="163" t="str">
        <f t="shared" si="115"/>
        <v/>
      </c>
      <c r="AE959" s="163"/>
    </row>
    <row r="960" spans="1:31" x14ac:dyDescent="0.35">
      <c r="A960" s="162">
        <v>46267</v>
      </c>
      <c r="B960" s="163" t="s">
        <v>92</v>
      </c>
      <c r="C960" s="163" t="s">
        <v>93</v>
      </c>
      <c r="D960" s="163" t="s">
        <v>19</v>
      </c>
      <c r="E960" s="163" t="s">
        <v>106</v>
      </c>
      <c r="F960" s="163" t="s">
        <v>96</v>
      </c>
      <c r="G960" s="163" t="s">
        <v>10</v>
      </c>
      <c r="H960" s="163" t="s">
        <v>115</v>
      </c>
      <c r="I960" s="163" t="s">
        <v>121</v>
      </c>
      <c r="J960" s="163" t="s">
        <v>99</v>
      </c>
      <c r="K960" s="163" t="s">
        <v>256</v>
      </c>
      <c r="L960" s="163"/>
      <c r="M960" s="163" t="s">
        <v>159</v>
      </c>
      <c r="N960" s="163" t="s">
        <v>102</v>
      </c>
      <c r="O960" s="162"/>
      <c r="P960" s="163"/>
      <c r="Q960" s="163"/>
      <c r="R960" s="163" t="str">
        <f ca="1">IF(OR(N960="Closed( C4 )",N960="Cancelled"),"",IF(AND(O960&lt;&gt;"",O960&lt;TODAY()),"Yes",""))</f>
        <v/>
      </c>
      <c r="S960" s="163" t="s">
        <v>103</v>
      </c>
      <c r="T960" s="164">
        <v>400000</v>
      </c>
      <c r="U960" s="164">
        <v>252630</v>
      </c>
      <c r="V960" s="162">
        <v>46267</v>
      </c>
      <c r="W960" s="163" t="s">
        <v>1544</v>
      </c>
      <c r="X960" s="163" t="s">
        <v>27</v>
      </c>
      <c r="Y960" s="163" t="s">
        <v>85</v>
      </c>
      <c r="Z960" s="163"/>
      <c r="AA960" s="162"/>
      <c r="AB960" s="195" t="str">
        <f t="shared" si="112"/>
        <v>Sep-26</v>
      </c>
      <c r="AC960" s="163"/>
      <c r="AD960" s="163" t="str">
        <f t="shared" si="115"/>
        <v/>
      </c>
      <c r="AE960" s="163"/>
    </row>
    <row r="961" spans="1:31" x14ac:dyDescent="0.35">
      <c r="A961" s="162">
        <v>46267</v>
      </c>
      <c r="B961" s="163" t="s">
        <v>125</v>
      </c>
      <c r="C961" s="163" t="s">
        <v>93</v>
      </c>
      <c r="D961" s="201" t="s">
        <v>19</v>
      </c>
      <c r="E961" s="163" t="s">
        <v>95</v>
      </c>
      <c r="F961" s="163" t="s">
        <v>96</v>
      </c>
      <c r="G961" s="163" t="s">
        <v>10</v>
      </c>
      <c r="H961" s="163" t="s">
        <v>115</v>
      </c>
      <c r="I961" s="163" t="s">
        <v>121</v>
      </c>
      <c r="J961" s="163" t="s">
        <v>99</v>
      </c>
      <c r="K961" s="201" t="s">
        <v>256</v>
      </c>
      <c r="L961" s="163"/>
      <c r="M961" s="163" t="s">
        <v>159</v>
      </c>
      <c r="N961" s="163" t="s">
        <v>102</v>
      </c>
      <c r="O961" s="162"/>
      <c r="P961" s="163"/>
      <c r="Q961" s="163"/>
      <c r="R961" s="163" t="str">
        <f ca="1">IF(OR(N961="Closed( C4 )",N961="Cancelled"),"",IF(AND(O961&lt;&gt;"",O961&lt;TODAY()),"Yes",""))</f>
        <v/>
      </c>
      <c r="S961" s="163" t="s">
        <v>103</v>
      </c>
      <c r="T961" s="164">
        <v>200000</v>
      </c>
      <c r="U961" s="164">
        <v>252630</v>
      </c>
      <c r="V961" s="165">
        <v>46267</v>
      </c>
      <c r="W961" s="163" t="s">
        <v>1544</v>
      </c>
      <c r="X961" s="163" t="s">
        <v>27</v>
      </c>
      <c r="Y961" s="163" t="s">
        <v>85</v>
      </c>
      <c r="Z961" s="163"/>
      <c r="AA961" s="162"/>
      <c r="AB961" s="195" t="str">
        <f t="shared" ref="AB961:AB996" si="116">IF($V961="",TEXT($A961,"MMM-YY"),TEXT($V961,"MMM-YY"))</f>
        <v>Sep-26</v>
      </c>
      <c r="AC961" s="163"/>
      <c r="AD961" s="163" t="str">
        <f t="shared" si="115"/>
        <v/>
      </c>
      <c r="AE961" s="163"/>
    </row>
    <row r="962" spans="1:31" x14ac:dyDescent="0.35">
      <c r="A962" s="162">
        <v>46267</v>
      </c>
      <c r="B962" s="163" t="s">
        <v>370</v>
      </c>
      <c r="C962" s="199" t="s">
        <v>93</v>
      </c>
      <c r="D962" s="163" t="s">
        <v>1545</v>
      </c>
      <c r="E962" s="200" t="s">
        <v>106</v>
      </c>
      <c r="F962" s="163" t="s">
        <v>135</v>
      </c>
      <c r="G962" s="163"/>
      <c r="H962" s="163" t="s">
        <v>115</v>
      </c>
      <c r="I962" s="163" t="s">
        <v>121</v>
      </c>
      <c r="J962" s="199" t="s">
        <v>147</v>
      </c>
      <c r="K962" s="163" t="s">
        <v>137</v>
      </c>
      <c r="L962" s="200"/>
      <c r="M962" s="163" t="s">
        <v>1307</v>
      </c>
      <c r="N962" s="163" t="s">
        <v>130</v>
      </c>
      <c r="O962" s="162"/>
      <c r="P962" s="163"/>
      <c r="Q962" s="163"/>
      <c r="R962" s="163"/>
      <c r="S962" s="163" t="s">
        <v>103</v>
      </c>
      <c r="T962" s="164">
        <v>35000</v>
      </c>
      <c r="U962" s="164"/>
      <c r="V962" s="165"/>
      <c r="W962" s="163"/>
      <c r="X962" s="163"/>
      <c r="Y962" s="163"/>
      <c r="Z962" s="163"/>
      <c r="AA962" s="162"/>
      <c r="AB962" s="195" t="str">
        <f t="shared" si="116"/>
        <v>Sep-26</v>
      </c>
      <c r="AC962" s="163"/>
      <c r="AD962" s="163" t="str">
        <f t="shared" si="115"/>
        <v/>
      </c>
      <c r="AE962" s="163"/>
    </row>
    <row r="963" spans="1:31" x14ac:dyDescent="0.35">
      <c r="A963" s="162">
        <v>46267</v>
      </c>
      <c r="B963" s="163" t="s">
        <v>370</v>
      </c>
      <c r="C963" s="199" t="s">
        <v>93</v>
      </c>
      <c r="D963" s="163" t="s">
        <v>1546</v>
      </c>
      <c r="E963" s="200" t="s">
        <v>106</v>
      </c>
      <c r="F963" s="163" t="s">
        <v>135</v>
      </c>
      <c r="G963" s="163"/>
      <c r="H963" s="163" t="s">
        <v>115</v>
      </c>
      <c r="I963" s="163" t="s">
        <v>121</v>
      </c>
      <c r="J963" s="163" t="s">
        <v>356</v>
      </c>
      <c r="K963" s="203" t="s">
        <v>1547</v>
      </c>
      <c r="L963" s="163"/>
      <c r="M963" s="163" t="s">
        <v>914</v>
      </c>
      <c r="N963" s="163" t="s">
        <v>495</v>
      </c>
      <c r="O963" s="162">
        <v>46281</v>
      </c>
      <c r="P963" s="163" t="s">
        <v>106</v>
      </c>
      <c r="Q963" s="163"/>
      <c r="R963" s="163"/>
      <c r="S963" s="163" t="s">
        <v>103</v>
      </c>
      <c r="T963" s="164">
        <v>60000</v>
      </c>
      <c r="U963" s="164"/>
      <c r="V963" s="165"/>
      <c r="W963" s="163"/>
      <c r="X963" s="163"/>
      <c r="Y963" s="163"/>
      <c r="Z963" s="163"/>
      <c r="AA963" s="162"/>
      <c r="AB963" s="195" t="str">
        <f t="shared" si="116"/>
        <v>Sep-26</v>
      </c>
      <c r="AC963" s="163"/>
      <c r="AD963" s="163" t="str">
        <f t="shared" si="115"/>
        <v/>
      </c>
      <c r="AE963" s="163"/>
    </row>
    <row r="964" spans="1:31" x14ac:dyDescent="0.35">
      <c r="A964" s="162">
        <v>46267</v>
      </c>
      <c r="B964" s="163" t="s">
        <v>92</v>
      </c>
      <c r="C964" s="163" t="s">
        <v>93</v>
      </c>
      <c r="D964" s="202" t="s">
        <v>346</v>
      </c>
      <c r="E964" s="163" t="s">
        <v>106</v>
      </c>
      <c r="F964" s="163" t="s">
        <v>135</v>
      </c>
      <c r="G964" s="163"/>
      <c r="H964" s="163" t="s">
        <v>115</v>
      </c>
      <c r="I964" s="163" t="s">
        <v>121</v>
      </c>
      <c r="J964" s="163" t="s">
        <v>356</v>
      </c>
      <c r="K964" s="163" t="s">
        <v>347</v>
      </c>
      <c r="L964" s="163"/>
      <c r="M964" s="163" t="s">
        <v>1307</v>
      </c>
      <c r="N964" s="163" t="s">
        <v>156</v>
      </c>
      <c r="O964" s="162">
        <v>46311</v>
      </c>
      <c r="P964" s="163" t="s">
        <v>95</v>
      </c>
      <c r="Q964" s="163"/>
      <c r="R964" s="163"/>
      <c r="S964" s="163" t="s">
        <v>103</v>
      </c>
      <c r="T964" s="164">
        <v>0</v>
      </c>
      <c r="U964" s="164"/>
      <c r="V964" s="165"/>
      <c r="W964" s="163"/>
      <c r="X964" s="163"/>
      <c r="Y964" s="163"/>
      <c r="Z964" s="163"/>
      <c r="AA964" s="162"/>
      <c r="AB964" s="195" t="str">
        <f t="shared" si="116"/>
        <v>Sep-26</v>
      </c>
      <c r="AC964" s="163"/>
      <c r="AD964" s="163"/>
      <c r="AE964" s="163"/>
    </row>
    <row r="965" spans="1:31" x14ac:dyDescent="0.35">
      <c r="A965" s="162">
        <v>46267</v>
      </c>
      <c r="B965" s="163" t="s">
        <v>370</v>
      </c>
      <c r="C965" s="163" t="s">
        <v>93</v>
      </c>
      <c r="D965" s="163" t="s">
        <v>1548</v>
      </c>
      <c r="E965" s="163" t="s">
        <v>106</v>
      </c>
      <c r="F965" s="163" t="s">
        <v>135</v>
      </c>
      <c r="G965" s="163"/>
      <c r="H965" s="163" t="s">
        <v>115</v>
      </c>
      <c r="I965" s="163" t="s">
        <v>121</v>
      </c>
      <c r="J965" s="163" t="s">
        <v>147</v>
      </c>
      <c r="K965" s="163" t="s">
        <v>467</v>
      </c>
      <c r="L965" s="163"/>
      <c r="M965" s="163" t="s">
        <v>1307</v>
      </c>
      <c r="N965" s="163" t="s">
        <v>495</v>
      </c>
      <c r="O965" s="162"/>
      <c r="P965" s="163"/>
      <c r="Q965" s="163"/>
      <c r="R965" s="163"/>
      <c r="S965" s="163" t="s">
        <v>103</v>
      </c>
      <c r="T965" s="164">
        <v>40000</v>
      </c>
      <c r="U965" s="164"/>
      <c r="V965" s="165"/>
      <c r="W965" s="163"/>
      <c r="X965" s="163"/>
      <c r="Y965" s="163"/>
      <c r="Z965" s="163"/>
      <c r="AA965" s="162"/>
      <c r="AB965" s="195" t="str">
        <f t="shared" si="116"/>
        <v>Sep-26</v>
      </c>
      <c r="AC965" s="163"/>
      <c r="AD965" s="163" t="str">
        <f>IF(AC965="Yes",U965*2%,"")</f>
        <v/>
      </c>
      <c r="AE965" s="163"/>
    </row>
    <row r="966" spans="1:31" x14ac:dyDescent="0.35">
      <c r="A966" s="162">
        <v>46267</v>
      </c>
      <c r="B966" s="163" t="s">
        <v>370</v>
      </c>
      <c r="C966" s="163" t="s">
        <v>93</v>
      </c>
      <c r="D966" s="163" t="s">
        <v>1549</v>
      </c>
      <c r="E966" s="163" t="s">
        <v>106</v>
      </c>
      <c r="F966" s="163" t="s">
        <v>135</v>
      </c>
      <c r="G966" s="163"/>
      <c r="H966" s="163" t="s">
        <v>115</v>
      </c>
      <c r="I966" s="163" t="s">
        <v>121</v>
      </c>
      <c r="J966" s="163" t="s">
        <v>432</v>
      </c>
      <c r="K966" s="163" t="s">
        <v>433</v>
      </c>
      <c r="L966" s="163"/>
      <c r="M966" s="163" t="s">
        <v>914</v>
      </c>
      <c r="N966" s="163" t="s">
        <v>495</v>
      </c>
      <c r="O966" s="162"/>
      <c r="P966" s="163"/>
      <c r="Q966" s="163"/>
      <c r="R966" s="163"/>
      <c r="S966" s="163" t="s">
        <v>103</v>
      </c>
      <c r="T966" s="164">
        <v>50000</v>
      </c>
      <c r="U966" s="164"/>
      <c r="V966" s="165"/>
      <c r="W966" s="163"/>
      <c r="X966" s="163"/>
      <c r="Y966" s="163"/>
      <c r="Z966" s="163"/>
      <c r="AA966" s="162"/>
      <c r="AB966" s="195" t="str">
        <f t="shared" si="116"/>
        <v>Sep-26</v>
      </c>
      <c r="AC966" s="163"/>
      <c r="AD966" s="163" t="str">
        <f>IF(AC966="Yes",U966*2%,"")</f>
        <v/>
      </c>
      <c r="AE966" s="163"/>
    </row>
    <row r="967" spans="1:31" x14ac:dyDescent="0.35">
      <c r="A967" s="162">
        <v>46267</v>
      </c>
      <c r="B967" s="163" t="s">
        <v>92</v>
      </c>
      <c r="C967" s="163" t="s">
        <v>93</v>
      </c>
      <c r="D967" s="163" t="s">
        <v>1550</v>
      </c>
      <c r="E967" s="163" t="s">
        <v>106</v>
      </c>
      <c r="F967" s="163" t="s">
        <v>135</v>
      </c>
      <c r="G967" s="163"/>
      <c r="H967" s="163" t="s">
        <v>115</v>
      </c>
      <c r="I967" s="163" t="s">
        <v>121</v>
      </c>
      <c r="J967" s="163" t="s">
        <v>153</v>
      </c>
      <c r="K967" s="191" t="s">
        <v>1551</v>
      </c>
      <c r="L967" s="163"/>
      <c r="M967" s="163" t="s">
        <v>1552</v>
      </c>
      <c r="N967" s="163" t="s">
        <v>156</v>
      </c>
      <c r="O967" s="162">
        <v>46291</v>
      </c>
      <c r="P967" s="163" t="s">
        <v>95</v>
      </c>
      <c r="Q967" s="163"/>
      <c r="R967" s="163"/>
      <c r="S967" s="163" t="s">
        <v>103</v>
      </c>
      <c r="T967" s="164">
        <v>0</v>
      </c>
      <c r="U967" s="164"/>
      <c r="V967" s="165"/>
      <c r="W967" s="163"/>
      <c r="X967" s="163"/>
      <c r="Y967" s="163"/>
      <c r="Z967" s="163"/>
      <c r="AA967" s="162"/>
      <c r="AB967" s="195" t="str">
        <f t="shared" si="116"/>
        <v>Sep-26</v>
      </c>
      <c r="AC967" s="163"/>
      <c r="AD967" s="163"/>
      <c r="AE967" s="163"/>
    </row>
    <row r="968" spans="1:31" x14ac:dyDescent="0.35">
      <c r="A968" s="162">
        <v>46267</v>
      </c>
      <c r="B968" s="163" t="s">
        <v>92</v>
      </c>
      <c r="C968" s="163" t="s">
        <v>93</v>
      </c>
      <c r="D968" s="163" t="s">
        <v>822</v>
      </c>
      <c r="E968" s="163" t="s">
        <v>106</v>
      </c>
      <c r="F968" s="163" t="s">
        <v>135</v>
      </c>
      <c r="G968" s="163"/>
      <c r="H968" s="163" t="s">
        <v>115</v>
      </c>
      <c r="I968" s="163" t="s">
        <v>121</v>
      </c>
      <c r="J968" s="163" t="s">
        <v>388</v>
      </c>
      <c r="K968" s="191" t="s">
        <v>1553</v>
      </c>
      <c r="L968" s="163"/>
      <c r="M968" s="163" t="s">
        <v>902</v>
      </c>
      <c r="N968" s="163" t="s">
        <v>156</v>
      </c>
      <c r="O968" s="162"/>
      <c r="P968" s="163"/>
      <c r="Q968" s="163"/>
      <c r="R968" s="163"/>
      <c r="S968" s="163" t="s">
        <v>103</v>
      </c>
      <c r="T968" s="164">
        <v>0</v>
      </c>
      <c r="U968" s="164"/>
      <c r="V968" s="165"/>
      <c r="W968" s="163"/>
      <c r="X968" s="163"/>
      <c r="Y968" s="163"/>
      <c r="Z968" s="163"/>
      <c r="AA968" s="162"/>
      <c r="AB968" s="195" t="str">
        <f t="shared" si="116"/>
        <v>Sep-26</v>
      </c>
      <c r="AC968" s="163"/>
      <c r="AD968" s="163"/>
      <c r="AE968" s="163"/>
    </row>
    <row r="969" spans="1:31" x14ac:dyDescent="0.35">
      <c r="A969" s="162">
        <v>46267</v>
      </c>
      <c r="B969" s="163" t="s">
        <v>125</v>
      </c>
      <c r="C969" s="163" t="s">
        <v>113</v>
      </c>
      <c r="D969" s="163" t="s">
        <v>146</v>
      </c>
      <c r="E969" s="163" t="s">
        <v>106</v>
      </c>
      <c r="F969" s="163" t="s">
        <v>135</v>
      </c>
      <c r="G969" s="163"/>
      <c r="H969" s="163" t="s">
        <v>115</v>
      </c>
      <c r="I969" s="163" t="s">
        <v>121</v>
      </c>
      <c r="J969" s="163" t="s">
        <v>321</v>
      </c>
      <c r="K969" s="163" t="s">
        <v>1554</v>
      </c>
      <c r="L969" s="163"/>
      <c r="M969" s="163" t="s">
        <v>1555</v>
      </c>
      <c r="N969" s="163" t="s">
        <v>102</v>
      </c>
      <c r="O969" s="162"/>
      <c r="P969" s="163"/>
      <c r="Q969" s="163"/>
      <c r="R969" s="163"/>
      <c r="S969" s="163" t="s">
        <v>103</v>
      </c>
      <c r="T969" s="164">
        <v>40000</v>
      </c>
      <c r="U969" s="164">
        <v>41801</v>
      </c>
      <c r="V969" s="165"/>
      <c r="W969" s="163" t="s">
        <v>1556</v>
      </c>
      <c r="X969" s="163" t="s">
        <v>37</v>
      </c>
      <c r="Y969" s="163" t="s">
        <v>161</v>
      </c>
      <c r="Z969" s="163"/>
      <c r="AA969" s="162">
        <v>46267</v>
      </c>
      <c r="AB969" s="195" t="str">
        <f t="shared" si="116"/>
        <v>Sep-26</v>
      </c>
      <c r="AC969" s="163"/>
      <c r="AD969" s="163" t="str">
        <f t="shared" ref="AD969:AD977" si="117">IF(AC969="Yes",U969*2%,"")</f>
        <v/>
      </c>
      <c r="AE969" s="163"/>
    </row>
    <row r="970" spans="1:31" x14ac:dyDescent="0.35">
      <c r="A970" s="162">
        <v>46267</v>
      </c>
      <c r="B970" s="163" t="s">
        <v>148</v>
      </c>
      <c r="C970" s="163" t="s">
        <v>113</v>
      </c>
      <c r="D970" s="161" t="s">
        <v>1557</v>
      </c>
      <c r="E970" s="163" t="s">
        <v>106</v>
      </c>
      <c r="F970" s="163" t="s">
        <v>115</v>
      </c>
      <c r="G970" s="163"/>
      <c r="H970" s="163" t="s">
        <v>115</v>
      </c>
      <c r="I970" s="163" t="s">
        <v>121</v>
      </c>
      <c r="J970" s="163" t="s">
        <v>378</v>
      </c>
      <c r="K970" s="163" t="s">
        <v>1558</v>
      </c>
      <c r="L970" s="163"/>
      <c r="M970" s="163" t="s">
        <v>1307</v>
      </c>
      <c r="N970" s="163" t="s">
        <v>130</v>
      </c>
      <c r="O970" s="162">
        <v>46280</v>
      </c>
      <c r="P970" s="163"/>
      <c r="Q970" s="163"/>
      <c r="R970" s="163"/>
      <c r="S970" s="163" t="s">
        <v>129</v>
      </c>
      <c r="T970" s="164"/>
      <c r="U970" s="164"/>
      <c r="V970" s="165"/>
      <c r="W970" s="163"/>
      <c r="X970" s="163"/>
      <c r="Y970" s="163"/>
      <c r="Z970" s="163"/>
      <c r="AA970" s="163"/>
      <c r="AB970" s="195" t="str">
        <f t="shared" si="116"/>
        <v>Sep-26</v>
      </c>
      <c r="AC970" s="163"/>
      <c r="AD970" s="163" t="str">
        <f t="shared" si="117"/>
        <v/>
      </c>
      <c r="AE970" s="163"/>
    </row>
    <row r="971" spans="1:31" x14ac:dyDescent="0.35">
      <c r="A971" s="162">
        <v>46267</v>
      </c>
      <c r="B971" s="163" t="s">
        <v>148</v>
      </c>
      <c r="C971" s="163" t="s">
        <v>113</v>
      </c>
      <c r="D971" s="163" t="s">
        <v>1559</v>
      </c>
      <c r="E971" s="163" t="s">
        <v>106</v>
      </c>
      <c r="F971" s="163" t="s">
        <v>115</v>
      </c>
      <c r="G971" s="163"/>
      <c r="H971" s="163" t="s">
        <v>115</v>
      </c>
      <c r="I971" s="163" t="s">
        <v>121</v>
      </c>
      <c r="J971" s="163" t="s">
        <v>1560</v>
      </c>
      <c r="K971" s="163" t="s">
        <v>1358</v>
      </c>
      <c r="L971" s="163"/>
      <c r="M971" s="163" t="s">
        <v>1307</v>
      </c>
      <c r="N971" s="163" t="s">
        <v>130</v>
      </c>
      <c r="O971" s="162">
        <v>46280</v>
      </c>
      <c r="P971" s="163"/>
      <c r="Q971" s="163"/>
      <c r="R971" s="163"/>
      <c r="S971" s="163" t="s">
        <v>129</v>
      </c>
      <c r="T971" s="164"/>
      <c r="U971" s="164"/>
      <c r="V971" s="165"/>
      <c r="W971" s="163"/>
      <c r="X971" s="163"/>
      <c r="Y971" s="163"/>
      <c r="Z971" s="163"/>
      <c r="AA971" s="163"/>
      <c r="AB971" s="195" t="str">
        <f t="shared" si="116"/>
        <v>Sep-26</v>
      </c>
      <c r="AC971" s="163"/>
      <c r="AD971" s="163" t="str">
        <f t="shared" si="117"/>
        <v/>
      </c>
      <c r="AE971" s="163"/>
    </row>
    <row r="972" spans="1:31" x14ac:dyDescent="0.35">
      <c r="A972" s="162">
        <v>46267</v>
      </c>
      <c r="B972" s="163" t="s">
        <v>125</v>
      </c>
      <c r="C972" s="163" t="s">
        <v>113</v>
      </c>
      <c r="D972" s="163" t="s">
        <v>1561</v>
      </c>
      <c r="E972" s="163" t="s">
        <v>106</v>
      </c>
      <c r="F972" s="163" t="s">
        <v>135</v>
      </c>
      <c r="G972" s="163"/>
      <c r="H972" s="163" t="s">
        <v>163</v>
      </c>
      <c r="I972" s="163" t="s">
        <v>121</v>
      </c>
      <c r="J972" s="163" t="s">
        <v>147</v>
      </c>
      <c r="K972" s="163" t="s">
        <v>1562</v>
      </c>
      <c r="L972" s="163"/>
      <c r="M972" s="163" t="s">
        <v>159</v>
      </c>
      <c r="N972" s="163" t="s">
        <v>102</v>
      </c>
      <c r="O972" s="162"/>
      <c r="P972" s="163"/>
      <c r="Q972" s="163"/>
      <c r="R972" s="163"/>
      <c r="S972" s="163" t="s">
        <v>103</v>
      </c>
      <c r="T972" s="164">
        <v>15000</v>
      </c>
      <c r="U972" s="164">
        <v>62137</v>
      </c>
      <c r="V972" s="165">
        <v>46267</v>
      </c>
      <c r="W972" s="163" t="s">
        <v>1563</v>
      </c>
      <c r="X972" s="163" t="s">
        <v>62</v>
      </c>
      <c r="Y972" s="163" t="s">
        <v>85</v>
      </c>
      <c r="Z972" s="163"/>
      <c r="AA972" s="162"/>
      <c r="AB972" s="195" t="str">
        <f t="shared" si="116"/>
        <v>Sep-26</v>
      </c>
      <c r="AC972" s="163"/>
      <c r="AD972" s="163" t="str">
        <f t="shared" si="117"/>
        <v/>
      </c>
      <c r="AE972" s="163"/>
    </row>
    <row r="973" spans="1:31" x14ac:dyDescent="0.35">
      <c r="A973" s="162">
        <v>46267</v>
      </c>
      <c r="B973" s="163" t="s">
        <v>148</v>
      </c>
      <c r="C973" s="163" t="s">
        <v>113</v>
      </c>
      <c r="D973" s="163" t="s">
        <v>1030</v>
      </c>
      <c r="E973" s="163" t="s">
        <v>106</v>
      </c>
      <c r="F973" s="163" t="s">
        <v>96</v>
      </c>
      <c r="G973" s="163" t="s">
        <v>15</v>
      </c>
      <c r="H973" s="163" t="s">
        <v>163</v>
      </c>
      <c r="I973" s="163" t="s">
        <v>121</v>
      </c>
      <c r="J973" s="163" t="s">
        <v>147</v>
      </c>
      <c r="K973" s="163" t="s">
        <v>1564</v>
      </c>
      <c r="L973" s="163"/>
      <c r="M973" s="163" t="s">
        <v>159</v>
      </c>
      <c r="N973" s="163" t="s">
        <v>102</v>
      </c>
      <c r="O973" s="162"/>
      <c r="P973" s="163"/>
      <c r="Q973" s="163"/>
      <c r="R973" s="163"/>
      <c r="S973" s="163" t="s">
        <v>103</v>
      </c>
      <c r="T973" s="164">
        <v>10000</v>
      </c>
      <c r="U973" s="164">
        <v>18505</v>
      </c>
      <c r="V973" s="162">
        <v>46267</v>
      </c>
      <c r="W973" s="214" t="s">
        <v>1565</v>
      </c>
      <c r="X973" s="163" t="s">
        <v>39</v>
      </c>
      <c r="Y973" s="163" t="s">
        <v>85</v>
      </c>
      <c r="Z973" s="163"/>
      <c r="AA973" s="162"/>
      <c r="AB973" s="195" t="str">
        <f t="shared" si="116"/>
        <v>Sep-26</v>
      </c>
      <c r="AC973" s="163"/>
      <c r="AD973" s="163" t="str">
        <f t="shared" si="117"/>
        <v/>
      </c>
      <c r="AE973" s="163"/>
    </row>
    <row r="974" spans="1:31" x14ac:dyDescent="0.35">
      <c r="A974" s="162">
        <v>46267</v>
      </c>
      <c r="B974" s="163" t="s">
        <v>148</v>
      </c>
      <c r="C974" s="163" t="s">
        <v>113</v>
      </c>
      <c r="D974" s="163" t="s">
        <v>165</v>
      </c>
      <c r="E974" s="163" t="s">
        <v>95</v>
      </c>
      <c r="F974" s="163" t="s">
        <v>135</v>
      </c>
      <c r="G974" s="163" t="s">
        <v>10</v>
      </c>
      <c r="H974" s="163" t="s">
        <v>115</v>
      </c>
      <c r="I974" s="163" t="s">
        <v>98</v>
      </c>
      <c r="J974" s="163" t="s">
        <v>166</v>
      </c>
      <c r="K974" s="163" t="s">
        <v>167</v>
      </c>
      <c r="L974" s="163"/>
      <c r="M974" s="163" t="s">
        <v>159</v>
      </c>
      <c r="N974" s="163" t="s">
        <v>102</v>
      </c>
      <c r="O974" s="162"/>
      <c r="P974" s="163"/>
      <c r="Q974" s="163" t="str">
        <f ca="1">IF(N974="Closed(C4)","",IF(N974="","",TODAY()-A974))</f>
        <v/>
      </c>
      <c r="R974" s="163" t="str">
        <f ca="1">IF(OR(N974="Closed( C4 )",N974="Cancelled"),"",IF(AND(O974&lt;&gt;"",O974&lt;TODAY()),"Yes",""))</f>
        <v/>
      </c>
      <c r="S974" s="163" t="s">
        <v>103</v>
      </c>
      <c r="T974" s="164">
        <v>25000</v>
      </c>
      <c r="U974" s="164">
        <v>27958</v>
      </c>
      <c r="V974" s="165">
        <v>46267</v>
      </c>
      <c r="W974" s="163" t="s">
        <v>1566</v>
      </c>
      <c r="X974" s="163" t="s">
        <v>35</v>
      </c>
      <c r="Y974" s="163" t="s">
        <v>1017</v>
      </c>
      <c r="Z974" s="163"/>
      <c r="AA974" s="162"/>
      <c r="AB974" s="195" t="str">
        <f t="shared" si="116"/>
        <v>Sep-26</v>
      </c>
      <c r="AC974" s="163"/>
      <c r="AD974" s="163" t="str">
        <f t="shared" si="117"/>
        <v/>
      </c>
      <c r="AE974" s="163"/>
    </row>
    <row r="975" spans="1:31" x14ac:dyDescent="0.35">
      <c r="A975" s="162">
        <v>46267</v>
      </c>
      <c r="B975" s="163" t="s">
        <v>92</v>
      </c>
      <c r="C975" s="163" t="s">
        <v>113</v>
      </c>
      <c r="D975" s="163" t="s">
        <v>165</v>
      </c>
      <c r="E975" s="163" t="s">
        <v>95</v>
      </c>
      <c r="F975" s="163" t="s">
        <v>135</v>
      </c>
      <c r="G975" s="163" t="s">
        <v>10</v>
      </c>
      <c r="H975" s="163" t="s">
        <v>115</v>
      </c>
      <c r="I975" s="163" t="s">
        <v>98</v>
      </c>
      <c r="J975" s="163" t="s">
        <v>166</v>
      </c>
      <c r="K975" s="163" t="s">
        <v>167</v>
      </c>
      <c r="L975" s="163"/>
      <c r="M975" s="163" t="s">
        <v>1299</v>
      </c>
      <c r="N975" s="163" t="s">
        <v>102</v>
      </c>
      <c r="O975" s="162"/>
      <c r="P975" s="163"/>
      <c r="Q975" s="163" t="str">
        <f ca="1">IF(N975="Closed(C4)","",IF(N975="","",TODAY()-A975))</f>
        <v/>
      </c>
      <c r="R975" s="163" t="str">
        <f ca="1">IF(OR(N975="Closed( C4 )",N975="Cancelled"),"",IF(AND(O975&lt;&gt;"",O975&lt;TODAY()),"Yes",""))</f>
        <v/>
      </c>
      <c r="S975" s="163" t="s">
        <v>103</v>
      </c>
      <c r="T975" s="164">
        <v>25000</v>
      </c>
      <c r="U975" s="164">
        <v>27958</v>
      </c>
      <c r="V975" s="165">
        <v>46267</v>
      </c>
      <c r="W975" s="163" t="s">
        <v>1566</v>
      </c>
      <c r="X975" s="163" t="s">
        <v>35</v>
      </c>
      <c r="Y975" s="163" t="s">
        <v>1017</v>
      </c>
      <c r="Z975" s="163"/>
      <c r="AA975" s="162"/>
      <c r="AB975" s="195" t="str">
        <f t="shared" si="116"/>
        <v>Sep-26</v>
      </c>
      <c r="AC975" s="163"/>
      <c r="AD975" s="163" t="str">
        <f t="shared" si="117"/>
        <v/>
      </c>
      <c r="AE975" s="163"/>
    </row>
    <row r="976" spans="1:31" x14ac:dyDescent="0.35">
      <c r="A976" s="162">
        <v>46268</v>
      </c>
      <c r="B976" s="163" t="s">
        <v>370</v>
      </c>
      <c r="C976" s="163" t="s">
        <v>93</v>
      </c>
      <c r="D976" s="163" t="s">
        <v>1567</v>
      </c>
      <c r="E976" s="163" t="s">
        <v>106</v>
      </c>
      <c r="F976" s="163" t="s">
        <v>135</v>
      </c>
      <c r="G976" s="163"/>
      <c r="H976" s="163" t="s">
        <v>115</v>
      </c>
      <c r="I976" s="163" t="s">
        <v>121</v>
      </c>
      <c r="J976" s="163" t="s">
        <v>1495</v>
      </c>
      <c r="K976" s="163" t="s">
        <v>1568</v>
      </c>
      <c r="L976" s="163"/>
      <c r="M976" s="163" t="s">
        <v>914</v>
      </c>
      <c r="N976" s="163" t="s">
        <v>130</v>
      </c>
      <c r="O976" s="162">
        <v>46284</v>
      </c>
      <c r="P976" s="163" t="s">
        <v>95</v>
      </c>
      <c r="Q976" s="163"/>
      <c r="R976" s="163"/>
      <c r="S976" s="163" t="s">
        <v>129</v>
      </c>
      <c r="T976" s="164">
        <v>32000</v>
      </c>
      <c r="U976" s="164"/>
      <c r="V976" s="165"/>
      <c r="W976" s="163"/>
      <c r="X976" s="163"/>
      <c r="Y976" s="163"/>
      <c r="Z976" s="163"/>
      <c r="AA976" s="162"/>
      <c r="AB976" s="195" t="str">
        <f t="shared" si="116"/>
        <v>Sep-26</v>
      </c>
      <c r="AC976" s="163"/>
      <c r="AD976" s="163" t="str">
        <f t="shared" si="117"/>
        <v/>
      </c>
      <c r="AE976" s="163"/>
    </row>
    <row r="977" spans="1:31" x14ac:dyDescent="0.35">
      <c r="A977" s="162">
        <v>46268</v>
      </c>
      <c r="B977" s="163" t="s">
        <v>370</v>
      </c>
      <c r="C977" s="163" t="s">
        <v>93</v>
      </c>
      <c r="D977" s="163" t="s">
        <v>1569</v>
      </c>
      <c r="E977" s="163" t="s">
        <v>106</v>
      </c>
      <c r="F977" s="163" t="s">
        <v>135</v>
      </c>
      <c r="G977" s="163"/>
      <c r="H977" s="163" t="s">
        <v>115</v>
      </c>
      <c r="I977" s="163" t="s">
        <v>121</v>
      </c>
      <c r="J977" s="163" t="s">
        <v>356</v>
      </c>
      <c r="K977" s="163" t="s">
        <v>1065</v>
      </c>
      <c r="L977" s="163"/>
      <c r="M977" s="163" t="s">
        <v>1307</v>
      </c>
      <c r="N977" s="163" t="s">
        <v>156</v>
      </c>
      <c r="O977" s="162">
        <v>46318</v>
      </c>
      <c r="P977" s="163" t="s">
        <v>95</v>
      </c>
      <c r="Q977" s="163"/>
      <c r="R977" s="163"/>
      <c r="S977" s="163" t="s">
        <v>103</v>
      </c>
      <c r="T977" s="164">
        <v>46000</v>
      </c>
      <c r="U977" s="164"/>
      <c r="V977" s="165"/>
      <c r="W977" s="163"/>
      <c r="X977" s="163"/>
      <c r="Y977" s="163"/>
      <c r="Z977" s="163"/>
      <c r="AA977" s="162"/>
      <c r="AB977" s="195" t="str">
        <f t="shared" si="116"/>
        <v>Sep-26</v>
      </c>
      <c r="AC977" s="163"/>
      <c r="AD977" s="163" t="str">
        <f t="shared" si="117"/>
        <v/>
      </c>
      <c r="AE977" s="163"/>
    </row>
    <row r="978" spans="1:31" x14ac:dyDescent="0.35">
      <c r="A978" s="162">
        <v>46268</v>
      </c>
      <c r="B978" s="163" t="s">
        <v>92</v>
      </c>
      <c r="C978" s="163" t="s">
        <v>93</v>
      </c>
      <c r="D978" s="191" t="s">
        <v>1570</v>
      </c>
      <c r="E978" s="163" t="s">
        <v>106</v>
      </c>
      <c r="F978" s="163" t="s">
        <v>135</v>
      </c>
      <c r="G978" s="163"/>
      <c r="H978" s="163" t="s">
        <v>115</v>
      </c>
      <c r="I978" s="163" t="s">
        <v>121</v>
      </c>
      <c r="J978" s="163" t="s">
        <v>356</v>
      </c>
      <c r="K978" s="191" t="s">
        <v>1571</v>
      </c>
      <c r="L978" s="163"/>
      <c r="M978" s="163" t="s">
        <v>1552</v>
      </c>
      <c r="N978" s="163" t="s">
        <v>495</v>
      </c>
      <c r="O978" s="162">
        <v>46278</v>
      </c>
      <c r="P978" s="163" t="s">
        <v>95</v>
      </c>
      <c r="Q978" s="163"/>
      <c r="R978" s="163"/>
      <c r="S978" s="163" t="s">
        <v>129</v>
      </c>
      <c r="T978" s="164">
        <v>130000</v>
      </c>
      <c r="U978" s="164"/>
      <c r="V978" s="165"/>
      <c r="W978" s="163"/>
      <c r="X978" s="163"/>
      <c r="Y978" s="163"/>
      <c r="Z978" s="163"/>
      <c r="AA978" s="162"/>
      <c r="AB978" s="195" t="str">
        <f t="shared" si="116"/>
        <v>Sep-26</v>
      </c>
      <c r="AC978" s="163"/>
      <c r="AD978" s="163"/>
      <c r="AE978" s="163"/>
    </row>
    <row r="979" spans="1:31" x14ac:dyDescent="0.35">
      <c r="A979" s="162">
        <v>46268</v>
      </c>
      <c r="B979" s="163" t="s">
        <v>92</v>
      </c>
      <c r="C979" s="163" t="s">
        <v>93</v>
      </c>
      <c r="D979" s="191" t="s">
        <v>1572</v>
      </c>
      <c r="E979" s="163" t="s">
        <v>95</v>
      </c>
      <c r="F979" s="163" t="s">
        <v>135</v>
      </c>
      <c r="G979" s="163"/>
      <c r="H979" s="163" t="s">
        <v>115</v>
      </c>
      <c r="I979" s="163" t="s">
        <v>121</v>
      </c>
      <c r="J979" s="163" t="s">
        <v>197</v>
      </c>
      <c r="K979" s="191" t="s">
        <v>423</v>
      </c>
      <c r="L979" s="163"/>
      <c r="M979" s="163" t="s">
        <v>1552</v>
      </c>
      <c r="N979" s="163" t="s">
        <v>130</v>
      </c>
      <c r="O979" s="162">
        <v>46289</v>
      </c>
      <c r="P979" s="163" t="s">
        <v>95</v>
      </c>
      <c r="Q979" s="163"/>
      <c r="R979" s="163"/>
      <c r="S979" s="163" t="s">
        <v>129</v>
      </c>
      <c r="T979" s="164">
        <v>200000</v>
      </c>
      <c r="U979" s="164"/>
      <c r="V979" s="165"/>
      <c r="W979" s="163"/>
      <c r="X979" s="163"/>
      <c r="Y979" s="163"/>
      <c r="Z979" s="163"/>
      <c r="AA979" s="162"/>
      <c r="AB979" s="195" t="str">
        <f t="shared" si="116"/>
        <v>Sep-26</v>
      </c>
      <c r="AC979" s="163"/>
      <c r="AD979" s="163"/>
      <c r="AE979" s="163"/>
    </row>
    <row r="980" spans="1:31" x14ac:dyDescent="0.35">
      <c r="A980" s="162">
        <v>46268</v>
      </c>
      <c r="B980" s="163" t="s">
        <v>370</v>
      </c>
      <c r="C980" s="163" t="s">
        <v>93</v>
      </c>
      <c r="D980" s="163" t="s">
        <v>1573</v>
      </c>
      <c r="E980" s="163" t="s">
        <v>106</v>
      </c>
      <c r="F980" s="163" t="s">
        <v>135</v>
      </c>
      <c r="G980" s="163"/>
      <c r="H980" s="163" t="s">
        <v>115</v>
      </c>
      <c r="I980" s="163" t="s">
        <v>121</v>
      </c>
      <c r="J980" s="163" t="s">
        <v>438</v>
      </c>
      <c r="K980" s="163" t="s">
        <v>1400</v>
      </c>
      <c r="L980" s="163"/>
      <c r="M980" s="163" t="s">
        <v>914</v>
      </c>
      <c r="N980" s="163" t="s">
        <v>130</v>
      </c>
      <c r="O980" s="162">
        <v>46276</v>
      </c>
      <c r="P980" s="163" t="s">
        <v>106</v>
      </c>
      <c r="Q980" s="163"/>
      <c r="R980" s="163"/>
      <c r="S980" s="163" t="s">
        <v>103</v>
      </c>
      <c r="T980" s="164">
        <v>50000</v>
      </c>
      <c r="U980" s="164"/>
      <c r="V980" s="165"/>
      <c r="W980" s="163"/>
      <c r="X980" s="163"/>
      <c r="Y980" s="163"/>
      <c r="Z980" s="163"/>
      <c r="AA980" s="163"/>
      <c r="AB980" s="195" t="str">
        <f t="shared" si="116"/>
        <v>Sep-26</v>
      </c>
      <c r="AC980" s="163"/>
      <c r="AD980" s="163" t="str">
        <f>IF(AC980="Yes",U980*2%,"")</f>
        <v/>
      </c>
      <c r="AE980" s="163"/>
    </row>
    <row r="981" spans="1:31" x14ac:dyDescent="0.35">
      <c r="A981" s="162">
        <v>46268</v>
      </c>
      <c r="B981" s="163" t="s">
        <v>370</v>
      </c>
      <c r="C981" s="163" t="s">
        <v>93</v>
      </c>
      <c r="D981" s="163" t="s">
        <v>1574</v>
      </c>
      <c r="E981" s="163" t="s">
        <v>106</v>
      </c>
      <c r="F981" s="163" t="s">
        <v>135</v>
      </c>
      <c r="G981" s="163"/>
      <c r="H981" s="163" t="s">
        <v>115</v>
      </c>
      <c r="I981" s="163" t="s">
        <v>121</v>
      </c>
      <c r="J981" s="163" t="s">
        <v>432</v>
      </c>
      <c r="K981" s="163" t="s">
        <v>1300</v>
      </c>
      <c r="L981" s="163"/>
      <c r="M981" s="163" t="s">
        <v>1307</v>
      </c>
      <c r="N981" s="163" t="s">
        <v>495</v>
      </c>
      <c r="O981" s="162"/>
      <c r="P981" s="163"/>
      <c r="Q981" s="163"/>
      <c r="R981" s="163"/>
      <c r="S981" s="163" t="s">
        <v>129</v>
      </c>
      <c r="T981" s="164">
        <v>25000</v>
      </c>
      <c r="U981" s="164"/>
      <c r="V981" s="165"/>
      <c r="W981" s="163"/>
      <c r="X981" s="163"/>
      <c r="Y981" s="163"/>
      <c r="Z981" s="163"/>
      <c r="AA981" s="163"/>
      <c r="AB981" s="195" t="str">
        <f t="shared" si="116"/>
        <v>Sep-26</v>
      </c>
      <c r="AC981" s="163"/>
      <c r="AD981" s="163" t="str">
        <f>IF(AC981="Yes",U981*2%,"")</f>
        <v/>
      </c>
      <c r="AE981" s="163"/>
    </row>
    <row r="982" spans="1:31" x14ac:dyDescent="0.35">
      <c r="A982" s="162">
        <v>46268</v>
      </c>
      <c r="B982" s="163" t="s">
        <v>92</v>
      </c>
      <c r="C982" s="163" t="s">
        <v>93</v>
      </c>
      <c r="D982" s="198" t="s">
        <v>983</v>
      </c>
      <c r="E982" s="163" t="s">
        <v>106</v>
      </c>
      <c r="F982" s="163" t="s">
        <v>135</v>
      </c>
      <c r="G982" s="163"/>
      <c r="H982" s="163" t="s">
        <v>163</v>
      </c>
      <c r="I982" s="163" t="s">
        <v>121</v>
      </c>
      <c r="J982" s="163" t="s">
        <v>147</v>
      </c>
      <c r="K982" s="191" t="s">
        <v>1575</v>
      </c>
      <c r="L982" s="163"/>
      <c r="M982" s="163" t="s">
        <v>1576</v>
      </c>
      <c r="N982" s="163" t="s">
        <v>156</v>
      </c>
      <c r="O982" s="162">
        <v>46288</v>
      </c>
      <c r="P982" s="163" t="s">
        <v>95</v>
      </c>
      <c r="Q982" s="163"/>
      <c r="R982" s="163"/>
      <c r="S982" s="163" t="s">
        <v>103</v>
      </c>
      <c r="T982" s="164">
        <v>0</v>
      </c>
      <c r="U982" s="164"/>
      <c r="V982" s="165"/>
      <c r="W982" s="163"/>
      <c r="X982" s="163"/>
      <c r="Y982" s="163"/>
      <c r="Z982" s="163"/>
      <c r="AA982" s="163"/>
      <c r="AB982" s="195" t="str">
        <f t="shared" si="116"/>
        <v>Sep-26</v>
      </c>
      <c r="AC982" s="163"/>
      <c r="AD982" s="163"/>
      <c r="AE982" s="163"/>
    </row>
    <row r="983" spans="1:31" x14ac:dyDescent="0.35">
      <c r="A983" s="162">
        <v>46268</v>
      </c>
      <c r="B983" s="163" t="s">
        <v>92</v>
      </c>
      <c r="C983" s="163" t="s">
        <v>93</v>
      </c>
      <c r="D983" s="198" t="s">
        <v>409</v>
      </c>
      <c r="E983" s="163" t="s">
        <v>106</v>
      </c>
      <c r="F983" s="163" t="s">
        <v>135</v>
      </c>
      <c r="G983" s="163"/>
      <c r="H983" s="163" t="s">
        <v>115</v>
      </c>
      <c r="I983" s="163" t="s">
        <v>121</v>
      </c>
      <c r="J983" s="163" t="s">
        <v>147</v>
      </c>
      <c r="K983" s="191" t="s">
        <v>1577</v>
      </c>
      <c r="L983" s="163"/>
      <c r="M983" s="163" t="s">
        <v>1578</v>
      </c>
      <c r="N983" s="163" t="s">
        <v>156</v>
      </c>
      <c r="O983" s="162">
        <v>46293</v>
      </c>
      <c r="P983" s="163" t="s">
        <v>95</v>
      </c>
      <c r="Q983" s="163"/>
      <c r="R983" s="163"/>
      <c r="S983" s="163" t="s">
        <v>103</v>
      </c>
      <c r="T983" s="164">
        <v>20000</v>
      </c>
      <c r="U983" s="164"/>
      <c r="V983" s="165">
        <v>46305</v>
      </c>
      <c r="W983" s="163"/>
      <c r="X983" s="163"/>
      <c r="Y983" s="163"/>
      <c r="Z983" s="163"/>
      <c r="AA983" s="163"/>
      <c r="AB983" s="195" t="str">
        <f t="shared" si="116"/>
        <v>Oct-26</v>
      </c>
      <c r="AC983" s="163"/>
      <c r="AD983" s="163"/>
      <c r="AE983" s="163"/>
    </row>
    <row r="984" spans="1:31" x14ac:dyDescent="0.35">
      <c r="A984" s="162">
        <v>46268</v>
      </c>
      <c r="B984" s="163" t="s">
        <v>148</v>
      </c>
      <c r="C984" s="163" t="s">
        <v>113</v>
      </c>
      <c r="D984" s="163" t="s">
        <v>1579</v>
      </c>
      <c r="E984" s="163" t="s">
        <v>106</v>
      </c>
      <c r="F984" s="163" t="s">
        <v>135</v>
      </c>
      <c r="G984" s="163"/>
      <c r="H984" s="163" t="s">
        <v>115</v>
      </c>
      <c r="I984" s="163" t="s">
        <v>121</v>
      </c>
      <c r="J984" s="163" t="s">
        <v>147</v>
      </c>
      <c r="K984" s="163" t="s">
        <v>1580</v>
      </c>
      <c r="L984" s="163"/>
      <c r="M984" s="163" t="s">
        <v>1307</v>
      </c>
      <c r="N984" s="163" t="s">
        <v>130</v>
      </c>
      <c r="O984" s="162">
        <v>46286</v>
      </c>
      <c r="P984" s="163"/>
      <c r="Q984" s="163"/>
      <c r="R984" s="163"/>
      <c r="S984" s="163" t="s">
        <v>129</v>
      </c>
      <c r="T984" s="164"/>
      <c r="U984" s="164"/>
      <c r="V984" s="165"/>
      <c r="W984" s="163"/>
      <c r="X984" s="163"/>
      <c r="Y984" s="163"/>
      <c r="Z984" s="163"/>
      <c r="AA984" s="163"/>
      <c r="AB984" s="195" t="str">
        <f t="shared" si="116"/>
        <v>Sep-26</v>
      </c>
      <c r="AC984" s="163"/>
      <c r="AD984" s="163" t="str">
        <f>IF(AC984="Yes",U984*2%,"")</f>
        <v/>
      </c>
      <c r="AE984" s="163"/>
    </row>
    <row r="985" spans="1:31" x14ac:dyDescent="0.35">
      <c r="A985" s="162">
        <v>46269</v>
      </c>
      <c r="B985" s="163" t="s">
        <v>370</v>
      </c>
      <c r="C985" s="163" t="s">
        <v>93</v>
      </c>
      <c r="D985" s="163" t="s">
        <v>1581</v>
      </c>
      <c r="E985" s="163" t="s">
        <v>106</v>
      </c>
      <c r="F985" s="163" t="s">
        <v>135</v>
      </c>
      <c r="G985" s="163"/>
      <c r="H985" s="163" t="s">
        <v>115</v>
      </c>
      <c r="I985" s="163" t="s">
        <v>121</v>
      </c>
      <c r="J985" s="163" t="s">
        <v>356</v>
      </c>
      <c r="K985" s="163" t="s">
        <v>501</v>
      </c>
      <c r="L985" s="163"/>
      <c r="M985" s="163" t="s">
        <v>914</v>
      </c>
      <c r="N985" s="163" t="s">
        <v>181</v>
      </c>
      <c r="O985" s="162">
        <v>46278</v>
      </c>
      <c r="P985" s="163" t="s">
        <v>95</v>
      </c>
      <c r="Q985" s="163"/>
      <c r="R985" s="163"/>
      <c r="S985" s="163" t="s">
        <v>103</v>
      </c>
      <c r="T985" s="164">
        <v>60000</v>
      </c>
      <c r="U985" s="164"/>
      <c r="V985" s="165"/>
      <c r="W985" s="163"/>
      <c r="X985" s="163"/>
      <c r="Y985" s="163"/>
      <c r="Z985" s="163"/>
      <c r="AA985" s="163"/>
      <c r="AB985" s="195" t="str">
        <f t="shared" si="116"/>
        <v>Sep-26</v>
      </c>
      <c r="AC985" s="163"/>
      <c r="AD985" s="163" t="str">
        <f>IF(AC985="Yes",U985*2%,"")</f>
        <v/>
      </c>
      <c r="AE985" s="163"/>
    </row>
    <row r="986" spans="1:31" x14ac:dyDescent="0.35">
      <c r="A986" s="162">
        <v>46269</v>
      </c>
      <c r="B986" s="163" t="s">
        <v>370</v>
      </c>
      <c r="C986" s="163" t="s">
        <v>93</v>
      </c>
      <c r="D986" s="163" t="s">
        <v>1582</v>
      </c>
      <c r="E986" s="163" t="s">
        <v>106</v>
      </c>
      <c r="F986" s="163" t="s">
        <v>135</v>
      </c>
      <c r="G986" s="163"/>
      <c r="H986" s="163" t="s">
        <v>115</v>
      </c>
      <c r="I986" s="163" t="s">
        <v>121</v>
      </c>
      <c r="J986" s="163" t="s">
        <v>147</v>
      </c>
      <c r="K986" s="163" t="s">
        <v>92</v>
      </c>
      <c r="L986" s="163"/>
      <c r="M986" s="163" t="s">
        <v>914</v>
      </c>
      <c r="N986" s="163" t="s">
        <v>130</v>
      </c>
      <c r="O986" s="162"/>
      <c r="P986" s="163"/>
      <c r="Q986" s="163"/>
      <c r="R986" s="163"/>
      <c r="S986" s="163" t="s">
        <v>103</v>
      </c>
      <c r="T986" s="164">
        <v>55000</v>
      </c>
      <c r="U986" s="164"/>
      <c r="V986" s="165"/>
      <c r="W986" s="163"/>
      <c r="X986" s="163"/>
      <c r="Y986" s="163"/>
      <c r="Z986" s="163"/>
      <c r="AA986" s="163"/>
      <c r="AB986" s="195" t="str">
        <f t="shared" si="116"/>
        <v>Sep-26</v>
      </c>
      <c r="AC986" s="163"/>
      <c r="AD986" s="163" t="str">
        <f>IF(AC986="Yes",U986*2%,"")</f>
        <v/>
      </c>
      <c r="AE986" s="163"/>
    </row>
    <row r="987" spans="1:31" x14ac:dyDescent="0.35">
      <c r="A987" s="162">
        <v>46269</v>
      </c>
      <c r="B987" s="163" t="s">
        <v>92</v>
      </c>
      <c r="C987" s="163" t="s">
        <v>93</v>
      </c>
      <c r="D987" s="163" t="s">
        <v>1583</v>
      </c>
      <c r="E987" s="163" t="s">
        <v>106</v>
      </c>
      <c r="F987" s="163" t="s">
        <v>135</v>
      </c>
      <c r="G987" s="163"/>
      <c r="H987" s="163" t="s">
        <v>115</v>
      </c>
      <c r="I987" s="163" t="s">
        <v>121</v>
      </c>
      <c r="J987" s="163" t="s">
        <v>378</v>
      </c>
      <c r="K987" s="163" t="s">
        <v>1584</v>
      </c>
      <c r="L987" s="163"/>
      <c r="M987" s="163" t="s">
        <v>1552</v>
      </c>
      <c r="N987" s="163" t="s">
        <v>156</v>
      </c>
      <c r="O987" s="162">
        <v>46289</v>
      </c>
      <c r="P987" s="163" t="s">
        <v>95</v>
      </c>
      <c r="Q987" s="163"/>
      <c r="R987" s="163"/>
      <c r="S987" s="163" t="s">
        <v>103</v>
      </c>
      <c r="T987" s="164">
        <v>80000</v>
      </c>
      <c r="U987" s="164"/>
      <c r="V987" s="165">
        <v>46306</v>
      </c>
      <c r="W987" s="163"/>
      <c r="X987" s="163"/>
      <c r="Y987" s="163"/>
      <c r="Z987" s="163"/>
      <c r="AA987" s="163"/>
      <c r="AB987" s="195" t="str">
        <f t="shared" si="116"/>
        <v>Oct-26</v>
      </c>
      <c r="AC987" s="163"/>
      <c r="AD987" s="163"/>
      <c r="AE987" s="163"/>
    </row>
    <row r="988" spans="1:31" x14ac:dyDescent="0.35">
      <c r="A988" s="162">
        <v>46269</v>
      </c>
      <c r="B988" s="163" t="s">
        <v>370</v>
      </c>
      <c r="C988" s="163" t="s">
        <v>93</v>
      </c>
      <c r="D988" s="163" t="s">
        <v>1442</v>
      </c>
      <c r="E988" s="163" t="s">
        <v>106</v>
      </c>
      <c r="F988" s="163" t="s">
        <v>135</v>
      </c>
      <c r="G988" s="163"/>
      <c r="H988" s="163" t="s">
        <v>115</v>
      </c>
      <c r="I988" s="163" t="s">
        <v>121</v>
      </c>
      <c r="J988" s="163" t="s">
        <v>698</v>
      </c>
      <c r="K988" s="163" t="s">
        <v>741</v>
      </c>
      <c r="L988" s="163"/>
      <c r="M988" s="163" t="s">
        <v>1307</v>
      </c>
      <c r="N988" s="163" t="s">
        <v>495</v>
      </c>
      <c r="O988" s="162">
        <v>46291</v>
      </c>
      <c r="P988" s="163" t="s">
        <v>95</v>
      </c>
      <c r="Q988" s="163"/>
      <c r="R988" s="163"/>
      <c r="S988" s="163" t="s">
        <v>129</v>
      </c>
      <c r="T988" s="164">
        <v>40000</v>
      </c>
      <c r="U988" s="164"/>
      <c r="V988" s="165"/>
      <c r="W988" s="163"/>
      <c r="X988" s="163"/>
      <c r="Y988" s="163"/>
      <c r="Z988" s="163"/>
      <c r="AA988" s="163"/>
      <c r="AB988" s="195" t="str">
        <f t="shared" si="116"/>
        <v>Sep-26</v>
      </c>
      <c r="AC988" s="163"/>
      <c r="AD988" s="163" t="str">
        <f>IF(AC988="Yes",U988*2%,"")</f>
        <v/>
      </c>
      <c r="AE988" s="163"/>
    </row>
    <row r="989" spans="1:31" x14ac:dyDescent="0.35">
      <c r="A989" s="162">
        <v>46269</v>
      </c>
      <c r="B989" s="163" t="s">
        <v>370</v>
      </c>
      <c r="C989" s="163" t="s">
        <v>93</v>
      </c>
      <c r="D989" s="163" t="s">
        <v>1585</v>
      </c>
      <c r="E989" s="163" t="s">
        <v>106</v>
      </c>
      <c r="F989" s="163" t="s">
        <v>135</v>
      </c>
      <c r="G989" s="163"/>
      <c r="H989" s="163" t="s">
        <v>115</v>
      </c>
      <c r="I989" s="163" t="s">
        <v>121</v>
      </c>
      <c r="J989" s="163" t="s">
        <v>147</v>
      </c>
      <c r="K989" s="163" t="s">
        <v>964</v>
      </c>
      <c r="L989" s="163"/>
      <c r="M989" s="163" t="s">
        <v>914</v>
      </c>
      <c r="N989" s="163" t="s">
        <v>181</v>
      </c>
      <c r="O989" s="162">
        <v>46283</v>
      </c>
      <c r="P989" s="163" t="s">
        <v>95</v>
      </c>
      <c r="Q989" s="163"/>
      <c r="R989" s="163"/>
      <c r="S989" s="163" t="s">
        <v>103</v>
      </c>
      <c r="T989" s="164">
        <v>80000</v>
      </c>
      <c r="U989" s="164"/>
      <c r="V989" s="165"/>
      <c r="W989" s="163"/>
      <c r="X989" s="163"/>
      <c r="Y989" s="163"/>
      <c r="Z989" s="163"/>
      <c r="AA989" s="163"/>
      <c r="AB989" s="195" t="str">
        <f t="shared" si="116"/>
        <v>Sep-26</v>
      </c>
      <c r="AC989" s="163"/>
      <c r="AD989" s="163" t="str">
        <f>IF(AC989="Yes",U989*2%,"")</f>
        <v/>
      </c>
      <c r="AE989" s="163"/>
    </row>
    <row r="990" spans="1:31" x14ac:dyDescent="0.35">
      <c r="A990" s="162">
        <v>46269</v>
      </c>
      <c r="B990" s="163" t="s">
        <v>92</v>
      </c>
      <c r="C990" s="163" t="s">
        <v>93</v>
      </c>
      <c r="D990" s="163" t="s">
        <v>602</v>
      </c>
      <c r="E990" s="163" t="s">
        <v>106</v>
      </c>
      <c r="F990" s="163" t="s">
        <v>135</v>
      </c>
      <c r="G990" s="163"/>
      <c r="H990" s="163" t="s">
        <v>115</v>
      </c>
      <c r="I990" s="163" t="s">
        <v>121</v>
      </c>
      <c r="J990" s="163" t="s">
        <v>438</v>
      </c>
      <c r="K990" s="163" t="s">
        <v>1586</v>
      </c>
      <c r="L990" s="163"/>
      <c r="M990" s="163" t="s">
        <v>1587</v>
      </c>
      <c r="N990" s="163" t="s">
        <v>156</v>
      </c>
      <c r="O990" s="162">
        <v>46278</v>
      </c>
      <c r="P990" s="163" t="s">
        <v>95</v>
      </c>
      <c r="Q990" s="163"/>
      <c r="R990" s="163"/>
      <c r="S990" s="163" t="s">
        <v>103</v>
      </c>
      <c r="T990" s="164">
        <v>300000</v>
      </c>
      <c r="U990" s="164"/>
      <c r="V990" s="165">
        <v>46305</v>
      </c>
      <c r="W990" s="163"/>
      <c r="X990" s="163"/>
      <c r="Y990" s="163"/>
      <c r="Z990" s="163"/>
      <c r="AA990" s="163"/>
      <c r="AB990" s="195" t="str">
        <f t="shared" si="116"/>
        <v>Oct-26</v>
      </c>
      <c r="AC990" s="163"/>
      <c r="AD990" s="163"/>
      <c r="AE990" s="163"/>
    </row>
    <row r="991" spans="1:31" x14ac:dyDescent="0.35">
      <c r="A991" s="162">
        <v>46269</v>
      </c>
      <c r="B991" s="163" t="s">
        <v>92</v>
      </c>
      <c r="C991" s="163" t="s">
        <v>93</v>
      </c>
      <c r="D991" s="198" t="s">
        <v>625</v>
      </c>
      <c r="E991" s="163" t="s">
        <v>106</v>
      </c>
      <c r="F991" s="163" t="s">
        <v>135</v>
      </c>
      <c r="G991" s="163"/>
      <c r="H991" s="163" t="s">
        <v>115</v>
      </c>
      <c r="I991" s="163" t="s">
        <v>121</v>
      </c>
      <c r="J991" s="163" t="s">
        <v>378</v>
      </c>
      <c r="K991" s="163" t="s">
        <v>475</v>
      </c>
      <c r="L991" s="163"/>
      <c r="M991" s="163" t="s">
        <v>1307</v>
      </c>
      <c r="N991" s="163" t="s">
        <v>156</v>
      </c>
      <c r="O991" s="162">
        <v>46289</v>
      </c>
      <c r="P991" s="163" t="s">
        <v>95</v>
      </c>
      <c r="Q991" s="163"/>
      <c r="R991" s="163"/>
      <c r="S991" s="163" t="s">
        <v>103</v>
      </c>
      <c r="T991" s="164">
        <v>0</v>
      </c>
      <c r="U991" s="164"/>
      <c r="V991" s="165"/>
      <c r="W991" s="163"/>
      <c r="X991" s="163"/>
      <c r="Y991" s="163"/>
      <c r="Z991" s="163"/>
      <c r="AA991" s="163"/>
      <c r="AB991" s="195" t="str">
        <f t="shared" si="116"/>
        <v>Sep-26</v>
      </c>
      <c r="AC991" s="163"/>
      <c r="AD991" s="163"/>
      <c r="AE991" s="163"/>
    </row>
    <row r="992" spans="1:31" x14ac:dyDescent="0.35">
      <c r="A992" s="162">
        <v>46269</v>
      </c>
      <c r="B992" s="163" t="s">
        <v>148</v>
      </c>
      <c r="C992" s="163" t="s">
        <v>113</v>
      </c>
      <c r="D992" s="163" t="s">
        <v>1588</v>
      </c>
      <c r="E992" s="163" t="s">
        <v>106</v>
      </c>
      <c r="F992" s="163" t="s">
        <v>135</v>
      </c>
      <c r="G992" s="163"/>
      <c r="H992" s="163" t="s">
        <v>115</v>
      </c>
      <c r="I992" s="163" t="s">
        <v>121</v>
      </c>
      <c r="J992" s="163" t="s">
        <v>136</v>
      </c>
      <c r="K992" s="163" t="s">
        <v>1589</v>
      </c>
      <c r="L992" s="163"/>
      <c r="M992" s="163" t="s">
        <v>1307</v>
      </c>
      <c r="N992" s="163" t="s">
        <v>130</v>
      </c>
      <c r="O992" s="162">
        <v>46283</v>
      </c>
      <c r="P992" s="163"/>
      <c r="Q992" s="163"/>
      <c r="R992" s="163"/>
      <c r="S992" s="163" t="s">
        <v>129</v>
      </c>
      <c r="T992" s="164"/>
      <c r="U992" s="164"/>
      <c r="V992" s="165"/>
      <c r="W992" s="163"/>
      <c r="X992" s="163"/>
      <c r="Y992" s="163"/>
      <c r="Z992" s="163"/>
      <c r="AA992" s="163"/>
      <c r="AB992" s="195" t="str">
        <f t="shared" si="116"/>
        <v>Sep-26</v>
      </c>
      <c r="AC992" s="163"/>
      <c r="AD992" s="163" t="str">
        <f>IF(AC992="Yes",U992*2%,"")</f>
        <v/>
      </c>
      <c r="AE992" s="163"/>
    </row>
    <row r="993" spans="1:31" x14ac:dyDescent="0.35">
      <c r="A993" s="162">
        <v>46270</v>
      </c>
      <c r="B993" s="163" t="s">
        <v>370</v>
      </c>
      <c r="C993" s="163" t="s">
        <v>93</v>
      </c>
      <c r="D993" s="163" t="s">
        <v>1590</v>
      </c>
      <c r="E993" s="163" t="s">
        <v>106</v>
      </c>
      <c r="F993" s="163" t="s">
        <v>115</v>
      </c>
      <c r="G993" s="163"/>
      <c r="H993" s="163" t="s">
        <v>115</v>
      </c>
      <c r="I993" s="163" t="s">
        <v>121</v>
      </c>
      <c r="J993" s="163" t="s">
        <v>438</v>
      </c>
      <c r="K993" s="163" t="s">
        <v>1591</v>
      </c>
      <c r="L993" s="163"/>
      <c r="M993" s="163" t="s">
        <v>1526</v>
      </c>
      <c r="N993" s="163" t="s">
        <v>102</v>
      </c>
      <c r="O993" s="162"/>
      <c r="P993" s="163"/>
      <c r="Q993" s="163"/>
      <c r="R993" s="163"/>
      <c r="S993" s="163" t="s">
        <v>103</v>
      </c>
      <c r="T993" s="164">
        <v>10000</v>
      </c>
      <c r="U993" s="164">
        <v>3455</v>
      </c>
      <c r="V993" s="165">
        <v>46270</v>
      </c>
      <c r="W993" s="163" t="s">
        <v>1592</v>
      </c>
      <c r="X993" s="163" t="s">
        <v>33</v>
      </c>
      <c r="Y993" s="163" t="s">
        <v>161</v>
      </c>
      <c r="Z993" s="163"/>
      <c r="AA993" s="162">
        <v>46269</v>
      </c>
      <c r="AB993" s="195" t="str">
        <f t="shared" si="116"/>
        <v>Sep-26</v>
      </c>
      <c r="AC993" s="163"/>
      <c r="AD993" s="163" t="str">
        <f>IF(AC993="Yes",U993*2%,"")</f>
        <v/>
      </c>
      <c r="AE993" s="163" t="s">
        <v>270</v>
      </c>
    </row>
    <row r="994" spans="1:31" x14ac:dyDescent="0.35">
      <c r="A994" s="162">
        <v>46270</v>
      </c>
      <c r="B994" s="163" t="s">
        <v>92</v>
      </c>
      <c r="C994" s="163" t="s">
        <v>93</v>
      </c>
      <c r="D994" s="163" t="s">
        <v>1201</v>
      </c>
      <c r="E994" s="163" t="s">
        <v>106</v>
      </c>
      <c r="F994" s="163" t="s">
        <v>96</v>
      </c>
      <c r="G994" s="163" t="s">
        <v>12</v>
      </c>
      <c r="H994" s="163" t="s">
        <v>115</v>
      </c>
      <c r="I994" s="163" t="s">
        <v>121</v>
      </c>
      <c r="J994" s="163" t="s">
        <v>147</v>
      </c>
      <c r="K994" s="163" t="s">
        <v>1593</v>
      </c>
      <c r="L994" s="163"/>
      <c r="M994" s="163" t="s">
        <v>1594</v>
      </c>
      <c r="N994" s="163" t="s">
        <v>102</v>
      </c>
      <c r="O994" s="162"/>
      <c r="P994" s="163"/>
      <c r="Q994" s="163"/>
      <c r="R994" s="163"/>
      <c r="S994" s="163" t="s">
        <v>103</v>
      </c>
      <c r="T994" s="164">
        <v>40000</v>
      </c>
      <c r="U994" s="164">
        <v>50400</v>
      </c>
      <c r="V994" s="165">
        <v>46270</v>
      </c>
      <c r="W994" s="214" t="s">
        <v>1595</v>
      </c>
      <c r="X994" s="163" t="s">
        <v>27</v>
      </c>
      <c r="Y994" s="163" t="s">
        <v>85</v>
      </c>
      <c r="Z994" s="163"/>
      <c r="AA994" s="163"/>
      <c r="AB994" s="195" t="str">
        <f t="shared" si="116"/>
        <v>Sep-26</v>
      </c>
      <c r="AC994" s="163"/>
      <c r="AD994" s="163" t="str">
        <f>IF(AC994="Yes",U994*2%,"")</f>
        <v/>
      </c>
      <c r="AE994" s="163"/>
    </row>
    <row r="995" spans="1:31" x14ac:dyDescent="0.35">
      <c r="A995" s="162">
        <v>46270</v>
      </c>
      <c r="B995" s="163" t="s">
        <v>92</v>
      </c>
      <c r="C995" s="163" t="s">
        <v>93</v>
      </c>
      <c r="D995" s="163" t="s">
        <v>1596</v>
      </c>
      <c r="E995" s="163" t="s">
        <v>95</v>
      </c>
      <c r="F995" s="163" t="s">
        <v>115</v>
      </c>
      <c r="G995" s="163"/>
      <c r="H995" s="163" t="s">
        <v>115</v>
      </c>
      <c r="I995" s="163" t="s">
        <v>121</v>
      </c>
      <c r="J995" s="163" t="s">
        <v>438</v>
      </c>
      <c r="K995" s="163" t="s">
        <v>1597</v>
      </c>
      <c r="L995" s="163"/>
      <c r="M995" s="163" t="s">
        <v>1555</v>
      </c>
      <c r="N995" s="163" t="s">
        <v>130</v>
      </c>
      <c r="O995" s="162">
        <v>46293</v>
      </c>
      <c r="P995" s="163" t="s">
        <v>95</v>
      </c>
      <c r="Q995" s="163"/>
      <c r="R995" s="163"/>
      <c r="S995" s="163" t="s">
        <v>103</v>
      </c>
      <c r="T995" s="164">
        <v>80000</v>
      </c>
      <c r="U995" s="164"/>
      <c r="V995" s="165"/>
      <c r="W995" s="163"/>
      <c r="X995" s="163"/>
      <c r="Y995" s="163"/>
      <c r="Z995" s="163"/>
      <c r="AA995" s="163"/>
      <c r="AB995" s="195" t="str">
        <f t="shared" si="116"/>
        <v>Sep-26</v>
      </c>
      <c r="AC995" s="163"/>
      <c r="AD995" s="163"/>
      <c r="AE995" s="163"/>
    </row>
    <row r="996" spans="1:31" x14ac:dyDescent="0.35">
      <c r="A996" s="162">
        <v>46272</v>
      </c>
      <c r="B996" s="163" t="s">
        <v>370</v>
      </c>
      <c r="C996" s="163" t="s">
        <v>93</v>
      </c>
      <c r="D996" s="163" t="s">
        <v>1598</v>
      </c>
      <c r="E996" s="163" t="s">
        <v>106</v>
      </c>
      <c r="F996" s="163" t="s">
        <v>96</v>
      </c>
      <c r="G996" s="163" t="s">
        <v>14</v>
      </c>
      <c r="H996" s="163" t="s">
        <v>163</v>
      </c>
      <c r="I996" s="163" t="s">
        <v>121</v>
      </c>
      <c r="J996" s="163" t="s">
        <v>388</v>
      </c>
      <c r="K996" s="163" t="s">
        <v>685</v>
      </c>
      <c r="L996" s="163"/>
      <c r="M996" s="163" t="s">
        <v>1576</v>
      </c>
      <c r="N996" s="163" t="s">
        <v>102</v>
      </c>
      <c r="O996" s="162"/>
      <c r="P996" s="163"/>
      <c r="Q996" s="163"/>
      <c r="R996" s="163"/>
      <c r="S996" s="163" t="s">
        <v>103</v>
      </c>
      <c r="T996" s="164">
        <v>300000</v>
      </c>
      <c r="U996" s="164">
        <v>64310</v>
      </c>
      <c r="V996" s="165"/>
      <c r="W996" s="163" t="s">
        <v>1599</v>
      </c>
      <c r="X996" s="163" t="s">
        <v>50</v>
      </c>
      <c r="Y996" s="163" t="s">
        <v>85</v>
      </c>
      <c r="Z996" s="163"/>
      <c r="AA996" s="163"/>
      <c r="AB996" s="195" t="str">
        <f t="shared" si="116"/>
        <v>Sep-26</v>
      </c>
      <c r="AC996" s="163"/>
      <c r="AD996" s="163" t="str">
        <f>IF(AC996="Yes",U996*2%,"")</f>
        <v/>
      </c>
      <c r="AE996" s="163"/>
    </row>
    <row r="997" spans="1:31" x14ac:dyDescent="0.35">
      <c r="A997" s="162">
        <v>46272</v>
      </c>
      <c r="B997" s="163" t="s">
        <v>370</v>
      </c>
      <c r="C997" s="163" t="s">
        <v>93</v>
      </c>
      <c r="D997" s="163" t="s">
        <v>822</v>
      </c>
      <c r="E997" s="163" t="s">
        <v>106</v>
      </c>
      <c r="F997" s="163" t="s">
        <v>135</v>
      </c>
      <c r="G997" s="163"/>
      <c r="H997" s="163" t="s">
        <v>115</v>
      </c>
      <c r="I997" s="163" t="s">
        <v>121</v>
      </c>
      <c r="J997" s="163" t="s">
        <v>388</v>
      </c>
      <c r="K997" s="163" t="s">
        <v>1600</v>
      </c>
      <c r="L997" s="163"/>
      <c r="M997" s="163" t="s">
        <v>1576</v>
      </c>
      <c r="N997" s="163" t="s">
        <v>102</v>
      </c>
      <c r="O997" s="162"/>
      <c r="P997" s="163"/>
      <c r="Q997" s="163"/>
      <c r="R997" s="163"/>
      <c r="S997" s="163" t="s">
        <v>103</v>
      </c>
      <c r="T997" s="164">
        <v>50000</v>
      </c>
      <c r="U997" s="164">
        <v>13830</v>
      </c>
      <c r="V997" s="165"/>
      <c r="W997" s="163" t="s">
        <v>1601</v>
      </c>
      <c r="X997" s="163" t="s">
        <v>50</v>
      </c>
      <c r="Y997" s="163"/>
      <c r="Z997" s="163"/>
      <c r="AA997" s="163"/>
      <c r="AB997" s="195"/>
      <c r="AC997" s="163"/>
      <c r="AD997" s="163"/>
      <c r="AE997" s="163"/>
    </row>
    <row r="998" spans="1:31" x14ac:dyDescent="0.35">
      <c r="A998" s="162">
        <v>46272</v>
      </c>
      <c r="B998" s="163" t="s">
        <v>92</v>
      </c>
      <c r="C998" s="163" t="s">
        <v>93</v>
      </c>
      <c r="D998" s="163" t="s">
        <v>1602</v>
      </c>
      <c r="E998" s="163" t="s">
        <v>106</v>
      </c>
      <c r="F998" s="163" t="s">
        <v>115</v>
      </c>
      <c r="G998" s="163"/>
      <c r="H998" s="163" t="s">
        <v>115</v>
      </c>
      <c r="I998" s="163" t="s">
        <v>121</v>
      </c>
      <c r="J998" s="163" t="s">
        <v>432</v>
      </c>
      <c r="K998" s="163" t="s">
        <v>1603</v>
      </c>
      <c r="L998" s="163"/>
      <c r="M998" s="163" t="s">
        <v>1604</v>
      </c>
      <c r="N998" s="163" t="s">
        <v>130</v>
      </c>
      <c r="O998" s="162">
        <v>46294</v>
      </c>
      <c r="P998" s="163" t="s">
        <v>95</v>
      </c>
      <c r="Q998" s="163"/>
      <c r="R998" s="163"/>
      <c r="S998" s="163" t="s">
        <v>103</v>
      </c>
      <c r="T998" s="164">
        <v>1500000</v>
      </c>
      <c r="U998" s="164"/>
      <c r="V998" s="165"/>
      <c r="W998" s="163"/>
      <c r="X998" s="163"/>
      <c r="Y998" s="163"/>
      <c r="Z998" s="163"/>
      <c r="AA998" s="163"/>
      <c r="AB998" s="195" t="str">
        <f t="shared" ref="AB998:AB1029" si="118">IF($V998="",TEXT($A998,"MMM-YY"),TEXT($V998,"MMM-YY"))</f>
        <v>Sep-26</v>
      </c>
      <c r="AC998" s="163"/>
      <c r="AD998" s="163" t="str">
        <f t="shared" ref="AD998:AD1010" si="119">IF(AC998="Yes",U998*2%,"")</f>
        <v/>
      </c>
      <c r="AE998" s="163"/>
    </row>
    <row r="999" spans="1:31" x14ac:dyDescent="0.35">
      <c r="A999" s="162">
        <v>46272</v>
      </c>
      <c r="B999" s="163" t="s">
        <v>92</v>
      </c>
      <c r="C999" s="163" t="s">
        <v>93</v>
      </c>
      <c r="D999" s="163" t="s">
        <v>1605</v>
      </c>
      <c r="E999" s="163" t="s">
        <v>106</v>
      </c>
      <c r="F999" s="163" t="s">
        <v>115</v>
      </c>
      <c r="G999" s="163"/>
      <c r="H999" s="163" t="s">
        <v>115</v>
      </c>
      <c r="I999" s="163" t="s">
        <v>121</v>
      </c>
      <c r="J999" s="163" t="s">
        <v>356</v>
      </c>
      <c r="K999" s="163" t="s">
        <v>1606</v>
      </c>
      <c r="L999" s="163"/>
      <c r="M999" s="163" t="s">
        <v>1307</v>
      </c>
      <c r="N999" s="163" t="s">
        <v>495</v>
      </c>
      <c r="O999" s="162">
        <v>46290</v>
      </c>
      <c r="P999" s="163" t="s">
        <v>95</v>
      </c>
      <c r="Q999" s="163"/>
      <c r="R999" s="163"/>
      <c r="S999" s="163" t="s">
        <v>129</v>
      </c>
      <c r="T999" s="164">
        <v>85000</v>
      </c>
      <c r="U999" s="164"/>
      <c r="V999" s="165"/>
      <c r="W999" s="163"/>
      <c r="X999" s="163"/>
      <c r="Y999" s="163"/>
      <c r="Z999" s="163"/>
      <c r="AA999" s="163"/>
      <c r="AB999" s="195" t="str">
        <f t="shared" si="118"/>
        <v>Sep-26</v>
      </c>
      <c r="AC999" s="163"/>
      <c r="AD999" s="163" t="str">
        <f t="shared" si="119"/>
        <v/>
      </c>
      <c r="AE999" s="163"/>
    </row>
    <row r="1000" spans="1:31" x14ac:dyDescent="0.35">
      <c r="A1000" s="162">
        <v>46272</v>
      </c>
      <c r="B1000" s="163" t="s">
        <v>92</v>
      </c>
      <c r="C1000" s="163" t="s">
        <v>93</v>
      </c>
      <c r="D1000" s="163" t="s">
        <v>1607</v>
      </c>
      <c r="E1000" s="163" t="s">
        <v>106</v>
      </c>
      <c r="F1000" s="163" t="s">
        <v>135</v>
      </c>
      <c r="G1000" s="163"/>
      <c r="H1000" s="163" t="s">
        <v>115</v>
      </c>
      <c r="I1000" s="163" t="s">
        <v>121</v>
      </c>
      <c r="J1000" s="163" t="s">
        <v>136</v>
      </c>
      <c r="K1000" s="163" t="s">
        <v>1608</v>
      </c>
      <c r="L1000" s="163"/>
      <c r="M1000" s="163" t="s">
        <v>1307</v>
      </c>
      <c r="N1000" s="163" t="s">
        <v>495</v>
      </c>
      <c r="O1000" s="162">
        <v>46289</v>
      </c>
      <c r="P1000" s="163" t="s">
        <v>95</v>
      </c>
      <c r="Q1000" s="163"/>
      <c r="R1000" s="163"/>
      <c r="S1000" s="163" t="s">
        <v>103</v>
      </c>
      <c r="T1000" s="164">
        <v>65000</v>
      </c>
      <c r="U1000" s="164"/>
      <c r="V1000" s="165"/>
      <c r="W1000" s="163"/>
      <c r="X1000" s="163"/>
      <c r="Y1000" s="163"/>
      <c r="Z1000" s="163"/>
      <c r="AA1000" s="163"/>
      <c r="AB1000" s="195" t="str">
        <f t="shared" si="118"/>
        <v>Sep-26</v>
      </c>
      <c r="AC1000" s="163"/>
      <c r="AD1000" s="163" t="str">
        <f t="shared" si="119"/>
        <v/>
      </c>
      <c r="AE1000" s="163"/>
    </row>
    <row r="1001" spans="1:31" x14ac:dyDescent="0.35">
      <c r="A1001" s="162">
        <v>46272</v>
      </c>
      <c r="B1001" s="163" t="s">
        <v>92</v>
      </c>
      <c r="C1001" s="163" t="s">
        <v>93</v>
      </c>
      <c r="D1001" s="163" t="s">
        <v>1572</v>
      </c>
      <c r="E1001" s="163" t="s">
        <v>106</v>
      </c>
      <c r="F1001" s="163" t="s">
        <v>135</v>
      </c>
      <c r="G1001" s="163"/>
      <c r="H1001" s="163" t="s">
        <v>115</v>
      </c>
      <c r="I1001" s="163" t="s">
        <v>121</v>
      </c>
      <c r="J1001" s="163" t="s">
        <v>197</v>
      </c>
      <c r="K1001" s="163" t="s">
        <v>423</v>
      </c>
      <c r="L1001" s="163"/>
      <c r="M1001" s="163" t="s">
        <v>669</v>
      </c>
      <c r="N1001" s="163" t="s">
        <v>156</v>
      </c>
      <c r="O1001" s="162">
        <v>46283</v>
      </c>
      <c r="P1001" s="163" t="s">
        <v>95</v>
      </c>
      <c r="Q1001" s="163"/>
      <c r="R1001" s="163"/>
      <c r="S1001" s="163" t="s">
        <v>103</v>
      </c>
      <c r="T1001" s="164">
        <v>0</v>
      </c>
      <c r="U1001" s="164"/>
      <c r="V1001" s="165"/>
      <c r="W1001" s="163"/>
      <c r="X1001" s="163"/>
      <c r="Y1001" s="163"/>
      <c r="Z1001" s="163"/>
      <c r="AA1001" s="163"/>
      <c r="AB1001" s="195" t="str">
        <f t="shared" si="118"/>
        <v>Sep-26</v>
      </c>
      <c r="AC1001" s="163"/>
      <c r="AD1001" s="163" t="str">
        <f t="shared" si="119"/>
        <v/>
      </c>
      <c r="AE1001" s="163"/>
    </row>
    <row r="1002" spans="1:31" x14ac:dyDescent="0.35">
      <c r="A1002" s="162">
        <v>46272</v>
      </c>
      <c r="B1002" s="163" t="s">
        <v>148</v>
      </c>
      <c r="C1002" s="163" t="s">
        <v>113</v>
      </c>
      <c r="D1002" s="163" t="s">
        <v>1609</v>
      </c>
      <c r="E1002" s="163" t="s">
        <v>106</v>
      </c>
      <c r="F1002" s="163" t="s">
        <v>96</v>
      </c>
      <c r="G1002" s="163" t="s">
        <v>14</v>
      </c>
      <c r="H1002" s="163" t="s">
        <v>163</v>
      </c>
      <c r="I1002" s="163" t="s">
        <v>121</v>
      </c>
      <c r="J1002" s="163" t="s">
        <v>388</v>
      </c>
      <c r="K1002" s="171" t="s">
        <v>685</v>
      </c>
      <c r="L1002" s="163"/>
      <c r="M1002" s="163" t="s">
        <v>1555</v>
      </c>
      <c r="N1002" s="163" t="s">
        <v>102</v>
      </c>
      <c r="O1002" s="162"/>
      <c r="P1002" s="163"/>
      <c r="Q1002" s="163"/>
      <c r="R1002" s="163"/>
      <c r="S1002" s="163" t="s">
        <v>103</v>
      </c>
      <c r="T1002" s="164">
        <v>100000</v>
      </c>
      <c r="U1002" s="164">
        <v>103820</v>
      </c>
      <c r="V1002" s="165"/>
      <c r="W1002" s="163" t="s">
        <v>1610</v>
      </c>
      <c r="X1002" s="163" t="s">
        <v>37</v>
      </c>
      <c r="Y1002" s="163" t="s">
        <v>85</v>
      </c>
      <c r="Z1002" s="163"/>
      <c r="AA1002" s="163"/>
      <c r="AB1002" s="195" t="str">
        <f t="shared" si="118"/>
        <v>Sep-26</v>
      </c>
      <c r="AC1002" s="163"/>
      <c r="AD1002" s="163" t="str">
        <f t="shared" si="119"/>
        <v/>
      </c>
      <c r="AE1002" s="163"/>
    </row>
    <row r="1003" spans="1:31" x14ac:dyDescent="0.35">
      <c r="A1003" s="162">
        <v>46272</v>
      </c>
      <c r="B1003" s="163" t="s">
        <v>125</v>
      </c>
      <c r="C1003" s="163" t="s">
        <v>113</v>
      </c>
      <c r="D1003" s="163" t="s">
        <v>1611</v>
      </c>
      <c r="E1003" s="163" t="s">
        <v>106</v>
      </c>
      <c r="F1003" s="163" t="s">
        <v>135</v>
      </c>
      <c r="G1003" s="163"/>
      <c r="H1003" s="163" t="s">
        <v>115</v>
      </c>
      <c r="I1003" s="163" t="s">
        <v>121</v>
      </c>
      <c r="J1003" s="163" t="s">
        <v>147</v>
      </c>
      <c r="K1003" s="163" t="s">
        <v>774</v>
      </c>
      <c r="L1003" s="163"/>
      <c r="M1003" s="163" t="s">
        <v>1555</v>
      </c>
      <c r="N1003" s="163" t="s">
        <v>102</v>
      </c>
      <c r="O1003" s="162"/>
      <c r="P1003" s="163"/>
      <c r="Q1003" s="163"/>
      <c r="R1003" s="163"/>
      <c r="S1003" s="163" t="s">
        <v>103</v>
      </c>
      <c r="T1003" s="164">
        <v>46000</v>
      </c>
      <c r="U1003" s="164">
        <v>46000</v>
      </c>
      <c r="V1003" s="165"/>
      <c r="W1003" s="190" t="s">
        <v>1612</v>
      </c>
      <c r="X1003" s="163" t="s">
        <v>37</v>
      </c>
      <c r="Y1003" s="163" t="s">
        <v>85</v>
      </c>
      <c r="Z1003" s="163"/>
      <c r="AA1003" s="163"/>
      <c r="AB1003" s="195" t="str">
        <f t="shared" si="118"/>
        <v>Sep-26</v>
      </c>
      <c r="AC1003" s="163"/>
      <c r="AD1003" s="163" t="str">
        <f t="shared" si="119"/>
        <v/>
      </c>
      <c r="AE1003" s="163"/>
    </row>
    <row r="1004" spans="1:31" x14ac:dyDescent="0.35">
      <c r="A1004" s="162">
        <v>46272</v>
      </c>
      <c r="B1004" s="163" t="s">
        <v>370</v>
      </c>
      <c r="C1004" s="163" t="s">
        <v>93</v>
      </c>
      <c r="D1004" s="163" t="s">
        <v>1613</v>
      </c>
      <c r="E1004" s="163" t="s">
        <v>106</v>
      </c>
      <c r="F1004" s="163" t="s">
        <v>135</v>
      </c>
      <c r="G1004" s="163"/>
      <c r="H1004" s="163" t="s">
        <v>115</v>
      </c>
      <c r="I1004" s="163" t="s">
        <v>121</v>
      </c>
      <c r="J1004" s="163" t="s">
        <v>432</v>
      </c>
      <c r="K1004" s="163" t="s">
        <v>1614</v>
      </c>
      <c r="L1004" s="163"/>
      <c r="M1004" s="163" t="s">
        <v>914</v>
      </c>
      <c r="N1004" s="163" t="s">
        <v>495</v>
      </c>
      <c r="O1004" s="162">
        <v>46282</v>
      </c>
      <c r="P1004" s="163"/>
      <c r="Q1004" s="163"/>
      <c r="R1004" s="163"/>
      <c r="S1004" s="163" t="s">
        <v>129</v>
      </c>
      <c r="T1004" s="164">
        <v>25000</v>
      </c>
      <c r="U1004" s="164"/>
      <c r="V1004" s="165"/>
      <c r="W1004" s="163"/>
      <c r="X1004" s="163"/>
      <c r="Y1004" s="163"/>
      <c r="Z1004" s="163"/>
      <c r="AA1004" s="163"/>
      <c r="AB1004" s="195" t="str">
        <f t="shared" si="118"/>
        <v>Sep-26</v>
      </c>
      <c r="AC1004" s="163"/>
      <c r="AD1004" s="163" t="str">
        <f t="shared" si="119"/>
        <v/>
      </c>
      <c r="AE1004" s="163"/>
    </row>
    <row r="1005" spans="1:31" x14ac:dyDescent="0.35">
      <c r="A1005" s="162">
        <v>46272</v>
      </c>
      <c r="B1005" s="163" t="s">
        <v>370</v>
      </c>
      <c r="C1005" s="163" t="s">
        <v>93</v>
      </c>
      <c r="D1005" s="201" t="s">
        <v>1615</v>
      </c>
      <c r="E1005" s="163" t="s">
        <v>106</v>
      </c>
      <c r="F1005" s="163" t="s">
        <v>135</v>
      </c>
      <c r="G1005" s="163"/>
      <c r="H1005" s="163" t="s">
        <v>115</v>
      </c>
      <c r="I1005" s="163" t="s">
        <v>121</v>
      </c>
      <c r="J1005" s="163" t="s">
        <v>147</v>
      </c>
      <c r="K1005" s="201" t="s">
        <v>1616</v>
      </c>
      <c r="L1005" s="163"/>
      <c r="M1005" s="163" t="s">
        <v>1307</v>
      </c>
      <c r="N1005" s="163" t="s">
        <v>130</v>
      </c>
      <c r="O1005" s="162"/>
      <c r="P1005" s="163"/>
      <c r="Q1005" s="163"/>
      <c r="R1005" s="163"/>
      <c r="S1005" s="163" t="s">
        <v>133</v>
      </c>
      <c r="T1005" s="164">
        <v>30000</v>
      </c>
      <c r="U1005" s="164"/>
      <c r="V1005" s="165"/>
      <c r="W1005" s="163"/>
      <c r="X1005" s="163"/>
      <c r="Y1005" s="163"/>
      <c r="Z1005" s="163"/>
      <c r="AA1005" s="163"/>
      <c r="AB1005" s="195" t="str">
        <f t="shared" si="118"/>
        <v>Sep-26</v>
      </c>
      <c r="AC1005" s="163"/>
      <c r="AD1005" s="163" t="str">
        <f t="shared" si="119"/>
        <v/>
      </c>
      <c r="AE1005" s="163"/>
    </row>
    <row r="1006" spans="1:31" x14ac:dyDescent="0.35">
      <c r="A1006" s="162">
        <v>46272</v>
      </c>
      <c r="B1006" s="163" t="s">
        <v>370</v>
      </c>
      <c r="C1006" s="163" t="s">
        <v>93</v>
      </c>
      <c r="D1006" s="201" t="s">
        <v>1617</v>
      </c>
      <c r="E1006" s="163" t="s">
        <v>106</v>
      </c>
      <c r="F1006" s="163" t="s">
        <v>135</v>
      </c>
      <c r="G1006" s="163"/>
      <c r="H1006" s="163" t="s">
        <v>115</v>
      </c>
      <c r="I1006" s="163" t="s">
        <v>121</v>
      </c>
      <c r="J1006" s="163" t="s">
        <v>147</v>
      </c>
      <c r="K1006" s="201" t="s">
        <v>100</v>
      </c>
      <c r="L1006" s="163"/>
      <c r="M1006" s="163" t="s">
        <v>914</v>
      </c>
      <c r="N1006" s="163" t="s">
        <v>495</v>
      </c>
      <c r="O1006" s="162">
        <v>46291</v>
      </c>
      <c r="P1006" s="163"/>
      <c r="Q1006" s="163"/>
      <c r="R1006" s="163"/>
      <c r="S1006" s="163" t="s">
        <v>129</v>
      </c>
      <c r="T1006" s="164">
        <v>42000</v>
      </c>
      <c r="U1006" s="164"/>
      <c r="V1006" s="165"/>
      <c r="W1006" s="163"/>
      <c r="X1006" s="163"/>
      <c r="Y1006" s="163"/>
      <c r="Z1006" s="163"/>
      <c r="AA1006" s="163"/>
      <c r="AB1006" s="195" t="str">
        <f t="shared" si="118"/>
        <v>Sep-26</v>
      </c>
      <c r="AC1006" s="163"/>
      <c r="AD1006" s="163" t="str">
        <f t="shared" si="119"/>
        <v/>
      </c>
      <c r="AE1006" s="163"/>
    </row>
    <row r="1007" spans="1:31" x14ac:dyDescent="0.35">
      <c r="A1007" s="162">
        <v>46272</v>
      </c>
      <c r="B1007" s="163" t="s">
        <v>148</v>
      </c>
      <c r="C1007" s="163" t="s">
        <v>113</v>
      </c>
      <c r="D1007" s="201" t="s">
        <v>1618</v>
      </c>
      <c r="E1007" s="163" t="s">
        <v>106</v>
      </c>
      <c r="F1007" s="163" t="s">
        <v>115</v>
      </c>
      <c r="G1007" s="163"/>
      <c r="H1007" s="163" t="s">
        <v>115</v>
      </c>
      <c r="I1007" s="163" t="s">
        <v>121</v>
      </c>
      <c r="J1007" s="163" t="s">
        <v>356</v>
      </c>
      <c r="K1007" s="201" t="s">
        <v>1403</v>
      </c>
      <c r="L1007" s="163"/>
      <c r="M1007" s="163" t="s">
        <v>1619</v>
      </c>
      <c r="N1007" s="163" t="s">
        <v>128</v>
      </c>
      <c r="O1007" s="162"/>
      <c r="P1007" s="163"/>
      <c r="Q1007" s="163"/>
      <c r="R1007" s="163"/>
      <c r="S1007" s="163" t="s">
        <v>129</v>
      </c>
      <c r="T1007" s="164"/>
      <c r="U1007" s="164"/>
      <c r="V1007" s="165"/>
      <c r="W1007" s="163"/>
      <c r="X1007" s="163"/>
      <c r="Y1007" s="163"/>
      <c r="Z1007" s="163"/>
      <c r="AA1007" s="162"/>
      <c r="AB1007" s="195" t="str">
        <f t="shared" si="118"/>
        <v>Sep-26</v>
      </c>
      <c r="AC1007" s="163"/>
      <c r="AD1007" s="163" t="str">
        <f t="shared" si="119"/>
        <v/>
      </c>
      <c r="AE1007" s="163"/>
    </row>
    <row r="1008" spans="1:31" x14ac:dyDescent="0.35">
      <c r="A1008" s="162">
        <v>46272</v>
      </c>
      <c r="B1008" s="163" t="s">
        <v>148</v>
      </c>
      <c r="C1008" s="163" t="s">
        <v>113</v>
      </c>
      <c r="D1008" s="206" t="s">
        <v>1620</v>
      </c>
      <c r="E1008" s="163" t="s">
        <v>106</v>
      </c>
      <c r="F1008" s="163" t="s">
        <v>135</v>
      </c>
      <c r="G1008" s="163"/>
      <c r="H1008" s="163" t="s">
        <v>115</v>
      </c>
      <c r="I1008" s="163" t="s">
        <v>121</v>
      </c>
      <c r="J1008" s="163" t="s">
        <v>147</v>
      </c>
      <c r="K1008" s="206" t="s">
        <v>1621</v>
      </c>
      <c r="L1008" s="163"/>
      <c r="M1008" s="163" t="s">
        <v>1619</v>
      </c>
      <c r="N1008" s="163" t="s">
        <v>128</v>
      </c>
      <c r="O1008" s="162"/>
      <c r="P1008" s="163"/>
      <c r="Q1008" s="163"/>
      <c r="R1008" s="163"/>
      <c r="S1008" s="163" t="s">
        <v>129</v>
      </c>
      <c r="T1008" s="164"/>
      <c r="U1008" s="164"/>
      <c r="V1008" s="165"/>
      <c r="W1008" s="163"/>
      <c r="X1008" s="163"/>
      <c r="Y1008" s="163"/>
      <c r="Z1008" s="163"/>
      <c r="AA1008" s="162"/>
      <c r="AB1008" s="195" t="str">
        <f t="shared" si="118"/>
        <v>Sep-26</v>
      </c>
      <c r="AC1008" s="163"/>
      <c r="AD1008" s="163" t="str">
        <f t="shared" si="119"/>
        <v/>
      </c>
      <c r="AE1008" s="163"/>
    </row>
    <row r="1009" spans="1:31" x14ac:dyDescent="0.35">
      <c r="A1009" s="162">
        <v>46273</v>
      </c>
      <c r="B1009" s="163" t="s">
        <v>370</v>
      </c>
      <c r="C1009" s="199" t="s">
        <v>93</v>
      </c>
      <c r="D1009" s="163" t="s">
        <v>1622</v>
      </c>
      <c r="E1009" s="200" t="s">
        <v>106</v>
      </c>
      <c r="F1009" s="163" t="s">
        <v>135</v>
      </c>
      <c r="G1009" s="163"/>
      <c r="H1009" s="163" t="s">
        <v>115</v>
      </c>
      <c r="I1009" s="163" t="s">
        <v>121</v>
      </c>
      <c r="J1009" s="199" t="s">
        <v>147</v>
      </c>
      <c r="K1009" s="163" t="s">
        <v>1623</v>
      </c>
      <c r="L1009" s="200"/>
      <c r="M1009" s="163" t="s">
        <v>1526</v>
      </c>
      <c r="N1009" s="163" t="s">
        <v>102</v>
      </c>
      <c r="O1009" s="162"/>
      <c r="P1009" s="163"/>
      <c r="Q1009" s="163"/>
      <c r="R1009" s="163"/>
      <c r="S1009" s="163" t="s">
        <v>103</v>
      </c>
      <c r="T1009" s="164">
        <v>10000</v>
      </c>
      <c r="U1009" s="164">
        <v>3600</v>
      </c>
      <c r="V1009" s="165">
        <v>46273</v>
      </c>
      <c r="W1009" s="163" t="s">
        <v>1624</v>
      </c>
      <c r="X1009" s="163" t="s">
        <v>33</v>
      </c>
      <c r="Y1009" s="163" t="s">
        <v>161</v>
      </c>
      <c r="Z1009" s="163"/>
      <c r="AA1009" s="162">
        <v>46273</v>
      </c>
      <c r="AB1009" s="195" t="str">
        <f t="shared" si="118"/>
        <v>Sep-26</v>
      </c>
      <c r="AC1009" s="163"/>
      <c r="AD1009" s="163" t="str">
        <f t="shared" si="119"/>
        <v/>
      </c>
      <c r="AE1009" s="163" t="s">
        <v>270</v>
      </c>
    </row>
    <row r="1010" spans="1:31" x14ac:dyDescent="0.35">
      <c r="A1010" s="162">
        <v>46273</v>
      </c>
      <c r="B1010" s="163" t="s">
        <v>370</v>
      </c>
      <c r="C1010" s="163" t="s">
        <v>93</v>
      </c>
      <c r="D1010" s="163" t="s">
        <v>262</v>
      </c>
      <c r="E1010" s="163" t="s">
        <v>106</v>
      </c>
      <c r="F1010" s="163" t="s">
        <v>135</v>
      </c>
      <c r="G1010" s="163"/>
      <c r="H1010" s="163" t="s">
        <v>115</v>
      </c>
      <c r="I1010" s="163" t="s">
        <v>121</v>
      </c>
      <c r="J1010" s="163"/>
      <c r="K1010" s="163" t="s">
        <v>365</v>
      </c>
      <c r="L1010" s="163"/>
      <c r="M1010" s="163" t="s">
        <v>1526</v>
      </c>
      <c r="N1010" s="163" t="s">
        <v>102</v>
      </c>
      <c r="O1010" s="162"/>
      <c r="P1010" s="163"/>
      <c r="Q1010" s="163"/>
      <c r="R1010" s="163"/>
      <c r="S1010" s="163" t="s">
        <v>103</v>
      </c>
      <c r="T1010" s="164">
        <v>20000</v>
      </c>
      <c r="U1010" s="164">
        <v>11130</v>
      </c>
      <c r="V1010" s="165">
        <v>46274</v>
      </c>
      <c r="W1010" s="163" t="s">
        <v>1625</v>
      </c>
      <c r="X1010" s="163" t="s">
        <v>52</v>
      </c>
      <c r="Y1010" s="163" t="s">
        <v>161</v>
      </c>
      <c r="Z1010" s="163"/>
      <c r="AA1010" s="162">
        <v>46274</v>
      </c>
      <c r="AB1010" s="195" t="str">
        <f t="shared" si="118"/>
        <v>Sep-26</v>
      </c>
      <c r="AC1010" s="163"/>
      <c r="AD1010" s="163" t="str">
        <f t="shared" si="119"/>
        <v/>
      </c>
      <c r="AE1010" s="163" t="s">
        <v>270</v>
      </c>
    </row>
    <row r="1011" spans="1:31" x14ac:dyDescent="0.35">
      <c r="A1011" s="162">
        <v>46273</v>
      </c>
      <c r="B1011" s="163" t="s">
        <v>370</v>
      </c>
      <c r="C1011" s="163" t="s">
        <v>93</v>
      </c>
      <c r="D1011" s="163" t="s">
        <v>1626</v>
      </c>
      <c r="E1011" s="163" t="s">
        <v>106</v>
      </c>
      <c r="F1011" s="163" t="s">
        <v>135</v>
      </c>
      <c r="G1011" s="163"/>
      <c r="H1011" s="163" t="s">
        <v>115</v>
      </c>
      <c r="I1011" s="163" t="s">
        <v>121</v>
      </c>
      <c r="J1011" s="163" t="s">
        <v>356</v>
      </c>
      <c r="K1011" s="163" t="s">
        <v>1627</v>
      </c>
      <c r="L1011" s="163"/>
      <c r="M1011" s="163" t="s">
        <v>1307</v>
      </c>
      <c r="N1011" s="163" t="s">
        <v>181</v>
      </c>
      <c r="O1011" s="162">
        <v>46291</v>
      </c>
      <c r="P1011" s="163" t="s">
        <v>95</v>
      </c>
      <c r="Q1011" s="163"/>
      <c r="R1011" s="163"/>
      <c r="S1011" s="163" t="s">
        <v>103</v>
      </c>
      <c r="T1011" s="164">
        <v>85000</v>
      </c>
      <c r="U1011" s="164"/>
      <c r="V1011" s="165"/>
      <c r="W1011" s="163"/>
      <c r="X1011" s="163"/>
      <c r="Y1011" s="163"/>
      <c r="Z1011" s="163"/>
      <c r="AA1011" s="162"/>
      <c r="AB1011" s="195" t="str">
        <f t="shared" si="118"/>
        <v>Sep-26</v>
      </c>
      <c r="AC1011" s="163"/>
      <c r="AD1011" s="163"/>
      <c r="AE1011" s="163"/>
    </row>
    <row r="1012" spans="1:31" x14ac:dyDescent="0.35">
      <c r="A1012" s="162">
        <v>46273</v>
      </c>
      <c r="B1012" s="163" t="s">
        <v>370</v>
      </c>
      <c r="C1012" s="163" t="s">
        <v>93</v>
      </c>
      <c r="D1012" s="163" t="s">
        <v>1628</v>
      </c>
      <c r="E1012" s="163" t="s">
        <v>106</v>
      </c>
      <c r="F1012" s="163" t="s">
        <v>135</v>
      </c>
      <c r="G1012" s="163"/>
      <c r="H1012" s="163" t="s">
        <v>115</v>
      </c>
      <c r="I1012" s="163" t="s">
        <v>121</v>
      </c>
      <c r="J1012" s="163" t="s">
        <v>438</v>
      </c>
      <c r="K1012" s="163" t="s">
        <v>1629</v>
      </c>
      <c r="L1012" s="163"/>
      <c r="M1012" s="163" t="s">
        <v>1307</v>
      </c>
      <c r="N1012" s="163" t="s">
        <v>495</v>
      </c>
      <c r="O1012" s="162">
        <v>46297</v>
      </c>
      <c r="P1012" s="163" t="s">
        <v>106</v>
      </c>
      <c r="Q1012" s="163"/>
      <c r="R1012" s="163"/>
      <c r="S1012" s="163" t="s">
        <v>129</v>
      </c>
      <c r="T1012" s="164">
        <v>100000</v>
      </c>
      <c r="U1012" s="164"/>
      <c r="V1012" s="165"/>
      <c r="W1012" s="163"/>
      <c r="X1012" s="163"/>
      <c r="Y1012" s="163"/>
      <c r="Z1012" s="163"/>
      <c r="AA1012" s="162"/>
      <c r="AB1012" s="195" t="str">
        <f t="shared" si="118"/>
        <v>Sep-26</v>
      </c>
      <c r="AC1012" s="163"/>
      <c r="AD1012" s="163"/>
      <c r="AE1012" s="163"/>
    </row>
    <row r="1013" spans="1:31" x14ac:dyDescent="0.35">
      <c r="A1013" s="162">
        <v>46273</v>
      </c>
      <c r="B1013" s="163" t="s">
        <v>92</v>
      </c>
      <c r="C1013" s="163" t="s">
        <v>93</v>
      </c>
      <c r="D1013" s="163" t="s">
        <v>1630</v>
      </c>
      <c r="E1013" s="163" t="s">
        <v>106</v>
      </c>
      <c r="F1013" s="163" t="s">
        <v>135</v>
      </c>
      <c r="G1013" s="163" t="s">
        <v>12</v>
      </c>
      <c r="H1013" s="163" t="s">
        <v>115</v>
      </c>
      <c r="I1013" s="163" t="s">
        <v>121</v>
      </c>
      <c r="J1013" s="163" t="s">
        <v>99</v>
      </c>
      <c r="K1013" s="163" t="s">
        <v>1631</v>
      </c>
      <c r="L1013" s="163"/>
      <c r="M1013" s="163" t="s">
        <v>1632</v>
      </c>
      <c r="N1013" s="163" t="s">
        <v>495</v>
      </c>
      <c r="O1013" s="162">
        <v>46281</v>
      </c>
      <c r="P1013" s="163"/>
      <c r="Q1013" s="163"/>
      <c r="R1013" s="163"/>
      <c r="S1013" s="163" t="s">
        <v>103</v>
      </c>
      <c r="T1013" s="164">
        <v>612000</v>
      </c>
      <c r="U1013" s="164"/>
      <c r="V1013" s="165"/>
      <c r="W1013" s="163"/>
      <c r="X1013" s="163"/>
      <c r="Y1013" s="163"/>
      <c r="Z1013" s="163"/>
      <c r="AA1013" s="162"/>
      <c r="AB1013" s="195" t="str">
        <f t="shared" si="118"/>
        <v>Sep-26</v>
      </c>
      <c r="AC1013" s="163"/>
      <c r="AD1013" s="163"/>
      <c r="AE1013" s="163"/>
    </row>
    <row r="1014" spans="1:31" x14ac:dyDescent="0.35">
      <c r="A1014" s="162">
        <v>46273</v>
      </c>
      <c r="B1014" s="163" t="s">
        <v>125</v>
      </c>
      <c r="C1014" s="163" t="s">
        <v>113</v>
      </c>
      <c r="D1014" s="163" t="s">
        <v>260</v>
      </c>
      <c r="E1014" s="163" t="s">
        <v>106</v>
      </c>
      <c r="F1014" s="163" t="s">
        <v>96</v>
      </c>
      <c r="G1014" s="163" t="s">
        <v>15</v>
      </c>
      <c r="H1014" s="163" t="s">
        <v>163</v>
      </c>
      <c r="I1014" s="163" t="s">
        <v>121</v>
      </c>
      <c r="J1014" s="163" t="s">
        <v>147</v>
      </c>
      <c r="K1014" s="163" t="s">
        <v>1633</v>
      </c>
      <c r="L1014" s="163"/>
      <c r="M1014" s="163" t="s">
        <v>159</v>
      </c>
      <c r="N1014" s="163" t="s">
        <v>102</v>
      </c>
      <c r="O1014" s="162"/>
      <c r="P1014" s="163"/>
      <c r="Q1014" s="163"/>
      <c r="R1014" s="163"/>
      <c r="S1014" s="163" t="s">
        <v>103</v>
      </c>
      <c r="T1014" s="164">
        <v>10000</v>
      </c>
      <c r="U1014" s="164">
        <v>7670</v>
      </c>
      <c r="V1014" s="165">
        <v>46273</v>
      </c>
      <c r="W1014" s="163" t="s">
        <v>1634</v>
      </c>
      <c r="X1014" s="163" t="s">
        <v>39</v>
      </c>
      <c r="Y1014" s="163" t="s">
        <v>85</v>
      </c>
      <c r="Z1014" s="163"/>
      <c r="AA1014" s="162"/>
      <c r="AB1014" s="195" t="str">
        <f t="shared" si="118"/>
        <v>Sep-26</v>
      </c>
      <c r="AC1014" s="163"/>
      <c r="AD1014" s="163" t="str">
        <f t="shared" ref="AD1014:AD1042" si="120">IF(AC1014="Yes",U1014*2%,"")</f>
        <v/>
      </c>
      <c r="AE1014" s="163"/>
    </row>
    <row r="1015" spans="1:31" x14ac:dyDescent="0.35">
      <c r="A1015" s="162">
        <v>46273</v>
      </c>
      <c r="B1015" s="163" t="s">
        <v>148</v>
      </c>
      <c r="C1015" s="163" t="s">
        <v>113</v>
      </c>
      <c r="D1015" s="205" t="s">
        <v>1635</v>
      </c>
      <c r="E1015" s="163" t="s">
        <v>106</v>
      </c>
      <c r="F1015" s="163" t="s">
        <v>135</v>
      </c>
      <c r="G1015" s="163"/>
      <c r="H1015" s="163" t="s">
        <v>115</v>
      </c>
      <c r="I1015" s="163" t="s">
        <v>121</v>
      </c>
      <c r="J1015" s="163" t="s">
        <v>432</v>
      </c>
      <c r="K1015" s="205" t="s">
        <v>1636</v>
      </c>
      <c r="L1015" s="163"/>
      <c r="M1015" s="163" t="s">
        <v>1619</v>
      </c>
      <c r="N1015" s="163" t="s">
        <v>128</v>
      </c>
      <c r="O1015" s="162"/>
      <c r="P1015" s="163"/>
      <c r="Q1015" s="163"/>
      <c r="R1015" s="163"/>
      <c r="S1015" s="163" t="s">
        <v>129</v>
      </c>
      <c r="T1015" s="164"/>
      <c r="U1015" s="164"/>
      <c r="V1015" s="165"/>
      <c r="W1015" s="163"/>
      <c r="X1015" s="163"/>
      <c r="Y1015" s="163"/>
      <c r="Z1015" s="163"/>
      <c r="AA1015" s="162"/>
      <c r="AB1015" s="195" t="str">
        <f t="shared" si="118"/>
        <v>Sep-26</v>
      </c>
      <c r="AC1015" s="163"/>
      <c r="AD1015" s="163" t="str">
        <f t="shared" si="120"/>
        <v/>
      </c>
      <c r="AE1015" s="163"/>
    </row>
    <row r="1016" spans="1:31" x14ac:dyDescent="0.35">
      <c r="A1016" s="162">
        <v>46273</v>
      </c>
      <c r="B1016" s="163" t="s">
        <v>148</v>
      </c>
      <c r="C1016" s="163" t="s">
        <v>113</v>
      </c>
      <c r="D1016" s="205" t="s">
        <v>1637</v>
      </c>
      <c r="E1016" s="163" t="s">
        <v>106</v>
      </c>
      <c r="F1016" s="163" t="s">
        <v>135</v>
      </c>
      <c r="G1016" s="163"/>
      <c r="H1016" s="163" t="s">
        <v>115</v>
      </c>
      <c r="I1016" s="163" t="s">
        <v>121</v>
      </c>
      <c r="J1016" s="163" t="s">
        <v>147</v>
      </c>
      <c r="K1016" s="205" t="s">
        <v>1638</v>
      </c>
      <c r="L1016" s="163"/>
      <c r="M1016" s="163" t="s">
        <v>1639</v>
      </c>
      <c r="N1016" s="163" t="s">
        <v>128</v>
      </c>
      <c r="O1016" s="162"/>
      <c r="P1016" s="163"/>
      <c r="Q1016" s="163"/>
      <c r="R1016" s="163"/>
      <c r="S1016" s="163" t="s">
        <v>129</v>
      </c>
      <c r="T1016" s="164"/>
      <c r="U1016" s="164"/>
      <c r="V1016" s="165"/>
      <c r="W1016" s="163"/>
      <c r="X1016" s="163"/>
      <c r="Y1016" s="163"/>
      <c r="Z1016" s="163"/>
      <c r="AA1016" s="162"/>
      <c r="AB1016" s="195" t="str">
        <f t="shared" si="118"/>
        <v>Sep-26</v>
      </c>
      <c r="AC1016" s="163"/>
      <c r="AD1016" s="163" t="str">
        <f t="shared" si="120"/>
        <v/>
      </c>
      <c r="AE1016" s="163"/>
    </row>
    <row r="1017" spans="1:31" x14ac:dyDescent="0.35">
      <c r="A1017" s="162">
        <v>46274</v>
      </c>
      <c r="B1017" s="163" t="s">
        <v>92</v>
      </c>
      <c r="C1017" s="163" t="s">
        <v>93</v>
      </c>
      <c r="D1017" s="163" t="s">
        <v>19</v>
      </c>
      <c r="E1017" s="163" t="s">
        <v>106</v>
      </c>
      <c r="F1017" s="163" t="s">
        <v>96</v>
      </c>
      <c r="G1017" s="163" t="s">
        <v>10</v>
      </c>
      <c r="H1017" s="163" t="s">
        <v>115</v>
      </c>
      <c r="I1017" s="163" t="s">
        <v>121</v>
      </c>
      <c r="J1017" s="163" t="s">
        <v>99</v>
      </c>
      <c r="K1017" s="163" t="s">
        <v>256</v>
      </c>
      <c r="L1017" s="163"/>
      <c r="M1017" s="163" t="s">
        <v>159</v>
      </c>
      <c r="N1017" s="163" t="s">
        <v>102</v>
      </c>
      <c r="O1017" s="162"/>
      <c r="P1017" s="163"/>
      <c r="Q1017" s="163"/>
      <c r="R1017" s="163" t="str">
        <f ca="1">IF(OR(N1017="Closed( C4 )",N1017="Cancelled"),"",IF(AND(O1017&lt;&gt;"",O1017&lt;TODAY()),"Yes",""))</f>
        <v/>
      </c>
      <c r="S1017" s="163" t="s">
        <v>103</v>
      </c>
      <c r="T1017" s="164">
        <v>100000</v>
      </c>
      <c r="U1017" s="164">
        <v>126000</v>
      </c>
      <c r="V1017" s="165">
        <v>46274</v>
      </c>
      <c r="W1017" s="163" t="s">
        <v>1640</v>
      </c>
      <c r="X1017" s="163" t="s">
        <v>27</v>
      </c>
      <c r="Y1017" s="163" t="s">
        <v>85</v>
      </c>
      <c r="Z1017" s="163"/>
      <c r="AA1017" s="162"/>
      <c r="AB1017" s="195" t="str">
        <f t="shared" si="118"/>
        <v>Sep-26</v>
      </c>
      <c r="AC1017" s="163"/>
      <c r="AD1017" s="163" t="str">
        <f t="shared" si="120"/>
        <v/>
      </c>
      <c r="AE1017" s="163"/>
    </row>
    <row r="1018" spans="1:31" x14ac:dyDescent="0.35">
      <c r="A1018" s="162">
        <v>46274</v>
      </c>
      <c r="B1018" s="163" t="s">
        <v>125</v>
      </c>
      <c r="C1018" s="163" t="s">
        <v>93</v>
      </c>
      <c r="D1018" s="163" t="s">
        <v>19</v>
      </c>
      <c r="E1018" s="163" t="s">
        <v>95</v>
      </c>
      <c r="F1018" s="163" t="s">
        <v>96</v>
      </c>
      <c r="G1018" s="163" t="s">
        <v>10</v>
      </c>
      <c r="H1018" s="163" t="s">
        <v>115</v>
      </c>
      <c r="I1018" s="163" t="s">
        <v>121</v>
      </c>
      <c r="J1018" s="163" t="s">
        <v>99</v>
      </c>
      <c r="K1018" s="163" t="s">
        <v>256</v>
      </c>
      <c r="L1018" s="163"/>
      <c r="M1018" s="163" t="s">
        <v>159</v>
      </c>
      <c r="N1018" s="163" t="s">
        <v>102</v>
      </c>
      <c r="O1018" s="162"/>
      <c r="P1018" s="163"/>
      <c r="Q1018" s="163"/>
      <c r="R1018" s="163" t="str">
        <f ca="1">IF(OR(N1018="Closed( C4 )",N1018="Cancelled"),"",IF(AND(O1018&lt;&gt;"",O1018&lt;TODAY()),"Yes",""))</f>
        <v/>
      </c>
      <c r="S1018" s="163" t="s">
        <v>103</v>
      </c>
      <c r="T1018" s="164">
        <v>100000</v>
      </c>
      <c r="U1018" s="164">
        <v>126000</v>
      </c>
      <c r="V1018" s="165">
        <v>46274</v>
      </c>
      <c r="W1018" s="163" t="s">
        <v>1640</v>
      </c>
      <c r="X1018" s="163" t="s">
        <v>27</v>
      </c>
      <c r="Y1018" s="163" t="s">
        <v>85</v>
      </c>
      <c r="Z1018" s="163"/>
      <c r="AA1018" s="162"/>
      <c r="AB1018" s="195" t="str">
        <f t="shared" si="118"/>
        <v>Sep-26</v>
      </c>
      <c r="AC1018" s="163"/>
      <c r="AD1018" s="163" t="str">
        <f t="shared" si="120"/>
        <v/>
      </c>
      <c r="AE1018" s="163"/>
    </row>
    <row r="1019" spans="1:31" x14ac:dyDescent="0.35">
      <c r="A1019" s="162">
        <v>46274</v>
      </c>
      <c r="B1019" s="163" t="s">
        <v>92</v>
      </c>
      <c r="C1019" s="163" t="s">
        <v>93</v>
      </c>
      <c r="D1019" s="163" t="s">
        <v>1641</v>
      </c>
      <c r="E1019" s="163" t="s">
        <v>106</v>
      </c>
      <c r="F1019" s="163" t="s">
        <v>226</v>
      </c>
      <c r="G1019" s="163"/>
      <c r="H1019" s="163" t="s">
        <v>163</v>
      </c>
      <c r="I1019" s="163" t="s">
        <v>121</v>
      </c>
      <c r="J1019" s="163" t="s">
        <v>1495</v>
      </c>
      <c r="K1019" s="163" t="s">
        <v>324</v>
      </c>
      <c r="L1019" s="163"/>
      <c r="M1019" s="163" t="s">
        <v>1642</v>
      </c>
      <c r="N1019" s="163" t="s">
        <v>495</v>
      </c>
      <c r="O1019" s="162">
        <v>46297</v>
      </c>
      <c r="P1019" s="163"/>
      <c r="Q1019" s="163"/>
      <c r="R1019" s="163"/>
      <c r="S1019" s="163" t="s">
        <v>103</v>
      </c>
      <c r="T1019" s="164">
        <v>600000</v>
      </c>
      <c r="U1019" s="164"/>
      <c r="V1019" s="165">
        <v>46305</v>
      </c>
      <c r="W1019" s="163"/>
      <c r="X1019" s="163" t="s">
        <v>57</v>
      </c>
      <c r="Y1019" s="163"/>
      <c r="Z1019" s="163"/>
      <c r="AA1019" s="162"/>
      <c r="AB1019" s="195" t="str">
        <f t="shared" si="118"/>
        <v>Oct-26</v>
      </c>
      <c r="AC1019" s="163"/>
      <c r="AD1019" s="163" t="str">
        <f t="shared" si="120"/>
        <v/>
      </c>
      <c r="AE1019" s="163"/>
    </row>
    <row r="1020" spans="1:31" x14ac:dyDescent="0.35">
      <c r="A1020" s="162">
        <v>46274</v>
      </c>
      <c r="B1020" s="163" t="s">
        <v>370</v>
      </c>
      <c r="C1020" s="163" t="s">
        <v>93</v>
      </c>
      <c r="D1020" s="163" t="s">
        <v>1643</v>
      </c>
      <c r="E1020" s="163" t="s">
        <v>106</v>
      </c>
      <c r="F1020" s="163" t="s">
        <v>115</v>
      </c>
      <c r="G1020" s="163"/>
      <c r="H1020" s="163" t="s">
        <v>115</v>
      </c>
      <c r="I1020" s="163" t="s">
        <v>121</v>
      </c>
      <c r="J1020" s="163" t="s">
        <v>356</v>
      </c>
      <c r="K1020" s="163" t="s">
        <v>774</v>
      </c>
      <c r="L1020" s="163"/>
      <c r="M1020" s="163" t="s">
        <v>1307</v>
      </c>
      <c r="N1020" s="163" t="s">
        <v>128</v>
      </c>
      <c r="O1020" s="162">
        <v>46283</v>
      </c>
      <c r="P1020" s="163" t="s">
        <v>95</v>
      </c>
      <c r="Q1020" s="163"/>
      <c r="R1020" s="163"/>
      <c r="S1020" s="163" t="s">
        <v>129</v>
      </c>
      <c r="T1020" s="164">
        <v>30000</v>
      </c>
      <c r="U1020" s="164"/>
      <c r="V1020" s="165"/>
      <c r="W1020" s="163"/>
      <c r="X1020" s="163"/>
      <c r="Y1020" s="163"/>
      <c r="Z1020" s="163"/>
      <c r="AA1020" s="162"/>
      <c r="AB1020" s="195" t="str">
        <f t="shared" si="118"/>
        <v>Sep-26</v>
      </c>
      <c r="AC1020" s="163"/>
      <c r="AD1020" s="163" t="str">
        <f t="shared" si="120"/>
        <v/>
      </c>
      <c r="AE1020" s="163"/>
    </row>
    <row r="1021" spans="1:31" x14ac:dyDescent="0.35">
      <c r="A1021" s="162">
        <v>46274</v>
      </c>
      <c r="B1021" s="163" t="s">
        <v>370</v>
      </c>
      <c r="C1021" s="163" t="s">
        <v>93</v>
      </c>
      <c r="D1021" s="163" t="s">
        <v>1644</v>
      </c>
      <c r="E1021" s="163" t="s">
        <v>106</v>
      </c>
      <c r="F1021" s="163" t="s">
        <v>135</v>
      </c>
      <c r="G1021" s="163"/>
      <c r="H1021" s="163" t="s">
        <v>115</v>
      </c>
      <c r="I1021" s="163" t="s">
        <v>121</v>
      </c>
      <c r="J1021" s="163" t="s">
        <v>147</v>
      </c>
      <c r="K1021" s="163" t="s">
        <v>964</v>
      </c>
      <c r="L1021" s="163"/>
      <c r="M1021" s="163" t="s">
        <v>914</v>
      </c>
      <c r="N1021" s="163" t="s">
        <v>130</v>
      </c>
      <c r="O1021" s="162">
        <v>46283</v>
      </c>
      <c r="P1021" s="163" t="s">
        <v>106</v>
      </c>
      <c r="Q1021" s="163"/>
      <c r="R1021" s="163"/>
      <c r="S1021" s="163" t="s">
        <v>129</v>
      </c>
      <c r="T1021" s="164">
        <v>70000</v>
      </c>
      <c r="U1021" s="164"/>
      <c r="V1021" s="165"/>
      <c r="W1021" s="163"/>
      <c r="X1021" s="163"/>
      <c r="Y1021" s="163"/>
      <c r="Z1021" s="163"/>
      <c r="AA1021" s="162"/>
      <c r="AB1021" s="195" t="str">
        <f t="shared" si="118"/>
        <v>Sep-26</v>
      </c>
      <c r="AC1021" s="163"/>
      <c r="AD1021" s="163" t="str">
        <f t="shared" si="120"/>
        <v/>
      </c>
      <c r="AE1021" s="163"/>
    </row>
    <row r="1022" spans="1:31" x14ac:dyDescent="0.35">
      <c r="A1022" s="162">
        <v>46274</v>
      </c>
      <c r="B1022" s="163" t="s">
        <v>370</v>
      </c>
      <c r="C1022" s="163" t="s">
        <v>93</v>
      </c>
      <c r="D1022" s="163" t="s">
        <v>1645</v>
      </c>
      <c r="E1022" s="163" t="s">
        <v>106</v>
      </c>
      <c r="F1022" s="163" t="s">
        <v>115</v>
      </c>
      <c r="G1022" s="163"/>
      <c r="H1022" s="163" t="s">
        <v>115</v>
      </c>
      <c r="I1022" s="163" t="s">
        <v>121</v>
      </c>
      <c r="J1022" s="163" t="s">
        <v>356</v>
      </c>
      <c r="K1022" s="163" t="s">
        <v>1646</v>
      </c>
      <c r="L1022" s="163"/>
      <c r="M1022" s="163" t="s">
        <v>1307</v>
      </c>
      <c r="N1022" s="163" t="s">
        <v>495</v>
      </c>
      <c r="O1022" s="162">
        <v>46288</v>
      </c>
      <c r="P1022" s="163" t="s">
        <v>95</v>
      </c>
      <c r="Q1022" s="163"/>
      <c r="R1022" s="163"/>
      <c r="S1022" s="163" t="s">
        <v>129</v>
      </c>
      <c r="T1022" s="164">
        <v>40000</v>
      </c>
      <c r="U1022" s="164"/>
      <c r="V1022" s="165"/>
      <c r="W1022" s="163"/>
      <c r="X1022" s="163"/>
      <c r="Y1022" s="163"/>
      <c r="Z1022" s="163"/>
      <c r="AA1022" s="162"/>
      <c r="AB1022" s="195" t="str">
        <f t="shared" si="118"/>
        <v>Sep-26</v>
      </c>
      <c r="AC1022" s="163"/>
      <c r="AD1022" s="163" t="str">
        <f t="shared" si="120"/>
        <v/>
      </c>
      <c r="AE1022" s="163"/>
    </row>
    <row r="1023" spans="1:31" x14ac:dyDescent="0.35">
      <c r="A1023" s="162">
        <v>46274</v>
      </c>
      <c r="B1023" s="163" t="s">
        <v>370</v>
      </c>
      <c r="C1023" s="163" t="s">
        <v>93</v>
      </c>
      <c r="D1023" s="163" t="s">
        <v>1647</v>
      </c>
      <c r="E1023" s="163" t="s">
        <v>106</v>
      </c>
      <c r="F1023" s="163" t="s">
        <v>115</v>
      </c>
      <c r="G1023" s="163"/>
      <c r="H1023" s="163" t="s">
        <v>115</v>
      </c>
      <c r="I1023" s="163" t="s">
        <v>121</v>
      </c>
      <c r="J1023" s="163" t="s">
        <v>438</v>
      </c>
      <c r="K1023" s="163" t="s">
        <v>1648</v>
      </c>
      <c r="L1023" s="163"/>
      <c r="M1023" s="163" t="s">
        <v>1307</v>
      </c>
      <c r="N1023" s="163" t="s">
        <v>130</v>
      </c>
      <c r="O1023" s="162">
        <v>46285</v>
      </c>
      <c r="P1023" s="163" t="s">
        <v>95</v>
      </c>
      <c r="Q1023" s="163"/>
      <c r="R1023" s="163"/>
      <c r="S1023" s="163" t="s">
        <v>129</v>
      </c>
      <c r="T1023" s="164">
        <v>35000</v>
      </c>
      <c r="U1023" s="164"/>
      <c r="V1023" s="165"/>
      <c r="W1023" s="163"/>
      <c r="X1023" s="163"/>
      <c r="Y1023" s="163"/>
      <c r="Z1023" s="163"/>
      <c r="AA1023" s="162"/>
      <c r="AB1023" s="195" t="str">
        <f t="shared" si="118"/>
        <v>Sep-26</v>
      </c>
      <c r="AC1023" s="163"/>
      <c r="AD1023" s="163" t="str">
        <f t="shared" si="120"/>
        <v/>
      </c>
      <c r="AE1023" s="163"/>
    </row>
    <row r="1024" spans="1:31" x14ac:dyDescent="0.35">
      <c r="A1024" s="162">
        <v>46274</v>
      </c>
      <c r="B1024" s="163" t="s">
        <v>125</v>
      </c>
      <c r="C1024" s="163" t="s">
        <v>113</v>
      </c>
      <c r="D1024" s="163" t="s">
        <v>1649</v>
      </c>
      <c r="E1024" s="163" t="s">
        <v>106</v>
      </c>
      <c r="F1024" s="163" t="s">
        <v>135</v>
      </c>
      <c r="G1024" s="163"/>
      <c r="H1024" s="163" t="s">
        <v>115</v>
      </c>
      <c r="I1024" s="163" t="s">
        <v>121</v>
      </c>
      <c r="J1024" s="163" t="s">
        <v>454</v>
      </c>
      <c r="K1024" s="163" t="s">
        <v>1220</v>
      </c>
      <c r="L1024" s="163"/>
      <c r="M1024" s="163" t="s">
        <v>159</v>
      </c>
      <c r="N1024" s="163" t="s">
        <v>102</v>
      </c>
      <c r="O1024" s="162"/>
      <c r="P1024" s="163"/>
      <c r="Q1024" s="163"/>
      <c r="R1024" s="163"/>
      <c r="S1024" s="163" t="s">
        <v>103</v>
      </c>
      <c r="T1024" s="164">
        <v>20000</v>
      </c>
      <c r="U1024" s="164">
        <v>22733</v>
      </c>
      <c r="V1024" s="165">
        <v>46274</v>
      </c>
      <c r="W1024" s="163" t="s">
        <v>1650</v>
      </c>
      <c r="X1024" s="163" t="s">
        <v>46</v>
      </c>
      <c r="Y1024" s="163" t="s">
        <v>161</v>
      </c>
      <c r="Z1024" s="163"/>
      <c r="AA1024" s="162"/>
      <c r="AB1024" s="195" t="str">
        <f t="shared" si="118"/>
        <v>Sep-26</v>
      </c>
      <c r="AC1024" s="163"/>
      <c r="AD1024" s="163" t="str">
        <f t="shared" si="120"/>
        <v/>
      </c>
      <c r="AE1024" s="163"/>
    </row>
    <row r="1025" spans="1:39" x14ac:dyDescent="0.35">
      <c r="A1025" s="162">
        <v>46274</v>
      </c>
      <c r="B1025" s="163" t="s">
        <v>125</v>
      </c>
      <c r="C1025" s="163" t="s">
        <v>113</v>
      </c>
      <c r="D1025" s="171" t="s">
        <v>246</v>
      </c>
      <c r="E1025" s="163" t="s">
        <v>106</v>
      </c>
      <c r="F1025" s="163" t="s">
        <v>96</v>
      </c>
      <c r="G1025" s="163" t="s">
        <v>15</v>
      </c>
      <c r="H1025" s="163" t="s">
        <v>163</v>
      </c>
      <c r="I1025" s="163" t="s">
        <v>121</v>
      </c>
      <c r="J1025" s="163" t="s">
        <v>147</v>
      </c>
      <c r="K1025" s="163" t="s">
        <v>1633</v>
      </c>
      <c r="L1025" s="163"/>
      <c r="M1025" s="163" t="s">
        <v>159</v>
      </c>
      <c r="N1025" s="163" t="s">
        <v>102</v>
      </c>
      <c r="O1025" s="162"/>
      <c r="P1025" s="163"/>
      <c r="Q1025" s="163"/>
      <c r="R1025" s="163"/>
      <c r="S1025" s="163" t="s">
        <v>103</v>
      </c>
      <c r="T1025" s="164">
        <v>10000</v>
      </c>
      <c r="U1025" s="164">
        <v>8695</v>
      </c>
      <c r="V1025" s="165">
        <v>46274</v>
      </c>
      <c r="W1025" s="163" t="s">
        <v>1634</v>
      </c>
      <c r="X1025" s="163" t="s">
        <v>39</v>
      </c>
      <c r="Y1025" s="163" t="s">
        <v>85</v>
      </c>
      <c r="Z1025" s="163"/>
      <c r="AA1025" s="162"/>
      <c r="AB1025" s="195" t="str">
        <f t="shared" si="118"/>
        <v>Sep-26</v>
      </c>
      <c r="AC1025" s="163"/>
      <c r="AD1025" s="163" t="str">
        <f t="shared" si="120"/>
        <v/>
      </c>
      <c r="AE1025" s="163"/>
    </row>
    <row r="1026" spans="1:39" x14ac:dyDescent="0.35">
      <c r="A1026" s="162">
        <v>46274</v>
      </c>
      <c r="B1026" s="163" t="s">
        <v>125</v>
      </c>
      <c r="C1026" s="163" t="s">
        <v>113</v>
      </c>
      <c r="D1026" s="163" t="s">
        <v>1651</v>
      </c>
      <c r="E1026" s="163" t="s">
        <v>106</v>
      </c>
      <c r="F1026" s="163" t="s">
        <v>135</v>
      </c>
      <c r="G1026" s="163"/>
      <c r="H1026" s="163" t="s">
        <v>163</v>
      </c>
      <c r="I1026" s="163" t="s">
        <v>121</v>
      </c>
      <c r="J1026" s="163" t="s">
        <v>147</v>
      </c>
      <c r="K1026" s="163" t="s">
        <v>144</v>
      </c>
      <c r="L1026" s="163"/>
      <c r="M1026" s="163" t="s">
        <v>159</v>
      </c>
      <c r="N1026" s="163" t="s">
        <v>102</v>
      </c>
      <c r="O1026" s="162"/>
      <c r="P1026" s="163"/>
      <c r="Q1026" s="163"/>
      <c r="R1026" s="163"/>
      <c r="S1026" s="163" t="s">
        <v>103</v>
      </c>
      <c r="T1026" s="164">
        <v>10000</v>
      </c>
      <c r="U1026" s="164">
        <v>27748</v>
      </c>
      <c r="V1026" s="165">
        <v>46274</v>
      </c>
      <c r="W1026" s="163" t="s">
        <v>1652</v>
      </c>
      <c r="X1026" s="163" t="s">
        <v>37</v>
      </c>
      <c r="Y1026" s="163" t="s">
        <v>85</v>
      </c>
      <c r="Z1026" s="163"/>
      <c r="AA1026" s="162"/>
      <c r="AB1026" s="195" t="str">
        <f t="shared" si="118"/>
        <v>Sep-26</v>
      </c>
      <c r="AC1026" s="163"/>
      <c r="AD1026" s="163" t="str">
        <f t="shared" si="120"/>
        <v/>
      </c>
      <c r="AE1026" s="163"/>
    </row>
    <row r="1027" spans="1:39" x14ac:dyDescent="0.35">
      <c r="A1027" s="162">
        <v>46274</v>
      </c>
      <c r="B1027" s="163" t="s">
        <v>148</v>
      </c>
      <c r="C1027" s="163" t="s">
        <v>113</v>
      </c>
      <c r="D1027" s="207" t="s">
        <v>1653</v>
      </c>
      <c r="E1027" s="163" t="s">
        <v>106</v>
      </c>
      <c r="F1027" s="163" t="s">
        <v>135</v>
      </c>
      <c r="G1027" s="163"/>
      <c r="H1027" s="163" t="s">
        <v>115</v>
      </c>
      <c r="I1027" s="163" t="s">
        <v>121</v>
      </c>
      <c r="J1027" s="163" t="s">
        <v>432</v>
      </c>
      <c r="K1027" s="205" t="s">
        <v>1654</v>
      </c>
      <c r="L1027" s="163"/>
      <c r="M1027" s="163" t="s">
        <v>1639</v>
      </c>
      <c r="N1027" s="163" t="s">
        <v>128</v>
      </c>
      <c r="O1027" s="162"/>
      <c r="P1027" s="163"/>
      <c r="Q1027" s="163"/>
      <c r="R1027" s="163"/>
      <c r="S1027" s="163" t="s">
        <v>129</v>
      </c>
      <c r="T1027" s="164"/>
      <c r="U1027" s="164"/>
      <c r="V1027" s="165"/>
      <c r="W1027" s="163"/>
      <c r="X1027" s="163"/>
      <c r="Y1027" s="163"/>
      <c r="Z1027" s="163"/>
      <c r="AA1027" s="162"/>
      <c r="AB1027" s="195" t="str">
        <f t="shared" si="118"/>
        <v>Sep-26</v>
      </c>
      <c r="AC1027" s="163"/>
      <c r="AD1027" s="163" t="str">
        <f t="shared" si="120"/>
        <v/>
      </c>
      <c r="AE1027" s="163"/>
    </row>
    <row r="1028" spans="1:39" x14ac:dyDescent="0.35">
      <c r="A1028" s="162">
        <v>46274</v>
      </c>
      <c r="B1028" s="163" t="s">
        <v>148</v>
      </c>
      <c r="C1028" s="163" t="s">
        <v>113</v>
      </c>
      <c r="D1028" s="205" t="s">
        <v>1655</v>
      </c>
      <c r="E1028" s="163" t="s">
        <v>106</v>
      </c>
      <c r="F1028" s="163" t="s">
        <v>135</v>
      </c>
      <c r="G1028" s="163"/>
      <c r="H1028" s="163" t="s">
        <v>115</v>
      </c>
      <c r="I1028" s="163" t="s">
        <v>121</v>
      </c>
      <c r="J1028" s="163" t="s">
        <v>432</v>
      </c>
      <c r="K1028" s="205" t="s">
        <v>1656</v>
      </c>
      <c r="L1028" s="163"/>
      <c r="M1028" s="163" t="s">
        <v>1639</v>
      </c>
      <c r="N1028" s="163" t="s">
        <v>128</v>
      </c>
      <c r="O1028" s="162"/>
      <c r="P1028" s="163"/>
      <c r="Q1028" s="163"/>
      <c r="R1028" s="163"/>
      <c r="S1028" s="163" t="s">
        <v>129</v>
      </c>
      <c r="T1028" s="164"/>
      <c r="U1028" s="164"/>
      <c r="V1028" s="165"/>
      <c r="W1028" s="163"/>
      <c r="X1028" s="163"/>
      <c r="Y1028" s="163"/>
      <c r="Z1028" s="163"/>
      <c r="AA1028" s="162"/>
      <c r="AB1028" s="195" t="str">
        <f t="shared" si="118"/>
        <v>Sep-26</v>
      </c>
      <c r="AC1028" s="163"/>
      <c r="AD1028" s="163" t="str">
        <f t="shared" si="120"/>
        <v/>
      </c>
      <c r="AE1028" s="163"/>
    </row>
    <row r="1029" spans="1:39" x14ac:dyDescent="0.35">
      <c r="A1029" s="162">
        <v>46274</v>
      </c>
      <c r="B1029" s="163" t="s">
        <v>148</v>
      </c>
      <c r="C1029" s="163" t="s">
        <v>113</v>
      </c>
      <c r="D1029" s="163" t="s">
        <v>165</v>
      </c>
      <c r="E1029" s="163" t="s">
        <v>95</v>
      </c>
      <c r="F1029" s="163" t="s">
        <v>135</v>
      </c>
      <c r="G1029" s="163" t="s">
        <v>10</v>
      </c>
      <c r="H1029" s="163" t="s">
        <v>115</v>
      </c>
      <c r="I1029" s="163" t="s">
        <v>98</v>
      </c>
      <c r="J1029" s="163" t="s">
        <v>166</v>
      </c>
      <c r="K1029" s="163" t="s">
        <v>167</v>
      </c>
      <c r="L1029" s="163"/>
      <c r="M1029" s="163" t="s">
        <v>159</v>
      </c>
      <c r="N1029" s="163" t="s">
        <v>102</v>
      </c>
      <c r="O1029" s="162"/>
      <c r="P1029" s="163"/>
      <c r="Q1029" s="163" t="str">
        <f ca="1">IF(N1029="Closed(C4)","",IF(N1029="","",TODAY()-A1029))</f>
        <v/>
      </c>
      <c r="R1029" s="163" t="str">
        <f ca="1">IF(OR(N1029="Closed( C4 )",N1029="Cancelled"),"",IF(AND(O1029&lt;&gt;"",O1029&lt;TODAY()),"Yes",""))</f>
        <v/>
      </c>
      <c r="S1029" s="163" t="s">
        <v>103</v>
      </c>
      <c r="T1029" s="164">
        <v>25000</v>
      </c>
      <c r="U1029" s="164">
        <v>24979</v>
      </c>
      <c r="V1029" s="165">
        <v>46274</v>
      </c>
      <c r="W1029" s="163" t="s">
        <v>1657</v>
      </c>
      <c r="X1029" s="163" t="s">
        <v>35</v>
      </c>
      <c r="Y1029" s="163" t="s">
        <v>1017</v>
      </c>
      <c r="Z1029" s="163"/>
      <c r="AA1029" s="162"/>
      <c r="AB1029" s="195" t="str">
        <f t="shared" si="118"/>
        <v>Sep-26</v>
      </c>
      <c r="AC1029" s="163"/>
      <c r="AD1029" s="163" t="str">
        <f t="shared" si="120"/>
        <v/>
      </c>
      <c r="AE1029" s="163"/>
    </row>
    <row r="1030" spans="1:39" x14ac:dyDescent="0.35">
      <c r="A1030" s="162">
        <v>46274</v>
      </c>
      <c r="B1030" s="163" t="s">
        <v>92</v>
      </c>
      <c r="C1030" s="163" t="s">
        <v>113</v>
      </c>
      <c r="D1030" s="163" t="s">
        <v>165</v>
      </c>
      <c r="E1030" s="163" t="s">
        <v>95</v>
      </c>
      <c r="F1030" s="163" t="s">
        <v>135</v>
      </c>
      <c r="G1030" s="163" t="s">
        <v>10</v>
      </c>
      <c r="H1030" s="163" t="s">
        <v>115</v>
      </c>
      <c r="I1030" s="163" t="s">
        <v>98</v>
      </c>
      <c r="J1030" s="163" t="s">
        <v>166</v>
      </c>
      <c r="K1030" s="163" t="s">
        <v>167</v>
      </c>
      <c r="L1030" s="163"/>
      <c r="M1030" s="163" t="s">
        <v>1299</v>
      </c>
      <c r="N1030" s="163" t="s">
        <v>102</v>
      </c>
      <c r="O1030" s="162"/>
      <c r="P1030" s="163"/>
      <c r="Q1030" s="163" t="str">
        <f ca="1">IF(N1030="Closed(C4)","",IF(N1030="","",TODAY()-A1030))</f>
        <v/>
      </c>
      <c r="R1030" s="163" t="str">
        <f ca="1">IF(OR(N1030="Closed( C4 )",N1030="Cancelled"),"",IF(AND(O1030&lt;&gt;"",O1030&lt;TODAY()),"Yes",""))</f>
        <v/>
      </c>
      <c r="S1030" s="163" t="s">
        <v>103</v>
      </c>
      <c r="T1030" s="164">
        <v>25000</v>
      </c>
      <c r="U1030" s="164">
        <v>24978</v>
      </c>
      <c r="V1030" s="165">
        <v>46274</v>
      </c>
      <c r="W1030" s="163" t="s">
        <v>1657</v>
      </c>
      <c r="X1030" s="163" t="s">
        <v>35</v>
      </c>
      <c r="Y1030" s="163" t="s">
        <v>1017</v>
      </c>
      <c r="Z1030" s="163"/>
      <c r="AA1030" s="162"/>
      <c r="AB1030" s="195" t="str">
        <f t="shared" ref="AB1030:AB1061" si="121">IF($V1030="",TEXT($A1030,"MMM-YY"),TEXT($V1030,"MMM-YY"))</f>
        <v>Sep-26</v>
      </c>
      <c r="AC1030" s="163"/>
      <c r="AD1030" s="163" t="str">
        <f t="shared" si="120"/>
        <v/>
      </c>
      <c r="AE1030" s="163"/>
    </row>
    <row r="1031" spans="1:39" x14ac:dyDescent="0.35">
      <c r="A1031" s="162">
        <v>46275</v>
      </c>
      <c r="B1031" s="163" t="s">
        <v>370</v>
      </c>
      <c r="C1031" s="163" t="s">
        <v>93</v>
      </c>
      <c r="D1031" s="163" t="s">
        <v>1658</v>
      </c>
      <c r="E1031" s="163" t="s">
        <v>106</v>
      </c>
      <c r="F1031" s="163" t="s">
        <v>115</v>
      </c>
      <c r="G1031" s="163"/>
      <c r="H1031" s="163" t="s">
        <v>115</v>
      </c>
      <c r="I1031" s="163" t="s">
        <v>121</v>
      </c>
      <c r="J1031" s="163" t="s">
        <v>438</v>
      </c>
      <c r="K1031" s="163" t="s">
        <v>1659</v>
      </c>
      <c r="L1031" s="163"/>
      <c r="M1031" s="163" t="s">
        <v>914</v>
      </c>
      <c r="N1031" s="163" t="s">
        <v>495</v>
      </c>
      <c r="O1031" s="162"/>
      <c r="P1031" s="163"/>
      <c r="Q1031" s="163"/>
      <c r="R1031" s="163"/>
      <c r="S1031" s="163" t="s">
        <v>133</v>
      </c>
      <c r="T1031" s="164">
        <v>30000</v>
      </c>
      <c r="U1031" s="164"/>
      <c r="V1031" s="165"/>
      <c r="W1031" s="163"/>
      <c r="X1031" s="163"/>
      <c r="Y1031" s="163"/>
      <c r="Z1031" s="163"/>
      <c r="AA1031" s="162"/>
      <c r="AB1031" s="195" t="str">
        <f t="shared" si="121"/>
        <v>Sep-26</v>
      </c>
      <c r="AC1031" s="163"/>
      <c r="AD1031" s="163" t="str">
        <f t="shared" si="120"/>
        <v/>
      </c>
      <c r="AE1031" s="163"/>
    </row>
    <row r="1032" spans="1:39" x14ac:dyDescent="0.35">
      <c r="A1032" s="162">
        <v>46275</v>
      </c>
      <c r="B1032" s="163" t="s">
        <v>370</v>
      </c>
      <c r="C1032" s="163" t="s">
        <v>93</v>
      </c>
      <c r="D1032" s="163" t="s">
        <v>1660</v>
      </c>
      <c r="E1032" s="163" t="s">
        <v>106</v>
      </c>
      <c r="F1032" s="163" t="s">
        <v>115</v>
      </c>
      <c r="G1032" s="163"/>
      <c r="H1032" s="163" t="s">
        <v>115</v>
      </c>
      <c r="I1032" s="163" t="s">
        <v>121</v>
      </c>
      <c r="J1032" s="163" t="s">
        <v>698</v>
      </c>
      <c r="K1032" s="163" t="s">
        <v>1661</v>
      </c>
      <c r="L1032" s="163"/>
      <c r="M1032" s="163" t="s">
        <v>914</v>
      </c>
      <c r="N1032" s="163" t="s">
        <v>128</v>
      </c>
      <c r="O1032" s="162">
        <v>46284</v>
      </c>
      <c r="P1032" s="163" t="s">
        <v>95</v>
      </c>
      <c r="Q1032" s="163"/>
      <c r="R1032" s="163"/>
      <c r="S1032" s="163" t="s">
        <v>129</v>
      </c>
      <c r="T1032" s="164">
        <v>40000</v>
      </c>
      <c r="U1032" s="164"/>
      <c r="V1032" s="165"/>
      <c r="W1032" s="163"/>
      <c r="X1032" s="163"/>
      <c r="Y1032" s="163"/>
      <c r="Z1032" s="163"/>
      <c r="AA1032" s="162"/>
      <c r="AB1032" s="195" t="str">
        <f t="shared" si="121"/>
        <v>Sep-26</v>
      </c>
      <c r="AC1032" s="163"/>
      <c r="AD1032" s="163" t="str">
        <f t="shared" si="120"/>
        <v/>
      </c>
      <c r="AE1032" s="163"/>
    </row>
    <row r="1033" spans="1:39" x14ac:dyDescent="0.35">
      <c r="A1033" s="162">
        <v>46275</v>
      </c>
      <c r="B1033" s="163" t="s">
        <v>370</v>
      </c>
      <c r="C1033" s="163" t="s">
        <v>93</v>
      </c>
      <c r="D1033" s="163" t="s">
        <v>1662</v>
      </c>
      <c r="E1033" s="163" t="s">
        <v>106</v>
      </c>
      <c r="F1033" s="163" t="s">
        <v>135</v>
      </c>
      <c r="G1033" s="163"/>
      <c r="H1033" s="163" t="s">
        <v>115</v>
      </c>
      <c r="I1033" s="163" t="s">
        <v>121</v>
      </c>
      <c r="J1033" s="163" t="s">
        <v>147</v>
      </c>
      <c r="K1033" s="163" t="s">
        <v>1663</v>
      </c>
      <c r="L1033" s="163"/>
      <c r="M1033" s="163" t="s">
        <v>1307</v>
      </c>
      <c r="N1033" s="163" t="s">
        <v>181</v>
      </c>
      <c r="O1033" s="162"/>
      <c r="P1033" s="163"/>
      <c r="Q1033" s="163"/>
      <c r="R1033" s="163"/>
      <c r="S1033" s="163" t="s">
        <v>103</v>
      </c>
      <c r="T1033" s="164">
        <v>65000</v>
      </c>
      <c r="U1033" s="164"/>
      <c r="V1033" s="165"/>
      <c r="W1033" s="163"/>
      <c r="X1033" s="163"/>
      <c r="Y1033" s="163"/>
      <c r="Z1033" s="163"/>
      <c r="AA1033" s="162"/>
      <c r="AB1033" s="195" t="str">
        <f t="shared" si="121"/>
        <v>Sep-26</v>
      </c>
      <c r="AC1033" s="163"/>
      <c r="AD1033" s="163" t="str">
        <f t="shared" si="120"/>
        <v/>
      </c>
      <c r="AE1033" s="163"/>
    </row>
    <row r="1034" spans="1:39" x14ac:dyDescent="0.35">
      <c r="A1034" s="162">
        <v>46275</v>
      </c>
      <c r="B1034" s="163" t="s">
        <v>370</v>
      </c>
      <c r="C1034" s="163" t="s">
        <v>93</v>
      </c>
      <c r="D1034" s="163" t="s">
        <v>1664</v>
      </c>
      <c r="E1034" s="163" t="s">
        <v>106</v>
      </c>
      <c r="F1034" s="163" t="s">
        <v>135</v>
      </c>
      <c r="G1034" s="163"/>
      <c r="H1034" s="163" t="s">
        <v>115</v>
      </c>
      <c r="I1034" s="163" t="s">
        <v>121</v>
      </c>
      <c r="J1034" s="163" t="s">
        <v>147</v>
      </c>
      <c r="K1034" s="163" t="s">
        <v>867</v>
      </c>
      <c r="L1034" s="163"/>
      <c r="M1034" s="163" t="s">
        <v>914</v>
      </c>
      <c r="N1034" s="163" t="s">
        <v>181</v>
      </c>
      <c r="O1034" s="162">
        <v>46291</v>
      </c>
      <c r="P1034" s="163" t="s">
        <v>95</v>
      </c>
      <c r="Q1034" s="163"/>
      <c r="R1034" s="163"/>
      <c r="S1034" s="163" t="s">
        <v>103</v>
      </c>
      <c r="T1034" s="164">
        <v>90000</v>
      </c>
      <c r="U1034" s="164"/>
      <c r="V1034" s="165"/>
      <c r="W1034" s="163"/>
      <c r="X1034" s="163"/>
      <c r="Y1034" s="163"/>
      <c r="Z1034" s="163"/>
      <c r="AA1034" s="162"/>
      <c r="AB1034" s="195" t="str">
        <f t="shared" si="121"/>
        <v>Sep-26</v>
      </c>
      <c r="AC1034" s="163"/>
      <c r="AD1034" s="163" t="str">
        <f t="shared" si="120"/>
        <v/>
      </c>
      <c r="AE1034" s="163"/>
    </row>
    <row r="1035" spans="1:39" x14ac:dyDescent="0.35">
      <c r="A1035" s="162">
        <v>46275</v>
      </c>
      <c r="B1035" s="163" t="s">
        <v>148</v>
      </c>
      <c r="C1035" s="163" t="s">
        <v>113</v>
      </c>
      <c r="D1035" s="205" t="s">
        <v>1665</v>
      </c>
      <c r="E1035" s="163" t="s">
        <v>106</v>
      </c>
      <c r="F1035" s="163" t="s">
        <v>135</v>
      </c>
      <c r="G1035" s="163"/>
      <c r="H1035" s="163" t="s">
        <v>115</v>
      </c>
      <c r="I1035" s="163" t="s">
        <v>121</v>
      </c>
      <c r="J1035" s="163" t="s">
        <v>432</v>
      </c>
      <c r="K1035" s="205" t="s">
        <v>1666</v>
      </c>
      <c r="L1035" s="163"/>
      <c r="M1035" s="163" t="s">
        <v>1639</v>
      </c>
      <c r="N1035" s="163" t="s">
        <v>128</v>
      </c>
      <c r="O1035" s="162"/>
      <c r="P1035" s="163"/>
      <c r="Q1035" s="163"/>
      <c r="R1035" s="163"/>
      <c r="S1035" s="163" t="s">
        <v>129</v>
      </c>
      <c r="T1035" s="164"/>
      <c r="U1035" s="164"/>
      <c r="V1035" s="165"/>
      <c r="W1035" s="163"/>
      <c r="X1035" s="163"/>
      <c r="Y1035" s="163"/>
      <c r="Z1035" s="163"/>
      <c r="AA1035" s="162"/>
      <c r="AB1035" s="195" t="str">
        <f t="shared" si="121"/>
        <v>Sep-26</v>
      </c>
      <c r="AC1035" s="163"/>
      <c r="AD1035" s="163" t="str">
        <f t="shared" si="120"/>
        <v/>
      </c>
      <c r="AE1035" s="163"/>
    </row>
    <row r="1036" spans="1:39" x14ac:dyDescent="0.35">
      <c r="A1036" s="162">
        <v>46275</v>
      </c>
      <c r="B1036" s="163" t="s">
        <v>148</v>
      </c>
      <c r="C1036" s="163" t="s">
        <v>113</v>
      </c>
      <c r="D1036" s="205" t="s">
        <v>1667</v>
      </c>
      <c r="E1036" s="163" t="s">
        <v>106</v>
      </c>
      <c r="F1036" s="163" t="s">
        <v>135</v>
      </c>
      <c r="G1036" s="163"/>
      <c r="H1036" s="163" t="s">
        <v>115</v>
      </c>
      <c r="I1036" s="163" t="s">
        <v>121</v>
      </c>
      <c r="J1036" s="163" t="s">
        <v>356</v>
      </c>
      <c r="K1036" s="205" t="s">
        <v>1668</v>
      </c>
      <c r="L1036" s="163"/>
      <c r="M1036" s="163" t="s">
        <v>1639</v>
      </c>
      <c r="N1036" s="163" t="s">
        <v>128</v>
      </c>
      <c r="O1036" s="162"/>
      <c r="P1036" s="163"/>
      <c r="Q1036" s="163"/>
      <c r="R1036" s="163"/>
      <c r="S1036" s="163" t="s">
        <v>129</v>
      </c>
      <c r="T1036" s="164"/>
      <c r="U1036" s="164"/>
      <c r="V1036" s="165"/>
      <c r="W1036" s="163"/>
      <c r="X1036" s="163"/>
      <c r="Y1036" s="163"/>
      <c r="Z1036" s="163"/>
      <c r="AA1036" s="162"/>
      <c r="AB1036" s="195" t="str">
        <f t="shared" si="121"/>
        <v>Sep-26</v>
      </c>
      <c r="AC1036" s="163"/>
      <c r="AD1036" s="163" t="str">
        <f t="shared" si="120"/>
        <v/>
      </c>
      <c r="AE1036" s="163"/>
    </row>
    <row r="1037" spans="1:39" x14ac:dyDescent="0.35">
      <c r="A1037" s="162">
        <v>46276</v>
      </c>
      <c r="B1037" s="163" t="s">
        <v>370</v>
      </c>
      <c r="C1037" s="163" t="s">
        <v>93</v>
      </c>
      <c r="D1037" s="163" t="s">
        <v>1669</v>
      </c>
      <c r="E1037" s="163" t="s">
        <v>106</v>
      </c>
      <c r="F1037" s="163" t="s">
        <v>135</v>
      </c>
      <c r="G1037" s="163"/>
      <c r="H1037" s="163" t="s">
        <v>115</v>
      </c>
      <c r="I1037" s="163" t="s">
        <v>121</v>
      </c>
      <c r="J1037" s="163" t="s">
        <v>147</v>
      </c>
      <c r="K1037" s="163" t="s">
        <v>1670</v>
      </c>
      <c r="L1037" s="163"/>
      <c r="M1037" s="163" t="s">
        <v>914</v>
      </c>
      <c r="N1037" s="163" t="s">
        <v>130</v>
      </c>
      <c r="O1037" s="162">
        <v>46292</v>
      </c>
      <c r="P1037" s="163" t="s">
        <v>95</v>
      </c>
      <c r="Q1037" s="163"/>
      <c r="R1037" s="163"/>
      <c r="S1037" s="163" t="s">
        <v>129</v>
      </c>
      <c r="T1037" s="164">
        <v>60000</v>
      </c>
      <c r="U1037" s="164"/>
      <c r="V1037" s="165"/>
      <c r="W1037" s="163"/>
      <c r="X1037" s="163"/>
      <c r="Y1037" s="163"/>
      <c r="Z1037" s="163"/>
      <c r="AA1037" s="162"/>
      <c r="AB1037" s="195" t="str">
        <f t="shared" si="121"/>
        <v>Sep-26</v>
      </c>
      <c r="AC1037" s="163"/>
      <c r="AD1037" s="163" t="str">
        <f t="shared" si="120"/>
        <v/>
      </c>
      <c r="AE1037" s="163"/>
    </row>
    <row r="1038" spans="1:39" x14ac:dyDescent="0.35">
      <c r="A1038" s="162">
        <v>46276</v>
      </c>
      <c r="B1038" s="163" t="s">
        <v>370</v>
      </c>
      <c r="C1038" s="163" t="s">
        <v>93</v>
      </c>
      <c r="D1038" s="163" t="s">
        <v>1671</v>
      </c>
      <c r="E1038" s="163" t="s">
        <v>106</v>
      </c>
      <c r="F1038" s="163" t="s">
        <v>135</v>
      </c>
      <c r="G1038" s="163"/>
      <c r="H1038" s="163" t="s">
        <v>115</v>
      </c>
      <c r="I1038" s="163" t="s">
        <v>121</v>
      </c>
      <c r="J1038" s="163" t="s">
        <v>438</v>
      </c>
      <c r="K1038" s="163" t="s">
        <v>1672</v>
      </c>
      <c r="L1038" s="163"/>
      <c r="M1038" s="163" t="s">
        <v>1307</v>
      </c>
      <c r="N1038" s="163" t="s">
        <v>181</v>
      </c>
      <c r="O1038" s="162">
        <v>46293</v>
      </c>
      <c r="P1038" s="163" t="s">
        <v>95</v>
      </c>
      <c r="Q1038" s="163"/>
      <c r="R1038" s="163"/>
      <c r="S1038" s="163" t="s">
        <v>103</v>
      </c>
      <c r="T1038" s="164">
        <v>80000</v>
      </c>
      <c r="U1038" s="164"/>
      <c r="V1038" s="165"/>
      <c r="W1038" s="163"/>
      <c r="X1038" s="163"/>
      <c r="Y1038" s="163"/>
      <c r="Z1038" s="163"/>
      <c r="AA1038" s="162"/>
      <c r="AB1038" s="195" t="str">
        <f t="shared" si="121"/>
        <v>Sep-26</v>
      </c>
      <c r="AC1038" s="163"/>
      <c r="AD1038" s="163" t="str">
        <f t="shared" si="120"/>
        <v/>
      </c>
      <c r="AE1038" s="163"/>
    </row>
    <row r="1039" spans="1:39" x14ac:dyDescent="0.35">
      <c r="A1039" s="162">
        <v>46276</v>
      </c>
      <c r="B1039" s="163" t="s">
        <v>370</v>
      </c>
      <c r="C1039" s="163" t="s">
        <v>93</v>
      </c>
      <c r="D1039" s="163" t="s">
        <v>1673</v>
      </c>
      <c r="E1039" s="163" t="s">
        <v>106</v>
      </c>
      <c r="F1039" s="163" t="s">
        <v>135</v>
      </c>
      <c r="G1039" s="163"/>
      <c r="H1039" s="163" t="s">
        <v>115</v>
      </c>
      <c r="I1039" s="163" t="s">
        <v>121</v>
      </c>
      <c r="J1039" s="163" t="s">
        <v>356</v>
      </c>
      <c r="K1039" s="163" t="s">
        <v>1674</v>
      </c>
      <c r="L1039" s="163"/>
      <c r="M1039" s="163" t="s">
        <v>1307</v>
      </c>
      <c r="N1039" s="163" t="s">
        <v>181</v>
      </c>
      <c r="O1039" s="162">
        <v>46294</v>
      </c>
      <c r="P1039" s="163" t="s">
        <v>95</v>
      </c>
      <c r="Q1039" s="163"/>
      <c r="R1039" s="163"/>
      <c r="S1039" s="163" t="s">
        <v>103</v>
      </c>
      <c r="T1039" s="164">
        <v>110000</v>
      </c>
      <c r="U1039" s="164"/>
      <c r="V1039" s="165"/>
      <c r="W1039" s="163"/>
      <c r="X1039" s="163"/>
      <c r="Y1039" s="163"/>
      <c r="Z1039" s="163"/>
      <c r="AA1039" s="162"/>
      <c r="AB1039" s="195" t="str">
        <f t="shared" si="121"/>
        <v>Sep-26</v>
      </c>
      <c r="AC1039" s="163"/>
      <c r="AD1039" s="163" t="str">
        <f t="shared" si="120"/>
        <v/>
      </c>
      <c r="AE1039" s="163"/>
    </row>
    <row r="1040" spans="1:39" x14ac:dyDescent="0.35">
      <c r="A1040" s="162">
        <v>46276</v>
      </c>
      <c r="B1040" s="163" t="s">
        <v>370</v>
      </c>
      <c r="C1040" s="163" t="s">
        <v>93</v>
      </c>
      <c r="D1040" s="163" t="s">
        <v>1442</v>
      </c>
      <c r="E1040" s="163" t="s">
        <v>106</v>
      </c>
      <c r="F1040" s="163" t="s">
        <v>135</v>
      </c>
      <c r="G1040" s="163"/>
      <c r="H1040" s="163" t="s">
        <v>115</v>
      </c>
      <c r="I1040" s="163" t="s">
        <v>121</v>
      </c>
      <c r="J1040" s="163" t="s">
        <v>698</v>
      </c>
      <c r="K1040" s="163" t="s">
        <v>1461</v>
      </c>
      <c r="L1040" s="163"/>
      <c r="M1040" s="163" t="s">
        <v>914</v>
      </c>
      <c r="N1040" s="163" t="s">
        <v>495</v>
      </c>
      <c r="O1040" s="162">
        <v>46288</v>
      </c>
      <c r="P1040" s="163" t="s">
        <v>106</v>
      </c>
      <c r="Q1040" s="163"/>
      <c r="R1040" s="163"/>
      <c r="S1040" s="163" t="s">
        <v>129</v>
      </c>
      <c r="T1040" s="164">
        <v>55000</v>
      </c>
      <c r="U1040" s="164"/>
      <c r="V1040" s="165"/>
      <c r="W1040" s="163"/>
      <c r="X1040" s="163"/>
      <c r="Y1040" s="163"/>
      <c r="Z1040" s="163"/>
      <c r="AA1040" s="162"/>
      <c r="AB1040" s="195" t="str">
        <f t="shared" si="121"/>
        <v>Sep-26</v>
      </c>
      <c r="AC1040" s="163"/>
      <c r="AD1040" s="163" t="str">
        <f t="shared" si="120"/>
        <v/>
      </c>
      <c r="AE1040" s="163"/>
      <c r="AF1040" s="163"/>
      <c r="AG1040" s="163"/>
      <c r="AH1040" s="162"/>
      <c r="AI1040" s="163"/>
      <c r="AJ1040" s="163"/>
      <c r="AK1040" s="163"/>
      <c r="AL1040" s="163"/>
      <c r="AM1040" s="164"/>
    </row>
    <row r="1041" spans="1:31" x14ac:dyDescent="0.35">
      <c r="A1041" s="162">
        <v>46276</v>
      </c>
      <c r="B1041" s="163" t="s">
        <v>148</v>
      </c>
      <c r="C1041" s="163" t="s">
        <v>113</v>
      </c>
      <c r="D1041" s="205" t="s">
        <v>1675</v>
      </c>
      <c r="E1041" s="163" t="s">
        <v>106</v>
      </c>
      <c r="F1041" s="163" t="s">
        <v>135</v>
      </c>
      <c r="G1041" s="163"/>
      <c r="H1041" s="163" t="s">
        <v>115</v>
      </c>
      <c r="I1041" s="163" t="s">
        <v>121</v>
      </c>
      <c r="J1041" s="163" t="s">
        <v>356</v>
      </c>
      <c r="K1041" s="205" t="s">
        <v>1676</v>
      </c>
      <c r="L1041" s="163"/>
      <c r="M1041" s="163" t="s">
        <v>1639</v>
      </c>
      <c r="N1041" s="163" t="s">
        <v>128</v>
      </c>
      <c r="O1041" s="162"/>
      <c r="P1041" s="163"/>
      <c r="Q1041" s="163"/>
      <c r="R1041" s="163"/>
      <c r="S1041" s="163" t="s">
        <v>129</v>
      </c>
      <c r="T1041" s="164"/>
      <c r="U1041" s="164"/>
      <c r="V1041" s="165"/>
      <c r="W1041" s="163"/>
      <c r="X1041" s="163"/>
      <c r="Y1041" s="163"/>
      <c r="Z1041" s="163"/>
      <c r="AA1041" s="162"/>
      <c r="AB1041" s="195" t="str">
        <f t="shared" si="121"/>
        <v>Sep-26</v>
      </c>
      <c r="AC1041" s="163"/>
      <c r="AD1041" s="163" t="str">
        <f t="shared" si="120"/>
        <v/>
      </c>
      <c r="AE1041" s="163"/>
    </row>
    <row r="1042" spans="1:31" x14ac:dyDescent="0.35">
      <c r="A1042" s="162">
        <v>46276</v>
      </c>
      <c r="B1042" s="163" t="s">
        <v>148</v>
      </c>
      <c r="C1042" s="163" t="s">
        <v>113</v>
      </c>
      <c r="D1042" s="205" t="s">
        <v>1677</v>
      </c>
      <c r="E1042" s="163" t="s">
        <v>106</v>
      </c>
      <c r="F1042" s="163" t="s">
        <v>135</v>
      </c>
      <c r="G1042" s="163"/>
      <c r="H1042" s="163" t="s">
        <v>115</v>
      </c>
      <c r="I1042" s="163" t="s">
        <v>121</v>
      </c>
      <c r="J1042" s="163" t="s">
        <v>147</v>
      </c>
      <c r="K1042" s="205" t="s">
        <v>1678</v>
      </c>
      <c r="L1042" s="163"/>
      <c r="M1042" s="163" t="s">
        <v>1639</v>
      </c>
      <c r="N1042" s="163" t="s">
        <v>128</v>
      </c>
      <c r="O1042" s="162"/>
      <c r="P1042" s="163"/>
      <c r="Q1042" s="163"/>
      <c r="R1042" s="163"/>
      <c r="S1042" s="163" t="s">
        <v>129</v>
      </c>
      <c r="T1042" s="164"/>
      <c r="U1042" s="164"/>
      <c r="V1042" s="165"/>
      <c r="W1042" s="163"/>
      <c r="X1042" s="163"/>
      <c r="Y1042" s="163"/>
      <c r="Z1042" s="163"/>
      <c r="AA1042" s="162"/>
      <c r="AB1042" s="195" t="str">
        <f t="shared" si="121"/>
        <v>Sep-26</v>
      </c>
      <c r="AC1042" s="163"/>
      <c r="AD1042" s="163" t="str">
        <f t="shared" si="120"/>
        <v/>
      </c>
      <c r="AE1042" s="163"/>
    </row>
    <row r="1043" spans="1:31" x14ac:dyDescent="0.35">
      <c r="A1043" s="162">
        <v>46277</v>
      </c>
      <c r="B1043" s="163" t="s">
        <v>125</v>
      </c>
      <c r="C1043" s="163" t="s">
        <v>93</v>
      </c>
      <c r="D1043" s="163" t="s">
        <v>1679</v>
      </c>
      <c r="E1043" s="163" t="s">
        <v>95</v>
      </c>
      <c r="F1043" s="163" t="s">
        <v>96</v>
      </c>
      <c r="G1043" s="163" t="s">
        <v>14</v>
      </c>
      <c r="H1043" s="163" t="s">
        <v>226</v>
      </c>
      <c r="I1043" s="163" t="s">
        <v>121</v>
      </c>
      <c r="J1043" s="163" t="s">
        <v>388</v>
      </c>
      <c r="K1043" s="163" t="s">
        <v>227</v>
      </c>
      <c r="L1043" s="163"/>
      <c r="M1043" s="163" t="s">
        <v>159</v>
      </c>
      <c r="N1043" s="163" t="s">
        <v>102</v>
      </c>
      <c r="O1043" s="162"/>
      <c r="P1043" s="163"/>
      <c r="Q1043" s="163"/>
      <c r="R1043" s="163"/>
      <c r="S1043" s="163" t="s">
        <v>103</v>
      </c>
      <c r="T1043" s="164">
        <v>40000</v>
      </c>
      <c r="U1043" s="164">
        <v>32125</v>
      </c>
      <c r="V1043" s="165">
        <v>46274</v>
      </c>
      <c r="W1043" s="163" t="s">
        <v>1599</v>
      </c>
      <c r="X1043" s="163"/>
      <c r="Y1043" s="163" t="s">
        <v>85</v>
      </c>
      <c r="Z1043" s="163"/>
      <c r="AA1043" s="162"/>
      <c r="AB1043" s="195" t="str">
        <f t="shared" si="121"/>
        <v>Sep-26</v>
      </c>
      <c r="AC1043" s="163"/>
      <c r="AD1043" s="163"/>
      <c r="AE1043" s="163"/>
    </row>
    <row r="1044" spans="1:31" x14ac:dyDescent="0.35">
      <c r="A1044" s="162">
        <v>46280</v>
      </c>
      <c r="B1044" s="163" t="s">
        <v>1331</v>
      </c>
      <c r="C1044" s="163" t="s">
        <v>93</v>
      </c>
      <c r="D1044" s="163" t="s">
        <v>1680</v>
      </c>
      <c r="E1044" s="163" t="s">
        <v>95</v>
      </c>
      <c r="F1044" s="163" t="s">
        <v>135</v>
      </c>
      <c r="G1044" s="163"/>
      <c r="H1044" s="163" t="s">
        <v>115</v>
      </c>
      <c r="I1044" s="163" t="s">
        <v>121</v>
      </c>
      <c r="J1044" s="163" t="s">
        <v>356</v>
      </c>
      <c r="K1044" s="163" t="s">
        <v>1681</v>
      </c>
      <c r="L1044" s="163"/>
      <c r="M1044" s="163" t="s">
        <v>1619</v>
      </c>
      <c r="N1044" s="163" t="s">
        <v>102</v>
      </c>
      <c r="O1044" s="162"/>
      <c r="P1044" s="163" t="s">
        <v>95</v>
      </c>
      <c r="Q1044" s="163"/>
      <c r="R1044" s="163"/>
      <c r="S1044" s="163" t="s">
        <v>103</v>
      </c>
      <c r="T1044" s="164">
        <v>39350</v>
      </c>
      <c r="U1044" s="213">
        <v>39353</v>
      </c>
      <c r="V1044" s="165">
        <v>46276</v>
      </c>
      <c r="W1044" s="163" t="s">
        <v>1682</v>
      </c>
      <c r="X1044" s="163" t="s">
        <v>26</v>
      </c>
      <c r="Y1044" s="163" t="s">
        <v>85</v>
      </c>
      <c r="Z1044" s="163"/>
      <c r="AA1044" s="162">
        <v>46280</v>
      </c>
      <c r="AB1044" s="195" t="str">
        <f t="shared" si="121"/>
        <v>Sep-26</v>
      </c>
      <c r="AC1044" s="163"/>
      <c r="AD1044" s="163" t="str">
        <f t="shared" ref="AD1044:AD1067" si="122">IF(AC1044="Yes",U1044*2%,"")</f>
        <v/>
      </c>
      <c r="AE1044" s="163"/>
    </row>
    <row r="1045" spans="1:31" x14ac:dyDescent="0.35">
      <c r="A1045" s="162">
        <v>46280</v>
      </c>
      <c r="B1045" s="163" t="s">
        <v>1331</v>
      </c>
      <c r="C1045" s="163" t="s">
        <v>93</v>
      </c>
      <c r="D1045" s="163" t="s">
        <v>1683</v>
      </c>
      <c r="E1045" s="163" t="s">
        <v>95</v>
      </c>
      <c r="F1045" s="163" t="s">
        <v>135</v>
      </c>
      <c r="G1045" s="163"/>
      <c r="H1045" s="163" t="s">
        <v>115</v>
      </c>
      <c r="I1045" s="163" t="s">
        <v>121</v>
      </c>
      <c r="J1045" s="163" t="s">
        <v>266</v>
      </c>
      <c r="K1045" s="163" t="s">
        <v>1684</v>
      </c>
      <c r="L1045" s="163"/>
      <c r="M1045" s="163" t="s">
        <v>1190</v>
      </c>
      <c r="N1045" s="163" t="s">
        <v>130</v>
      </c>
      <c r="O1045" s="162"/>
      <c r="P1045" s="163" t="s">
        <v>95</v>
      </c>
      <c r="Q1045" s="163"/>
      <c r="R1045" s="163"/>
      <c r="S1045" s="163" t="s">
        <v>129</v>
      </c>
      <c r="T1045" s="164">
        <v>40000</v>
      </c>
      <c r="U1045" s="164"/>
      <c r="V1045" s="165"/>
      <c r="W1045" s="163"/>
      <c r="X1045" s="163"/>
      <c r="Y1045" s="163"/>
      <c r="Z1045" s="163"/>
      <c r="AA1045" s="162"/>
      <c r="AB1045" s="195" t="str">
        <f t="shared" si="121"/>
        <v>Sep-26</v>
      </c>
      <c r="AC1045" s="163"/>
      <c r="AD1045" s="163" t="str">
        <f t="shared" si="122"/>
        <v/>
      </c>
      <c r="AE1045" s="163"/>
    </row>
    <row r="1046" spans="1:31" x14ac:dyDescent="0.35">
      <c r="A1046" s="162">
        <v>46280</v>
      </c>
      <c r="B1046" s="163" t="s">
        <v>1331</v>
      </c>
      <c r="C1046" s="163" t="s">
        <v>93</v>
      </c>
      <c r="D1046" s="204" t="s">
        <v>1685</v>
      </c>
      <c r="E1046" s="163" t="s">
        <v>95</v>
      </c>
      <c r="F1046" s="163" t="s">
        <v>135</v>
      </c>
      <c r="G1046" s="163"/>
      <c r="H1046" s="163" t="s">
        <v>115</v>
      </c>
      <c r="I1046" s="163" t="s">
        <v>121</v>
      </c>
      <c r="J1046" s="163" t="s">
        <v>378</v>
      </c>
      <c r="K1046" s="163" t="s">
        <v>690</v>
      </c>
      <c r="L1046" s="163"/>
      <c r="M1046" s="163" t="s">
        <v>1686</v>
      </c>
      <c r="N1046" s="163" t="s">
        <v>130</v>
      </c>
      <c r="O1046" s="162"/>
      <c r="P1046" s="163" t="s">
        <v>95</v>
      </c>
      <c r="Q1046" s="163"/>
      <c r="R1046" s="163"/>
      <c r="S1046" s="163" t="s">
        <v>129</v>
      </c>
      <c r="T1046" s="164">
        <v>30000</v>
      </c>
      <c r="U1046" s="164"/>
      <c r="V1046" s="165"/>
      <c r="W1046" s="163"/>
      <c r="X1046" s="163"/>
      <c r="Y1046" s="163"/>
      <c r="Z1046" s="163"/>
      <c r="AA1046" s="162"/>
      <c r="AB1046" s="195" t="str">
        <f t="shared" si="121"/>
        <v>Sep-26</v>
      </c>
      <c r="AC1046" s="163"/>
      <c r="AD1046" s="163" t="str">
        <f t="shared" si="122"/>
        <v/>
      </c>
      <c r="AE1046" s="163"/>
    </row>
    <row r="1047" spans="1:31" x14ac:dyDescent="0.35">
      <c r="A1047" s="162">
        <v>46280</v>
      </c>
      <c r="B1047" s="163" t="s">
        <v>1331</v>
      </c>
      <c r="C1047" s="163" t="s">
        <v>93</v>
      </c>
      <c r="D1047" s="163" t="s">
        <v>1687</v>
      </c>
      <c r="E1047" s="163" t="s">
        <v>95</v>
      </c>
      <c r="F1047" s="163" t="s">
        <v>135</v>
      </c>
      <c r="G1047" s="163"/>
      <c r="H1047" s="163" t="s">
        <v>115</v>
      </c>
      <c r="I1047" s="163" t="s">
        <v>121</v>
      </c>
      <c r="J1047" s="163" t="s">
        <v>266</v>
      </c>
      <c r="K1047" s="163" t="s">
        <v>1688</v>
      </c>
      <c r="L1047" s="163"/>
      <c r="M1047" s="163" t="s">
        <v>1190</v>
      </c>
      <c r="N1047" s="163" t="s">
        <v>130</v>
      </c>
      <c r="O1047" s="162">
        <v>46282</v>
      </c>
      <c r="P1047" s="163" t="s">
        <v>95</v>
      </c>
      <c r="Q1047" s="163"/>
      <c r="R1047" s="163"/>
      <c r="S1047" s="163" t="s">
        <v>129</v>
      </c>
      <c r="T1047" s="164">
        <v>40000</v>
      </c>
      <c r="U1047" s="164"/>
      <c r="V1047" s="165"/>
      <c r="W1047" s="163"/>
      <c r="X1047" s="163"/>
      <c r="Y1047" s="163"/>
      <c r="Z1047" s="163"/>
      <c r="AA1047" s="162"/>
      <c r="AB1047" s="195" t="str">
        <f t="shared" si="121"/>
        <v>Sep-26</v>
      </c>
      <c r="AC1047" s="163"/>
      <c r="AD1047" s="163" t="str">
        <f t="shared" si="122"/>
        <v/>
      </c>
      <c r="AE1047" s="163"/>
    </row>
    <row r="1048" spans="1:31" x14ac:dyDescent="0.35">
      <c r="A1048" s="162">
        <v>46280</v>
      </c>
      <c r="B1048" s="163" t="s">
        <v>1331</v>
      </c>
      <c r="C1048" s="163" t="s">
        <v>93</v>
      </c>
      <c r="D1048" s="204" t="s">
        <v>1689</v>
      </c>
      <c r="E1048" s="163" t="s">
        <v>95</v>
      </c>
      <c r="F1048" s="163" t="s">
        <v>135</v>
      </c>
      <c r="G1048" s="163"/>
      <c r="H1048" s="163" t="s">
        <v>115</v>
      </c>
      <c r="I1048" s="163" t="s">
        <v>121</v>
      </c>
      <c r="J1048" s="163" t="s">
        <v>266</v>
      </c>
      <c r="K1048" s="163" t="s">
        <v>1690</v>
      </c>
      <c r="L1048" s="163"/>
      <c r="M1048" s="163" t="s">
        <v>1691</v>
      </c>
      <c r="N1048" s="163" t="s">
        <v>130</v>
      </c>
      <c r="O1048" s="162"/>
      <c r="P1048" s="163" t="s">
        <v>95</v>
      </c>
      <c r="Q1048" s="163"/>
      <c r="R1048" s="163"/>
      <c r="S1048" s="163" t="s">
        <v>129</v>
      </c>
      <c r="T1048" s="164">
        <v>25000</v>
      </c>
      <c r="U1048" s="164"/>
      <c r="V1048" s="165"/>
      <c r="W1048" s="163"/>
      <c r="X1048" s="163"/>
      <c r="Y1048" s="163"/>
      <c r="Z1048" s="163"/>
      <c r="AA1048" s="162"/>
      <c r="AB1048" s="195" t="str">
        <f t="shared" si="121"/>
        <v>Sep-26</v>
      </c>
      <c r="AC1048" s="163"/>
      <c r="AD1048" s="163" t="str">
        <f t="shared" si="122"/>
        <v/>
      </c>
      <c r="AE1048" s="163"/>
    </row>
    <row r="1049" spans="1:31" x14ac:dyDescent="0.35">
      <c r="A1049" s="162">
        <v>46280</v>
      </c>
      <c r="B1049" s="163" t="s">
        <v>1331</v>
      </c>
      <c r="C1049" s="163" t="s">
        <v>93</v>
      </c>
      <c r="D1049" s="163" t="s">
        <v>1692</v>
      </c>
      <c r="E1049" s="163" t="s">
        <v>95</v>
      </c>
      <c r="F1049" s="163" t="s">
        <v>226</v>
      </c>
      <c r="G1049" s="163"/>
      <c r="H1049" s="163" t="s">
        <v>163</v>
      </c>
      <c r="I1049" s="163" t="s">
        <v>121</v>
      </c>
      <c r="J1049" s="163" t="s">
        <v>388</v>
      </c>
      <c r="K1049" s="163" t="s">
        <v>1693</v>
      </c>
      <c r="L1049" s="163"/>
      <c r="M1049" s="163" t="s">
        <v>1694</v>
      </c>
      <c r="N1049" s="163" t="s">
        <v>495</v>
      </c>
      <c r="O1049" s="162"/>
      <c r="P1049" s="163" t="s">
        <v>95</v>
      </c>
      <c r="Q1049" s="163"/>
      <c r="R1049" s="163"/>
      <c r="S1049" s="163" t="s">
        <v>129</v>
      </c>
      <c r="T1049" s="164"/>
      <c r="U1049" s="164"/>
      <c r="V1049" s="165"/>
      <c r="W1049" s="163"/>
      <c r="X1049" s="163"/>
      <c r="Y1049" s="163"/>
      <c r="Z1049" s="163"/>
      <c r="AA1049" s="162"/>
      <c r="AB1049" s="195" t="str">
        <f t="shared" si="121"/>
        <v>Sep-26</v>
      </c>
      <c r="AC1049" s="163"/>
      <c r="AD1049" s="163" t="str">
        <f t="shared" si="122"/>
        <v/>
      </c>
      <c r="AE1049" s="163"/>
    </row>
    <row r="1050" spans="1:31" x14ac:dyDescent="0.35">
      <c r="A1050" s="162">
        <v>46280</v>
      </c>
      <c r="B1050" s="163" t="s">
        <v>1331</v>
      </c>
      <c r="C1050" s="163" t="s">
        <v>93</v>
      </c>
      <c r="D1050" s="163" t="s">
        <v>1695</v>
      </c>
      <c r="E1050" s="163" t="s">
        <v>95</v>
      </c>
      <c r="F1050" s="163" t="s">
        <v>226</v>
      </c>
      <c r="G1050" s="163"/>
      <c r="H1050" s="163" t="s">
        <v>163</v>
      </c>
      <c r="I1050" s="163" t="s">
        <v>121</v>
      </c>
      <c r="J1050" s="163" t="s">
        <v>153</v>
      </c>
      <c r="K1050" s="163" t="s">
        <v>1696</v>
      </c>
      <c r="L1050" s="163"/>
      <c r="M1050" s="163" t="s">
        <v>1190</v>
      </c>
      <c r="N1050" s="163" t="s">
        <v>495</v>
      </c>
      <c r="O1050" s="162"/>
      <c r="P1050" s="163" t="s">
        <v>95</v>
      </c>
      <c r="Q1050" s="163"/>
      <c r="R1050" s="163"/>
      <c r="S1050" s="163" t="s">
        <v>103</v>
      </c>
      <c r="T1050" s="164"/>
      <c r="U1050" s="164"/>
      <c r="V1050" s="165"/>
      <c r="W1050" s="163"/>
      <c r="X1050" s="163"/>
      <c r="Y1050" s="163"/>
      <c r="Z1050" s="163"/>
      <c r="AA1050" s="162"/>
      <c r="AB1050" s="195" t="str">
        <f t="shared" si="121"/>
        <v>Sep-26</v>
      </c>
      <c r="AC1050" s="163"/>
      <c r="AD1050" s="163" t="str">
        <f t="shared" si="122"/>
        <v/>
      </c>
      <c r="AE1050" s="163"/>
    </row>
    <row r="1051" spans="1:31" x14ac:dyDescent="0.35">
      <c r="A1051" s="162">
        <v>46280</v>
      </c>
      <c r="B1051" s="163" t="s">
        <v>1331</v>
      </c>
      <c r="C1051" s="163" t="s">
        <v>93</v>
      </c>
      <c r="D1051" s="163" t="s">
        <v>1697</v>
      </c>
      <c r="E1051" s="163" t="s">
        <v>95</v>
      </c>
      <c r="F1051" s="163" t="s">
        <v>226</v>
      </c>
      <c r="G1051" s="163"/>
      <c r="H1051" s="163" t="s">
        <v>226</v>
      </c>
      <c r="I1051" s="163" t="s">
        <v>121</v>
      </c>
      <c r="J1051" s="163" t="s">
        <v>153</v>
      </c>
      <c r="K1051" s="163" t="s">
        <v>1698</v>
      </c>
      <c r="L1051" s="163"/>
      <c r="M1051" s="163" t="s">
        <v>1699</v>
      </c>
      <c r="N1051" s="163" t="s">
        <v>128</v>
      </c>
      <c r="O1051" s="162"/>
      <c r="P1051" s="163" t="s">
        <v>106</v>
      </c>
      <c r="Q1051" s="163"/>
      <c r="R1051" s="163"/>
      <c r="S1051" s="163" t="s">
        <v>133</v>
      </c>
      <c r="T1051" s="164"/>
      <c r="U1051" s="164"/>
      <c r="V1051" s="165"/>
      <c r="W1051" s="163"/>
      <c r="X1051" s="163"/>
      <c r="Y1051" s="163"/>
      <c r="Z1051" s="163"/>
      <c r="AA1051" s="162"/>
      <c r="AB1051" s="195" t="str">
        <f t="shared" si="121"/>
        <v>Sep-26</v>
      </c>
      <c r="AC1051" s="163"/>
      <c r="AD1051" s="163" t="str">
        <f t="shared" si="122"/>
        <v/>
      </c>
      <c r="AE1051" s="163"/>
    </row>
    <row r="1052" spans="1:31" x14ac:dyDescent="0.35">
      <c r="A1052" s="162">
        <v>46280</v>
      </c>
      <c r="B1052" s="163" t="s">
        <v>370</v>
      </c>
      <c r="C1052" s="163" t="s">
        <v>93</v>
      </c>
      <c r="D1052" s="163" t="s">
        <v>1700</v>
      </c>
      <c r="E1052" s="163" t="s">
        <v>106</v>
      </c>
      <c r="F1052" s="163" t="s">
        <v>135</v>
      </c>
      <c r="G1052" s="163"/>
      <c r="H1052" s="163" t="s">
        <v>115</v>
      </c>
      <c r="I1052" s="163" t="s">
        <v>121</v>
      </c>
      <c r="J1052" s="163" t="s">
        <v>147</v>
      </c>
      <c r="K1052" s="163" t="s">
        <v>379</v>
      </c>
      <c r="L1052" s="163"/>
      <c r="M1052" s="163" t="s">
        <v>1190</v>
      </c>
      <c r="N1052" s="163" t="s">
        <v>495</v>
      </c>
      <c r="O1052" s="162">
        <v>46290</v>
      </c>
      <c r="P1052" s="163" t="s">
        <v>95</v>
      </c>
      <c r="Q1052" s="163"/>
      <c r="R1052" s="163"/>
      <c r="S1052" s="163" t="s">
        <v>129</v>
      </c>
      <c r="T1052" s="164">
        <v>50000</v>
      </c>
      <c r="U1052" s="164"/>
      <c r="V1052" s="165"/>
      <c r="W1052" s="163"/>
      <c r="X1052" s="163"/>
      <c r="Y1052" s="163"/>
      <c r="Z1052" s="163"/>
      <c r="AA1052" s="162"/>
      <c r="AB1052" s="195" t="str">
        <f t="shared" si="121"/>
        <v>Sep-26</v>
      </c>
      <c r="AC1052" s="163"/>
      <c r="AD1052" s="163" t="str">
        <f t="shared" si="122"/>
        <v/>
      </c>
      <c r="AE1052" s="163"/>
    </row>
    <row r="1053" spans="1:31" x14ac:dyDescent="0.35">
      <c r="A1053" s="162">
        <v>46280</v>
      </c>
      <c r="B1053" s="163" t="s">
        <v>370</v>
      </c>
      <c r="C1053" s="163" t="s">
        <v>93</v>
      </c>
      <c r="D1053" s="163" t="s">
        <v>1701</v>
      </c>
      <c r="E1053" s="163" t="s">
        <v>106</v>
      </c>
      <c r="F1053" s="163" t="s">
        <v>115</v>
      </c>
      <c r="G1053" s="163"/>
      <c r="H1053" s="163" t="s">
        <v>115</v>
      </c>
      <c r="I1053" s="163" t="s">
        <v>121</v>
      </c>
      <c r="J1053" s="163" t="s">
        <v>438</v>
      </c>
      <c r="K1053" s="163" t="s">
        <v>1702</v>
      </c>
      <c r="L1053" s="163"/>
      <c r="M1053" s="163" t="s">
        <v>1190</v>
      </c>
      <c r="N1053" s="163" t="s">
        <v>156</v>
      </c>
      <c r="O1053" s="162">
        <v>46318</v>
      </c>
      <c r="P1053" s="163" t="s">
        <v>95</v>
      </c>
      <c r="Q1053" s="163"/>
      <c r="R1053" s="163"/>
      <c r="S1053" s="163" t="s">
        <v>103</v>
      </c>
      <c r="T1053" s="164">
        <v>85000</v>
      </c>
      <c r="U1053" s="164"/>
      <c r="V1053" s="165"/>
      <c r="W1053" s="163"/>
      <c r="X1053" s="163"/>
      <c r="Y1053" s="163"/>
      <c r="Z1053" s="163"/>
      <c r="AA1053" s="162"/>
      <c r="AB1053" s="195" t="str">
        <f t="shared" si="121"/>
        <v>Sep-26</v>
      </c>
      <c r="AC1053" s="163"/>
      <c r="AD1053" s="163" t="str">
        <f t="shared" si="122"/>
        <v/>
      </c>
      <c r="AE1053" s="163"/>
    </row>
    <row r="1054" spans="1:31" x14ac:dyDescent="0.35">
      <c r="A1054" s="162">
        <v>46280</v>
      </c>
      <c r="B1054" s="163" t="s">
        <v>370</v>
      </c>
      <c r="C1054" s="163" t="s">
        <v>93</v>
      </c>
      <c r="D1054" s="163" t="s">
        <v>1703</v>
      </c>
      <c r="E1054" s="163" t="s">
        <v>106</v>
      </c>
      <c r="F1054" s="163" t="s">
        <v>115</v>
      </c>
      <c r="G1054" s="163"/>
      <c r="H1054" s="163" t="s">
        <v>115</v>
      </c>
      <c r="I1054" s="163" t="s">
        <v>121</v>
      </c>
      <c r="J1054" s="163" t="s">
        <v>356</v>
      </c>
      <c r="K1054" s="163" t="s">
        <v>1704</v>
      </c>
      <c r="L1054" s="163"/>
      <c r="M1054" s="163" t="s">
        <v>1686</v>
      </c>
      <c r="N1054" s="163" t="s">
        <v>495</v>
      </c>
      <c r="O1054" s="162">
        <v>46295</v>
      </c>
      <c r="P1054" s="163" t="s">
        <v>95</v>
      </c>
      <c r="Q1054" s="163"/>
      <c r="R1054" s="163"/>
      <c r="S1054" s="163" t="s">
        <v>103</v>
      </c>
      <c r="T1054" s="164">
        <v>60000</v>
      </c>
      <c r="U1054" s="164"/>
      <c r="V1054" s="165"/>
      <c r="W1054" s="163"/>
      <c r="X1054" s="163"/>
      <c r="Y1054" s="163"/>
      <c r="Z1054" s="163"/>
      <c r="AA1054" s="162"/>
      <c r="AB1054" s="195" t="str">
        <f t="shared" si="121"/>
        <v>Sep-26</v>
      </c>
      <c r="AC1054" s="163"/>
      <c r="AD1054" s="163" t="str">
        <f t="shared" si="122"/>
        <v/>
      </c>
      <c r="AE1054" s="163"/>
    </row>
    <row r="1055" spans="1:31" x14ac:dyDescent="0.35">
      <c r="A1055" s="162">
        <v>46280</v>
      </c>
      <c r="B1055" s="163" t="s">
        <v>370</v>
      </c>
      <c r="C1055" s="163" t="s">
        <v>93</v>
      </c>
      <c r="D1055" s="163" t="s">
        <v>1705</v>
      </c>
      <c r="E1055" s="163" t="s">
        <v>106</v>
      </c>
      <c r="F1055" s="163" t="s">
        <v>135</v>
      </c>
      <c r="G1055" s="163"/>
      <c r="H1055" s="163" t="s">
        <v>115</v>
      </c>
      <c r="I1055" s="163" t="s">
        <v>121</v>
      </c>
      <c r="J1055" s="163" t="s">
        <v>147</v>
      </c>
      <c r="K1055" s="163" t="s">
        <v>1232</v>
      </c>
      <c r="L1055" s="163"/>
      <c r="M1055" s="163" t="s">
        <v>1691</v>
      </c>
      <c r="N1055" s="163" t="s">
        <v>130</v>
      </c>
      <c r="O1055" s="162"/>
      <c r="P1055" s="163" t="s">
        <v>95</v>
      </c>
      <c r="Q1055" s="163"/>
      <c r="R1055" s="163"/>
      <c r="S1055" s="163" t="s">
        <v>129</v>
      </c>
      <c r="T1055" s="164">
        <v>65000</v>
      </c>
      <c r="U1055" s="164"/>
      <c r="V1055" s="165"/>
      <c r="W1055" s="163"/>
      <c r="X1055" s="163"/>
      <c r="Y1055" s="163"/>
      <c r="Z1055" s="163"/>
      <c r="AA1055" s="162"/>
      <c r="AB1055" s="195" t="str">
        <f t="shared" si="121"/>
        <v>Sep-26</v>
      </c>
      <c r="AC1055" s="163"/>
      <c r="AD1055" s="163" t="str">
        <f t="shared" si="122"/>
        <v/>
      </c>
      <c r="AE1055" s="163"/>
    </row>
    <row r="1056" spans="1:31" x14ac:dyDescent="0.35">
      <c r="A1056" s="162">
        <v>46280</v>
      </c>
      <c r="B1056" s="163" t="s">
        <v>125</v>
      </c>
      <c r="C1056" s="163" t="s">
        <v>113</v>
      </c>
      <c r="D1056" s="163" t="s">
        <v>260</v>
      </c>
      <c r="E1056" s="163" t="s">
        <v>106</v>
      </c>
      <c r="F1056" s="163" t="s">
        <v>96</v>
      </c>
      <c r="G1056" s="163" t="s">
        <v>15</v>
      </c>
      <c r="H1056" s="163" t="s">
        <v>163</v>
      </c>
      <c r="I1056" s="163" t="s">
        <v>121</v>
      </c>
      <c r="J1056" s="163" t="s">
        <v>147</v>
      </c>
      <c r="K1056" s="163" t="s">
        <v>1633</v>
      </c>
      <c r="L1056" s="163"/>
      <c r="M1056" s="163" t="s">
        <v>159</v>
      </c>
      <c r="N1056" s="163" t="s">
        <v>102</v>
      </c>
      <c r="O1056" s="162"/>
      <c r="P1056" s="163"/>
      <c r="Q1056" s="163"/>
      <c r="R1056" s="163"/>
      <c r="S1056" s="163" t="s">
        <v>103</v>
      </c>
      <c r="T1056" s="164">
        <v>10000</v>
      </c>
      <c r="U1056" s="164">
        <v>6860</v>
      </c>
      <c r="V1056" s="165">
        <v>46280</v>
      </c>
      <c r="W1056" s="163" t="s">
        <v>1634</v>
      </c>
      <c r="X1056" s="163" t="s">
        <v>39</v>
      </c>
      <c r="Y1056" s="163" t="s">
        <v>85</v>
      </c>
      <c r="Z1056" s="163"/>
      <c r="AA1056" s="162"/>
      <c r="AB1056" s="195" t="str">
        <f t="shared" si="121"/>
        <v>Sep-26</v>
      </c>
      <c r="AC1056" s="163"/>
      <c r="AD1056" s="163" t="str">
        <f t="shared" si="122"/>
        <v/>
      </c>
      <c r="AE1056" s="163"/>
    </row>
    <row r="1057" spans="1:31" x14ac:dyDescent="0.35">
      <c r="A1057" s="162">
        <v>46280</v>
      </c>
      <c r="B1057" s="163" t="s">
        <v>148</v>
      </c>
      <c r="C1057" s="163" t="s">
        <v>113</v>
      </c>
      <c r="D1057" s="205" t="s">
        <v>1706</v>
      </c>
      <c r="E1057" s="163" t="s">
        <v>106</v>
      </c>
      <c r="F1057" s="163" t="s">
        <v>135</v>
      </c>
      <c r="G1057" s="163"/>
      <c r="H1057" s="163" t="s">
        <v>115</v>
      </c>
      <c r="I1057" s="163" t="s">
        <v>121</v>
      </c>
      <c r="J1057" s="163" t="s">
        <v>698</v>
      </c>
      <c r="K1057" s="205" t="s">
        <v>1707</v>
      </c>
      <c r="L1057" s="163"/>
      <c r="M1057" s="163" t="s">
        <v>1639</v>
      </c>
      <c r="N1057" s="163" t="s">
        <v>128</v>
      </c>
      <c r="O1057" s="162"/>
      <c r="P1057" s="163"/>
      <c r="Q1057" s="163"/>
      <c r="R1057" s="163"/>
      <c r="S1057" s="163" t="s">
        <v>129</v>
      </c>
      <c r="T1057" s="164"/>
      <c r="U1057" s="164"/>
      <c r="V1057" s="165"/>
      <c r="W1057" s="163"/>
      <c r="X1057" s="163"/>
      <c r="Y1057" s="163"/>
      <c r="Z1057" s="163"/>
      <c r="AA1057" s="162"/>
      <c r="AB1057" s="195" t="str">
        <f t="shared" si="121"/>
        <v>Sep-26</v>
      </c>
      <c r="AC1057" s="163"/>
      <c r="AD1057" s="163" t="str">
        <f t="shared" si="122"/>
        <v/>
      </c>
      <c r="AE1057" s="163"/>
    </row>
    <row r="1058" spans="1:31" x14ac:dyDescent="0.35">
      <c r="A1058" s="162">
        <v>46280</v>
      </c>
      <c r="B1058" s="163" t="s">
        <v>148</v>
      </c>
      <c r="C1058" s="163" t="s">
        <v>113</v>
      </c>
      <c r="D1058" s="163" t="s">
        <v>1708</v>
      </c>
      <c r="E1058" s="163" t="s">
        <v>106</v>
      </c>
      <c r="F1058" s="163" t="s">
        <v>96</v>
      </c>
      <c r="G1058" s="163" t="s">
        <v>11</v>
      </c>
      <c r="H1058" s="163" t="s">
        <v>163</v>
      </c>
      <c r="I1058" s="163" t="s">
        <v>121</v>
      </c>
      <c r="J1058" s="163" t="s">
        <v>99</v>
      </c>
      <c r="K1058" s="163" t="s">
        <v>1709</v>
      </c>
      <c r="L1058" s="163"/>
      <c r="M1058" s="163" t="s">
        <v>1710</v>
      </c>
      <c r="N1058" s="163" t="s">
        <v>128</v>
      </c>
      <c r="O1058" s="162"/>
      <c r="P1058" s="163"/>
      <c r="Q1058" s="163"/>
      <c r="R1058" s="163"/>
      <c r="S1058" s="163" t="s">
        <v>129</v>
      </c>
      <c r="T1058" s="164"/>
      <c r="U1058" s="164"/>
      <c r="V1058" s="165"/>
      <c r="W1058" s="163"/>
      <c r="X1058" s="163"/>
      <c r="Y1058" s="163"/>
      <c r="Z1058" s="163"/>
      <c r="AA1058" s="162"/>
      <c r="AB1058" s="195" t="str">
        <f t="shared" si="121"/>
        <v>Sep-26</v>
      </c>
      <c r="AC1058" s="163"/>
      <c r="AD1058" s="163" t="str">
        <f t="shared" si="122"/>
        <v/>
      </c>
      <c r="AE1058" s="163"/>
    </row>
    <row r="1059" spans="1:31" x14ac:dyDescent="0.35">
      <c r="A1059" s="162">
        <v>46281</v>
      </c>
      <c r="B1059" s="163" t="s">
        <v>370</v>
      </c>
      <c r="C1059" s="163" t="s">
        <v>93</v>
      </c>
      <c r="D1059" s="163" t="s">
        <v>1711</v>
      </c>
      <c r="E1059" s="163" t="s">
        <v>106</v>
      </c>
      <c r="F1059" s="163" t="s">
        <v>135</v>
      </c>
      <c r="G1059" s="163"/>
      <c r="H1059" s="163" t="s">
        <v>115</v>
      </c>
      <c r="I1059" s="163" t="s">
        <v>121</v>
      </c>
      <c r="J1059" s="163" t="s">
        <v>432</v>
      </c>
      <c r="K1059" s="163" t="s">
        <v>107</v>
      </c>
      <c r="L1059" s="163"/>
      <c r="M1059" s="163" t="s">
        <v>1686</v>
      </c>
      <c r="N1059" s="163" t="s">
        <v>495</v>
      </c>
      <c r="O1059" s="162"/>
      <c r="P1059" s="163" t="s">
        <v>95</v>
      </c>
      <c r="Q1059" s="163"/>
      <c r="R1059" s="163"/>
      <c r="S1059" s="163" t="s">
        <v>129</v>
      </c>
      <c r="T1059" s="164">
        <v>35000</v>
      </c>
      <c r="U1059" s="164"/>
      <c r="V1059" s="165"/>
      <c r="W1059" s="163"/>
      <c r="X1059" s="163"/>
      <c r="Y1059" s="163"/>
      <c r="Z1059" s="163"/>
      <c r="AA1059" s="162"/>
      <c r="AB1059" s="195" t="str">
        <f t="shared" si="121"/>
        <v>Sep-26</v>
      </c>
      <c r="AC1059" s="163"/>
      <c r="AD1059" s="163" t="str">
        <f t="shared" si="122"/>
        <v/>
      </c>
      <c r="AE1059" s="163"/>
    </row>
    <row r="1060" spans="1:31" x14ac:dyDescent="0.35">
      <c r="A1060" s="162">
        <v>46281</v>
      </c>
      <c r="B1060" s="163" t="s">
        <v>370</v>
      </c>
      <c r="C1060" s="163" t="s">
        <v>93</v>
      </c>
      <c r="D1060" s="163" t="s">
        <v>1712</v>
      </c>
      <c r="E1060" s="163" t="s">
        <v>106</v>
      </c>
      <c r="F1060" s="163" t="s">
        <v>135</v>
      </c>
      <c r="G1060" s="163"/>
      <c r="H1060" s="163" t="s">
        <v>115</v>
      </c>
      <c r="I1060" s="163" t="s">
        <v>121</v>
      </c>
      <c r="J1060" s="163" t="s">
        <v>923</v>
      </c>
      <c r="K1060" s="163" t="s">
        <v>423</v>
      </c>
      <c r="L1060" s="163"/>
      <c r="M1060" s="163" t="s">
        <v>1686</v>
      </c>
      <c r="N1060" s="163" t="s">
        <v>130</v>
      </c>
      <c r="O1060" s="162"/>
      <c r="P1060" s="163"/>
      <c r="Q1060" s="163"/>
      <c r="R1060" s="163"/>
      <c r="S1060" s="163" t="s">
        <v>103</v>
      </c>
      <c r="T1060" s="164">
        <v>40000</v>
      </c>
      <c r="U1060" s="164"/>
      <c r="V1060" s="165"/>
      <c r="W1060" s="163"/>
      <c r="X1060" s="163"/>
      <c r="Y1060" s="163"/>
      <c r="Z1060" s="163"/>
      <c r="AA1060" s="162"/>
      <c r="AB1060" s="195" t="str">
        <f t="shared" si="121"/>
        <v>Sep-26</v>
      </c>
      <c r="AC1060" s="163"/>
      <c r="AD1060" s="163" t="str">
        <f t="shared" si="122"/>
        <v/>
      </c>
      <c r="AE1060" s="163"/>
    </row>
    <row r="1061" spans="1:31" x14ac:dyDescent="0.35">
      <c r="A1061" s="162">
        <v>46281</v>
      </c>
      <c r="B1061" s="163" t="s">
        <v>370</v>
      </c>
      <c r="C1061" s="163" t="s">
        <v>93</v>
      </c>
      <c r="D1061" s="163" t="s">
        <v>1713</v>
      </c>
      <c r="E1061" s="163" t="s">
        <v>106</v>
      </c>
      <c r="F1061" s="163" t="s">
        <v>135</v>
      </c>
      <c r="G1061" s="163"/>
      <c r="H1061" s="163" t="s">
        <v>115</v>
      </c>
      <c r="I1061" s="163" t="s">
        <v>121</v>
      </c>
      <c r="J1061" s="163" t="s">
        <v>432</v>
      </c>
      <c r="K1061" s="163" t="s">
        <v>1714</v>
      </c>
      <c r="L1061" s="163"/>
      <c r="M1061" s="163" t="s">
        <v>1190</v>
      </c>
      <c r="N1061" s="163" t="s">
        <v>156</v>
      </c>
      <c r="O1061" s="162">
        <v>46290</v>
      </c>
      <c r="P1061" s="163" t="s">
        <v>95</v>
      </c>
      <c r="Q1061" s="163"/>
      <c r="R1061" s="163"/>
      <c r="S1061" s="163" t="s">
        <v>103</v>
      </c>
      <c r="T1061" s="164">
        <v>80000</v>
      </c>
      <c r="U1061" s="164"/>
      <c r="V1061" s="165"/>
      <c r="W1061" s="163"/>
      <c r="X1061" s="163"/>
      <c r="Y1061" s="163"/>
      <c r="Z1061" s="163"/>
      <c r="AA1061" s="162"/>
      <c r="AB1061" s="195" t="str">
        <f t="shared" si="121"/>
        <v>Sep-26</v>
      </c>
      <c r="AC1061" s="163"/>
      <c r="AD1061" s="163" t="str">
        <f t="shared" si="122"/>
        <v/>
      </c>
      <c r="AE1061" s="163"/>
    </row>
    <row r="1062" spans="1:31" x14ac:dyDescent="0.35">
      <c r="A1062" s="162">
        <v>46281</v>
      </c>
      <c r="B1062" s="163" t="s">
        <v>370</v>
      </c>
      <c r="C1062" s="163" t="s">
        <v>93</v>
      </c>
      <c r="D1062" s="163" t="s">
        <v>1715</v>
      </c>
      <c r="E1062" s="163" t="s">
        <v>106</v>
      </c>
      <c r="F1062" s="163" t="s">
        <v>115</v>
      </c>
      <c r="G1062" s="163"/>
      <c r="H1062" s="163" t="s">
        <v>115</v>
      </c>
      <c r="I1062" s="163" t="s">
        <v>121</v>
      </c>
      <c r="J1062" s="163" t="s">
        <v>356</v>
      </c>
      <c r="K1062" s="163" t="s">
        <v>1716</v>
      </c>
      <c r="L1062" s="163"/>
      <c r="M1062" s="163" t="s">
        <v>1686</v>
      </c>
      <c r="N1062" s="163" t="s">
        <v>130</v>
      </c>
      <c r="O1062" s="162"/>
      <c r="P1062" s="163"/>
      <c r="Q1062" s="163"/>
      <c r="R1062" s="163"/>
      <c r="S1062" s="163" t="s">
        <v>129</v>
      </c>
      <c r="T1062" s="164">
        <v>35000</v>
      </c>
      <c r="U1062" s="164"/>
      <c r="V1062" s="165"/>
      <c r="W1062" s="163"/>
      <c r="X1062" s="163"/>
      <c r="Y1062" s="163"/>
      <c r="Z1062" s="163"/>
      <c r="AA1062" s="162"/>
      <c r="AB1062" s="195" t="str">
        <f t="shared" ref="AB1062:AB1093" si="123">IF($V1062="",TEXT($A1062,"MMM-YY"),TEXT($V1062,"MMM-YY"))</f>
        <v>Sep-26</v>
      </c>
      <c r="AC1062" s="163"/>
      <c r="AD1062" s="163" t="str">
        <f t="shared" si="122"/>
        <v/>
      </c>
      <c r="AE1062" s="163"/>
    </row>
    <row r="1063" spans="1:31" x14ac:dyDescent="0.35">
      <c r="A1063" s="162">
        <v>46281</v>
      </c>
      <c r="B1063" s="163" t="s">
        <v>125</v>
      </c>
      <c r="C1063" s="163" t="s">
        <v>113</v>
      </c>
      <c r="D1063" s="163" t="s">
        <v>1717</v>
      </c>
      <c r="E1063" s="163" t="s">
        <v>106</v>
      </c>
      <c r="F1063" s="163" t="s">
        <v>96</v>
      </c>
      <c r="G1063" s="163" t="s">
        <v>14</v>
      </c>
      <c r="H1063" s="163" t="s">
        <v>226</v>
      </c>
      <c r="I1063" s="163" t="s">
        <v>121</v>
      </c>
      <c r="J1063" s="163" t="s">
        <v>153</v>
      </c>
      <c r="K1063" s="163" t="s">
        <v>685</v>
      </c>
      <c r="L1063" s="163"/>
      <c r="M1063" s="163" t="s">
        <v>159</v>
      </c>
      <c r="N1063" s="163" t="s">
        <v>102</v>
      </c>
      <c r="O1063" s="162"/>
      <c r="P1063" s="163"/>
      <c r="Q1063" s="163"/>
      <c r="R1063" s="163"/>
      <c r="S1063" s="163" t="s">
        <v>103</v>
      </c>
      <c r="T1063" s="164">
        <v>100000</v>
      </c>
      <c r="U1063" s="164">
        <v>172150</v>
      </c>
      <c r="V1063" s="165">
        <v>46281</v>
      </c>
      <c r="W1063" s="163" t="s">
        <v>1718</v>
      </c>
      <c r="X1063" s="163" t="s">
        <v>37</v>
      </c>
      <c r="Y1063" s="163" t="s">
        <v>85</v>
      </c>
      <c r="Z1063" s="163"/>
      <c r="AA1063" s="162"/>
      <c r="AB1063" s="195" t="str">
        <f t="shared" si="123"/>
        <v>Sep-26</v>
      </c>
      <c r="AC1063" s="163"/>
      <c r="AD1063" s="163" t="str">
        <f t="shared" si="122"/>
        <v/>
      </c>
      <c r="AE1063" s="163"/>
    </row>
    <row r="1064" spans="1:31" x14ac:dyDescent="0.35">
      <c r="A1064" s="162">
        <v>46281</v>
      </c>
      <c r="B1064" s="163" t="s">
        <v>148</v>
      </c>
      <c r="C1064" s="163" t="s">
        <v>113</v>
      </c>
      <c r="D1064" s="163" t="s">
        <v>1708</v>
      </c>
      <c r="E1064" s="163" t="s">
        <v>106</v>
      </c>
      <c r="F1064" s="163" t="s">
        <v>96</v>
      </c>
      <c r="G1064" s="163" t="s">
        <v>11</v>
      </c>
      <c r="H1064" s="163" t="s">
        <v>163</v>
      </c>
      <c r="I1064" s="163" t="s">
        <v>121</v>
      </c>
      <c r="J1064" s="163" t="s">
        <v>99</v>
      </c>
      <c r="K1064" s="163" t="s">
        <v>878</v>
      </c>
      <c r="L1064" s="163"/>
      <c r="M1064" s="163" t="s">
        <v>1710</v>
      </c>
      <c r="N1064" s="163" t="s">
        <v>156</v>
      </c>
      <c r="O1064" s="162"/>
      <c r="P1064" s="163"/>
      <c r="Q1064" s="163"/>
      <c r="R1064" s="163"/>
      <c r="S1064" s="163" t="s">
        <v>129</v>
      </c>
      <c r="T1064" s="164"/>
      <c r="U1064" s="164"/>
      <c r="V1064" s="165"/>
      <c r="W1064" s="163"/>
      <c r="X1064" s="163"/>
      <c r="Y1064" s="163"/>
      <c r="Z1064" s="163"/>
      <c r="AA1064" s="162"/>
      <c r="AB1064" s="195" t="str">
        <f t="shared" si="123"/>
        <v>Sep-26</v>
      </c>
      <c r="AC1064" s="163"/>
      <c r="AD1064" s="163" t="str">
        <f t="shared" si="122"/>
        <v/>
      </c>
      <c r="AE1064" s="163"/>
    </row>
    <row r="1065" spans="1:31" x14ac:dyDescent="0.35">
      <c r="A1065" s="162">
        <v>46281</v>
      </c>
      <c r="B1065" s="163" t="s">
        <v>148</v>
      </c>
      <c r="C1065" s="163" t="s">
        <v>113</v>
      </c>
      <c r="D1065" s="163" t="s">
        <v>165</v>
      </c>
      <c r="E1065" s="163" t="s">
        <v>95</v>
      </c>
      <c r="F1065" s="163" t="s">
        <v>135</v>
      </c>
      <c r="G1065" s="163"/>
      <c r="H1065" s="163" t="s">
        <v>115</v>
      </c>
      <c r="I1065" s="163" t="s">
        <v>98</v>
      </c>
      <c r="J1065" s="163" t="s">
        <v>166</v>
      </c>
      <c r="K1065" s="163" t="s">
        <v>167</v>
      </c>
      <c r="L1065" s="163"/>
      <c r="M1065" s="163" t="s">
        <v>159</v>
      </c>
      <c r="N1065" s="163" t="s">
        <v>102</v>
      </c>
      <c r="O1065" s="162"/>
      <c r="P1065" s="163"/>
      <c r="Q1065" s="163" t="str">
        <f ca="1">IF(N1065="Closed(C4)","",IF(N1065="","",TODAY()-A1065))</f>
        <v/>
      </c>
      <c r="R1065" s="163" t="str">
        <f ca="1">IF(OR(N1065="Closed( C4 )",N1065="Cancelled"),"",IF(AND(O1065&lt;&gt;"",O1065&lt;TODAY()),"Yes",""))</f>
        <v/>
      </c>
      <c r="S1065" s="163" t="s">
        <v>103</v>
      </c>
      <c r="T1065" s="164">
        <v>25000</v>
      </c>
      <c r="U1065" s="164">
        <v>26124</v>
      </c>
      <c r="V1065" s="165">
        <v>46281</v>
      </c>
      <c r="W1065" s="163" t="s">
        <v>1719</v>
      </c>
      <c r="X1065" s="163" t="s">
        <v>35</v>
      </c>
      <c r="Y1065" s="163" t="s">
        <v>1017</v>
      </c>
      <c r="Z1065" s="163"/>
      <c r="AA1065" s="162"/>
      <c r="AB1065" s="195" t="str">
        <f t="shared" si="123"/>
        <v>Sep-26</v>
      </c>
      <c r="AC1065" s="163"/>
      <c r="AD1065" s="163" t="str">
        <f t="shared" si="122"/>
        <v/>
      </c>
      <c r="AE1065" s="163"/>
    </row>
    <row r="1066" spans="1:31" x14ac:dyDescent="0.35">
      <c r="A1066" s="162">
        <v>46281</v>
      </c>
      <c r="B1066" s="163" t="s">
        <v>92</v>
      </c>
      <c r="C1066" s="163" t="s">
        <v>113</v>
      </c>
      <c r="D1066" s="163" t="s">
        <v>165</v>
      </c>
      <c r="E1066" s="163" t="s">
        <v>95</v>
      </c>
      <c r="F1066" s="163" t="s">
        <v>135</v>
      </c>
      <c r="G1066" s="163" t="s">
        <v>10</v>
      </c>
      <c r="H1066" s="163" t="s">
        <v>115</v>
      </c>
      <c r="I1066" s="163" t="s">
        <v>98</v>
      </c>
      <c r="J1066" s="163" t="s">
        <v>166</v>
      </c>
      <c r="K1066" s="163" t="s">
        <v>167</v>
      </c>
      <c r="L1066" s="163"/>
      <c r="M1066" s="163" t="s">
        <v>1299</v>
      </c>
      <c r="N1066" s="163" t="s">
        <v>102</v>
      </c>
      <c r="O1066" s="162"/>
      <c r="P1066" s="163"/>
      <c r="Q1066" s="163" t="str">
        <f ca="1">IF(N1066="Closed(C4)","",IF(N1066="","",TODAY()-A1066))</f>
        <v/>
      </c>
      <c r="R1066" s="163" t="str">
        <f ca="1">IF(OR(N1066="Closed( C4 )",N1066="Cancelled"),"",IF(AND(O1066&lt;&gt;"",O1066&lt;TODAY()),"Yes",""))</f>
        <v/>
      </c>
      <c r="S1066" s="163" t="s">
        <v>103</v>
      </c>
      <c r="T1066" s="164">
        <v>25000</v>
      </c>
      <c r="U1066" s="164">
        <v>26125</v>
      </c>
      <c r="V1066" s="165">
        <v>46281</v>
      </c>
      <c r="W1066" s="163" t="s">
        <v>1719</v>
      </c>
      <c r="X1066" s="163" t="s">
        <v>35</v>
      </c>
      <c r="Y1066" s="163" t="s">
        <v>1017</v>
      </c>
      <c r="Z1066" s="163"/>
      <c r="AA1066" s="162"/>
      <c r="AB1066" s="195" t="str">
        <f t="shared" si="123"/>
        <v>Sep-26</v>
      </c>
      <c r="AC1066" s="163"/>
      <c r="AD1066" s="163" t="str">
        <f t="shared" si="122"/>
        <v/>
      </c>
      <c r="AE1066" s="163"/>
    </row>
    <row r="1067" spans="1:31" x14ac:dyDescent="0.35">
      <c r="A1067" s="162">
        <v>46282</v>
      </c>
      <c r="B1067" s="163" t="s">
        <v>370</v>
      </c>
      <c r="C1067" s="163" t="s">
        <v>93</v>
      </c>
      <c r="D1067" s="163" t="s">
        <v>775</v>
      </c>
      <c r="E1067" s="163" t="s">
        <v>106</v>
      </c>
      <c r="F1067" s="163" t="s">
        <v>135</v>
      </c>
      <c r="G1067" s="163"/>
      <c r="H1067" s="163" t="s">
        <v>115</v>
      </c>
      <c r="I1067" s="163" t="s">
        <v>121</v>
      </c>
      <c r="J1067" s="163" t="s">
        <v>147</v>
      </c>
      <c r="K1067" s="163" t="s">
        <v>122</v>
      </c>
      <c r="L1067" s="163"/>
      <c r="M1067" s="163" t="s">
        <v>634</v>
      </c>
      <c r="N1067" s="163" t="s">
        <v>102</v>
      </c>
      <c r="O1067" s="162"/>
      <c r="P1067" s="163"/>
      <c r="Q1067" s="163"/>
      <c r="R1067" s="163"/>
      <c r="S1067" s="163" t="s">
        <v>103</v>
      </c>
      <c r="T1067" s="164">
        <v>10000</v>
      </c>
      <c r="U1067" s="164">
        <v>2816</v>
      </c>
      <c r="V1067" s="165">
        <v>46282</v>
      </c>
      <c r="W1067" s="163" t="s">
        <v>1720</v>
      </c>
      <c r="X1067" s="163" t="s">
        <v>34</v>
      </c>
      <c r="Y1067" s="163" t="s">
        <v>161</v>
      </c>
      <c r="Z1067" s="163"/>
      <c r="AA1067" s="162">
        <v>46282</v>
      </c>
      <c r="AB1067" s="195" t="str">
        <f t="shared" si="123"/>
        <v>Sep-26</v>
      </c>
      <c r="AC1067" s="163"/>
      <c r="AD1067" s="163" t="str">
        <f t="shared" si="122"/>
        <v/>
      </c>
      <c r="AE1067" s="163" t="s">
        <v>270</v>
      </c>
    </row>
    <row r="1068" spans="1:31" x14ac:dyDescent="0.35">
      <c r="A1068" s="162">
        <v>46282</v>
      </c>
      <c r="B1068" s="163" t="s">
        <v>370</v>
      </c>
      <c r="C1068" s="163" t="s">
        <v>93</v>
      </c>
      <c r="D1068" s="163" t="s">
        <v>775</v>
      </c>
      <c r="E1068" s="163" t="s">
        <v>106</v>
      </c>
      <c r="F1068" s="163" t="s">
        <v>135</v>
      </c>
      <c r="G1068" s="163"/>
      <c r="H1068" s="163" t="s">
        <v>115</v>
      </c>
      <c r="I1068" s="163" t="s">
        <v>121</v>
      </c>
      <c r="J1068" s="163" t="s">
        <v>147</v>
      </c>
      <c r="K1068" s="163" t="s">
        <v>122</v>
      </c>
      <c r="L1068" s="163"/>
      <c r="M1068" s="163" t="s">
        <v>634</v>
      </c>
      <c r="N1068" s="163" t="s">
        <v>102</v>
      </c>
      <c r="O1068" s="162"/>
      <c r="P1068" s="163"/>
      <c r="Q1068" s="163"/>
      <c r="R1068" s="163"/>
      <c r="S1068" s="163" t="s">
        <v>103</v>
      </c>
      <c r="T1068" s="164">
        <v>10000</v>
      </c>
      <c r="U1068" s="164">
        <v>2625</v>
      </c>
      <c r="V1068" s="165">
        <v>46282</v>
      </c>
      <c r="W1068" s="163" t="s">
        <v>1721</v>
      </c>
      <c r="X1068" s="163" t="s">
        <v>34</v>
      </c>
      <c r="Y1068" s="163" t="s">
        <v>161</v>
      </c>
      <c r="Z1068" s="163"/>
      <c r="AA1068" s="162">
        <v>46282</v>
      </c>
      <c r="AB1068" s="195" t="str">
        <f t="shared" si="123"/>
        <v>Sep-26</v>
      </c>
      <c r="AC1068" s="163"/>
      <c r="AD1068" s="163"/>
      <c r="AE1068" s="163" t="s">
        <v>270</v>
      </c>
    </row>
    <row r="1069" spans="1:31" x14ac:dyDescent="0.35">
      <c r="A1069" s="162">
        <v>46282</v>
      </c>
      <c r="B1069" s="163" t="s">
        <v>148</v>
      </c>
      <c r="C1069" s="163" t="s">
        <v>113</v>
      </c>
      <c r="D1069" s="163" t="s">
        <v>1722</v>
      </c>
      <c r="E1069" s="163" t="s">
        <v>106</v>
      </c>
      <c r="F1069" s="163" t="s">
        <v>135</v>
      </c>
      <c r="G1069" s="163"/>
      <c r="H1069" s="163" t="s">
        <v>115</v>
      </c>
      <c r="I1069" s="163" t="s">
        <v>121</v>
      </c>
      <c r="J1069" s="163" t="s">
        <v>147</v>
      </c>
      <c r="K1069" s="163" t="s">
        <v>1723</v>
      </c>
      <c r="L1069" s="163"/>
      <c r="M1069" s="163" t="s">
        <v>159</v>
      </c>
      <c r="N1069" s="163" t="s">
        <v>102</v>
      </c>
      <c r="O1069" s="162"/>
      <c r="P1069" s="163"/>
      <c r="Q1069" s="163"/>
      <c r="R1069" s="163"/>
      <c r="S1069" s="163" t="s">
        <v>103</v>
      </c>
      <c r="T1069" s="164">
        <v>100000</v>
      </c>
      <c r="U1069" s="164">
        <v>131303</v>
      </c>
      <c r="V1069" s="165">
        <v>46282</v>
      </c>
      <c r="W1069" s="163" t="s">
        <v>1724</v>
      </c>
      <c r="X1069" s="163" t="s">
        <v>47</v>
      </c>
      <c r="Y1069" s="163" t="s">
        <v>1017</v>
      </c>
      <c r="Z1069" s="163"/>
      <c r="AA1069" s="162"/>
      <c r="AB1069" s="195" t="str">
        <f t="shared" si="123"/>
        <v>Sep-26</v>
      </c>
      <c r="AC1069" s="163"/>
      <c r="AD1069" s="163" t="str">
        <f t="shared" ref="AD1069:AD1077" si="124">IF(AC1069="Yes",U1069*2%,"")</f>
        <v/>
      </c>
      <c r="AE1069" s="163"/>
    </row>
    <row r="1070" spans="1:31" x14ac:dyDescent="0.35">
      <c r="A1070" s="162">
        <v>46282</v>
      </c>
      <c r="B1070" s="163" t="s">
        <v>125</v>
      </c>
      <c r="C1070" s="163" t="s">
        <v>93</v>
      </c>
      <c r="D1070" s="163" t="s">
        <v>1725</v>
      </c>
      <c r="E1070" s="163" t="s">
        <v>106</v>
      </c>
      <c r="F1070" s="163" t="s">
        <v>96</v>
      </c>
      <c r="G1070" s="163" t="s">
        <v>10</v>
      </c>
      <c r="H1070" s="163" t="s">
        <v>115</v>
      </c>
      <c r="I1070" s="163" t="s">
        <v>121</v>
      </c>
      <c r="J1070" s="163" t="s">
        <v>147</v>
      </c>
      <c r="K1070" s="163" t="s">
        <v>1726</v>
      </c>
      <c r="L1070" s="163"/>
      <c r="M1070" s="163" t="s">
        <v>159</v>
      </c>
      <c r="N1070" s="163" t="s">
        <v>102</v>
      </c>
      <c r="O1070" s="162"/>
      <c r="P1070" s="163"/>
      <c r="Q1070" s="163"/>
      <c r="R1070" s="163"/>
      <c r="S1070" s="163" t="s">
        <v>103</v>
      </c>
      <c r="T1070" s="164">
        <v>300000</v>
      </c>
      <c r="U1070" s="164">
        <v>322286</v>
      </c>
      <c r="V1070" s="165">
        <v>46282</v>
      </c>
      <c r="W1070" s="163" t="s">
        <v>1727</v>
      </c>
      <c r="X1070" s="163" t="s">
        <v>42</v>
      </c>
      <c r="Y1070" s="163" t="s">
        <v>1017</v>
      </c>
      <c r="Z1070" s="163"/>
      <c r="AA1070" s="162"/>
      <c r="AB1070" s="195" t="str">
        <f t="shared" si="123"/>
        <v>Sep-26</v>
      </c>
      <c r="AC1070" s="163"/>
      <c r="AD1070" s="163" t="str">
        <f t="shared" si="124"/>
        <v/>
      </c>
      <c r="AE1070" s="163"/>
    </row>
    <row r="1071" spans="1:31" x14ac:dyDescent="0.35">
      <c r="A1071" s="162">
        <v>46282</v>
      </c>
      <c r="B1071" s="163" t="s">
        <v>92</v>
      </c>
      <c r="C1071" s="163" t="s">
        <v>93</v>
      </c>
      <c r="D1071" s="163" t="s">
        <v>1725</v>
      </c>
      <c r="E1071" s="163" t="s">
        <v>106</v>
      </c>
      <c r="F1071" s="163" t="s">
        <v>96</v>
      </c>
      <c r="G1071" s="163" t="s">
        <v>10</v>
      </c>
      <c r="H1071" s="163" t="s">
        <v>115</v>
      </c>
      <c r="I1071" s="163" t="s">
        <v>121</v>
      </c>
      <c r="J1071" s="163" t="s">
        <v>147</v>
      </c>
      <c r="K1071" s="163" t="s">
        <v>1726</v>
      </c>
      <c r="L1071" s="163"/>
      <c r="M1071" s="163" t="s">
        <v>159</v>
      </c>
      <c r="N1071" s="163" t="s">
        <v>102</v>
      </c>
      <c r="O1071" s="162"/>
      <c r="P1071" s="163"/>
      <c r="Q1071" s="163"/>
      <c r="R1071" s="163"/>
      <c r="S1071" s="163" t="s">
        <v>103</v>
      </c>
      <c r="T1071" s="164">
        <v>300000</v>
      </c>
      <c r="U1071" s="164">
        <v>322286</v>
      </c>
      <c r="V1071" s="165">
        <v>46282</v>
      </c>
      <c r="W1071" s="163" t="s">
        <v>1727</v>
      </c>
      <c r="X1071" s="163" t="s">
        <v>42</v>
      </c>
      <c r="Y1071" s="163" t="s">
        <v>1017</v>
      </c>
      <c r="Z1071" s="163"/>
      <c r="AA1071" s="162"/>
      <c r="AB1071" s="195" t="str">
        <f t="shared" si="123"/>
        <v>Sep-26</v>
      </c>
      <c r="AC1071" s="163"/>
      <c r="AD1071" s="163" t="str">
        <f t="shared" si="124"/>
        <v/>
      </c>
      <c r="AE1071" s="163"/>
    </row>
    <row r="1072" spans="1:31" x14ac:dyDescent="0.35">
      <c r="A1072" s="162">
        <v>46282</v>
      </c>
      <c r="B1072" s="163" t="s">
        <v>92</v>
      </c>
      <c r="C1072" s="163" t="s">
        <v>93</v>
      </c>
      <c r="D1072" s="161" t="s">
        <v>1728</v>
      </c>
      <c r="E1072" s="163" t="s">
        <v>106</v>
      </c>
      <c r="F1072" s="163" t="s">
        <v>135</v>
      </c>
      <c r="G1072" s="163"/>
      <c r="H1072" s="163" t="s">
        <v>115</v>
      </c>
      <c r="I1072" s="163" t="s">
        <v>121</v>
      </c>
      <c r="J1072" s="163" t="s">
        <v>698</v>
      </c>
      <c r="K1072" s="163" t="s">
        <v>1729</v>
      </c>
      <c r="L1072" s="163"/>
      <c r="M1072" s="163" t="s">
        <v>1730</v>
      </c>
      <c r="N1072" s="163" t="s">
        <v>128</v>
      </c>
      <c r="O1072" s="162">
        <v>46286</v>
      </c>
      <c r="P1072" s="163"/>
      <c r="Q1072" s="163"/>
      <c r="R1072" s="163"/>
      <c r="S1072" s="163" t="s">
        <v>133</v>
      </c>
      <c r="T1072" s="164">
        <v>500000</v>
      </c>
      <c r="U1072" s="164"/>
      <c r="V1072" s="165">
        <v>46282</v>
      </c>
      <c r="W1072" s="163"/>
      <c r="X1072" s="163"/>
      <c r="Y1072" s="163"/>
      <c r="Z1072" s="163"/>
      <c r="AA1072" s="162"/>
      <c r="AB1072" s="195" t="str">
        <f t="shared" si="123"/>
        <v>Sep-26</v>
      </c>
      <c r="AC1072" s="163"/>
      <c r="AD1072" s="163" t="str">
        <f t="shared" si="124"/>
        <v/>
      </c>
      <c r="AE1072" s="163"/>
    </row>
    <row r="1073" spans="1:31" x14ac:dyDescent="0.35">
      <c r="A1073" s="162">
        <v>46282</v>
      </c>
      <c r="B1073" s="163" t="s">
        <v>370</v>
      </c>
      <c r="C1073" s="163" t="s">
        <v>93</v>
      </c>
      <c r="D1073" s="163" t="s">
        <v>1731</v>
      </c>
      <c r="E1073" s="163" t="s">
        <v>106</v>
      </c>
      <c r="F1073" s="163" t="s">
        <v>135</v>
      </c>
      <c r="G1073" s="163"/>
      <c r="H1073" s="163" t="s">
        <v>226</v>
      </c>
      <c r="I1073" s="163" t="s">
        <v>121</v>
      </c>
      <c r="J1073" s="163" t="s">
        <v>1495</v>
      </c>
      <c r="K1073" s="163" t="s">
        <v>1732</v>
      </c>
      <c r="L1073" s="163"/>
      <c r="M1073" s="163" t="s">
        <v>1733</v>
      </c>
      <c r="N1073" s="163" t="s">
        <v>102</v>
      </c>
      <c r="O1073" s="162"/>
      <c r="P1073" s="163"/>
      <c r="Q1073" s="163"/>
      <c r="R1073" s="163"/>
      <c r="S1073" s="163" t="s">
        <v>103</v>
      </c>
      <c r="T1073" s="164">
        <v>100000</v>
      </c>
      <c r="U1073" s="164">
        <v>77843</v>
      </c>
      <c r="V1073" s="165">
        <v>46282</v>
      </c>
      <c r="W1073" s="163" t="s">
        <v>1734</v>
      </c>
      <c r="X1073" s="163" t="s">
        <v>53</v>
      </c>
      <c r="Y1073" s="163" t="s">
        <v>161</v>
      </c>
      <c r="Z1073" s="163"/>
      <c r="AA1073" s="162"/>
      <c r="AB1073" s="195" t="str">
        <f t="shared" si="123"/>
        <v>Sep-26</v>
      </c>
      <c r="AC1073" s="163"/>
      <c r="AD1073" s="163" t="str">
        <f t="shared" si="124"/>
        <v/>
      </c>
      <c r="AE1073" s="163" t="s">
        <v>270</v>
      </c>
    </row>
    <row r="1074" spans="1:31" x14ac:dyDescent="0.35">
      <c r="A1074" s="162">
        <v>46282</v>
      </c>
      <c r="B1074" s="163" t="s">
        <v>148</v>
      </c>
      <c r="C1074" s="163" t="s">
        <v>113</v>
      </c>
      <c r="D1074" s="163" t="s">
        <v>1708</v>
      </c>
      <c r="E1074" s="163" t="s">
        <v>106</v>
      </c>
      <c r="F1074" s="163" t="s">
        <v>96</v>
      </c>
      <c r="G1074" s="163"/>
      <c r="H1074" s="163" t="s">
        <v>163</v>
      </c>
      <c r="I1074" s="163" t="s">
        <v>121</v>
      </c>
      <c r="J1074" s="163" t="s">
        <v>99</v>
      </c>
      <c r="K1074" s="163" t="s">
        <v>1735</v>
      </c>
      <c r="L1074" s="163"/>
      <c r="M1074" s="163" t="s">
        <v>115</v>
      </c>
      <c r="N1074" s="163" t="s">
        <v>130</v>
      </c>
      <c r="O1074" s="162"/>
      <c r="P1074" s="163"/>
      <c r="Q1074" s="163"/>
      <c r="R1074" s="163"/>
      <c r="S1074" s="163" t="s">
        <v>129</v>
      </c>
      <c r="T1074" s="164"/>
      <c r="U1074" s="164"/>
      <c r="V1074" s="165"/>
      <c r="W1074" s="163"/>
      <c r="X1074" s="163"/>
      <c r="Y1074" s="163"/>
      <c r="Z1074" s="163"/>
      <c r="AA1074" s="162"/>
      <c r="AB1074" s="195" t="str">
        <f t="shared" si="123"/>
        <v>Sep-26</v>
      </c>
      <c r="AC1074" s="163"/>
      <c r="AD1074" s="163" t="str">
        <f t="shared" si="124"/>
        <v/>
      </c>
      <c r="AE1074" s="163"/>
    </row>
    <row r="1075" spans="1:31" x14ac:dyDescent="0.35">
      <c r="A1075" s="162">
        <v>46283</v>
      </c>
      <c r="B1075" s="163" t="s">
        <v>125</v>
      </c>
      <c r="C1075" s="163" t="s">
        <v>113</v>
      </c>
      <c r="D1075" s="163" t="s">
        <v>1736</v>
      </c>
      <c r="E1075" s="163" t="s">
        <v>106</v>
      </c>
      <c r="F1075" s="163" t="s">
        <v>96</v>
      </c>
      <c r="G1075" s="163" t="s">
        <v>14</v>
      </c>
      <c r="H1075" s="163" t="s">
        <v>226</v>
      </c>
      <c r="I1075" s="163" t="s">
        <v>121</v>
      </c>
      <c r="J1075" s="163" t="s">
        <v>388</v>
      </c>
      <c r="K1075" s="163" t="s">
        <v>227</v>
      </c>
      <c r="L1075" s="163"/>
      <c r="M1075" s="163" t="s">
        <v>159</v>
      </c>
      <c r="N1075" s="163" t="s">
        <v>102</v>
      </c>
      <c r="O1075" s="162"/>
      <c r="P1075" s="163"/>
      <c r="Q1075" s="163"/>
      <c r="R1075" s="163"/>
      <c r="S1075" s="163" t="s">
        <v>103</v>
      </c>
      <c r="T1075" s="164">
        <v>300000</v>
      </c>
      <c r="U1075" s="164">
        <v>450000</v>
      </c>
      <c r="V1075" s="165">
        <v>46283</v>
      </c>
      <c r="W1075" s="163" t="s">
        <v>1718</v>
      </c>
      <c r="X1075" s="163" t="s">
        <v>37</v>
      </c>
      <c r="Y1075" s="163" t="s">
        <v>85</v>
      </c>
      <c r="Z1075" s="163"/>
      <c r="AA1075" s="162"/>
      <c r="AB1075" s="195" t="str">
        <f t="shared" si="123"/>
        <v>Sep-26</v>
      </c>
      <c r="AC1075" s="163"/>
      <c r="AD1075" s="163" t="str">
        <f t="shared" si="124"/>
        <v/>
      </c>
      <c r="AE1075" s="163"/>
    </row>
    <row r="1076" spans="1:31" x14ac:dyDescent="0.35">
      <c r="A1076" s="162">
        <v>46283</v>
      </c>
      <c r="B1076" s="163" t="s">
        <v>148</v>
      </c>
      <c r="C1076" s="163" t="s">
        <v>113</v>
      </c>
      <c r="D1076" s="163" t="s">
        <v>1736</v>
      </c>
      <c r="E1076" s="163" t="s">
        <v>106</v>
      </c>
      <c r="F1076" s="163" t="s">
        <v>96</v>
      </c>
      <c r="G1076" s="163" t="s">
        <v>14</v>
      </c>
      <c r="H1076" s="163" t="s">
        <v>226</v>
      </c>
      <c r="I1076" s="163" t="s">
        <v>121</v>
      </c>
      <c r="J1076" s="163" t="s">
        <v>388</v>
      </c>
      <c r="K1076" s="163" t="s">
        <v>227</v>
      </c>
      <c r="L1076" s="163"/>
      <c r="M1076" s="163" t="s">
        <v>159</v>
      </c>
      <c r="N1076" s="163" t="s">
        <v>102</v>
      </c>
      <c r="O1076" s="162"/>
      <c r="P1076" s="163"/>
      <c r="Q1076" s="163"/>
      <c r="R1076" s="163"/>
      <c r="S1076" s="163" t="s">
        <v>103</v>
      </c>
      <c r="T1076" s="164">
        <v>250000</v>
      </c>
      <c r="U1076" s="164">
        <v>304650</v>
      </c>
      <c r="V1076" s="165">
        <v>46283</v>
      </c>
      <c r="W1076" s="163" t="s">
        <v>1718</v>
      </c>
      <c r="X1076" s="163" t="s">
        <v>37</v>
      </c>
      <c r="Y1076" s="163" t="s">
        <v>85</v>
      </c>
      <c r="Z1076" s="163"/>
      <c r="AA1076" s="162"/>
      <c r="AB1076" s="195" t="str">
        <f t="shared" si="123"/>
        <v>Sep-26</v>
      </c>
      <c r="AC1076" s="163"/>
      <c r="AD1076" s="163" t="str">
        <f t="shared" si="124"/>
        <v/>
      </c>
      <c r="AE1076" s="163"/>
    </row>
    <row r="1077" spans="1:31" x14ac:dyDescent="0.35">
      <c r="A1077" s="162">
        <v>46283</v>
      </c>
      <c r="B1077" s="163" t="s">
        <v>125</v>
      </c>
      <c r="C1077" s="163" t="s">
        <v>113</v>
      </c>
      <c r="D1077" s="163" t="s">
        <v>1030</v>
      </c>
      <c r="E1077" s="163" t="s">
        <v>106</v>
      </c>
      <c r="F1077" s="163" t="s">
        <v>135</v>
      </c>
      <c r="G1077" s="163"/>
      <c r="H1077" s="163" t="s">
        <v>163</v>
      </c>
      <c r="I1077" s="163" t="s">
        <v>121</v>
      </c>
      <c r="J1077" s="163" t="s">
        <v>147</v>
      </c>
      <c r="K1077" s="163" t="s">
        <v>1564</v>
      </c>
      <c r="L1077" s="163"/>
      <c r="M1077" s="163" t="s">
        <v>159</v>
      </c>
      <c r="N1077" s="163" t="s">
        <v>102</v>
      </c>
      <c r="O1077" s="162"/>
      <c r="P1077" s="163"/>
      <c r="Q1077" s="163"/>
      <c r="R1077" s="163"/>
      <c r="S1077" s="163" t="s">
        <v>103</v>
      </c>
      <c r="T1077" s="164">
        <v>10000</v>
      </c>
      <c r="U1077" s="164">
        <v>23443</v>
      </c>
      <c r="V1077" s="165">
        <v>46283</v>
      </c>
      <c r="W1077" s="163" t="s">
        <v>1737</v>
      </c>
      <c r="X1077" s="163" t="s">
        <v>47</v>
      </c>
      <c r="Y1077" s="163" t="s">
        <v>85</v>
      </c>
      <c r="Z1077" s="163"/>
      <c r="AA1077" s="162"/>
      <c r="AB1077" s="195" t="str">
        <f t="shared" si="123"/>
        <v>Sep-26</v>
      </c>
      <c r="AC1077" s="163"/>
      <c r="AD1077" s="163" t="str">
        <f t="shared" si="124"/>
        <v/>
      </c>
      <c r="AE1077" s="163"/>
    </row>
    <row r="1078" spans="1:31" x14ac:dyDescent="0.35">
      <c r="A1078" s="162">
        <v>46283</v>
      </c>
      <c r="B1078" s="163" t="s">
        <v>370</v>
      </c>
      <c r="C1078" s="163" t="s">
        <v>93</v>
      </c>
      <c r="D1078" s="163" t="s">
        <v>1738</v>
      </c>
      <c r="E1078" s="163" t="s">
        <v>106</v>
      </c>
      <c r="F1078" s="163" t="s">
        <v>135</v>
      </c>
      <c r="G1078" s="163"/>
      <c r="H1078" s="163" t="s">
        <v>115</v>
      </c>
      <c r="I1078" s="163" t="s">
        <v>121</v>
      </c>
      <c r="J1078" s="163" t="s">
        <v>438</v>
      </c>
      <c r="K1078" s="163" t="s">
        <v>979</v>
      </c>
      <c r="L1078" s="163"/>
      <c r="M1078" s="163" t="s">
        <v>1190</v>
      </c>
      <c r="N1078" s="163" t="s">
        <v>495</v>
      </c>
      <c r="O1078" s="162">
        <v>46294</v>
      </c>
      <c r="P1078" s="163"/>
      <c r="Q1078" s="163"/>
      <c r="R1078" s="163"/>
      <c r="S1078" s="163" t="s">
        <v>133</v>
      </c>
      <c r="T1078" s="164">
        <v>30000</v>
      </c>
      <c r="U1078" s="164"/>
      <c r="V1078" s="165"/>
      <c r="W1078" s="163"/>
      <c r="X1078" s="163"/>
      <c r="Y1078" s="163"/>
      <c r="Z1078" s="163"/>
      <c r="AA1078" s="162"/>
      <c r="AB1078" s="195" t="str">
        <f t="shared" si="123"/>
        <v>Sep-26</v>
      </c>
      <c r="AC1078" s="163"/>
      <c r="AD1078" s="163"/>
      <c r="AE1078" s="163"/>
    </row>
    <row r="1079" spans="1:31" x14ac:dyDescent="0.35">
      <c r="A1079" s="162">
        <v>46283</v>
      </c>
      <c r="B1079" s="163" t="s">
        <v>370</v>
      </c>
      <c r="C1079" s="163" t="s">
        <v>93</v>
      </c>
      <c r="D1079" s="163" t="s">
        <v>1739</v>
      </c>
      <c r="E1079" s="163" t="s">
        <v>106</v>
      </c>
      <c r="F1079" s="163" t="s">
        <v>135</v>
      </c>
      <c r="G1079" s="163"/>
      <c r="H1079" s="163" t="s">
        <v>115</v>
      </c>
      <c r="I1079" s="163" t="s">
        <v>121</v>
      </c>
      <c r="J1079" s="163" t="s">
        <v>356</v>
      </c>
      <c r="K1079" s="163" t="s">
        <v>140</v>
      </c>
      <c r="L1079" s="163"/>
      <c r="M1079" s="163" t="s">
        <v>1190</v>
      </c>
      <c r="N1079" s="163" t="s">
        <v>130</v>
      </c>
      <c r="O1079" s="162">
        <v>46291</v>
      </c>
      <c r="P1079" s="163"/>
      <c r="Q1079" s="163"/>
      <c r="R1079" s="163"/>
      <c r="S1079" s="163" t="s">
        <v>129</v>
      </c>
      <c r="T1079" s="164">
        <v>40000</v>
      </c>
      <c r="U1079" s="164"/>
      <c r="V1079" s="165"/>
      <c r="W1079" s="163"/>
      <c r="X1079" s="163"/>
      <c r="Y1079" s="163"/>
      <c r="Z1079" s="163"/>
      <c r="AA1079" s="162"/>
      <c r="AB1079" s="195" t="str">
        <f t="shared" si="123"/>
        <v>Sep-26</v>
      </c>
      <c r="AC1079" s="163"/>
      <c r="AD1079" s="163"/>
      <c r="AE1079" s="163"/>
    </row>
    <row r="1080" spans="1:31" x14ac:dyDescent="0.35">
      <c r="A1080" s="162">
        <v>46283</v>
      </c>
      <c r="B1080" s="163" t="s">
        <v>370</v>
      </c>
      <c r="C1080" s="163" t="s">
        <v>93</v>
      </c>
      <c r="D1080" s="163" t="s">
        <v>1740</v>
      </c>
      <c r="E1080" s="163" t="s">
        <v>106</v>
      </c>
      <c r="F1080" s="163" t="s">
        <v>135</v>
      </c>
      <c r="G1080" s="163"/>
      <c r="H1080" s="163" t="s">
        <v>115</v>
      </c>
      <c r="I1080" s="163" t="s">
        <v>121</v>
      </c>
      <c r="J1080" s="163" t="s">
        <v>432</v>
      </c>
      <c r="K1080" s="163" t="s">
        <v>1741</v>
      </c>
      <c r="L1080" s="163"/>
      <c r="M1080" s="163" t="s">
        <v>1190</v>
      </c>
      <c r="N1080" s="163" t="s">
        <v>495</v>
      </c>
      <c r="O1080" s="162"/>
      <c r="P1080" s="163"/>
      <c r="Q1080" s="163"/>
      <c r="R1080" s="163"/>
      <c r="S1080" s="163" t="s">
        <v>129</v>
      </c>
      <c r="T1080" s="164">
        <v>25000</v>
      </c>
      <c r="U1080" s="164"/>
      <c r="V1080" s="165"/>
      <c r="W1080" s="163"/>
      <c r="X1080" s="163"/>
      <c r="Y1080" s="163"/>
      <c r="Z1080" s="163"/>
      <c r="AA1080" s="162"/>
      <c r="AB1080" s="195" t="str">
        <f t="shared" si="123"/>
        <v>Sep-26</v>
      </c>
      <c r="AC1080" s="163"/>
      <c r="AD1080" s="163"/>
      <c r="AE1080" s="163"/>
    </row>
    <row r="1081" spans="1:31" x14ac:dyDescent="0.35">
      <c r="A1081" s="162">
        <v>46283</v>
      </c>
      <c r="B1081" s="163" t="s">
        <v>148</v>
      </c>
      <c r="C1081" s="163" t="s">
        <v>113</v>
      </c>
      <c r="D1081" s="205" t="s">
        <v>1742</v>
      </c>
      <c r="E1081" s="163" t="s">
        <v>106</v>
      </c>
      <c r="F1081" s="163" t="s">
        <v>135</v>
      </c>
      <c r="G1081" s="163"/>
      <c r="H1081" s="163" t="s">
        <v>115</v>
      </c>
      <c r="I1081" s="163" t="s">
        <v>121</v>
      </c>
      <c r="J1081" s="163" t="s">
        <v>432</v>
      </c>
      <c r="K1081" s="205" t="s">
        <v>1743</v>
      </c>
      <c r="L1081" s="163"/>
      <c r="M1081" s="163" t="s">
        <v>1639</v>
      </c>
      <c r="N1081" s="163" t="s">
        <v>128</v>
      </c>
      <c r="O1081" s="162"/>
      <c r="P1081" s="163"/>
      <c r="Q1081" s="163"/>
      <c r="R1081" s="163"/>
      <c r="S1081" s="163" t="s">
        <v>129</v>
      </c>
      <c r="T1081" s="164"/>
      <c r="U1081" s="164"/>
      <c r="V1081" s="165"/>
      <c r="W1081" s="163"/>
      <c r="X1081" s="163"/>
      <c r="Y1081" s="163"/>
      <c r="Z1081" s="163"/>
      <c r="AA1081" s="162"/>
      <c r="AB1081" s="195" t="str">
        <f t="shared" si="123"/>
        <v>Sep-26</v>
      </c>
      <c r="AC1081" s="163"/>
      <c r="AD1081" s="163" t="str">
        <f>IF(AC1081="Yes",U1081*2%,"")</f>
        <v/>
      </c>
      <c r="AE1081" s="163"/>
    </row>
    <row r="1082" spans="1:31" x14ac:dyDescent="0.35">
      <c r="A1082" s="162">
        <v>46283</v>
      </c>
      <c r="B1082" s="163" t="s">
        <v>148</v>
      </c>
      <c r="C1082" s="163" t="s">
        <v>113</v>
      </c>
      <c r="D1082" s="163" t="s">
        <v>1708</v>
      </c>
      <c r="E1082" s="163" t="s">
        <v>106</v>
      </c>
      <c r="F1082" s="163" t="s">
        <v>96</v>
      </c>
      <c r="G1082" s="163"/>
      <c r="H1082" s="163" t="s">
        <v>163</v>
      </c>
      <c r="I1082" s="163" t="s">
        <v>121</v>
      </c>
      <c r="J1082" s="163" t="s">
        <v>99</v>
      </c>
      <c r="K1082" s="163" t="s">
        <v>1735</v>
      </c>
      <c r="L1082" s="163"/>
      <c r="M1082" s="163" t="s">
        <v>115</v>
      </c>
      <c r="N1082" s="163" t="s">
        <v>130</v>
      </c>
      <c r="O1082" s="162"/>
      <c r="P1082" s="163"/>
      <c r="Q1082" s="163"/>
      <c r="R1082" s="163"/>
      <c r="S1082" s="163" t="s">
        <v>129</v>
      </c>
      <c r="T1082" s="164"/>
      <c r="U1082" s="164"/>
      <c r="V1082" s="165"/>
      <c r="W1082" s="163"/>
      <c r="X1082" s="163"/>
      <c r="Y1082" s="163"/>
      <c r="Z1082" s="163"/>
      <c r="AA1082" s="162"/>
      <c r="AB1082" s="195" t="str">
        <f t="shared" si="123"/>
        <v>Sep-26</v>
      </c>
      <c r="AC1082" s="163"/>
      <c r="AD1082" s="163" t="str">
        <f>IF(AC1082="Yes",U1082*2%,"")</f>
        <v/>
      </c>
      <c r="AE1082" s="163"/>
    </row>
    <row r="1083" spans="1:31" x14ac:dyDescent="0.35">
      <c r="A1083" s="162">
        <v>46285</v>
      </c>
      <c r="B1083" s="163" t="s">
        <v>92</v>
      </c>
      <c r="C1083" s="163" t="s">
        <v>93</v>
      </c>
      <c r="D1083" s="163" t="s">
        <v>1602</v>
      </c>
      <c r="E1083" s="163" t="s">
        <v>106</v>
      </c>
      <c r="F1083" s="163" t="s">
        <v>135</v>
      </c>
      <c r="G1083" s="163"/>
      <c r="H1083" s="163" t="s">
        <v>115</v>
      </c>
      <c r="I1083" s="163" t="s">
        <v>121</v>
      </c>
      <c r="J1083" s="163" t="s">
        <v>432</v>
      </c>
      <c r="K1083" s="163" t="s">
        <v>1744</v>
      </c>
      <c r="L1083" s="163"/>
      <c r="M1083" s="163" t="s">
        <v>1745</v>
      </c>
      <c r="N1083" s="163" t="s">
        <v>130</v>
      </c>
      <c r="O1083" s="162">
        <v>46295</v>
      </c>
      <c r="P1083" s="163" t="s">
        <v>95</v>
      </c>
      <c r="Q1083" s="163"/>
      <c r="R1083" s="163"/>
      <c r="S1083" s="163" t="s">
        <v>103</v>
      </c>
      <c r="T1083" s="164">
        <v>1500000</v>
      </c>
      <c r="U1083" s="164"/>
      <c r="V1083" s="163"/>
      <c r="W1083" s="163"/>
      <c r="X1083" s="163"/>
      <c r="Y1083" s="163"/>
      <c r="Z1083" s="163"/>
      <c r="AA1083" s="162"/>
      <c r="AB1083" s="195" t="str">
        <f t="shared" si="123"/>
        <v>Sep-26</v>
      </c>
      <c r="AC1083" s="163"/>
      <c r="AD1083" s="163"/>
      <c r="AE1083" s="163"/>
    </row>
    <row r="1084" spans="1:31" x14ac:dyDescent="0.35">
      <c r="A1084" s="162">
        <v>46285</v>
      </c>
      <c r="B1084" s="163" t="s">
        <v>370</v>
      </c>
      <c r="C1084" s="163" t="s">
        <v>93</v>
      </c>
      <c r="D1084" s="163" t="s">
        <v>262</v>
      </c>
      <c r="E1084" s="163" t="s">
        <v>106</v>
      </c>
      <c r="F1084" s="163" t="s">
        <v>115</v>
      </c>
      <c r="G1084" s="163"/>
      <c r="H1084" s="163" t="s">
        <v>115</v>
      </c>
      <c r="I1084" s="163" t="s">
        <v>121</v>
      </c>
      <c r="J1084" s="163" t="s">
        <v>262</v>
      </c>
      <c r="K1084" s="163" t="s">
        <v>1519</v>
      </c>
      <c r="L1084" s="163"/>
      <c r="M1084" s="163" t="s">
        <v>159</v>
      </c>
      <c r="N1084" s="163" t="s">
        <v>102</v>
      </c>
      <c r="O1084" s="162"/>
      <c r="P1084" s="163"/>
      <c r="Q1084" s="163"/>
      <c r="R1084" s="163"/>
      <c r="S1084" s="163" t="s">
        <v>103</v>
      </c>
      <c r="T1084" s="164">
        <v>25000</v>
      </c>
      <c r="U1084" s="164">
        <v>13195</v>
      </c>
      <c r="V1084" s="165">
        <v>46285</v>
      </c>
      <c r="W1084" s="163" t="s">
        <v>1746</v>
      </c>
      <c r="X1084" s="163" t="s">
        <v>53</v>
      </c>
      <c r="Y1084" s="163" t="s">
        <v>161</v>
      </c>
      <c r="Z1084" s="163"/>
      <c r="AA1084" s="162">
        <v>46285</v>
      </c>
      <c r="AB1084" s="195" t="str">
        <f t="shared" si="123"/>
        <v>Sep-26</v>
      </c>
      <c r="AC1084" s="163"/>
      <c r="AD1084" s="163" t="str">
        <f>IF(AC1084="Yes",U1084*2%,"")</f>
        <v/>
      </c>
      <c r="AE1084" s="163" t="s">
        <v>270</v>
      </c>
    </row>
    <row r="1085" spans="1:31" x14ac:dyDescent="0.35">
      <c r="A1085" s="162">
        <v>46285</v>
      </c>
      <c r="B1085" s="163" t="s">
        <v>1331</v>
      </c>
      <c r="C1085" s="163" t="s">
        <v>93</v>
      </c>
      <c r="D1085" s="163" t="s">
        <v>486</v>
      </c>
      <c r="E1085" s="163" t="s">
        <v>95</v>
      </c>
      <c r="F1085" s="163" t="s">
        <v>115</v>
      </c>
      <c r="G1085" s="163"/>
      <c r="H1085" s="163" t="s">
        <v>115</v>
      </c>
      <c r="I1085" s="163" t="s">
        <v>121</v>
      </c>
      <c r="J1085" s="163" t="s">
        <v>147</v>
      </c>
      <c r="K1085" s="163" t="s">
        <v>1747</v>
      </c>
      <c r="L1085" s="163"/>
      <c r="M1085" s="163" t="s">
        <v>159</v>
      </c>
      <c r="N1085" s="163" t="s">
        <v>102</v>
      </c>
      <c r="O1085" s="162"/>
      <c r="P1085" s="163"/>
      <c r="Q1085" s="163"/>
      <c r="R1085" s="163"/>
      <c r="S1085" s="163" t="s">
        <v>103</v>
      </c>
      <c r="T1085" s="164">
        <v>22000</v>
      </c>
      <c r="U1085" s="164">
        <v>24061</v>
      </c>
      <c r="V1085" s="165">
        <v>46285</v>
      </c>
      <c r="W1085" s="163" t="s">
        <v>1748</v>
      </c>
      <c r="X1085" s="163" t="s">
        <v>49</v>
      </c>
      <c r="Y1085" s="163" t="s">
        <v>161</v>
      </c>
      <c r="Z1085" s="163"/>
      <c r="AA1085" s="162">
        <v>46285</v>
      </c>
      <c r="AB1085" s="195" t="str">
        <f t="shared" si="123"/>
        <v>Sep-26</v>
      </c>
      <c r="AC1085" s="163"/>
      <c r="AD1085" s="163" t="str">
        <f>IF(AC1085="Yes",U1085*2%,"")</f>
        <v/>
      </c>
      <c r="AE1085" s="163"/>
    </row>
    <row r="1086" spans="1:31" x14ac:dyDescent="0.35">
      <c r="A1086" s="162">
        <v>46286</v>
      </c>
      <c r="B1086" s="163" t="s">
        <v>370</v>
      </c>
      <c r="C1086" s="163" t="s">
        <v>93</v>
      </c>
      <c r="D1086" s="163" t="s">
        <v>1749</v>
      </c>
      <c r="E1086" s="163" t="s">
        <v>106</v>
      </c>
      <c r="F1086" s="163" t="s">
        <v>135</v>
      </c>
      <c r="G1086" s="163"/>
      <c r="H1086" s="163" t="s">
        <v>115</v>
      </c>
      <c r="I1086" s="163" t="s">
        <v>121</v>
      </c>
      <c r="J1086" s="163" t="s">
        <v>147</v>
      </c>
      <c r="K1086" s="163" t="s">
        <v>1750</v>
      </c>
      <c r="L1086" s="163"/>
      <c r="M1086" s="163" t="s">
        <v>1190</v>
      </c>
      <c r="N1086" s="163" t="s">
        <v>495</v>
      </c>
      <c r="O1086" s="162"/>
      <c r="P1086" s="163"/>
      <c r="Q1086" s="163"/>
      <c r="R1086" s="163"/>
      <c r="S1086" s="163" t="s">
        <v>129</v>
      </c>
      <c r="T1086" s="164">
        <v>50000</v>
      </c>
      <c r="U1086" s="164"/>
      <c r="V1086" s="165"/>
      <c r="W1086" s="163"/>
      <c r="X1086" s="163"/>
      <c r="Y1086" s="163"/>
      <c r="Z1086" s="163"/>
      <c r="AA1086" s="162"/>
      <c r="AB1086" s="195" t="str">
        <f t="shared" si="123"/>
        <v>Sep-26</v>
      </c>
      <c r="AC1086" s="163"/>
      <c r="AD1086" s="163"/>
      <c r="AE1086" s="163"/>
    </row>
    <row r="1087" spans="1:31" x14ac:dyDescent="0.35">
      <c r="A1087" s="162">
        <v>46286</v>
      </c>
      <c r="B1087" s="163" t="s">
        <v>370</v>
      </c>
      <c r="C1087" s="163" t="s">
        <v>93</v>
      </c>
      <c r="D1087" s="163" t="s">
        <v>1751</v>
      </c>
      <c r="E1087" s="163" t="s">
        <v>106</v>
      </c>
      <c r="F1087" s="163" t="s">
        <v>135</v>
      </c>
      <c r="G1087" s="163"/>
      <c r="H1087" s="163" t="s">
        <v>115</v>
      </c>
      <c r="I1087" s="163" t="s">
        <v>121</v>
      </c>
      <c r="J1087" s="163" t="s">
        <v>147</v>
      </c>
      <c r="K1087" s="163" t="s">
        <v>984</v>
      </c>
      <c r="L1087" s="163"/>
      <c r="M1087" s="163" t="s">
        <v>1190</v>
      </c>
      <c r="N1087" s="163" t="s">
        <v>495</v>
      </c>
      <c r="O1087" s="162"/>
      <c r="P1087" s="163"/>
      <c r="Q1087" s="163"/>
      <c r="R1087" s="163"/>
      <c r="S1087" s="163" t="s">
        <v>133</v>
      </c>
      <c r="T1087" s="164">
        <v>45000</v>
      </c>
      <c r="U1087" s="164"/>
      <c r="V1087" s="165"/>
      <c r="W1087" s="163"/>
      <c r="X1087" s="163"/>
      <c r="Y1087" s="163"/>
      <c r="Z1087" s="163"/>
      <c r="AA1087" s="162"/>
      <c r="AB1087" s="195" t="str">
        <f t="shared" si="123"/>
        <v>Sep-26</v>
      </c>
      <c r="AC1087" s="163"/>
      <c r="AD1087" s="163"/>
      <c r="AE1087" s="163"/>
    </row>
    <row r="1088" spans="1:31" x14ac:dyDescent="0.35">
      <c r="A1088" s="162">
        <v>46286</v>
      </c>
      <c r="B1088" s="163" t="s">
        <v>92</v>
      </c>
      <c r="C1088" s="163" t="s">
        <v>93</v>
      </c>
      <c r="D1088" s="163" t="s">
        <v>1752</v>
      </c>
      <c r="E1088" s="163" t="s">
        <v>106</v>
      </c>
      <c r="F1088" s="163" t="s">
        <v>115</v>
      </c>
      <c r="G1088" s="163" t="s">
        <v>10</v>
      </c>
      <c r="H1088" s="163" t="s">
        <v>115</v>
      </c>
      <c r="I1088" s="163" t="s">
        <v>121</v>
      </c>
      <c r="J1088" s="163" t="s">
        <v>99</v>
      </c>
      <c r="K1088" s="163" t="s">
        <v>1753</v>
      </c>
      <c r="L1088" s="163"/>
      <c r="M1088" s="163" t="s">
        <v>1754</v>
      </c>
      <c r="N1088" s="163" t="s">
        <v>156</v>
      </c>
      <c r="O1088" s="162"/>
      <c r="P1088" s="163"/>
      <c r="Q1088" s="163"/>
      <c r="R1088" s="163"/>
      <c r="S1088" s="163" t="s">
        <v>103</v>
      </c>
      <c r="T1088" s="164">
        <v>0</v>
      </c>
      <c r="U1088" s="164"/>
      <c r="V1088" s="165"/>
      <c r="W1088" s="163"/>
      <c r="X1088" s="163"/>
      <c r="Y1088" s="163"/>
      <c r="Z1088" s="163"/>
      <c r="AA1088" s="162"/>
      <c r="AB1088" s="195" t="str">
        <f t="shared" si="123"/>
        <v>Sep-26</v>
      </c>
      <c r="AC1088" s="163"/>
      <c r="AD1088" s="163" t="str">
        <f>IF(AC1088="Yes",U1088*2%,"")</f>
        <v/>
      </c>
      <c r="AE1088" s="163"/>
    </row>
    <row r="1089" spans="1:31" x14ac:dyDescent="0.35">
      <c r="A1089" s="162">
        <v>46286</v>
      </c>
      <c r="B1089" s="163" t="s">
        <v>370</v>
      </c>
      <c r="C1089" s="163" t="s">
        <v>93</v>
      </c>
      <c r="D1089" s="163" t="s">
        <v>983</v>
      </c>
      <c r="E1089" s="163" t="s">
        <v>106</v>
      </c>
      <c r="F1089" s="163" t="s">
        <v>96</v>
      </c>
      <c r="G1089" s="163" t="s">
        <v>12</v>
      </c>
      <c r="H1089" s="163" t="s">
        <v>163</v>
      </c>
      <c r="I1089" s="163" t="s">
        <v>121</v>
      </c>
      <c r="J1089" s="163" t="s">
        <v>99</v>
      </c>
      <c r="K1089" s="163" t="s">
        <v>475</v>
      </c>
      <c r="L1089" s="163"/>
      <c r="M1089" s="163" t="s">
        <v>1755</v>
      </c>
      <c r="N1089" s="163" t="s">
        <v>102</v>
      </c>
      <c r="O1089" s="162"/>
      <c r="P1089" s="163"/>
      <c r="Q1089" s="163"/>
      <c r="R1089" s="163"/>
      <c r="S1089" s="163" t="s">
        <v>103</v>
      </c>
      <c r="T1089" s="164">
        <v>110000</v>
      </c>
      <c r="U1089" s="164">
        <v>113155</v>
      </c>
      <c r="V1089" s="165">
        <v>46286</v>
      </c>
      <c r="W1089" s="214" t="s">
        <v>1756</v>
      </c>
      <c r="X1089" s="163" t="s">
        <v>27</v>
      </c>
      <c r="Y1089" s="163" t="s">
        <v>85</v>
      </c>
      <c r="Z1089" s="163"/>
      <c r="AA1089" s="162"/>
      <c r="AB1089" s="195" t="str">
        <f t="shared" si="123"/>
        <v>Sep-26</v>
      </c>
      <c r="AC1089" s="163"/>
      <c r="AD1089" s="163" t="str">
        <f>IF(AC1089="Yes",U1089*2%,"")</f>
        <v/>
      </c>
      <c r="AE1089" s="163"/>
    </row>
    <row r="1090" spans="1:31" x14ac:dyDescent="0.35">
      <c r="A1090" s="162">
        <v>46286</v>
      </c>
      <c r="B1090" s="163" t="s">
        <v>370</v>
      </c>
      <c r="C1090" s="163" t="s">
        <v>93</v>
      </c>
      <c r="D1090" s="163" t="s">
        <v>1757</v>
      </c>
      <c r="E1090" s="163" t="s">
        <v>106</v>
      </c>
      <c r="F1090" s="163" t="s">
        <v>115</v>
      </c>
      <c r="G1090" s="163"/>
      <c r="H1090" s="163" t="s">
        <v>115</v>
      </c>
      <c r="I1090" s="163" t="s">
        <v>121</v>
      </c>
      <c r="J1090" s="163" t="s">
        <v>356</v>
      </c>
      <c r="K1090" s="163" t="s">
        <v>1758</v>
      </c>
      <c r="L1090" s="163"/>
      <c r="M1090" s="163" t="s">
        <v>1190</v>
      </c>
      <c r="N1090" s="163" t="s">
        <v>495</v>
      </c>
      <c r="O1090" s="162">
        <v>46292</v>
      </c>
      <c r="P1090" s="163"/>
      <c r="Q1090" s="163"/>
      <c r="R1090" s="163"/>
      <c r="S1090" s="163" t="s">
        <v>103</v>
      </c>
      <c r="T1090" s="164">
        <v>70000</v>
      </c>
      <c r="U1090" s="164"/>
      <c r="V1090" s="165"/>
      <c r="W1090" s="163"/>
      <c r="X1090" s="163"/>
      <c r="Y1090" s="163"/>
      <c r="Z1090" s="163"/>
      <c r="AA1090" s="162"/>
      <c r="AB1090" s="195" t="str">
        <f t="shared" si="123"/>
        <v>Sep-26</v>
      </c>
      <c r="AC1090" s="163"/>
      <c r="AD1090" s="163" t="str">
        <f>IF(AC1090="Yes",U1090*2%,"")</f>
        <v/>
      </c>
      <c r="AE1090" s="163"/>
    </row>
    <row r="1091" spans="1:31" x14ac:dyDescent="0.35">
      <c r="A1091" s="162">
        <v>46286</v>
      </c>
      <c r="B1091" s="163" t="s">
        <v>370</v>
      </c>
      <c r="C1091" s="163" t="s">
        <v>93</v>
      </c>
      <c r="D1091" s="163" t="s">
        <v>1759</v>
      </c>
      <c r="E1091" s="163" t="s">
        <v>106</v>
      </c>
      <c r="F1091" s="163" t="s">
        <v>115</v>
      </c>
      <c r="G1091" s="163"/>
      <c r="H1091" s="163" t="s">
        <v>115</v>
      </c>
      <c r="I1091" s="163" t="s">
        <v>121</v>
      </c>
      <c r="J1091" s="163" t="s">
        <v>147</v>
      </c>
      <c r="K1091" s="163" t="s">
        <v>1168</v>
      </c>
      <c r="L1091" s="163"/>
      <c r="M1091" s="163" t="s">
        <v>1686</v>
      </c>
      <c r="N1091" s="163" t="s">
        <v>130</v>
      </c>
      <c r="O1091" s="162">
        <v>46313</v>
      </c>
      <c r="P1091" s="163"/>
      <c r="Q1091" s="163"/>
      <c r="R1091" s="163"/>
      <c r="S1091" s="163" t="s">
        <v>129</v>
      </c>
      <c r="T1091" s="164">
        <v>30000</v>
      </c>
      <c r="U1091" s="164"/>
      <c r="V1091" s="165"/>
      <c r="W1091" s="163"/>
      <c r="X1091" s="163"/>
      <c r="Y1091" s="163"/>
      <c r="Z1091" s="163"/>
      <c r="AA1091" s="162"/>
      <c r="AB1091" s="195" t="str">
        <f t="shared" si="123"/>
        <v>Sep-26</v>
      </c>
      <c r="AC1091" s="163"/>
      <c r="AD1091" s="163" t="str">
        <f>IF(AC1091="Yes",U1091*2%,"")</f>
        <v/>
      </c>
      <c r="AE1091" s="163"/>
    </row>
    <row r="1092" spans="1:31" x14ac:dyDescent="0.35">
      <c r="A1092" s="162">
        <v>46286</v>
      </c>
      <c r="B1092" s="163" t="s">
        <v>92</v>
      </c>
      <c r="C1092" s="163" t="s">
        <v>93</v>
      </c>
      <c r="D1092" s="163" t="s">
        <v>1760</v>
      </c>
      <c r="E1092" s="163" t="s">
        <v>95</v>
      </c>
      <c r="F1092" s="163" t="s">
        <v>135</v>
      </c>
      <c r="G1092" s="163"/>
      <c r="H1092" s="163" t="s">
        <v>115</v>
      </c>
      <c r="I1092" s="163" t="s">
        <v>121</v>
      </c>
      <c r="J1092" s="163" t="s">
        <v>153</v>
      </c>
      <c r="K1092" s="163" t="s">
        <v>140</v>
      </c>
      <c r="L1092" s="163"/>
      <c r="M1092" s="163" t="s">
        <v>1761</v>
      </c>
      <c r="N1092" s="163" t="s">
        <v>181</v>
      </c>
      <c r="O1092" s="162">
        <v>46296</v>
      </c>
      <c r="P1092" s="163" t="s">
        <v>95</v>
      </c>
      <c r="Q1092" s="163"/>
      <c r="R1092" s="163"/>
      <c r="S1092" s="163" t="s">
        <v>103</v>
      </c>
      <c r="T1092" s="164">
        <v>50000</v>
      </c>
      <c r="U1092" s="164"/>
      <c r="V1092" s="165">
        <v>46312</v>
      </c>
      <c r="W1092" s="163"/>
      <c r="X1092" s="163"/>
      <c r="Y1092" s="163"/>
      <c r="Z1092" s="163"/>
      <c r="AA1092" s="162"/>
      <c r="AB1092" s="195" t="str">
        <f t="shared" si="123"/>
        <v>Oct-26</v>
      </c>
      <c r="AC1092" s="163"/>
      <c r="AD1092" s="163"/>
      <c r="AE1092" s="163"/>
    </row>
    <row r="1093" spans="1:31" x14ac:dyDescent="0.35">
      <c r="A1093" s="162">
        <v>46286</v>
      </c>
      <c r="B1093" s="163" t="s">
        <v>148</v>
      </c>
      <c r="C1093" s="163" t="s">
        <v>113</v>
      </c>
      <c r="D1093" s="205" t="s">
        <v>1762</v>
      </c>
      <c r="E1093" s="163" t="s">
        <v>106</v>
      </c>
      <c r="F1093" s="163" t="s">
        <v>135</v>
      </c>
      <c r="G1093" s="163"/>
      <c r="H1093" s="163" t="s">
        <v>115</v>
      </c>
      <c r="I1093" s="163" t="s">
        <v>121</v>
      </c>
      <c r="J1093" s="163" t="s">
        <v>147</v>
      </c>
      <c r="K1093" s="205" t="s">
        <v>441</v>
      </c>
      <c r="L1093" s="163"/>
      <c r="M1093" s="163" t="s">
        <v>1639</v>
      </c>
      <c r="N1093" s="163" t="s">
        <v>128</v>
      </c>
      <c r="O1093" s="162"/>
      <c r="P1093" s="163"/>
      <c r="Q1093" s="163"/>
      <c r="R1093" s="163"/>
      <c r="S1093" s="163" t="s">
        <v>129</v>
      </c>
      <c r="T1093" s="164"/>
      <c r="U1093" s="164"/>
      <c r="V1093" s="165"/>
      <c r="W1093" s="163"/>
      <c r="X1093" s="163"/>
      <c r="Y1093" s="163"/>
      <c r="Z1093" s="163"/>
      <c r="AA1093" s="162"/>
      <c r="AB1093" s="195" t="str">
        <f t="shared" si="123"/>
        <v>Sep-26</v>
      </c>
      <c r="AC1093" s="163"/>
      <c r="AD1093" s="163" t="str">
        <f>IF(AC1093="Yes",U1093*2%,"")</f>
        <v/>
      </c>
      <c r="AE1093" s="163"/>
    </row>
    <row r="1094" spans="1:31" x14ac:dyDescent="0.35">
      <c r="A1094" s="162">
        <v>46286</v>
      </c>
      <c r="B1094" s="163" t="s">
        <v>148</v>
      </c>
      <c r="C1094" s="163" t="s">
        <v>113</v>
      </c>
      <c r="D1094" s="205" t="s">
        <v>1763</v>
      </c>
      <c r="E1094" s="163" t="s">
        <v>106</v>
      </c>
      <c r="F1094" s="163" t="s">
        <v>135</v>
      </c>
      <c r="G1094" s="163"/>
      <c r="H1094" s="163" t="s">
        <v>115</v>
      </c>
      <c r="I1094" s="163" t="s">
        <v>121</v>
      </c>
      <c r="J1094" s="163" t="s">
        <v>356</v>
      </c>
      <c r="K1094" s="205" t="s">
        <v>1764</v>
      </c>
      <c r="L1094" s="163"/>
      <c r="M1094" s="163" t="s">
        <v>1639</v>
      </c>
      <c r="N1094" s="163" t="s">
        <v>128</v>
      </c>
      <c r="O1094" s="162"/>
      <c r="P1094" s="163"/>
      <c r="Q1094" s="163"/>
      <c r="R1094" s="163"/>
      <c r="S1094" s="163" t="s">
        <v>129</v>
      </c>
      <c r="T1094" s="164"/>
      <c r="U1094" s="164"/>
      <c r="V1094" s="165"/>
      <c r="W1094" s="163"/>
      <c r="X1094" s="163"/>
      <c r="Y1094" s="163"/>
      <c r="Z1094" s="163"/>
      <c r="AA1094" s="162"/>
      <c r="AB1094" s="195" t="str">
        <f t="shared" ref="AB1094:AB1107" si="125">IF($V1094="",TEXT($A1094,"MMM-YY"),TEXT($V1094,"MMM-YY"))</f>
        <v>Sep-26</v>
      </c>
      <c r="AC1094" s="163"/>
      <c r="AD1094" s="163" t="str">
        <f>IF(AC1094="Yes",U1094*2%,"")</f>
        <v/>
      </c>
      <c r="AE1094" s="163"/>
    </row>
    <row r="1095" spans="1:31" x14ac:dyDescent="0.35">
      <c r="A1095" s="162">
        <v>46287</v>
      </c>
      <c r="B1095" s="163" t="s">
        <v>370</v>
      </c>
      <c r="C1095" s="163" t="s">
        <v>93</v>
      </c>
      <c r="D1095" s="205" t="s">
        <v>1765</v>
      </c>
      <c r="E1095" s="163" t="s">
        <v>106</v>
      </c>
      <c r="F1095" s="163" t="s">
        <v>135</v>
      </c>
      <c r="G1095" s="163"/>
      <c r="H1095" s="163" t="s">
        <v>115</v>
      </c>
      <c r="I1095" s="163" t="s">
        <v>121</v>
      </c>
      <c r="J1095" s="163" t="s">
        <v>147</v>
      </c>
      <c r="K1095" s="205" t="s">
        <v>623</v>
      </c>
      <c r="L1095" s="163"/>
      <c r="M1095" s="163" t="s">
        <v>1190</v>
      </c>
      <c r="N1095" s="163" t="s">
        <v>495</v>
      </c>
      <c r="O1095" s="162">
        <v>46305</v>
      </c>
      <c r="P1095" s="163"/>
      <c r="Q1095" s="163"/>
      <c r="R1095" s="163"/>
      <c r="S1095" s="163" t="s">
        <v>129</v>
      </c>
      <c r="T1095" s="164">
        <v>28000</v>
      </c>
      <c r="U1095" s="164"/>
      <c r="V1095" s="165"/>
      <c r="W1095" s="163"/>
      <c r="X1095" s="163"/>
      <c r="Y1095" s="163"/>
      <c r="Z1095" s="163"/>
      <c r="AA1095" s="162"/>
      <c r="AB1095" s="195" t="str">
        <f t="shared" si="125"/>
        <v>Sep-26</v>
      </c>
      <c r="AC1095" s="163"/>
      <c r="AD1095" s="163"/>
      <c r="AE1095" s="163"/>
    </row>
    <row r="1096" spans="1:31" x14ac:dyDescent="0.35">
      <c r="A1096" s="162">
        <v>46287</v>
      </c>
      <c r="B1096" s="163" t="s">
        <v>370</v>
      </c>
      <c r="C1096" s="163" t="s">
        <v>93</v>
      </c>
      <c r="D1096" s="205" t="s">
        <v>1766</v>
      </c>
      <c r="E1096" s="163" t="s">
        <v>106</v>
      </c>
      <c r="F1096" s="163" t="s">
        <v>135</v>
      </c>
      <c r="G1096" s="163"/>
      <c r="H1096" s="163" t="s">
        <v>115</v>
      </c>
      <c r="I1096" s="163" t="s">
        <v>121</v>
      </c>
      <c r="J1096" s="163" t="s">
        <v>147</v>
      </c>
      <c r="K1096" s="205" t="s">
        <v>1065</v>
      </c>
      <c r="L1096" s="163"/>
      <c r="M1096" s="163" t="s">
        <v>914</v>
      </c>
      <c r="N1096" s="163" t="s">
        <v>130</v>
      </c>
      <c r="O1096" s="162"/>
      <c r="P1096" s="163"/>
      <c r="Q1096" s="163"/>
      <c r="R1096" s="163"/>
      <c r="S1096" s="163" t="s">
        <v>129</v>
      </c>
      <c r="T1096" s="164">
        <v>30000</v>
      </c>
      <c r="U1096" s="164"/>
      <c r="V1096" s="165"/>
      <c r="W1096" s="163"/>
      <c r="X1096" s="163"/>
      <c r="Y1096" s="163"/>
      <c r="Z1096" s="163"/>
      <c r="AA1096" s="162"/>
      <c r="AB1096" s="195" t="str">
        <f t="shared" si="125"/>
        <v>Sep-26</v>
      </c>
      <c r="AC1096" s="163"/>
      <c r="AD1096" s="163"/>
      <c r="AE1096" s="163"/>
    </row>
    <row r="1097" spans="1:31" x14ac:dyDescent="0.35">
      <c r="A1097" s="162">
        <v>46287</v>
      </c>
      <c r="B1097" s="163" t="s">
        <v>370</v>
      </c>
      <c r="C1097" s="163" t="s">
        <v>93</v>
      </c>
      <c r="D1097" s="204" t="s">
        <v>1767</v>
      </c>
      <c r="E1097" s="163" t="s">
        <v>106</v>
      </c>
      <c r="F1097" s="163" t="s">
        <v>135</v>
      </c>
      <c r="G1097" s="163"/>
      <c r="H1097" s="163" t="s">
        <v>115</v>
      </c>
      <c r="I1097" s="163" t="s">
        <v>121</v>
      </c>
      <c r="J1097" s="163" t="s">
        <v>438</v>
      </c>
      <c r="K1097" s="205" t="s">
        <v>913</v>
      </c>
      <c r="L1097" s="163"/>
      <c r="M1097" s="163" t="s">
        <v>1190</v>
      </c>
      <c r="N1097" s="163" t="s">
        <v>495</v>
      </c>
      <c r="O1097" s="162">
        <v>46304</v>
      </c>
      <c r="P1097" s="163" t="s">
        <v>95</v>
      </c>
      <c r="Q1097" s="163"/>
      <c r="R1097" s="163"/>
      <c r="S1097" s="163" t="s">
        <v>129</v>
      </c>
      <c r="T1097" s="164">
        <v>40000</v>
      </c>
      <c r="U1097" s="164"/>
      <c r="V1097" s="165"/>
      <c r="W1097" s="163"/>
      <c r="X1097" s="163"/>
      <c r="Y1097" s="163"/>
      <c r="Z1097" s="163"/>
      <c r="AA1097" s="162"/>
      <c r="AB1097" s="195" t="str">
        <f t="shared" si="125"/>
        <v>Sep-26</v>
      </c>
      <c r="AC1097" s="163"/>
      <c r="AD1097" s="163"/>
      <c r="AE1097" s="163"/>
    </row>
    <row r="1098" spans="1:31" x14ac:dyDescent="0.35">
      <c r="A1098" s="162">
        <v>46287</v>
      </c>
      <c r="B1098" s="163" t="s">
        <v>148</v>
      </c>
      <c r="C1098" s="163" t="s">
        <v>113</v>
      </c>
      <c r="D1098" s="205" t="s">
        <v>1768</v>
      </c>
      <c r="E1098" s="163" t="s">
        <v>106</v>
      </c>
      <c r="F1098" s="163" t="s">
        <v>135</v>
      </c>
      <c r="G1098" s="163"/>
      <c r="H1098" s="163" t="s">
        <v>115</v>
      </c>
      <c r="I1098" s="163" t="s">
        <v>121</v>
      </c>
      <c r="J1098" s="163" t="s">
        <v>147</v>
      </c>
      <c r="K1098" s="205" t="s">
        <v>1769</v>
      </c>
      <c r="L1098" s="163"/>
      <c r="M1098" s="163" t="s">
        <v>1639</v>
      </c>
      <c r="N1098" s="163" t="s">
        <v>128</v>
      </c>
      <c r="O1098" s="162"/>
      <c r="P1098" s="163"/>
      <c r="Q1098" s="163"/>
      <c r="R1098" s="163"/>
      <c r="S1098" s="163" t="s">
        <v>129</v>
      </c>
      <c r="T1098" s="164"/>
      <c r="U1098" s="164"/>
      <c r="V1098" s="165"/>
      <c r="W1098" s="163"/>
      <c r="X1098" s="163"/>
      <c r="Y1098" s="163"/>
      <c r="Z1098" s="163"/>
      <c r="AA1098" s="162"/>
      <c r="AB1098" s="195" t="str">
        <f t="shared" si="125"/>
        <v>Sep-26</v>
      </c>
      <c r="AC1098" s="163"/>
      <c r="AD1098" s="163" t="str">
        <f t="shared" ref="AD1098:AD1106" si="126">IF(AC1098="Yes",U1098*2%,"")</f>
        <v/>
      </c>
      <c r="AE1098" s="163"/>
    </row>
    <row r="1099" spans="1:31" x14ac:dyDescent="0.35">
      <c r="A1099" s="162">
        <v>46287</v>
      </c>
      <c r="B1099" s="163" t="s">
        <v>148</v>
      </c>
      <c r="C1099" s="163" t="s">
        <v>113</v>
      </c>
      <c r="D1099" s="205" t="s">
        <v>1770</v>
      </c>
      <c r="E1099" s="163" t="s">
        <v>106</v>
      </c>
      <c r="F1099" s="163" t="s">
        <v>135</v>
      </c>
      <c r="G1099" s="163"/>
      <c r="H1099" s="163" t="s">
        <v>115</v>
      </c>
      <c r="I1099" s="163" t="s">
        <v>121</v>
      </c>
      <c r="J1099" s="163" t="s">
        <v>432</v>
      </c>
      <c r="K1099" s="205" t="s">
        <v>1771</v>
      </c>
      <c r="L1099" s="163"/>
      <c r="M1099" s="163" t="s">
        <v>1639</v>
      </c>
      <c r="N1099" s="163" t="s">
        <v>128</v>
      </c>
      <c r="O1099" s="162"/>
      <c r="P1099" s="163"/>
      <c r="Q1099" s="163"/>
      <c r="R1099" s="163"/>
      <c r="S1099" s="163" t="s">
        <v>129</v>
      </c>
      <c r="T1099" s="164"/>
      <c r="U1099" s="164"/>
      <c r="V1099" s="165"/>
      <c r="W1099" s="163"/>
      <c r="X1099" s="163"/>
      <c r="Y1099" s="163"/>
      <c r="Z1099" s="163"/>
      <c r="AA1099" s="162"/>
      <c r="AB1099" s="195" t="str">
        <f t="shared" si="125"/>
        <v>Sep-26</v>
      </c>
      <c r="AC1099" s="163"/>
      <c r="AD1099" s="163" t="str">
        <f t="shared" si="126"/>
        <v/>
      </c>
      <c r="AE1099" s="163"/>
    </row>
    <row r="1100" spans="1:31" x14ac:dyDescent="0.35">
      <c r="A1100" s="162">
        <v>46288</v>
      </c>
      <c r="B1100" s="163" t="s">
        <v>370</v>
      </c>
      <c r="C1100" s="163" t="s">
        <v>93</v>
      </c>
      <c r="D1100" s="163" t="s">
        <v>19</v>
      </c>
      <c r="E1100" s="163" t="s">
        <v>95</v>
      </c>
      <c r="F1100" s="163" t="s">
        <v>96</v>
      </c>
      <c r="G1100" s="163" t="s">
        <v>10</v>
      </c>
      <c r="H1100" s="163" t="s">
        <v>115</v>
      </c>
      <c r="I1100" s="163" t="s">
        <v>121</v>
      </c>
      <c r="J1100" s="163" t="s">
        <v>99</v>
      </c>
      <c r="K1100" s="163" t="s">
        <v>256</v>
      </c>
      <c r="L1100" s="163"/>
      <c r="M1100" s="163" t="s">
        <v>159</v>
      </c>
      <c r="N1100" s="163" t="s">
        <v>102</v>
      </c>
      <c r="O1100" s="162"/>
      <c r="P1100" s="163"/>
      <c r="Q1100" s="163"/>
      <c r="R1100" s="163" t="str">
        <f ca="1">IF(OR(N1100="Closed( C4 )",N1100="Cancelled"),"",IF(AND(O1100&lt;&gt;"",O1100&lt;TODAY()),"Yes",""))</f>
        <v/>
      </c>
      <c r="S1100" s="163" t="s">
        <v>103</v>
      </c>
      <c r="T1100" s="164">
        <v>100000</v>
      </c>
      <c r="U1100" s="164">
        <v>105000</v>
      </c>
      <c r="V1100" s="165">
        <v>46288</v>
      </c>
      <c r="W1100" s="163" t="s">
        <v>1772</v>
      </c>
      <c r="X1100" s="163" t="s">
        <v>27</v>
      </c>
      <c r="Y1100" s="163" t="s">
        <v>1017</v>
      </c>
      <c r="Z1100" s="163"/>
      <c r="AA1100" s="162"/>
      <c r="AB1100" s="195" t="str">
        <f t="shared" si="125"/>
        <v>Sep-26</v>
      </c>
      <c r="AC1100" s="163"/>
      <c r="AD1100" s="163" t="str">
        <f t="shared" si="126"/>
        <v/>
      </c>
      <c r="AE1100" s="163"/>
    </row>
    <row r="1101" spans="1:31" x14ac:dyDescent="0.35">
      <c r="A1101" s="162">
        <v>46288</v>
      </c>
      <c r="B1101" s="163" t="s">
        <v>125</v>
      </c>
      <c r="C1101" s="163" t="s">
        <v>93</v>
      </c>
      <c r="D1101" s="161" t="s">
        <v>19</v>
      </c>
      <c r="E1101" s="163" t="s">
        <v>95</v>
      </c>
      <c r="F1101" s="163" t="s">
        <v>96</v>
      </c>
      <c r="G1101" s="163" t="s">
        <v>10</v>
      </c>
      <c r="H1101" s="163" t="s">
        <v>115</v>
      </c>
      <c r="I1101" s="163" t="s">
        <v>121</v>
      </c>
      <c r="J1101" s="163" t="s">
        <v>99</v>
      </c>
      <c r="K1101" s="161" t="s">
        <v>256</v>
      </c>
      <c r="L1101" s="163"/>
      <c r="M1101" s="163" t="s">
        <v>159</v>
      </c>
      <c r="N1101" s="163" t="s">
        <v>102</v>
      </c>
      <c r="O1101" s="162"/>
      <c r="P1101" s="163"/>
      <c r="Q1101" s="163"/>
      <c r="R1101" s="163" t="str">
        <f ca="1">IF(OR(N1101="Closed( C4 )",N1101="Cancelled"),"",IF(AND(O1101&lt;&gt;"",O1101&lt;TODAY()),"Yes",""))</f>
        <v/>
      </c>
      <c r="S1101" s="163" t="s">
        <v>103</v>
      </c>
      <c r="T1101" s="164">
        <v>100000</v>
      </c>
      <c r="U1101" s="164">
        <v>105000</v>
      </c>
      <c r="V1101" s="165">
        <v>46288</v>
      </c>
      <c r="W1101" s="163" t="s">
        <v>1772</v>
      </c>
      <c r="X1101" s="163" t="s">
        <v>27</v>
      </c>
      <c r="Y1101" s="163" t="s">
        <v>1017</v>
      </c>
      <c r="Z1101" s="163"/>
      <c r="AA1101" s="162"/>
      <c r="AB1101" s="195" t="str">
        <f t="shared" si="125"/>
        <v>Sep-26</v>
      </c>
      <c r="AC1101" s="163"/>
      <c r="AD1101" s="163" t="str">
        <f t="shared" si="126"/>
        <v/>
      </c>
      <c r="AE1101" s="163"/>
    </row>
    <row r="1102" spans="1:31" x14ac:dyDescent="0.35">
      <c r="A1102" s="162">
        <v>46288</v>
      </c>
      <c r="B1102" s="163" t="s">
        <v>370</v>
      </c>
      <c r="C1102" s="163" t="s">
        <v>93</v>
      </c>
      <c r="D1102" s="163" t="s">
        <v>262</v>
      </c>
      <c r="E1102" s="163" t="s">
        <v>95</v>
      </c>
      <c r="F1102" s="163" t="s">
        <v>115</v>
      </c>
      <c r="G1102" s="163"/>
      <c r="H1102" s="163" t="s">
        <v>115</v>
      </c>
      <c r="I1102" s="163" t="s">
        <v>121</v>
      </c>
      <c r="J1102" s="163" t="s">
        <v>262</v>
      </c>
      <c r="K1102" s="163" t="s">
        <v>1773</v>
      </c>
      <c r="L1102" s="163"/>
      <c r="M1102" s="163" t="s">
        <v>159</v>
      </c>
      <c r="N1102" s="163" t="s">
        <v>102</v>
      </c>
      <c r="O1102" s="162"/>
      <c r="P1102" s="163"/>
      <c r="Q1102" s="163"/>
      <c r="R1102" s="163"/>
      <c r="S1102" s="163" t="s">
        <v>103</v>
      </c>
      <c r="T1102" s="164">
        <v>15000</v>
      </c>
      <c r="U1102" s="164">
        <v>7840</v>
      </c>
      <c r="V1102" s="165">
        <v>46288</v>
      </c>
      <c r="W1102" s="163" t="s">
        <v>1774</v>
      </c>
      <c r="X1102" s="163" t="s">
        <v>28</v>
      </c>
      <c r="Y1102" s="163" t="s">
        <v>161</v>
      </c>
      <c r="Z1102" s="163"/>
      <c r="AA1102" s="162"/>
      <c r="AB1102" s="195" t="str">
        <f t="shared" si="125"/>
        <v>Sep-26</v>
      </c>
      <c r="AC1102" s="163"/>
      <c r="AD1102" s="163" t="str">
        <f t="shared" si="126"/>
        <v/>
      </c>
      <c r="AE1102" s="163" t="s">
        <v>270</v>
      </c>
    </row>
    <row r="1103" spans="1:31" x14ac:dyDescent="0.35">
      <c r="A1103" s="162">
        <v>46288</v>
      </c>
      <c r="B1103" s="163" t="s">
        <v>370</v>
      </c>
      <c r="C1103" s="163" t="s">
        <v>93</v>
      </c>
      <c r="D1103" s="163" t="s">
        <v>625</v>
      </c>
      <c r="E1103" s="163" t="s">
        <v>106</v>
      </c>
      <c r="F1103" s="163" t="s">
        <v>135</v>
      </c>
      <c r="G1103" s="163"/>
      <c r="H1103" s="163" t="s">
        <v>115</v>
      </c>
      <c r="I1103" s="163" t="s">
        <v>121</v>
      </c>
      <c r="J1103" s="163" t="s">
        <v>378</v>
      </c>
      <c r="K1103" s="163" t="s">
        <v>379</v>
      </c>
      <c r="L1103" s="163"/>
      <c r="M1103" s="163" t="s">
        <v>159</v>
      </c>
      <c r="N1103" s="163" t="s">
        <v>102</v>
      </c>
      <c r="O1103" s="162"/>
      <c r="P1103" s="163"/>
      <c r="Q1103" s="163"/>
      <c r="R1103" s="163"/>
      <c r="S1103" s="163" t="s">
        <v>103</v>
      </c>
      <c r="T1103" s="164">
        <v>15000</v>
      </c>
      <c r="U1103" s="164">
        <v>9000</v>
      </c>
      <c r="V1103" s="165">
        <v>46288</v>
      </c>
      <c r="W1103" s="163" t="s">
        <v>1775</v>
      </c>
      <c r="X1103" s="163" t="s">
        <v>57</v>
      </c>
      <c r="Y1103" s="163" t="s">
        <v>161</v>
      </c>
      <c r="Z1103" s="163"/>
      <c r="AA1103" s="162"/>
      <c r="AB1103" s="195" t="str">
        <f t="shared" si="125"/>
        <v>Sep-26</v>
      </c>
      <c r="AC1103" s="163"/>
      <c r="AD1103" s="163" t="str">
        <f t="shared" si="126"/>
        <v/>
      </c>
      <c r="AE1103" s="163" t="s">
        <v>270</v>
      </c>
    </row>
    <row r="1104" spans="1:31" x14ac:dyDescent="0.35">
      <c r="A1104" s="162">
        <v>46288</v>
      </c>
      <c r="B1104" s="163" t="s">
        <v>148</v>
      </c>
      <c r="C1104" s="163" t="s">
        <v>113</v>
      </c>
      <c r="D1104" s="205" t="s">
        <v>1776</v>
      </c>
      <c r="E1104" s="163" t="s">
        <v>106</v>
      </c>
      <c r="F1104" s="163" t="s">
        <v>135</v>
      </c>
      <c r="G1104" s="163"/>
      <c r="H1104" s="163" t="s">
        <v>115</v>
      </c>
      <c r="I1104" s="163" t="s">
        <v>121</v>
      </c>
      <c r="J1104" s="163" t="s">
        <v>147</v>
      </c>
      <c r="K1104" s="205" t="s">
        <v>1777</v>
      </c>
      <c r="L1104" s="163"/>
      <c r="M1104" s="163" t="s">
        <v>1639</v>
      </c>
      <c r="N1104" s="163" t="s">
        <v>128</v>
      </c>
      <c r="O1104" s="162"/>
      <c r="P1104" s="163"/>
      <c r="Q1104" s="163"/>
      <c r="R1104" s="163"/>
      <c r="S1104" s="163" t="s">
        <v>129</v>
      </c>
      <c r="T1104" s="164"/>
      <c r="U1104" s="164"/>
      <c r="V1104" s="165"/>
      <c r="W1104" s="163"/>
      <c r="X1104" s="163"/>
      <c r="Y1104" s="163"/>
      <c r="Z1104" s="163"/>
      <c r="AA1104" s="162"/>
      <c r="AB1104" s="195" t="str">
        <f t="shared" si="125"/>
        <v>Sep-26</v>
      </c>
      <c r="AC1104" s="163"/>
      <c r="AD1104" s="163" t="str">
        <f t="shared" si="126"/>
        <v/>
      </c>
      <c r="AE1104" s="163"/>
    </row>
    <row r="1105" spans="1:31" x14ac:dyDescent="0.35">
      <c r="A1105" s="162">
        <v>46288</v>
      </c>
      <c r="B1105" s="163" t="s">
        <v>148</v>
      </c>
      <c r="C1105" s="163" t="s">
        <v>113</v>
      </c>
      <c r="D1105" s="163" t="s">
        <v>165</v>
      </c>
      <c r="E1105" s="163" t="s">
        <v>95</v>
      </c>
      <c r="F1105" s="163" t="s">
        <v>135</v>
      </c>
      <c r="G1105" s="163" t="s">
        <v>10</v>
      </c>
      <c r="H1105" s="163" t="s">
        <v>115</v>
      </c>
      <c r="I1105" s="163" t="s">
        <v>98</v>
      </c>
      <c r="J1105" s="163" t="s">
        <v>166</v>
      </c>
      <c r="K1105" s="163" t="s">
        <v>167</v>
      </c>
      <c r="L1105" s="163"/>
      <c r="M1105" s="163" t="s">
        <v>159</v>
      </c>
      <c r="N1105" s="163" t="s">
        <v>102</v>
      </c>
      <c r="O1105" s="162"/>
      <c r="P1105" s="163"/>
      <c r="Q1105" s="163" t="str">
        <f ca="1">IF(N1105="Closed(C4)","",IF(N1105="","",TODAY()-A1105))</f>
        <v/>
      </c>
      <c r="R1105" s="163" t="str">
        <f ca="1">IF(OR(N1105="Closed( C4 )",N1105="Cancelled"),"",IF(AND(O1105&lt;&gt;"",O1105&lt;TODAY()),"Yes",""))</f>
        <v/>
      </c>
      <c r="S1105" s="163" t="s">
        <v>103</v>
      </c>
      <c r="T1105" s="164">
        <v>25000</v>
      </c>
      <c r="U1105" s="164">
        <v>25895</v>
      </c>
      <c r="V1105" s="165">
        <v>46288</v>
      </c>
      <c r="W1105" s="163" t="s">
        <v>1778</v>
      </c>
      <c r="X1105" s="163" t="s">
        <v>35</v>
      </c>
      <c r="Y1105" s="163" t="s">
        <v>1017</v>
      </c>
      <c r="Z1105" s="163"/>
      <c r="AA1105" s="162"/>
      <c r="AB1105" s="195" t="str">
        <f t="shared" si="125"/>
        <v>Sep-26</v>
      </c>
      <c r="AC1105" s="163"/>
      <c r="AD1105" s="163" t="str">
        <f t="shared" si="126"/>
        <v/>
      </c>
      <c r="AE1105" s="163"/>
    </row>
    <row r="1106" spans="1:31" x14ac:dyDescent="0.35">
      <c r="A1106" s="162">
        <v>46288</v>
      </c>
      <c r="B1106" s="163" t="s">
        <v>92</v>
      </c>
      <c r="C1106" s="163" t="s">
        <v>113</v>
      </c>
      <c r="D1106" s="163" t="s">
        <v>165</v>
      </c>
      <c r="E1106" s="163" t="s">
        <v>95</v>
      </c>
      <c r="F1106" s="163" t="s">
        <v>135</v>
      </c>
      <c r="G1106" s="163" t="s">
        <v>10</v>
      </c>
      <c r="H1106" s="163" t="s">
        <v>115</v>
      </c>
      <c r="I1106" s="163" t="s">
        <v>98</v>
      </c>
      <c r="J1106" s="163" t="s">
        <v>166</v>
      </c>
      <c r="K1106" s="163" t="s">
        <v>167</v>
      </c>
      <c r="L1106" s="163"/>
      <c r="M1106" s="163" t="s">
        <v>159</v>
      </c>
      <c r="N1106" s="163" t="s">
        <v>102</v>
      </c>
      <c r="O1106" s="162"/>
      <c r="P1106" s="163"/>
      <c r="Q1106" s="163" t="str">
        <f ca="1">IF(N1106="Closed(C4)","",IF(N1106="","",TODAY()-A1106))</f>
        <v/>
      </c>
      <c r="R1106" s="163" t="str">
        <f ca="1">IF(OR(N1106="Closed( C4 )",N1106="Cancelled"),"",IF(AND(O1106&lt;&gt;"",O1106&lt;TODAY()),"Yes",""))</f>
        <v/>
      </c>
      <c r="S1106" s="163" t="s">
        <v>103</v>
      </c>
      <c r="T1106" s="164">
        <v>25000</v>
      </c>
      <c r="U1106" s="164">
        <v>25896</v>
      </c>
      <c r="V1106" s="165">
        <v>46288</v>
      </c>
      <c r="W1106" s="163" t="s">
        <v>1778</v>
      </c>
      <c r="X1106" s="163" t="s">
        <v>35</v>
      </c>
      <c r="Y1106" s="163" t="s">
        <v>1017</v>
      </c>
      <c r="Z1106" s="163"/>
      <c r="AA1106" s="162"/>
      <c r="AB1106" s="195" t="str">
        <f t="shared" si="125"/>
        <v>Sep-26</v>
      </c>
      <c r="AC1106" s="163"/>
      <c r="AD1106" s="163" t="str">
        <f t="shared" si="126"/>
        <v/>
      </c>
      <c r="AE1106" s="163"/>
    </row>
    <row r="1107" spans="1:31" x14ac:dyDescent="0.35">
      <c r="A1107" s="162">
        <v>46288</v>
      </c>
      <c r="B1107" s="163" t="s">
        <v>148</v>
      </c>
      <c r="C1107" s="163" t="s">
        <v>113</v>
      </c>
      <c r="D1107" s="163" t="s">
        <v>165</v>
      </c>
      <c r="E1107" s="163" t="s">
        <v>95</v>
      </c>
      <c r="F1107" s="163" t="s">
        <v>135</v>
      </c>
      <c r="G1107" s="163" t="s">
        <v>10</v>
      </c>
      <c r="H1107" s="163" t="s">
        <v>115</v>
      </c>
      <c r="I1107" s="163" t="s">
        <v>98</v>
      </c>
      <c r="J1107" s="163" t="s">
        <v>166</v>
      </c>
      <c r="K1107" s="163" t="s">
        <v>167</v>
      </c>
      <c r="L1107" s="163"/>
      <c r="M1107" s="163" t="s">
        <v>159</v>
      </c>
      <c r="N1107" s="163" t="s">
        <v>102</v>
      </c>
      <c r="O1107" s="162"/>
      <c r="P1107" s="163"/>
      <c r="Q1107" s="163" t="str">
        <f ca="1">IF(N1107="Closed(C4)","",IF(N1107="","",TODAY()-A1107))</f>
        <v/>
      </c>
      <c r="R1107" s="163" t="str">
        <f ca="1">IF(OR(N1107="Closed( C4 )",N1107="Cancelled"),"",IF(AND(O1107&lt;&gt;"",O1107&lt;TODAY()),"Yes",""))</f>
        <v/>
      </c>
      <c r="S1107" s="163" t="s">
        <v>103</v>
      </c>
      <c r="T1107" s="164">
        <v>25000</v>
      </c>
      <c r="U1107" s="164">
        <v>13521</v>
      </c>
      <c r="V1107" s="165">
        <v>46291</v>
      </c>
      <c r="W1107" s="163" t="s">
        <v>1779</v>
      </c>
      <c r="X1107" s="163" t="s">
        <v>35</v>
      </c>
      <c r="Y1107" s="163" t="s">
        <v>1017</v>
      </c>
      <c r="Z1107" s="163"/>
      <c r="AA1107" s="162"/>
      <c r="AB1107" s="195" t="str">
        <f t="shared" si="125"/>
        <v>Sep-26</v>
      </c>
      <c r="AC1107" s="163"/>
      <c r="AD1107" s="163"/>
      <c r="AE1107" s="163"/>
    </row>
    <row r="1108" spans="1:31" x14ac:dyDescent="0.35">
      <c r="A1108" s="162">
        <v>46288</v>
      </c>
      <c r="B1108" s="163" t="s">
        <v>92</v>
      </c>
      <c r="C1108" s="163" t="s">
        <v>113</v>
      </c>
      <c r="D1108" s="163" t="s">
        <v>165</v>
      </c>
      <c r="E1108" s="163" t="s">
        <v>95</v>
      </c>
      <c r="F1108" s="163" t="s">
        <v>135</v>
      </c>
      <c r="G1108" s="163" t="s">
        <v>10</v>
      </c>
      <c r="H1108" s="163" t="s">
        <v>115</v>
      </c>
      <c r="I1108" s="163" t="s">
        <v>98</v>
      </c>
      <c r="J1108" s="163" t="s">
        <v>166</v>
      </c>
      <c r="K1108" s="163" t="s">
        <v>167</v>
      </c>
      <c r="L1108" s="163"/>
      <c r="M1108" s="163" t="s">
        <v>159</v>
      </c>
      <c r="N1108" s="163" t="s">
        <v>102</v>
      </c>
      <c r="O1108" s="162"/>
      <c r="P1108" s="163"/>
      <c r="Q1108" s="163" t="str">
        <f ca="1">IF(N1108="Closed(C4)","",IF(N1108="","",TODAY()-A1108))</f>
        <v/>
      </c>
      <c r="R1108" s="163" t="str">
        <f ca="1">IF(OR(N1108="Closed( C4 )",N1108="Cancelled"),"",IF(AND(O1108&lt;&gt;"",O1108&lt;TODAY()),"Yes",""))</f>
        <v/>
      </c>
      <c r="S1108" s="163" t="s">
        <v>103</v>
      </c>
      <c r="T1108" s="164">
        <v>25000</v>
      </c>
      <c r="U1108" s="164">
        <v>13520</v>
      </c>
      <c r="V1108" s="165">
        <v>46291</v>
      </c>
      <c r="W1108" s="163" t="s">
        <v>1779</v>
      </c>
      <c r="X1108" s="163" t="s">
        <v>35</v>
      </c>
      <c r="Y1108" s="163" t="s">
        <v>1017</v>
      </c>
      <c r="Z1108" s="163"/>
      <c r="AA1108" s="162"/>
      <c r="AB1108" s="195" t="str">
        <f t="shared" ref="AB1108:AB1131" si="127">IF($V1108="",TEXT($A1108,"MMM-YY"),TEXT($V1108,"MMM-YY"))</f>
        <v>Sep-26</v>
      </c>
      <c r="AC1108" s="163"/>
      <c r="AD1108" s="163"/>
      <c r="AE1108" s="163"/>
    </row>
    <row r="1109" spans="1:31" x14ac:dyDescent="0.35">
      <c r="A1109" s="162">
        <v>46289</v>
      </c>
      <c r="B1109" s="163" t="s">
        <v>370</v>
      </c>
      <c r="C1109" s="163" t="s">
        <v>93</v>
      </c>
      <c r="D1109" s="163" t="s">
        <v>1780</v>
      </c>
      <c r="E1109" s="163" t="s">
        <v>106</v>
      </c>
      <c r="F1109" s="163" t="s">
        <v>135</v>
      </c>
      <c r="G1109" s="163"/>
      <c r="H1109" s="163" t="s">
        <v>115</v>
      </c>
      <c r="I1109" s="163" t="s">
        <v>121</v>
      </c>
      <c r="J1109" s="163" t="s">
        <v>356</v>
      </c>
      <c r="K1109" s="163" t="s">
        <v>1781</v>
      </c>
      <c r="L1109" s="163"/>
      <c r="M1109" s="163" t="s">
        <v>1190</v>
      </c>
      <c r="N1109" s="163" t="s">
        <v>495</v>
      </c>
      <c r="O1109" s="162">
        <v>46310</v>
      </c>
      <c r="P1109" s="163" t="s">
        <v>95</v>
      </c>
      <c r="Q1109" s="163"/>
      <c r="R1109" s="163"/>
      <c r="S1109" s="163" t="s">
        <v>129</v>
      </c>
      <c r="T1109" s="164">
        <v>25000</v>
      </c>
      <c r="U1109" s="164"/>
      <c r="V1109" s="162"/>
      <c r="W1109" s="163"/>
      <c r="X1109" s="163"/>
      <c r="Y1109" s="163"/>
      <c r="Z1109" s="163"/>
      <c r="AA1109" s="162"/>
      <c r="AB1109" s="195" t="str">
        <f t="shared" si="127"/>
        <v>Sep-26</v>
      </c>
      <c r="AC1109" s="163"/>
      <c r="AD1109" s="163"/>
      <c r="AE1109" s="163"/>
    </row>
    <row r="1110" spans="1:31" x14ac:dyDescent="0.35">
      <c r="A1110" s="162">
        <v>46289</v>
      </c>
      <c r="B1110" s="163" t="s">
        <v>370</v>
      </c>
      <c r="C1110" s="163" t="s">
        <v>93</v>
      </c>
      <c r="D1110" s="163" t="s">
        <v>1150</v>
      </c>
      <c r="E1110" s="163" t="s">
        <v>106</v>
      </c>
      <c r="F1110" s="163" t="s">
        <v>135</v>
      </c>
      <c r="G1110" s="163"/>
      <c r="H1110" s="163" t="s">
        <v>115</v>
      </c>
      <c r="I1110" s="163" t="s">
        <v>121</v>
      </c>
      <c r="J1110" s="163" t="s">
        <v>147</v>
      </c>
      <c r="K1110" s="163" t="s">
        <v>1782</v>
      </c>
      <c r="L1110" s="163"/>
      <c r="M1110" s="163" t="s">
        <v>1190</v>
      </c>
      <c r="N1110" s="163" t="s">
        <v>130</v>
      </c>
      <c r="O1110" s="162">
        <v>46300</v>
      </c>
      <c r="P1110" s="163" t="s">
        <v>95</v>
      </c>
      <c r="Q1110" s="163"/>
      <c r="R1110" s="163"/>
      <c r="S1110" s="163" t="s">
        <v>129</v>
      </c>
      <c r="T1110" s="164">
        <v>15000</v>
      </c>
      <c r="U1110" s="164"/>
      <c r="V1110" s="162"/>
      <c r="W1110" s="163"/>
      <c r="X1110" s="163"/>
      <c r="Y1110" s="163"/>
      <c r="Z1110" s="163"/>
      <c r="AA1110" s="162"/>
      <c r="AB1110" s="195" t="str">
        <f t="shared" si="127"/>
        <v>Sep-26</v>
      </c>
      <c r="AC1110" s="163"/>
      <c r="AD1110" s="163"/>
      <c r="AE1110" s="163"/>
    </row>
    <row r="1111" spans="1:31" x14ac:dyDescent="0.35">
      <c r="A1111" s="162">
        <v>46289</v>
      </c>
      <c r="B1111" s="163" t="s">
        <v>1331</v>
      </c>
      <c r="C1111" s="163" t="s">
        <v>93</v>
      </c>
      <c r="D1111" s="208" t="s">
        <v>1783</v>
      </c>
      <c r="E1111" s="163" t="s">
        <v>95</v>
      </c>
      <c r="F1111" s="163" t="s">
        <v>115</v>
      </c>
      <c r="G1111" s="163"/>
      <c r="H1111" s="163" t="s">
        <v>115</v>
      </c>
      <c r="I1111" s="163" t="s">
        <v>121</v>
      </c>
      <c r="J1111" s="163" t="s">
        <v>897</v>
      </c>
      <c r="K1111" s="163" t="s">
        <v>1784</v>
      </c>
      <c r="L1111" s="163"/>
      <c r="M1111" s="163" t="s">
        <v>1686</v>
      </c>
      <c r="N1111" s="163" t="s">
        <v>128</v>
      </c>
      <c r="O1111" s="162">
        <v>46293</v>
      </c>
      <c r="P1111" s="163"/>
      <c r="Q1111" s="163"/>
      <c r="R1111" s="163"/>
      <c r="S1111" s="163" t="s">
        <v>129</v>
      </c>
      <c r="T1111" s="164">
        <v>30000</v>
      </c>
      <c r="U1111" s="164"/>
      <c r="V1111" s="165"/>
      <c r="W1111" s="163"/>
      <c r="X1111" s="163"/>
      <c r="Y1111" s="163"/>
      <c r="Z1111" s="163"/>
      <c r="AA1111" s="162"/>
      <c r="AB1111" s="195" t="str">
        <f t="shared" si="127"/>
        <v>Sep-26</v>
      </c>
      <c r="AC1111" s="163"/>
      <c r="AD1111" s="163" t="str">
        <f>IF(AC1111="Yes",U1111*2%,"")</f>
        <v/>
      </c>
      <c r="AE1111" s="163"/>
    </row>
    <row r="1112" spans="1:31" x14ac:dyDescent="0.35">
      <c r="A1112" s="162">
        <v>46289</v>
      </c>
      <c r="B1112" s="163" t="s">
        <v>1331</v>
      </c>
      <c r="C1112" s="163" t="s">
        <v>93</v>
      </c>
      <c r="D1112" s="163" t="s">
        <v>1785</v>
      </c>
      <c r="E1112" s="163" t="s">
        <v>95</v>
      </c>
      <c r="F1112" s="163" t="s">
        <v>115</v>
      </c>
      <c r="G1112" s="163"/>
      <c r="H1112" s="163" t="s">
        <v>115</v>
      </c>
      <c r="I1112" s="163" t="s">
        <v>121</v>
      </c>
      <c r="J1112" s="163" t="s">
        <v>897</v>
      </c>
      <c r="K1112" s="163" t="s">
        <v>426</v>
      </c>
      <c r="L1112" s="163"/>
      <c r="M1112" s="163" t="s">
        <v>1190</v>
      </c>
      <c r="N1112" s="163" t="s">
        <v>130</v>
      </c>
      <c r="O1112" s="162">
        <v>46300</v>
      </c>
      <c r="P1112" s="163"/>
      <c r="Q1112" s="163"/>
      <c r="R1112" s="163"/>
      <c r="S1112" s="163" t="s">
        <v>103</v>
      </c>
      <c r="T1112" s="164">
        <v>50000</v>
      </c>
      <c r="U1112" s="164"/>
      <c r="V1112" s="165"/>
      <c r="W1112" s="163"/>
      <c r="X1112" s="163"/>
      <c r="Y1112" s="163"/>
      <c r="Z1112" s="163"/>
      <c r="AA1112" s="162"/>
      <c r="AB1112" s="195" t="str">
        <f t="shared" si="127"/>
        <v>Sep-26</v>
      </c>
      <c r="AC1112" s="163"/>
      <c r="AD1112" s="163" t="str">
        <f>IF(AC1112="Yes",U1112*2%,"")</f>
        <v/>
      </c>
      <c r="AE1112" s="163"/>
    </row>
    <row r="1113" spans="1:31" x14ac:dyDescent="0.35">
      <c r="A1113" s="162">
        <v>46289</v>
      </c>
      <c r="B1113" s="163" t="s">
        <v>1331</v>
      </c>
      <c r="C1113" s="163" t="s">
        <v>93</v>
      </c>
      <c r="D1113" s="163" t="s">
        <v>1786</v>
      </c>
      <c r="E1113" s="163" t="s">
        <v>95</v>
      </c>
      <c r="F1113" s="163" t="s">
        <v>135</v>
      </c>
      <c r="G1113" s="163"/>
      <c r="H1113" s="163" t="s">
        <v>115</v>
      </c>
      <c r="I1113" s="163" t="s">
        <v>121</v>
      </c>
      <c r="J1113" s="163" t="s">
        <v>356</v>
      </c>
      <c r="K1113" s="163" t="s">
        <v>1726</v>
      </c>
      <c r="L1113" s="163"/>
      <c r="M1113" s="163" t="s">
        <v>1619</v>
      </c>
      <c r="N1113" s="163" t="s">
        <v>128</v>
      </c>
      <c r="O1113" s="162"/>
      <c r="P1113" s="163"/>
      <c r="Q1113" s="163"/>
      <c r="R1113" s="163"/>
      <c r="S1113" s="163" t="s">
        <v>129</v>
      </c>
      <c r="T1113" s="164">
        <v>45000</v>
      </c>
      <c r="U1113" s="164"/>
      <c r="V1113" s="165"/>
      <c r="W1113" s="163"/>
      <c r="X1113" s="163"/>
      <c r="Y1113" s="163"/>
      <c r="Z1113" s="163"/>
      <c r="AA1113" s="162"/>
      <c r="AB1113" s="195" t="str">
        <f t="shared" si="127"/>
        <v>Sep-26</v>
      </c>
      <c r="AC1113" s="163"/>
      <c r="AD1113" s="163" t="str">
        <f>IF(AC1113="Yes",U1113*2%,"")</f>
        <v/>
      </c>
      <c r="AE1113" s="163"/>
    </row>
    <row r="1114" spans="1:31" x14ac:dyDescent="0.35">
      <c r="A1114" s="162">
        <v>46289</v>
      </c>
      <c r="B1114" s="163" t="s">
        <v>370</v>
      </c>
      <c r="C1114" s="163" t="s">
        <v>93</v>
      </c>
      <c r="D1114" s="163" t="s">
        <v>1581</v>
      </c>
      <c r="E1114" s="163" t="s">
        <v>106</v>
      </c>
      <c r="F1114" s="163" t="s">
        <v>135</v>
      </c>
      <c r="G1114" s="163"/>
      <c r="H1114" s="163" t="s">
        <v>115</v>
      </c>
      <c r="I1114" s="163" t="s">
        <v>121</v>
      </c>
      <c r="J1114" s="163" t="s">
        <v>356</v>
      </c>
      <c r="K1114" s="163" t="s">
        <v>1787</v>
      </c>
      <c r="L1114" s="163"/>
      <c r="M1114" s="163" t="s">
        <v>1190</v>
      </c>
      <c r="N1114" s="163" t="s">
        <v>130</v>
      </c>
      <c r="O1114" s="162">
        <v>46297</v>
      </c>
      <c r="P1114" s="163" t="s">
        <v>95</v>
      </c>
      <c r="Q1114" s="163"/>
      <c r="R1114" s="163"/>
      <c r="S1114" s="163" t="s">
        <v>129</v>
      </c>
      <c r="T1114" s="164">
        <v>35000</v>
      </c>
      <c r="U1114" s="164"/>
      <c r="V1114" s="165"/>
      <c r="W1114" s="163"/>
      <c r="X1114" s="163"/>
      <c r="Y1114" s="163"/>
      <c r="Z1114" s="163"/>
      <c r="AA1114" s="162"/>
      <c r="AB1114" s="195" t="str">
        <f t="shared" si="127"/>
        <v>Sep-26</v>
      </c>
      <c r="AC1114" s="163"/>
      <c r="AD1114" s="163"/>
      <c r="AE1114" s="163"/>
    </row>
    <row r="1115" spans="1:31" x14ac:dyDescent="0.35">
      <c r="A1115" s="162">
        <v>46289</v>
      </c>
      <c r="B1115" s="163" t="s">
        <v>370</v>
      </c>
      <c r="C1115" s="163" t="s">
        <v>93</v>
      </c>
      <c r="D1115" s="163" t="s">
        <v>1122</v>
      </c>
      <c r="E1115" s="163" t="s">
        <v>106</v>
      </c>
      <c r="F1115" s="163" t="s">
        <v>135</v>
      </c>
      <c r="G1115" s="163"/>
      <c r="H1115" s="163" t="s">
        <v>115</v>
      </c>
      <c r="I1115" s="163" t="s">
        <v>121</v>
      </c>
      <c r="J1115" s="163" t="s">
        <v>147</v>
      </c>
      <c r="K1115" s="163" t="s">
        <v>1788</v>
      </c>
      <c r="L1115" s="163"/>
      <c r="M1115" s="163" t="s">
        <v>1686</v>
      </c>
      <c r="N1115" s="163" t="s">
        <v>130</v>
      </c>
      <c r="O1115" s="162">
        <v>46302</v>
      </c>
      <c r="P1115" s="163" t="s">
        <v>95</v>
      </c>
      <c r="Q1115" s="163"/>
      <c r="R1115" s="163"/>
      <c r="S1115" s="163" t="s">
        <v>133</v>
      </c>
      <c r="T1115" s="164">
        <v>50000</v>
      </c>
      <c r="U1115" s="164"/>
      <c r="V1115" s="165"/>
      <c r="W1115" s="163"/>
      <c r="X1115" s="163"/>
      <c r="Y1115" s="163"/>
      <c r="Z1115" s="163"/>
      <c r="AA1115" s="162"/>
      <c r="AB1115" s="195" t="str">
        <f t="shared" si="127"/>
        <v>Sep-26</v>
      </c>
      <c r="AC1115" s="163"/>
      <c r="AD1115" s="163"/>
      <c r="AE1115" s="163"/>
    </row>
    <row r="1116" spans="1:31" x14ac:dyDescent="0.35">
      <c r="A1116" s="162">
        <v>46289</v>
      </c>
      <c r="B1116" s="163" t="s">
        <v>1331</v>
      </c>
      <c r="C1116" s="163" t="s">
        <v>93</v>
      </c>
      <c r="D1116" s="163" t="s">
        <v>1789</v>
      </c>
      <c r="E1116" s="163" t="s">
        <v>95</v>
      </c>
      <c r="F1116" s="163" t="s">
        <v>115</v>
      </c>
      <c r="G1116" s="163"/>
      <c r="H1116" s="163" t="s">
        <v>115</v>
      </c>
      <c r="I1116" s="163" t="s">
        <v>121</v>
      </c>
      <c r="J1116" s="163" t="s">
        <v>897</v>
      </c>
      <c r="K1116" s="163" t="s">
        <v>1790</v>
      </c>
      <c r="L1116" s="163"/>
      <c r="M1116" s="163" t="s">
        <v>1619</v>
      </c>
      <c r="N1116" s="163" t="s">
        <v>130</v>
      </c>
      <c r="O1116" s="162"/>
      <c r="P1116" s="163"/>
      <c r="Q1116" s="163"/>
      <c r="R1116" s="163"/>
      <c r="S1116" s="163"/>
      <c r="T1116" s="164"/>
      <c r="U1116" s="164"/>
      <c r="V1116" s="165"/>
      <c r="W1116" s="163"/>
      <c r="X1116" s="163"/>
      <c r="Y1116" s="163"/>
      <c r="Z1116" s="163"/>
      <c r="AA1116" s="162"/>
      <c r="AB1116" s="195" t="str">
        <f t="shared" si="127"/>
        <v>Sep-26</v>
      </c>
      <c r="AC1116" s="163"/>
      <c r="AD1116" s="163" t="str">
        <f>IF(AC1116="Yes",U1116*2%,"")</f>
        <v/>
      </c>
      <c r="AE1116" s="163"/>
    </row>
    <row r="1117" spans="1:31" x14ac:dyDescent="0.35">
      <c r="A1117" s="162">
        <v>46289</v>
      </c>
      <c r="B1117" s="163" t="s">
        <v>148</v>
      </c>
      <c r="C1117" s="163" t="s">
        <v>113</v>
      </c>
      <c r="D1117" s="205" t="s">
        <v>1791</v>
      </c>
      <c r="E1117" s="163" t="s">
        <v>106</v>
      </c>
      <c r="F1117" s="163" t="s">
        <v>135</v>
      </c>
      <c r="G1117" s="163"/>
      <c r="H1117" s="163" t="s">
        <v>115</v>
      </c>
      <c r="I1117" s="163" t="s">
        <v>121</v>
      </c>
      <c r="J1117" s="163" t="s">
        <v>147</v>
      </c>
      <c r="K1117" s="205" t="s">
        <v>690</v>
      </c>
      <c r="L1117" s="163"/>
      <c r="M1117" s="163" t="s">
        <v>1639</v>
      </c>
      <c r="N1117" s="163" t="s">
        <v>128</v>
      </c>
      <c r="O1117" s="162"/>
      <c r="P1117" s="163"/>
      <c r="Q1117" s="163"/>
      <c r="R1117" s="163"/>
      <c r="S1117" s="163" t="s">
        <v>129</v>
      </c>
      <c r="T1117" s="164"/>
      <c r="U1117" s="164"/>
      <c r="V1117" s="165"/>
      <c r="W1117" s="163"/>
      <c r="X1117" s="163"/>
      <c r="Y1117" s="163"/>
      <c r="Z1117" s="163"/>
      <c r="AA1117" s="162"/>
      <c r="AB1117" s="195" t="str">
        <f t="shared" si="127"/>
        <v>Sep-26</v>
      </c>
      <c r="AC1117" s="163"/>
      <c r="AD1117" s="163" t="str">
        <f>IF(AC1117="Yes",U1117*2%,"")</f>
        <v/>
      </c>
      <c r="AE1117" s="163"/>
    </row>
    <row r="1118" spans="1:31" x14ac:dyDescent="0.35">
      <c r="A1118" s="162">
        <v>46289</v>
      </c>
      <c r="B1118" s="163" t="s">
        <v>125</v>
      </c>
      <c r="C1118" s="163" t="s">
        <v>113</v>
      </c>
      <c r="D1118" s="163" t="s">
        <v>246</v>
      </c>
      <c r="E1118" s="163" t="s">
        <v>106</v>
      </c>
      <c r="F1118" s="163" t="s">
        <v>96</v>
      </c>
      <c r="G1118" s="163" t="s">
        <v>15</v>
      </c>
      <c r="H1118" s="163" t="s">
        <v>163</v>
      </c>
      <c r="I1118" s="163" t="s">
        <v>121</v>
      </c>
      <c r="J1118" s="163" t="s">
        <v>147</v>
      </c>
      <c r="K1118" s="163" t="s">
        <v>1633</v>
      </c>
      <c r="L1118" s="163"/>
      <c r="M1118" s="163" t="s">
        <v>159</v>
      </c>
      <c r="N1118" s="163" t="s">
        <v>102</v>
      </c>
      <c r="O1118" s="162"/>
      <c r="P1118" s="163"/>
      <c r="Q1118" s="163"/>
      <c r="R1118" s="163"/>
      <c r="S1118" s="163" t="s">
        <v>103</v>
      </c>
      <c r="T1118" s="164">
        <v>10000</v>
      </c>
      <c r="U1118" s="164">
        <v>9890</v>
      </c>
      <c r="V1118" s="165">
        <v>46289</v>
      </c>
      <c r="W1118" s="163" t="s">
        <v>1634</v>
      </c>
      <c r="X1118" s="163" t="s">
        <v>39</v>
      </c>
      <c r="Y1118" s="163" t="s">
        <v>85</v>
      </c>
      <c r="Z1118" s="163"/>
      <c r="AA1118" s="162"/>
      <c r="AB1118" s="195" t="str">
        <f t="shared" si="127"/>
        <v>Sep-26</v>
      </c>
      <c r="AC1118" s="163"/>
      <c r="AD1118" s="163" t="str">
        <f>IF(AC1118="Yes",U1118*2%,"")</f>
        <v/>
      </c>
      <c r="AE1118" s="163"/>
    </row>
    <row r="1119" spans="1:31" x14ac:dyDescent="0.35">
      <c r="A1119" s="162">
        <v>46290</v>
      </c>
      <c r="B1119" s="163" t="s">
        <v>370</v>
      </c>
      <c r="C1119" s="163" t="s">
        <v>93</v>
      </c>
      <c r="D1119" s="205" t="s">
        <v>1792</v>
      </c>
      <c r="E1119" s="163" t="s">
        <v>106</v>
      </c>
      <c r="F1119" s="163" t="s">
        <v>135</v>
      </c>
      <c r="G1119" s="163"/>
      <c r="H1119" s="163" t="s">
        <v>115</v>
      </c>
      <c r="I1119" s="163" t="s">
        <v>121</v>
      </c>
      <c r="J1119" s="163" t="s">
        <v>356</v>
      </c>
      <c r="K1119" s="205" t="s">
        <v>342</v>
      </c>
      <c r="L1119" s="163"/>
      <c r="M1119" s="163" t="s">
        <v>1686</v>
      </c>
      <c r="N1119" s="163" t="s">
        <v>495</v>
      </c>
      <c r="O1119" s="162">
        <v>46303</v>
      </c>
      <c r="P1119" s="163" t="s">
        <v>95</v>
      </c>
      <c r="Q1119" s="163"/>
      <c r="R1119" s="163"/>
      <c r="S1119" s="163" t="s">
        <v>129</v>
      </c>
      <c r="T1119" s="164">
        <v>32000</v>
      </c>
      <c r="U1119" s="164"/>
      <c r="V1119" s="165"/>
      <c r="W1119" s="163"/>
      <c r="X1119" s="163"/>
      <c r="Y1119" s="163"/>
      <c r="Z1119" s="163"/>
      <c r="AA1119" s="162"/>
      <c r="AB1119" s="195" t="str">
        <f t="shared" si="127"/>
        <v>Sep-26</v>
      </c>
      <c r="AC1119" s="163"/>
      <c r="AD1119" s="163"/>
      <c r="AE1119" s="163"/>
    </row>
    <row r="1120" spans="1:31" x14ac:dyDescent="0.35">
      <c r="A1120" s="162">
        <v>46290</v>
      </c>
      <c r="B1120" s="163" t="s">
        <v>370</v>
      </c>
      <c r="C1120" s="163" t="s">
        <v>93</v>
      </c>
      <c r="D1120" s="205" t="s">
        <v>1793</v>
      </c>
      <c r="E1120" s="163" t="s">
        <v>106</v>
      </c>
      <c r="F1120" s="163" t="s">
        <v>135</v>
      </c>
      <c r="G1120" s="163"/>
      <c r="H1120" s="163" t="s">
        <v>115</v>
      </c>
      <c r="I1120" s="163" t="s">
        <v>121</v>
      </c>
      <c r="J1120" s="163" t="s">
        <v>438</v>
      </c>
      <c r="K1120" s="205" t="s">
        <v>1794</v>
      </c>
      <c r="L1120" s="163"/>
      <c r="M1120" s="163" t="s">
        <v>1190</v>
      </c>
      <c r="N1120" s="163" t="s">
        <v>156</v>
      </c>
      <c r="O1120" s="162">
        <v>46308</v>
      </c>
      <c r="P1120" s="163" t="s">
        <v>95</v>
      </c>
      <c r="Q1120" s="163"/>
      <c r="R1120" s="163"/>
      <c r="S1120" s="163" t="s">
        <v>103</v>
      </c>
      <c r="T1120" s="164">
        <v>65000</v>
      </c>
      <c r="U1120" s="164"/>
      <c r="V1120" s="165"/>
      <c r="W1120" s="163"/>
      <c r="X1120" s="163"/>
      <c r="Y1120" s="163"/>
      <c r="Z1120" s="163"/>
      <c r="AA1120" s="162"/>
      <c r="AB1120" s="195" t="str">
        <f t="shared" si="127"/>
        <v>Sep-26</v>
      </c>
      <c r="AC1120" s="163"/>
      <c r="AD1120" s="163"/>
      <c r="AE1120" s="163"/>
    </row>
    <row r="1121" spans="1:31" x14ac:dyDescent="0.35">
      <c r="A1121" s="162">
        <v>46290</v>
      </c>
      <c r="B1121" s="163" t="s">
        <v>148</v>
      </c>
      <c r="C1121" s="163" t="s">
        <v>113</v>
      </c>
      <c r="D1121" s="163" t="s">
        <v>260</v>
      </c>
      <c r="E1121" s="163" t="s">
        <v>106</v>
      </c>
      <c r="F1121" s="163" t="s">
        <v>96</v>
      </c>
      <c r="G1121" s="163" t="s">
        <v>15</v>
      </c>
      <c r="H1121" s="163" t="s">
        <v>163</v>
      </c>
      <c r="I1121" s="163" t="s">
        <v>121</v>
      </c>
      <c r="J1121" s="163" t="s">
        <v>147</v>
      </c>
      <c r="K1121" s="163" t="s">
        <v>1633</v>
      </c>
      <c r="L1121" s="163"/>
      <c r="M1121" s="163" t="s">
        <v>159</v>
      </c>
      <c r="N1121" s="163" t="s">
        <v>102</v>
      </c>
      <c r="O1121" s="162"/>
      <c r="P1121" s="163"/>
      <c r="Q1121" s="163"/>
      <c r="R1121" s="163"/>
      <c r="S1121" s="163" t="s">
        <v>103</v>
      </c>
      <c r="T1121" s="164">
        <v>10000</v>
      </c>
      <c r="U1121" s="164">
        <v>8670</v>
      </c>
      <c r="V1121" s="165">
        <v>46290</v>
      </c>
      <c r="W1121" s="163" t="s">
        <v>1634</v>
      </c>
      <c r="X1121" s="163" t="s">
        <v>39</v>
      </c>
      <c r="Y1121" s="163" t="s">
        <v>1017</v>
      </c>
      <c r="Z1121" s="163"/>
      <c r="AA1121" s="162"/>
      <c r="AB1121" s="195" t="str">
        <f t="shared" si="127"/>
        <v>Sep-26</v>
      </c>
      <c r="AC1121" s="163"/>
      <c r="AD1121" s="163" t="str">
        <f>IF(AC1121="Yes",U1121*2%,"")</f>
        <v/>
      </c>
      <c r="AE1121" s="163"/>
    </row>
    <row r="1122" spans="1:31" x14ac:dyDescent="0.35">
      <c r="A1122" s="162">
        <v>46293</v>
      </c>
      <c r="B1122" s="163" t="s">
        <v>370</v>
      </c>
      <c r="C1122" s="163" t="s">
        <v>93</v>
      </c>
      <c r="D1122" s="163" t="s">
        <v>1795</v>
      </c>
      <c r="E1122" s="163" t="s">
        <v>95</v>
      </c>
      <c r="F1122" s="163" t="s">
        <v>135</v>
      </c>
      <c r="G1122" s="163"/>
      <c r="H1122" s="163" t="s">
        <v>115</v>
      </c>
      <c r="I1122" s="163" t="s">
        <v>121</v>
      </c>
      <c r="J1122" s="163" t="s">
        <v>153</v>
      </c>
      <c r="K1122" s="163" t="s">
        <v>1796</v>
      </c>
      <c r="L1122" s="163"/>
      <c r="M1122" s="163" t="s">
        <v>159</v>
      </c>
      <c r="N1122" s="163" t="s">
        <v>102</v>
      </c>
      <c r="O1122" s="162"/>
      <c r="P1122" s="163"/>
      <c r="Q1122" s="163"/>
      <c r="R1122" s="163"/>
      <c r="S1122" s="163" t="s">
        <v>133</v>
      </c>
      <c r="T1122" s="164">
        <v>20000</v>
      </c>
      <c r="U1122" s="164">
        <v>13351</v>
      </c>
      <c r="V1122" s="165">
        <v>46293</v>
      </c>
      <c r="W1122" s="163" t="s">
        <v>1797</v>
      </c>
      <c r="X1122" s="163" t="s">
        <v>26</v>
      </c>
      <c r="Y1122" s="163" t="s">
        <v>161</v>
      </c>
      <c r="Z1122" s="163"/>
      <c r="AA1122" s="162">
        <v>46293</v>
      </c>
      <c r="AB1122" s="195" t="str">
        <f t="shared" si="127"/>
        <v>Sep-26</v>
      </c>
      <c r="AC1122" s="163"/>
      <c r="AD1122" s="163"/>
      <c r="AE1122" s="163" t="s">
        <v>270</v>
      </c>
    </row>
    <row r="1123" spans="1:31" x14ac:dyDescent="0.35">
      <c r="A1123" s="162">
        <v>46293</v>
      </c>
      <c r="B1123" s="163" t="s">
        <v>370</v>
      </c>
      <c r="C1123" s="163" t="s">
        <v>93</v>
      </c>
      <c r="D1123" s="163" t="s">
        <v>1798</v>
      </c>
      <c r="E1123" s="163" t="s">
        <v>106</v>
      </c>
      <c r="F1123" s="163" t="s">
        <v>135</v>
      </c>
      <c r="G1123" s="163"/>
      <c r="H1123" s="163" t="s">
        <v>115</v>
      </c>
      <c r="I1123" s="163" t="s">
        <v>121</v>
      </c>
      <c r="J1123" s="163" t="s">
        <v>147</v>
      </c>
      <c r="K1123" s="163"/>
      <c r="L1123" s="163"/>
      <c r="M1123" s="163" t="s">
        <v>159</v>
      </c>
      <c r="N1123" s="163" t="s">
        <v>102</v>
      </c>
      <c r="O1123" s="162"/>
      <c r="P1123" s="163"/>
      <c r="Q1123" s="163"/>
      <c r="R1123" s="163"/>
      <c r="S1123" s="163" t="s">
        <v>103</v>
      </c>
      <c r="T1123" s="164">
        <v>7000</v>
      </c>
      <c r="U1123" s="164">
        <v>9500</v>
      </c>
      <c r="V1123" s="165">
        <v>46293</v>
      </c>
      <c r="W1123" s="163" t="s">
        <v>1799</v>
      </c>
      <c r="X1123" s="163" t="s">
        <v>26</v>
      </c>
      <c r="Y1123" s="163" t="s">
        <v>161</v>
      </c>
      <c r="Z1123" s="163"/>
      <c r="AA1123" s="162">
        <v>46293</v>
      </c>
      <c r="AB1123" s="195" t="str">
        <f t="shared" si="127"/>
        <v>Sep-26</v>
      </c>
      <c r="AC1123" s="163"/>
      <c r="AD1123" s="163" t="str">
        <f>IF(AC1123="Yes",U1123*2%,"")</f>
        <v/>
      </c>
      <c r="AE1123" s="163" t="s">
        <v>270</v>
      </c>
    </row>
    <row r="1124" spans="1:31" x14ac:dyDescent="0.35">
      <c r="A1124" s="162">
        <v>46293</v>
      </c>
      <c r="B1124" s="163" t="s">
        <v>370</v>
      </c>
      <c r="C1124" s="163" t="s">
        <v>93</v>
      </c>
      <c r="D1124" s="163" t="s">
        <v>1800</v>
      </c>
      <c r="E1124" s="163" t="s">
        <v>106</v>
      </c>
      <c r="F1124" s="163" t="s">
        <v>135</v>
      </c>
      <c r="G1124" s="163"/>
      <c r="H1124" s="163" t="s">
        <v>115</v>
      </c>
      <c r="I1124" s="163" t="s">
        <v>121</v>
      </c>
      <c r="J1124" s="163" t="s">
        <v>153</v>
      </c>
      <c r="K1124" s="163"/>
      <c r="L1124" s="163"/>
      <c r="M1124" s="163" t="s">
        <v>1801</v>
      </c>
      <c r="N1124" s="163" t="s">
        <v>156</v>
      </c>
      <c r="O1124" s="162">
        <v>46315</v>
      </c>
      <c r="P1124" s="163" t="s">
        <v>95</v>
      </c>
      <c r="Q1124" s="163"/>
      <c r="R1124" s="163"/>
      <c r="S1124" s="163" t="s">
        <v>103</v>
      </c>
      <c r="T1124" s="164">
        <v>200000</v>
      </c>
      <c r="U1124" s="164"/>
      <c r="V1124" s="165"/>
      <c r="W1124" s="163"/>
      <c r="X1124" s="163"/>
      <c r="Y1124" s="163"/>
      <c r="Z1124" s="163"/>
      <c r="AA1124" s="162"/>
      <c r="AB1124" s="195" t="str">
        <f t="shared" si="127"/>
        <v>Sep-26</v>
      </c>
      <c r="AC1124" s="163"/>
      <c r="AD1124" s="163" t="str">
        <f>IF(AC1124="Yes",U1124*2%,"")</f>
        <v/>
      </c>
      <c r="AE1124" s="163"/>
    </row>
    <row r="1125" spans="1:31" x14ac:dyDescent="0.35">
      <c r="A1125" s="162">
        <v>46293</v>
      </c>
      <c r="B1125" s="163" t="s">
        <v>370</v>
      </c>
      <c r="C1125" s="163" t="s">
        <v>93</v>
      </c>
      <c r="D1125" s="163" t="s">
        <v>1802</v>
      </c>
      <c r="E1125" s="163" t="s">
        <v>106</v>
      </c>
      <c r="F1125" s="163" t="s">
        <v>135</v>
      </c>
      <c r="G1125" s="163"/>
      <c r="H1125" s="163" t="s">
        <v>163</v>
      </c>
      <c r="I1125" s="163" t="s">
        <v>121</v>
      </c>
      <c r="J1125" s="163" t="s">
        <v>153</v>
      </c>
      <c r="K1125" s="163" t="s">
        <v>1803</v>
      </c>
      <c r="L1125" s="163"/>
      <c r="M1125" s="163" t="s">
        <v>1802</v>
      </c>
      <c r="N1125" s="163" t="s">
        <v>181</v>
      </c>
      <c r="O1125" s="162">
        <v>46312</v>
      </c>
      <c r="P1125" s="163" t="s">
        <v>95</v>
      </c>
      <c r="Q1125" s="163"/>
      <c r="R1125" s="163"/>
      <c r="S1125" s="163" t="s">
        <v>103</v>
      </c>
      <c r="T1125" s="164">
        <v>0</v>
      </c>
      <c r="U1125" s="164">
        <v>0</v>
      </c>
      <c r="V1125" s="165">
        <v>46311</v>
      </c>
      <c r="W1125" s="163"/>
      <c r="X1125" s="163"/>
      <c r="Y1125" s="163"/>
      <c r="Z1125" s="163"/>
      <c r="AA1125" s="162"/>
      <c r="AB1125" s="195" t="str">
        <f t="shared" si="127"/>
        <v>Oct-26</v>
      </c>
      <c r="AC1125" s="163"/>
      <c r="AD1125" s="163" t="str">
        <f>IF(AC1125="Yes",U1125*2%,"")</f>
        <v/>
      </c>
      <c r="AE1125" s="163"/>
    </row>
    <row r="1126" spans="1:31" x14ac:dyDescent="0.35">
      <c r="A1126" s="162">
        <v>46293</v>
      </c>
      <c r="B1126" s="163" t="s">
        <v>148</v>
      </c>
      <c r="C1126" s="163" t="s">
        <v>113</v>
      </c>
      <c r="D1126" s="163" t="s">
        <v>1561</v>
      </c>
      <c r="E1126" s="163" t="s">
        <v>95</v>
      </c>
      <c r="F1126" s="163" t="s">
        <v>135</v>
      </c>
      <c r="G1126" s="163"/>
      <c r="H1126" s="163" t="s">
        <v>115</v>
      </c>
      <c r="I1126" s="163" t="s">
        <v>121</v>
      </c>
      <c r="J1126" s="163" t="s">
        <v>166</v>
      </c>
      <c r="K1126" s="163" t="s">
        <v>1804</v>
      </c>
      <c r="L1126" s="163"/>
      <c r="M1126" s="163" t="s">
        <v>159</v>
      </c>
      <c r="N1126" s="163" t="s">
        <v>102</v>
      </c>
      <c r="O1126" s="162"/>
      <c r="P1126" s="163"/>
      <c r="Q1126" s="163" t="str">
        <f ca="1">IF(N1126="Closed(C4)","",IF(N1126="","",TODAY()-A1126))</f>
        <v/>
      </c>
      <c r="R1126" s="163" t="str">
        <f ca="1">IF(OR(N1126="Closed( C4 )",N1126="Cancelled"),"",IF(AND(O1126&lt;&gt;"",O1126&lt;TODAY()),"Yes",""))</f>
        <v/>
      </c>
      <c r="S1126" s="163" t="s">
        <v>103</v>
      </c>
      <c r="T1126" s="164">
        <v>12000</v>
      </c>
      <c r="U1126" s="164">
        <v>14525</v>
      </c>
      <c r="V1126" s="165">
        <v>46295</v>
      </c>
      <c r="W1126" s="163" t="s">
        <v>1805</v>
      </c>
      <c r="X1126" s="163" t="s">
        <v>35</v>
      </c>
      <c r="Y1126" s="163" t="s">
        <v>1017</v>
      </c>
      <c r="Z1126" s="163"/>
      <c r="AA1126" s="162"/>
      <c r="AB1126" s="195" t="str">
        <f t="shared" si="127"/>
        <v>Sep-26</v>
      </c>
      <c r="AC1126" s="163"/>
      <c r="AD1126" s="163" t="str">
        <f>IF(AC1126="Yes",U1126*2%,"")</f>
        <v/>
      </c>
      <c r="AE1126" s="163"/>
    </row>
    <row r="1127" spans="1:31" x14ac:dyDescent="0.35">
      <c r="A1127" s="162">
        <v>46295</v>
      </c>
      <c r="B1127" s="163" t="s">
        <v>370</v>
      </c>
      <c r="C1127" s="163" t="s">
        <v>93</v>
      </c>
      <c r="D1127" s="163" t="s">
        <v>665</v>
      </c>
      <c r="E1127" s="163" t="s">
        <v>106</v>
      </c>
      <c r="F1127" s="163" t="s">
        <v>135</v>
      </c>
      <c r="G1127" s="163"/>
      <c r="H1127" s="163" t="s">
        <v>115</v>
      </c>
      <c r="I1127" s="163" t="s">
        <v>121</v>
      </c>
      <c r="J1127" s="163" t="s">
        <v>147</v>
      </c>
      <c r="K1127" s="163" t="s">
        <v>1806</v>
      </c>
      <c r="L1127" s="163"/>
      <c r="M1127" s="163" t="s">
        <v>1526</v>
      </c>
      <c r="N1127" s="163" t="s">
        <v>102</v>
      </c>
      <c r="O1127" s="162"/>
      <c r="P1127" s="163"/>
      <c r="Q1127" s="163"/>
      <c r="R1127" s="163"/>
      <c r="S1127" s="163" t="s">
        <v>103</v>
      </c>
      <c r="T1127" s="164">
        <v>100000</v>
      </c>
      <c r="U1127" s="164">
        <v>81090</v>
      </c>
      <c r="V1127" s="165">
        <v>46295</v>
      </c>
      <c r="W1127" s="163" t="s">
        <v>1807</v>
      </c>
      <c r="X1127" s="163" t="s">
        <v>50</v>
      </c>
      <c r="Y1127" s="163" t="s">
        <v>1017</v>
      </c>
      <c r="Z1127" s="163"/>
      <c r="AA1127" s="162"/>
      <c r="AB1127" s="195" t="str">
        <f t="shared" si="127"/>
        <v>Sep-26</v>
      </c>
      <c r="AC1127" s="163"/>
      <c r="AD1127" s="163" t="str">
        <f>IF(AC1127="Yes",#REF!*2%,"")</f>
        <v/>
      </c>
      <c r="AE1127" s="163" t="s">
        <v>270</v>
      </c>
    </row>
    <row r="1128" spans="1:31" x14ac:dyDescent="0.35">
      <c r="A1128" s="162">
        <v>46295</v>
      </c>
      <c r="B1128" s="163" t="s">
        <v>370</v>
      </c>
      <c r="C1128" s="163" t="s">
        <v>93</v>
      </c>
      <c r="D1128" s="163" t="s">
        <v>19</v>
      </c>
      <c r="E1128" s="163" t="s">
        <v>106</v>
      </c>
      <c r="F1128" s="163" t="s">
        <v>96</v>
      </c>
      <c r="G1128" s="163" t="s">
        <v>10</v>
      </c>
      <c r="H1128" s="163" t="s">
        <v>115</v>
      </c>
      <c r="I1128" s="163" t="s">
        <v>121</v>
      </c>
      <c r="J1128" s="163" t="s">
        <v>99</v>
      </c>
      <c r="K1128" s="163" t="s">
        <v>256</v>
      </c>
      <c r="L1128" s="163"/>
      <c r="M1128" s="163" t="s">
        <v>159</v>
      </c>
      <c r="N1128" s="163" t="s">
        <v>102</v>
      </c>
      <c r="O1128" s="162"/>
      <c r="P1128" s="163"/>
      <c r="Q1128" s="163"/>
      <c r="R1128" s="163" t="str">
        <f ca="1">IF(OR(N1128="Closed( C4 )",N1128="Cancelled"),"",IF(AND(O1128&lt;&gt;"",O1128&lt;TODAY()),"Yes",""))</f>
        <v/>
      </c>
      <c r="S1128" s="163" t="s">
        <v>103</v>
      </c>
      <c r="T1128" s="164">
        <v>100000</v>
      </c>
      <c r="U1128" s="164">
        <v>195300</v>
      </c>
      <c r="V1128" s="165">
        <v>46295</v>
      </c>
      <c r="W1128" s="163" t="s">
        <v>1808</v>
      </c>
      <c r="X1128" s="163" t="s">
        <v>57</v>
      </c>
      <c r="Y1128" s="163" t="s">
        <v>1017</v>
      </c>
      <c r="Z1128" s="163"/>
      <c r="AA1128" s="162"/>
      <c r="AB1128" s="195" t="str">
        <f t="shared" si="127"/>
        <v>Sep-26</v>
      </c>
      <c r="AC1128" s="163"/>
      <c r="AD1128" s="163" t="str">
        <f t="shared" ref="AD1128:AD1133" si="128">IF(AC1128="Yes",U1128*2%,"")</f>
        <v/>
      </c>
      <c r="AE1128" s="163"/>
    </row>
    <row r="1129" spans="1:31" x14ac:dyDescent="0.35">
      <c r="A1129" s="162">
        <v>46295</v>
      </c>
      <c r="B1129" s="163" t="s">
        <v>125</v>
      </c>
      <c r="C1129" s="163" t="s">
        <v>93</v>
      </c>
      <c r="D1129" s="163" t="s">
        <v>19</v>
      </c>
      <c r="E1129" s="163" t="s">
        <v>95</v>
      </c>
      <c r="F1129" s="163" t="s">
        <v>96</v>
      </c>
      <c r="G1129" s="163" t="s">
        <v>10</v>
      </c>
      <c r="H1129" s="163" t="s">
        <v>115</v>
      </c>
      <c r="I1129" s="163" t="s">
        <v>121</v>
      </c>
      <c r="J1129" s="163" t="s">
        <v>99</v>
      </c>
      <c r="K1129" s="163" t="s">
        <v>256</v>
      </c>
      <c r="L1129" s="163"/>
      <c r="M1129" s="163" t="s">
        <v>159</v>
      </c>
      <c r="N1129" s="163" t="s">
        <v>102</v>
      </c>
      <c r="O1129" s="162"/>
      <c r="P1129" s="163"/>
      <c r="Q1129" s="163"/>
      <c r="R1129" s="163" t="str">
        <f ca="1">IF(OR(N1129="Closed( C4 )",N1129="Cancelled"),"",IF(AND(O1129&lt;&gt;"",O1129&lt;TODAY()),"Yes",""))</f>
        <v/>
      </c>
      <c r="S1129" s="163" t="s">
        <v>103</v>
      </c>
      <c r="T1129" s="164">
        <v>100000</v>
      </c>
      <c r="U1129" s="164">
        <v>195300</v>
      </c>
      <c r="V1129" s="165">
        <v>46295</v>
      </c>
      <c r="W1129" s="163" t="s">
        <v>1808</v>
      </c>
      <c r="X1129" s="163" t="s">
        <v>57</v>
      </c>
      <c r="Y1129" s="163" t="s">
        <v>1017</v>
      </c>
      <c r="Z1129" s="163"/>
      <c r="AA1129" s="162"/>
      <c r="AB1129" s="195" t="str">
        <f t="shared" si="127"/>
        <v>Sep-26</v>
      </c>
      <c r="AC1129" s="163"/>
      <c r="AD1129" s="163" t="str">
        <f t="shared" si="128"/>
        <v/>
      </c>
      <c r="AE1129" s="163"/>
    </row>
    <row r="1130" spans="1:31" x14ac:dyDescent="0.35">
      <c r="A1130" s="162">
        <v>46295</v>
      </c>
      <c r="B1130" s="163" t="s">
        <v>370</v>
      </c>
      <c r="C1130" s="163" t="s">
        <v>93</v>
      </c>
      <c r="D1130" s="163" t="s">
        <v>1809</v>
      </c>
      <c r="E1130" s="163" t="s">
        <v>106</v>
      </c>
      <c r="F1130" s="163" t="s">
        <v>135</v>
      </c>
      <c r="G1130" s="163"/>
      <c r="H1130" s="163" t="s">
        <v>115</v>
      </c>
      <c r="I1130" s="163" t="s">
        <v>121</v>
      </c>
      <c r="J1130" s="163" t="s">
        <v>153</v>
      </c>
      <c r="K1130" s="163" t="s">
        <v>668</v>
      </c>
      <c r="L1130" s="163"/>
      <c r="M1130" s="163" t="s">
        <v>159</v>
      </c>
      <c r="N1130" s="163" t="s">
        <v>102</v>
      </c>
      <c r="O1130" s="162"/>
      <c r="P1130" s="163"/>
      <c r="Q1130" s="163"/>
      <c r="R1130" s="163"/>
      <c r="S1130" s="163" t="s">
        <v>103</v>
      </c>
      <c r="T1130" s="164">
        <v>5000</v>
      </c>
      <c r="U1130" s="164">
        <v>6438</v>
      </c>
      <c r="V1130" s="165">
        <v>46296</v>
      </c>
      <c r="W1130" s="214" t="s">
        <v>1810</v>
      </c>
      <c r="X1130" s="163" t="s">
        <v>30</v>
      </c>
      <c r="Y1130" s="163" t="s">
        <v>161</v>
      </c>
      <c r="Z1130" s="163"/>
      <c r="AA1130" s="162"/>
      <c r="AB1130" s="195" t="s">
        <v>23</v>
      </c>
      <c r="AC1130" s="163"/>
      <c r="AD1130" s="163" t="str">
        <f t="shared" si="128"/>
        <v/>
      </c>
      <c r="AE1130" s="163"/>
    </row>
    <row r="1131" spans="1:31" x14ac:dyDescent="0.35">
      <c r="A1131" s="162">
        <v>46295</v>
      </c>
      <c r="B1131" s="163" t="s">
        <v>370</v>
      </c>
      <c r="C1131" s="163" t="s">
        <v>93</v>
      </c>
      <c r="D1131" s="163" t="s">
        <v>1811</v>
      </c>
      <c r="E1131" s="163" t="s">
        <v>106</v>
      </c>
      <c r="F1131" s="163" t="s">
        <v>135</v>
      </c>
      <c r="G1131" s="163"/>
      <c r="H1131" s="163" t="s">
        <v>115</v>
      </c>
      <c r="I1131" s="163" t="s">
        <v>121</v>
      </c>
      <c r="J1131" s="163" t="s">
        <v>378</v>
      </c>
      <c r="K1131" s="163" t="s">
        <v>1481</v>
      </c>
      <c r="L1131" s="163"/>
      <c r="M1131" s="163" t="s">
        <v>1812</v>
      </c>
      <c r="N1131" s="163" t="s">
        <v>102</v>
      </c>
      <c r="O1131" s="162"/>
      <c r="P1131" s="163"/>
      <c r="Q1131" s="163"/>
      <c r="R1131" s="163"/>
      <c r="S1131" s="163" t="s">
        <v>103</v>
      </c>
      <c r="T1131" s="164">
        <v>10000</v>
      </c>
      <c r="U1131" s="164">
        <v>16340</v>
      </c>
      <c r="V1131" s="165">
        <v>46296</v>
      </c>
      <c r="W1131" s="163" t="s">
        <v>1813</v>
      </c>
      <c r="X1131" s="163" t="s">
        <v>41</v>
      </c>
      <c r="Y1131" s="163" t="s">
        <v>161</v>
      </c>
      <c r="Z1131" s="163"/>
      <c r="AA1131" s="162">
        <v>46296</v>
      </c>
      <c r="AB1131" s="195" t="str">
        <f t="shared" si="127"/>
        <v>Oct-26</v>
      </c>
      <c r="AC1131" s="163"/>
      <c r="AD1131" s="163" t="str">
        <f t="shared" si="128"/>
        <v/>
      </c>
      <c r="AE1131" s="163"/>
    </row>
    <row r="1132" spans="1:31" x14ac:dyDescent="0.35">
      <c r="A1132" s="162">
        <v>46295</v>
      </c>
      <c r="B1132" s="163" t="s">
        <v>148</v>
      </c>
      <c r="C1132" s="163" t="s">
        <v>113</v>
      </c>
      <c r="D1132" s="171" t="s">
        <v>165</v>
      </c>
      <c r="E1132" s="163" t="s">
        <v>95</v>
      </c>
      <c r="F1132" s="163" t="s">
        <v>135</v>
      </c>
      <c r="G1132" s="163" t="s">
        <v>10</v>
      </c>
      <c r="H1132" s="163" t="s">
        <v>115</v>
      </c>
      <c r="I1132" s="163" t="s">
        <v>98</v>
      </c>
      <c r="J1132" s="163" t="s">
        <v>166</v>
      </c>
      <c r="K1132" s="163" t="s">
        <v>167</v>
      </c>
      <c r="L1132" s="163"/>
      <c r="M1132" s="163" t="s">
        <v>159</v>
      </c>
      <c r="N1132" s="163" t="s">
        <v>102</v>
      </c>
      <c r="O1132" s="162"/>
      <c r="P1132" s="163"/>
      <c r="Q1132" s="163" t="str">
        <f ca="1">IF(N1132="Closed(C4)","",IF(N1132="","",TODAY()-A1132))</f>
        <v/>
      </c>
      <c r="R1132" s="163" t="str">
        <f ca="1">IF(OR(N1132="Closed( C4 )",N1132="Cancelled"),"",IF(AND(O1132&lt;&gt;"",O1132&lt;TODAY()),"Yes",""))</f>
        <v/>
      </c>
      <c r="S1132" s="163" t="s">
        <v>103</v>
      </c>
      <c r="T1132" s="164">
        <v>25000</v>
      </c>
      <c r="U1132" s="164">
        <v>26812</v>
      </c>
      <c r="V1132" s="165">
        <v>46295</v>
      </c>
      <c r="W1132" s="163" t="s">
        <v>1814</v>
      </c>
      <c r="X1132" s="163" t="s">
        <v>35</v>
      </c>
      <c r="Y1132" s="163" t="s">
        <v>1017</v>
      </c>
      <c r="Z1132" s="163"/>
      <c r="AA1132" s="162"/>
      <c r="AB1132" s="195" t="str">
        <f t="shared" ref="AB1132:AB1146" si="129">IF($V1132="",TEXT($A1132,"MMM-YY"),TEXT($V1132,"MMM-YY"))</f>
        <v>Sep-26</v>
      </c>
      <c r="AC1132" s="163"/>
      <c r="AD1132" s="163" t="str">
        <f t="shared" si="128"/>
        <v/>
      </c>
      <c r="AE1132" s="163"/>
    </row>
    <row r="1133" spans="1:31" x14ac:dyDescent="0.35">
      <c r="A1133" s="162">
        <v>46295</v>
      </c>
      <c r="B1133" s="163" t="s">
        <v>370</v>
      </c>
      <c r="C1133" s="163" t="s">
        <v>113</v>
      </c>
      <c r="D1133" s="163" t="s">
        <v>165</v>
      </c>
      <c r="E1133" s="163" t="s">
        <v>95</v>
      </c>
      <c r="F1133" s="163" t="s">
        <v>135</v>
      </c>
      <c r="G1133" s="163" t="s">
        <v>10</v>
      </c>
      <c r="H1133" s="163" t="s">
        <v>115</v>
      </c>
      <c r="I1133" s="163" t="s">
        <v>98</v>
      </c>
      <c r="J1133" s="163" t="s">
        <v>166</v>
      </c>
      <c r="K1133" s="163" t="s">
        <v>167</v>
      </c>
      <c r="L1133" s="163"/>
      <c r="M1133" s="163" t="s">
        <v>159</v>
      </c>
      <c r="N1133" s="163" t="s">
        <v>102</v>
      </c>
      <c r="O1133" s="162"/>
      <c r="P1133" s="163"/>
      <c r="Q1133" s="163" t="str">
        <f ca="1">IF(N1133="Closed(C4)","",IF(N1133="","",TODAY()-A1133))</f>
        <v/>
      </c>
      <c r="R1133" s="163" t="str">
        <f ca="1">IF(OR(N1133="Closed( C4 )",N1133="Cancelled"),"",IF(AND(O1133&lt;&gt;"",O1133&lt;TODAY()),"Yes",""))</f>
        <v/>
      </c>
      <c r="S1133" s="163" t="s">
        <v>103</v>
      </c>
      <c r="T1133" s="164">
        <v>25000</v>
      </c>
      <c r="U1133" s="164">
        <v>26812</v>
      </c>
      <c r="V1133" s="165">
        <v>46295</v>
      </c>
      <c r="W1133" s="163" t="s">
        <v>1814</v>
      </c>
      <c r="X1133" s="163" t="s">
        <v>35</v>
      </c>
      <c r="Y1133" s="163" t="s">
        <v>1017</v>
      </c>
      <c r="Z1133" s="163"/>
      <c r="AA1133" s="162"/>
      <c r="AB1133" s="195" t="str">
        <f t="shared" si="129"/>
        <v>Sep-26</v>
      </c>
      <c r="AC1133" s="163"/>
      <c r="AD1133" s="163" t="str">
        <f t="shared" si="128"/>
        <v/>
      </c>
      <c r="AE1133" s="163"/>
    </row>
    <row r="1134" spans="1:31" x14ac:dyDescent="0.35">
      <c r="A1134" s="162">
        <v>46296</v>
      </c>
      <c r="B1134" s="163" t="s">
        <v>125</v>
      </c>
      <c r="C1134" s="163" t="s">
        <v>113</v>
      </c>
      <c r="D1134" s="163" t="s">
        <v>246</v>
      </c>
      <c r="E1134" s="163" t="s">
        <v>95</v>
      </c>
      <c r="F1134" s="163" t="s">
        <v>96</v>
      </c>
      <c r="G1134" s="163" t="s">
        <v>15</v>
      </c>
      <c r="H1134" s="163" t="s">
        <v>163</v>
      </c>
      <c r="I1134" s="163" t="s">
        <v>98</v>
      </c>
      <c r="J1134" s="163" t="s">
        <v>147</v>
      </c>
      <c r="K1134" s="163" t="s">
        <v>231</v>
      </c>
      <c r="L1134" s="163"/>
      <c r="M1134" s="163" t="s">
        <v>390</v>
      </c>
      <c r="N1134" s="163" t="s">
        <v>156</v>
      </c>
      <c r="O1134" s="162"/>
      <c r="P1134" s="163"/>
      <c r="Q1134" s="163"/>
      <c r="R1134" s="163" t="str">
        <f ca="1">IF(OR(N1134="Closed( C4 )",N1134="Cancelled"),"",IF(AND(O1134&lt;&gt;"",O1134&lt;TODAY()),"Yes",""))</f>
        <v/>
      </c>
      <c r="S1134" s="163" t="s">
        <v>129</v>
      </c>
      <c r="T1134" s="164">
        <v>15000</v>
      </c>
      <c r="U1134" s="164"/>
      <c r="V1134" s="162"/>
      <c r="W1134" s="163"/>
      <c r="X1134" s="163"/>
      <c r="Y1134" s="163"/>
      <c r="Z1134" s="163"/>
      <c r="AA1134" s="162"/>
      <c r="AB1134" s="195" t="str">
        <f t="shared" si="129"/>
        <v>Oct-26</v>
      </c>
      <c r="AC1134" s="163"/>
      <c r="AD1134" s="163"/>
      <c r="AE1134" s="163"/>
    </row>
    <row r="1135" spans="1:31" x14ac:dyDescent="0.35">
      <c r="A1135" s="162">
        <v>46296</v>
      </c>
      <c r="B1135" s="163" t="s">
        <v>148</v>
      </c>
      <c r="C1135" s="163" t="s">
        <v>113</v>
      </c>
      <c r="D1135" s="163" t="s">
        <v>165</v>
      </c>
      <c r="E1135" s="163" t="s">
        <v>106</v>
      </c>
      <c r="F1135" s="163" t="s">
        <v>96</v>
      </c>
      <c r="G1135" s="163" t="s">
        <v>10</v>
      </c>
      <c r="H1135" s="163" t="s">
        <v>115</v>
      </c>
      <c r="I1135" s="163" t="s">
        <v>98</v>
      </c>
      <c r="J1135" s="163" t="s">
        <v>147</v>
      </c>
      <c r="K1135" s="163" t="s">
        <v>1532</v>
      </c>
      <c r="L1135" s="163"/>
      <c r="M1135" s="163" t="s">
        <v>159</v>
      </c>
      <c r="N1135" s="163" t="s">
        <v>156</v>
      </c>
      <c r="O1135" s="162"/>
      <c r="P1135" s="163"/>
      <c r="Q1135" s="163"/>
      <c r="R1135" s="163"/>
      <c r="S1135" s="163" t="s">
        <v>129</v>
      </c>
      <c r="T1135" s="164">
        <v>100000</v>
      </c>
      <c r="U1135" s="164"/>
      <c r="V1135" s="162"/>
      <c r="W1135" s="163"/>
      <c r="X1135" s="163"/>
      <c r="Y1135" s="163"/>
      <c r="Z1135" s="163"/>
      <c r="AA1135" s="162"/>
      <c r="AB1135" s="195" t="str">
        <f t="shared" si="129"/>
        <v>Oct-26</v>
      </c>
      <c r="AC1135" s="163"/>
      <c r="AD1135" s="163"/>
      <c r="AE1135" s="163"/>
    </row>
    <row r="1136" spans="1:31" x14ac:dyDescent="0.35">
      <c r="A1136" s="162">
        <v>46296</v>
      </c>
      <c r="B1136" s="163" t="s">
        <v>148</v>
      </c>
      <c r="C1136" s="163" t="s">
        <v>113</v>
      </c>
      <c r="D1136" s="163" t="s">
        <v>1815</v>
      </c>
      <c r="E1136" s="163" t="s">
        <v>106</v>
      </c>
      <c r="F1136" s="163" t="s">
        <v>96</v>
      </c>
      <c r="G1136" s="163" t="s">
        <v>15</v>
      </c>
      <c r="H1136" s="163" t="s">
        <v>115</v>
      </c>
      <c r="I1136" s="163" t="s">
        <v>98</v>
      </c>
      <c r="J1136" s="163" t="s">
        <v>147</v>
      </c>
      <c r="K1136" s="163" t="s">
        <v>231</v>
      </c>
      <c r="L1136" s="163"/>
      <c r="M1136" s="163" t="s">
        <v>390</v>
      </c>
      <c r="N1136" s="163" t="s">
        <v>156</v>
      </c>
      <c r="O1136" s="162"/>
      <c r="P1136" s="163"/>
      <c r="Q1136" s="163"/>
      <c r="R1136" s="163"/>
      <c r="S1136" s="163" t="s">
        <v>129</v>
      </c>
      <c r="T1136" s="164">
        <v>50000</v>
      </c>
      <c r="U1136" s="164"/>
      <c r="V1136" s="162"/>
      <c r="W1136" s="163"/>
      <c r="X1136" s="163"/>
      <c r="Y1136" s="163"/>
      <c r="Z1136" s="163"/>
      <c r="AA1136" s="162"/>
      <c r="AB1136" s="195" t="str">
        <f t="shared" si="129"/>
        <v>Oct-26</v>
      </c>
      <c r="AC1136" s="163"/>
      <c r="AD1136" s="163"/>
      <c r="AE1136" s="163"/>
    </row>
    <row r="1137" spans="1:31" x14ac:dyDescent="0.35">
      <c r="A1137" s="162">
        <v>46296</v>
      </c>
      <c r="B1137" s="163" t="s">
        <v>125</v>
      </c>
      <c r="C1137" s="163" t="s">
        <v>113</v>
      </c>
      <c r="D1137" s="163" t="s">
        <v>260</v>
      </c>
      <c r="E1137" s="163" t="s">
        <v>95</v>
      </c>
      <c r="F1137" s="163" t="s">
        <v>96</v>
      </c>
      <c r="G1137" s="163" t="s">
        <v>15</v>
      </c>
      <c r="H1137" s="163" t="s">
        <v>163</v>
      </c>
      <c r="I1137" s="163" t="s">
        <v>98</v>
      </c>
      <c r="J1137" s="163" t="s">
        <v>147</v>
      </c>
      <c r="K1137" s="163" t="s">
        <v>231</v>
      </c>
      <c r="L1137" s="163"/>
      <c r="M1137" s="163" t="s">
        <v>390</v>
      </c>
      <c r="N1137" s="163" t="s">
        <v>156</v>
      </c>
      <c r="O1137" s="162"/>
      <c r="P1137" s="163"/>
      <c r="Q1137" s="163"/>
      <c r="R1137" s="163" t="str">
        <f t="shared" ref="R1137:R1143" ca="1" si="130">IF(OR(N1137="Closed( C4 )",N1137="Cancelled"),"",IF(AND(O1137&lt;&gt;"",O1137&lt;TODAY()),"Yes",""))</f>
        <v/>
      </c>
      <c r="S1137" s="163" t="s">
        <v>129</v>
      </c>
      <c r="T1137" s="164">
        <v>15000</v>
      </c>
      <c r="U1137" s="164"/>
      <c r="V1137" s="162"/>
      <c r="W1137" s="163"/>
      <c r="X1137" s="163"/>
      <c r="Y1137" s="163"/>
      <c r="Z1137" s="163"/>
      <c r="AA1137" s="162"/>
      <c r="AB1137" s="195" t="str">
        <f t="shared" si="129"/>
        <v>Oct-26</v>
      </c>
      <c r="AC1137" s="163"/>
      <c r="AD1137" s="163" t="str">
        <f t="shared" ref="AD1137:AD1193" si="131">IF(AC1137="Yes",U1137*2%,"")</f>
        <v/>
      </c>
      <c r="AE1137" s="163"/>
    </row>
    <row r="1138" spans="1:31" x14ac:dyDescent="0.35">
      <c r="A1138" s="162">
        <v>46296</v>
      </c>
      <c r="B1138" s="163" t="s">
        <v>125</v>
      </c>
      <c r="C1138" s="163" t="s">
        <v>113</v>
      </c>
      <c r="D1138" s="163" t="s">
        <v>554</v>
      </c>
      <c r="E1138" s="163" t="s">
        <v>95</v>
      </c>
      <c r="F1138" s="163" t="s">
        <v>96</v>
      </c>
      <c r="G1138" s="163" t="s">
        <v>15</v>
      </c>
      <c r="H1138" s="163" t="s">
        <v>163</v>
      </c>
      <c r="I1138" s="163" t="s">
        <v>98</v>
      </c>
      <c r="J1138" s="163" t="s">
        <v>147</v>
      </c>
      <c r="K1138" s="163" t="s">
        <v>525</v>
      </c>
      <c r="L1138" s="163"/>
      <c r="M1138" s="163" t="s">
        <v>526</v>
      </c>
      <c r="N1138" s="163" t="s">
        <v>156</v>
      </c>
      <c r="O1138" s="162"/>
      <c r="P1138" s="163"/>
      <c r="Q1138" s="163"/>
      <c r="R1138" s="163" t="str">
        <f t="shared" ca="1" si="130"/>
        <v/>
      </c>
      <c r="S1138" s="163" t="s">
        <v>129</v>
      </c>
      <c r="T1138" s="164">
        <v>10000</v>
      </c>
      <c r="U1138" s="164"/>
      <c r="V1138" s="162"/>
      <c r="W1138" s="163"/>
      <c r="X1138" s="163"/>
      <c r="Y1138" s="163"/>
      <c r="Z1138" s="163"/>
      <c r="AA1138" s="162"/>
      <c r="AB1138" s="195" t="str">
        <f t="shared" si="129"/>
        <v>Oct-26</v>
      </c>
      <c r="AC1138" s="163"/>
      <c r="AD1138" s="163" t="str">
        <f t="shared" si="131"/>
        <v/>
      </c>
      <c r="AE1138" s="163"/>
    </row>
    <row r="1139" spans="1:31" x14ac:dyDescent="0.35">
      <c r="A1139" s="162">
        <v>46296</v>
      </c>
      <c r="B1139" s="163" t="s">
        <v>125</v>
      </c>
      <c r="C1139" s="163" t="s">
        <v>113</v>
      </c>
      <c r="D1139" s="163" t="s">
        <v>887</v>
      </c>
      <c r="E1139" s="163" t="s">
        <v>106</v>
      </c>
      <c r="F1139" s="163" t="s">
        <v>96</v>
      </c>
      <c r="G1139" s="163" t="s">
        <v>15</v>
      </c>
      <c r="H1139" s="163" t="s">
        <v>97</v>
      </c>
      <c r="I1139" s="163" t="s">
        <v>98</v>
      </c>
      <c r="J1139" s="163" t="s">
        <v>147</v>
      </c>
      <c r="K1139" s="163" t="s">
        <v>525</v>
      </c>
      <c r="L1139" s="163"/>
      <c r="M1139" s="163" t="s">
        <v>390</v>
      </c>
      <c r="N1139" s="163" t="s">
        <v>156</v>
      </c>
      <c r="O1139" s="162"/>
      <c r="P1139" s="163"/>
      <c r="Q1139" s="163"/>
      <c r="R1139" s="163" t="str">
        <f t="shared" ca="1" si="130"/>
        <v/>
      </c>
      <c r="S1139" s="163" t="s">
        <v>129</v>
      </c>
      <c r="T1139" s="164">
        <v>10000</v>
      </c>
      <c r="U1139" s="164"/>
      <c r="V1139" s="163"/>
      <c r="W1139" s="163"/>
      <c r="X1139" s="163"/>
      <c r="Y1139" s="163"/>
      <c r="Z1139" s="163"/>
      <c r="AA1139" s="162"/>
      <c r="AB1139" s="195" t="str">
        <f t="shared" si="129"/>
        <v>Oct-26</v>
      </c>
      <c r="AC1139" s="163"/>
      <c r="AD1139" s="163" t="str">
        <f t="shared" si="131"/>
        <v/>
      </c>
      <c r="AE1139" s="163"/>
    </row>
    <row r="1140" spans="1:31" x14ac:dyDescent="0.35">
      <c r="A1140" s="162">
        <v>46296</v>
      </c>
      <c r="B1140" s="163" t="s">
        <v>125</v>
      </c>
      <c r="C1140" s="163" t="s">
        <v>113</v>
      </c>
      <c r="D1140" s="163" t="s">
        <v>1816</v>
      </c>
      <c r="E1140" s="163" t="s">
        <v>106</v>
      </c>
      <c r="F1140" s="163" t="s">
        <v>226</v>
      </c>
      <c r="G1140" s="163"/>
      <c r="H1140" s="163" t="s">
        <v>226</v>
      </c>
      <c r="I1140" s="163" t="s">
        <v>121</v>
      </c>
      <c r="J1140" s="163" t="s">
        <v>153</v>
      </c>
      <c r="K1140" s="163" t="s">
        <v>227</v>
      </c>
      <c r="L1140" s="163"/>
      <c r="M1140" s="163" t="s">
        <v>1535</v>
      </c>
      <c r="N1140" s="163" t="s">
        <v>156</v>
      </c>
      <c r="O1140" s="162"/>
      <c r="P1140" s="163"/>
      <c r="Q1140" s="163"/>
      <c r="R1140" s="163" t="str">
        <f t="shared" ca="1" si="130"/>
        <v/>
      </c>
      <c r="S1140" s="163" t="s">
        <v>129</v>
      </c>
      <c r="T1140" s="164">
        <v>150000</v>
      </c>
      <c r="U1140" s="164"/>
      <c r="V1140" s="163"/>
      <c r="W1140" s="163"/>
      <c r="X1140" s="163"/>
      <c r="Y1140" s="163"/>
      <c r="Z1140" s="163"/>
      <c r="AA1140" s="162"/>
      <c r="AB1140" s="195" t="str">
        <f t="shared" si="129"/>
        <v>Oct-26</v>
      </c>
      <c r="AC1140" s="163"/>
      <c r="AD1140" s="163" t="str">
        <f t="shared" si="131"/>
        <v/>
      </c>
      <c r="AE1140" s="163"/>
    </row>
    <row r="1141" spans="1:31" x14ac:dyDescent="0.35">
      <c r="A1141" s="162">
        <v>46296</v>
      </c>
      <c r="B1141" s="163" t="s">
        <v>148</v>
      </c>
      <c r="C1141" s="163" t="s">
        <v>113</v>
      </c>
      <c r="D1141" s="163" t="s">
        <v>1817</v>
      </c>
      <c r="E1141" s="163" t="s">
        <v>106</v>
      </c>
      <c r="F1141" s="163" t="s">
        <v>226</v>
      </c>
      <c r="G1141" s="163"/>
      <c r="H1141" s="163" t="s">
        <v>226</v>
      </c>
      <c r="I1141" s="163" t="s">
        <v>121</v>
      </c>
      <c r="J1141" s="163" t="s">
        <v>153</v>
      </c>
      <c r="K1141" s="201" t="s">
        <v>361</v>
      </c>
      <c r="L1141" s="163"/>
      <c r="M1141" s="163" t="s">
        <v>1535</v>
      </c>
      <c r="N1141" s="163" t="s">
        <v>156</v>
      </c>
      <c r="O1141" s="162"/>
      <c r="P1141" s="163"/>
      <c r="Q1141" s="163"/>
      <c r="R1141" s="163" t="str">
        <f t="shared" ca="1" si="130"/>
        <v/>
      </c>
      <c r="S1141" s="163" t="s">
        <v>129</v>
      </c>
      <c r="T1141" s="164">
        <v>150000</v>
      </c>
      <c r="U1141" s="164"/>
      <c r="V1141" s="162"/>
      <c r="W1141" s="163"/>
      <c r="X1141" s="163"/>
      <c r="Y1141" s="163"/>
      <c r="Z1141" s="163"/>
      <c r="AA1141" s="162"/>
      <c r="AB1141" s="195" t="str">
        <f t="shared" si="129"/>
        <v>Oct-26</v>
      </c>
      <c r="AC1141" s="163"/>
      <c r="AD1141" s="163" t="str">
        <f t="shared" si="131"/>
        <v/>
      </c>
      <c r="AE1141" s="163"/>
    </row>
    <row r="1142" spans="1:31" x14ac:dyDescent="0.35">
      <c r="A1142" s="162">
        <v>46296</v>
      </c>
      <c r="B1142" s="163" t="s">
        <v>125</v>
      </c>
      <c r="C1142" s="163" t="s">
        <v>93</v>
      </c>
      <c r="D1142" s="163" t="s">
        <v>19</v>
      </c>
      <c r="E1142" s="163" t="s">
        <v>106</v>
      </c>
      <c r="F1142" s="163" t="s">
        <v>96</v>
      </c>
      <c r="G1142" s="163" t="s">
        <v>10</v>
      </c>
      <c r="H1142" s="163" t="s">
        <v>115</v>
      </c>
      <c r="I1142" s="163" t="s">
        <v>121</v>
      </c>
      <c r="J1142" s="163" t="s">
        <v>99</v>
      </c>
      <c r="K1142" s="163" t="s">
        <v>256</v>
      </c>
      <c r="L1142" s="163"/>
      <c r="M1142" s="163" t="s">
        <v>159</v>
      </c>
      <c r="N1142" s="163" t="s">
        <v>156</v>
      </c>
      <c r="O1142" s="162"/>
      <c r="P1142" s="163"/>
      <c r="Q1142" s="163"/>
      <c r="R1142" s="163" t="str">
        <f t="shared" ca="1" si="130"/>
        <v/>
      </c>
      <c r="S1142" s="163" t="s">
        <v>129</v>
      </c>
      <c r="T1142" s="164">
        <v>600000</v>
      </c>
      <c r="U1142" s="164"/>
      <c r="V1142" s="163"/>
      <c r="W1142" s="163"/>
      <c r="X1142" s="163"/>
      <c r="Y1142" s="163"/>
      <c r="Z1142" s="163"/>
      <c r="AA1142" s="162"/>
      <c r="AB1142" s="195" t="str">
        <f t="shared" si="129"/>
        <v>Oct-26</v>
      </c>
      <c r="AC1142" s="163"/>
      <c r="AD1142" s="163" t="str">
        <f t="shared" si="131"/>
        <v/>
      </c>
      <c r="AE1142" s="163"/>
    </row>
    <row r="1143" spans="1:31" x14ac:dyDescent="0.35">
      <c r="A1143" s="162">
        <v>46296</v>
      </c>
      <c r="B1143" s="163" t="s">
        <v>125</v>
      </c>
      <c r="C1143" s="163" t="s">
        <v>113</v>
      </c>
      <c r="D1143" s="201" t="s">
        <v>391</v>
      </c>
      <c r="E1143" s="163" t="s">
        <v>95</v>
      </c>
      <c r="F1143" s="163" t="s">
        <v>96</v>
      </c>
      <c r="G1143" s="163" t="s">
        <v>11</v>
      </c>
      <c r="H1143" s="163" t="s">
        <v>163</v>
      </c>
      <c r="I1143" s="163" t="s">
        <v>98</v>
      </c>
      <c r="J1143" s="163" t="s">
        <v>147</v>
      </c>
      <c r="K1143" s="201" t="s">
        <v>210</v>
      </c>
      <c r="L1143" s="163"/>
      <c r="M1143" s="163" t="s">
        <v>390</v>
      </c>
      <c r="N1143" s="163" t="s">
        <v>156</v>
      </c>
      <c r="O1143" s="162"/>
      <c r="P1143" s="163"/>
      <c r="Q1143" s="163"/>
      <c r="R1143" s="163" t="str">
        <f t="shared" ca="1" si="130"/>
        <v/>
      </c>
      <c r="S1143" s="163" t="s">
        <v>129</v>
      </c>
      <c r="T1143" s="164">
        <v>30000</v>
      </c>
      <c r="U1143" s="164"/>
      <c r="V1143" s="162"/>
      <c r="W1143" s="163"/>
      <c r="X1143" s="163"/>
      <c r="Y1143" s="163"/>
      <c r="Z1143" s="163"/>
      <c r="AA1143" s="162"/>
      <c r="AB1143" s="195" t="str">
        <f t="shared" si="129"/>
        <v>Oct-26</v>
      </c>
      <c r="AC1143" s="163"/>
      <c r="AD1143" s="163" t="str">
        <f t="shared" si="131"/>
        <v/>
      </c>
      <c r="AE1143" s="163"/>
    </row>
    <row r="1144" spans="1:31" x14ac:dyDescent="0.35">
      <c r="A1144" s="162">
        <v>46296</v>
      </c>
      <c r="B1144" s="163" t="s">
        <v>148</v>
      </c>
      <c r="C1144" s="163" t="s">
        <v>113</v>
      </c>
      <c r="D1144" s="163" t="s">
        <v>1708</v>
      </c>
      <c r="E1144" s="163" t="s">
        <v>106</v>
      </c>
      <c r="F1144" s="163" t="s">
        <v>96</v>
      </c>
      <c r="G1144" s="163" t="s">
        <v>11</v>
      </c>
      <c r="H1144" s="163" t="s">
        <v>163</v>
      </c>
      <c r="I1144" s="163" t="s">
        <v>121</v>
      </c>
      <c r="J1144" s="163" t="s">
        <v>99</v>
      </c>
      <c r="K1144" s="163" t="s">
        <v>878</v>
      </c>
      <c r="L1144" s="163"/>
      <c r="M1144" s="163" t="s">
        <v>1710</v>
      </c>
      <c r="N1144" s="163" t="s">
        <v>156</v>
      </c>
      <c r="O1144" s="162"/>
      <c r="P1144" s="163"/>
      <c r="Q1144" s="163"/>
      <c r="R1144" s="163"/>
      <c r="S1144" s="163" t="s">
        <v>129</v>
      </c>
      <c r="T1144" s="164">
        <v>50000</v>
      </c>
      <c r="U1144" s="164"/>
      <c r="V1144" s="165"/>
      <c r="W1144" s="163"/>
      <c r="X1144" s="163"/>
      <c r="Y1144" s="163"/>
      <c r="Z1144" s="163"/>
      <c r="AA1144" s="162"/>
      <c r="AB1144" s="195" t="str">
        <f t="shared" si="129"/>
        <v>Oct-26</v>
      </c>
      <c r="AC1144" s="163"/>
      <c r="AD1144" s="163" t="str">
        <f t="shared" si="131"/>
        <v/>
      </c>
      <c r="AE1144" s="163"/>
    </row>
    <row r="1145" spans="1:31" x14ac:dyDescent="0.35">
      <c r="A1145" s="162">
        <v>46296</v>
      </c>
      <c r="B1145" s="163" t="s">
        <v>148</v>
      </c>
      <c r="C1145" s="163" t="s">
        <v>1818</v>
      </c>
      <c r="D1145" s="163" t="s">
        <v>1819</v>
      </c>
      <c r="E1145" s="163" t="s">
        <v>95</v>
      </c>
      <c r="F1145" s="163" t="s">
        <v>226</v>
      </c>
      <c r="G1145" s="163"/>
      <c r="H1145" s="163" t="s">
        <v>226</v>
      </c>
      <c r="I1145" s="163" t="s">
        <v>121</v>
      </c>
      <c r="J1145" s="163" t="s">
        <v>99</v>
      </c>
      <c r="K1145" s="163" t="s">
        <v>878</v>
      </c>
      <c r="L1145" s="163"/>
      <c r="M1145" s="163" t="s">
        <v>1710</v>
      </c>
      <c r="N1145" s="163" t="s">
        <v>495</v>
      </c>
      <c r="O1145" s="162"/>
      <c r="P1145" s="163"/>
      <c r="Q1145" s="163"/>
      <c r="R1145" s="163"/>
      <c r="S1145" s="163" t="s">
        <v>129</v>
      </c>
      <c r="T1145" s="164">
        <v>150000</v>
      </c>
      <c r="U1145" s="164"/>
      <c r="V1145" s="165"/>
      <c r="W1145" s="163"/>
      <c r="X1145" s="163"/>
      <c r="Y1145" s="163"/>
      <c r="Z1145" s="163"/>
      <c r="AA1145" s="162"/>
      <c r="AB1145" s="195" t="str">
        <f t="shared" si="129"/>
        <v>Oct-26</v>
      </c>
      <c r="AC1145" s="163"/>
      <c r="AD1145" s="163" t="str">
        <f t="shared" si="131"/>
        <v/>
      </c>
      <c r="AE1145" s="163"/>
    </row>
    <row r="1146" spans="1:31" x14ac:dyDescent="0.35">
      <c r="A1146" s="162">
        <v>46296</v>
      </c>
      <c r="B1146" s="163" t="s">
        <v>92</v>
      </c>
      <c r="C1146" s="163" t="s">
        <v>93</v>
      </c>
      <c r="D1146" s="163" t="s">
        <v>1820</v>
      </c>
      <c r="E1146" s="163" t="s">
        <v>106</v>
      </c>
      <c r="F1146" s="163" t="s">
        <v>115</v>
      </c>
      <c r="G1146" s="163"/>
      <c r="H1146" s="163" t="s">
        <v>115</v>
      </c>
      <c r="I1146" s="163" t="s">
        <v>121</v>
      </c>
      <c r="J1146" s="163" t="s">
        <v>432</v>
      </c>
      <c r="K1146" s="163" t="s">
        <v>100</v>
      </c>
      <c r="L1146" s="163"/>
      <c r="M1146" s="163" t="s">
        <v>1821</v>
      </c>
      <c r="N1146" s="163" t="s">
        <v>495</v>
      </c>
      <c r="O1146" s="162">
        <v>46318</v>
      </c>
      <c r="P1146" s="163" t="s">
        <v>95</v>
      </c>
      <c r="Q1146" s="163"/>
      <c r="R1146" s="163"/>
      <c r="S1146" s="163" t="s">
        <v>103</v>
      </c>
      <c r="T1146" s="164">
        <v>50000</v>
      </c>
      <c r="U1146" s="164"/>
      <c r="V1146" s="165"/>
      <c r="W1146" s="163"/>
      <c r="X1146" s="163"/>
      <c r="Y1146" s="163"/>
      <c r="Z1146" s="163"/>
      <c r="AA1146" s="162"/>
      <c r="AB1146" s="195" t="str">
        <f t="shared" si="129"/>
        <v>Oct-26</v>
      </c>
      <c r="AC1146" s="163"/>
      <c r="AD1146" s="163" t="str">
        <f t="shared" si="131"/>
        <v/>
      </c>
      <c r="AE1146" s="163"/>
    </row>
    <row r="1147" spans="1:31" x14ac:dyDescent="0.3">
      <c r="A1147" s="162">
        <v>46300</v>
      </c>
      <c r="B1147" s="163" t="s">
        <v>148</v>
      </c>
      <c r="C1147" s="163" t="s">
        <v>113</v>
      </c>
      <c r="D1147" s="218" t="s">
        <v>1822</v>
      </c>
      <c r="E1147" s="163" t="s">
        <v>106</v>
      </c>
      <c r="F1147" s="163" t="s">
        <v>115</v>
      </c>
      <c r="G1147" s="163"/>
      <c r="H1147" s="163" t="s">
        <v>115</v>
      </c>
      <c r="I1147" s="163" t="s">
        <v>121</v>
      </c>
      <c r="J1147" s="163" t="s">
        <v>432</v>
      </c>
      <c r="K1147" s="163" t="s">
        <v>1823</v>
      </c>
      <c r="L1147" s="163"/>
      <c r="M1147" s="163" t="s">
        <v>1821</v>
      </c>
      <c r="N1147" s="163" t="s">
        <v>128</v>
      </c>
      <c r="O1147" s="162">
        <v>46351</v>
      </c>
      <c r="P1147" s="163" t="s">
        <v>95</v>
      </c>
      <c r="Q1147" s="163"/>
      <c r="R1147" s="163"/>
      <c r="S1147" s="163" t="s">
        <v>129</v>
      </c>
      <c r="T1147" s="164">
        <v>8500</v>
      </c>
      <c r="U1147" s="164"/>
      <c r="V1147" s="165"/>
      <c r="W1147" s="163"/>
      <c r="X1147" s="163"/>
      <c r="Y1147" s="163"/>
      <c r="Z1147" s="163"/>
      <c r="AA1147" s="162"/>
      <c r="AB1147" s="195"/>
      <c r="AC1147" s="163"/>
      <c r="AD1147" s="163"/>
      <c r="AE1147" s="163"/>
    </row>
    <row r="1148" spans="1:31" x14ac:dyDescent="0.3">
      <c r="A1148" s="162">
        <v>46300</v>
      </c>
      <c r="B1148" s="163" t="s">
        <v>148</v>
      </c>
      <c r="C1148" s="163" t="s">
        <v>113</v>
      </c>
      <c r="D1148" s="219" t="s">
        <v>1824</v>
      </c>
      <c r="E1148" s="163" t="s">
        <v>106</v>
      </c>
      <c r="F1148" s="163" t="s">
        <v>115</v>
      </c>
      <c r="G1148" s="163"/>
      <c r="H1148" s="163" t="s">
        <v>115</v>
      </c>
      <c r="I1148" s="163" t="s">
        <v>121</v>
      </c>
      <c r="J1148" s="163" t="s">
        <v>432</v>
      </c>
      <c r="K1148" s="163" t="s">
        <v>1825</v>
      </c>
      <c r="L1148" s="163"/>
      <c r="M1148" s="163" t="s">
        <v>1821</v>
      </c>
      <c r="N1148" s="163" t="s">
        <v>128</v>
      </c>
      <c r="O1148" s="162">
        <v>46351</v>
      </c>
      <c r="P1148" s="163" t="s">
        <v>95</v>
      </c>
      <c r="Q1148" s="163"/>
      <c r="R1148" s="163"/>
      <c r="S1148" s="163" t="s">
        <v>129</v>
      </c>
      <c r="T1148" s="164">
        <v>10200</v>
      </c>
      <c r="U1148" s="164"/>
      <c r="V1148" s="165"/>
      <c r="W1148" s="163"/>
      <c r="X1148" s="163"/>
      <c r="Y1148" s="163"/>
      <c r="Z1148" s="163"/>
      <c r="AA1148" s="162"/>
      <c r="AB1148" s="195"/>
      <c r="AC1148" s="163"/>
      <c r="AD1148" s="163"/>
      <c r="AE1148" s="163"/>
    </row>
    <row r="1149" spans="1:31" x14ac:dyDescent="0.35">
      <c r="A1149" s="162">
        <v>46296</v>
      </c>
      <c r="B1149" s="163" t="s">
        <v>370</v>
      </c>
      <c r="C1149" s="163" t="s">
        <v>93</v>
      </c>
      <c r="D1149" s="163" t="s">
        <v>1826</v>
      </c>
      <c r="E1149" s="163" t="s">
        <v>106</v>
      </c>
      <c r="F1149" s="163" t="s">
        <v>135</v>
      </c>
      <c r="G1149" s="163"/>
      <c r="H1149" s="163" t="s">
        <v>115</v>
      </c>
      <c r="I1149" s="163" t="s">
        <v>121</v>
      </c>
      <c r="J1149" s="163" t="s">
        <v>432</v>
      </c>
      <c r="K1149" s="163" t="s">
        <v>1053</v>
      </c>
      <c r="L1149" s="163"/>
      <c r="M1149" s="163" t="s">
        <v>1686</v>
      </c>
      <c r="N1149" s="163" t="s">
        <v>495</v>
      </c>
      <c r="O1149" s="162">
        <v>46319</v>
      </c>
      <c r="P1149" s="163" t="s">
        <v>95</v>
      </c>
      <c r="Q1149" s="163"/>
      <c r="R1149" s="163"/>
      <c r="S1149" s="163" t="s">
        <v>103</v>
      </c>
      <c r="T1149" s="164">
        <v>40000</v>
      </c>
      <c r="U1149" s="164"/>
      <c r="V1149" s="165"/>
      <c r="W1149" s="163"/>
      <c r="X1149" s="163"/>
      <c r="Y1149" s="163"/>
      <c r="Z1149" s="163"/>
      <c r="AA1149" s="162"/>
      <c r="AB1149" s="195" t="s">
        <v>24</v>
      </c>
      <c r="AC1149" s="163"/>
      <c r="AD1149" s="163" t="str">
        <f t="shared" si="131"/>
        <v/>
      </c>
      <c r="AE1149" s="163"/>
    </row>
    <row r="1150" spans="1:31" x14ac:dyDescent="0.35">
      <c r="A1150" s="162">
        <v>46296</v>
      </c>
      <c r="B1150" s="163" t="s">
        <v>92</v>
      </c>
      <c r="C1150" s="163" t="s">
        <v>93</v>
      </c>
      <c r="D1150" s="163" t="s">
        <v>1827</v>
      </c>
      <c r="E1150" s="163" t="s">
        <v>106</v>
      </c>
      <c r="F1150" s="163" t="s">
        <v>135</v>
      </c>
      <c r="G1150" s="163"/>
      <c r="H1150" s="163" t="s">
        <v>115</v>
      </c>
      <c r="I1150" s="163" t="s">
        <v>121</v>
      </c>
      <c r="J1150" s="163" t="s">
        <v>178</v>
      </c>
      <c r="K1150" s="163" t="s">
        <v>758</v>
      </c>
      <c r="L1150" s="163"/>
      <c r="M1150" s="163" t="s">
        <v>1686</v>
      </c>
      <c r="N1150" s="163" t="s">
        <v>130</v>
      </c>
      <c r="O1150" s="162">
        <v>46320</v>
      </c>
      <c r="P1150" s="163" t="s">
        <v>95</v>
      </c>
      <c r="Q1150" s="163"/>
      <c r="R1150" s="163"/>
      <c r="S1150" s="163" t="s">
        <v>129</v>
      </c>
      <c r="T1150" s="164">
        <v>45000</v>
      </c>
      <c r="U1150" s="164"/>
      <c r="V1150" s="165"/>
      <c r="W1150" s="163"/>
      <c r="X1150" s="163"/>
      <c r="Y1150" s="163"/>
      <c r="Z1150" s="163"/>
      <c r="AA1150" s="162"/>
      <c r="AB1150" s="195" t="s">
        <v>24</v>
      </c>
      <c r="AC1150" s="163"/>
      <c r="AD1150" s="163" t="str">
        <f t="shared" si="131"/>
        <v/>
      </c>
      <c r="AE1150" s="163"/>
    </row>
    <row r="1151" spans="1:31" x14ac:dyDescent="0.35">
      <c r="A1151" s="162">
        <v>46296</v>
      </c>
      <c r="B1151" s="163" t="s">
        <v>370</v>
      </c>
      <c r="C1151" s="163" t="s">
        <v>93</v>
      </c>
      <c r="D1151" s="163" t="s">
        <v>1828</v>
      </c>
      <c r="E1151" s="163" t="s">
        <v>106</v>
      </c>
      <c r="F1151" s="163" t="s">
        <v>135</v>
      </c>
      <c r="G1151" s="163"/>
      <c r="H1151" s="163" t="s">
        <v>115</v>
      </c>
      <c r="I1151" s="163" t="s">
        <v>121</v>
      </c>
      <c r="J1151" s="163" t="s">
        <v>923</v>
      </c>
      <c r="K1151" s="163" t="s">
        <v>645</v>
      </c>
      <c r="L1151" s="163"/>
      <c r="M1151" s="163" t="s">
        <v>1821</v>
      </c>
      <c r="N1151" s="163" t="s">
        <v>130</v>
      </c>
      <c r="O1151" s="162"/>
      <c r="P1151" s="163"/>
      <c r="Q1151" s="163"/>
      <c r="R1151" s="163"/>
      <c r="S1151" s="163" t="s">
        <v>129</v>
      </c>
      <c r="T1151" s="164">
        <v>50000</v>
      </c>
      <c r="U1151" s="164"/>
      <c r="V1151" s="165"/>
      <c r="W1151" s="163"/>
      <c r="X1151" s="163"/>
      <c r="Y1151" s="163"/>
      <c r="Z1151" s="163"/>
      <c r="AA1151" s="162"/>
      <c r="AB1151" s="195" t="s">
        <v>24</v>
      </c>
      <c r="AC1151" s="163"/>
      <c r="AD1151" s="163" t="str">
        <f t="shared" si="131"/>
        <v/>
      </c>
      <c r="AE1151" s="163"/>
    </row>
    <row r="1152" spans="1:31" x14ac:dyDescent="0.35">
      <c r="A1152" s="162">
        <v>46299</v>
      </c>
      <c r="B1152" s="163" t="s">
        <v>370</v>
      </c>
      <c r="C1152" s="163" t="s">
        <v>93</v>
      </c>
      <c r="D1152" s="163" t="s">
        <v>689</v>
      </c>
      <c r="E1152" s="163" t="s">
        <v>106</v>
      </c>
      <c r="F1152" s="163" t="s">
        <v>135</v>
      </c>
      <c r="G1152" s="163"/>
      <c r="H1152" s="163" t="s">
        <v>115</v>
      </c>
      <c r="I1152" s="163" t="s">
        <v>121</v>
      </c>
      <c r="J1152" s="163" t="s">
        <v>136</v>
      </c>
      <c r="K1152" s="163"/>
      <c r="L1152" s="163"/>
      <c r="M1152" s="163" t="s">
        <v>159</v>
      </c>
      <c r="N1152" s="163" t="s">
        <v>102</v>
      </c>
      <c r="O1152" s="162"/>
      <c r="P1152" s="163"/>
      <c r="Q1152" s="163"/>
      <c r="R1152" s="163"/>
      <c r="S1152" s="163" t="s">
        <v>103</v>
      </c>
      <c r="T1152" s="164">
        <v>15000</v>
      </c>
      <c r="U1152" s="164">
        <v>8296</v>
      </c>
      <c r="V1152" s="165">
        <v>46299</v>
      </c>
      <c r="W1152" s="163" t="s">
        <v>1829</v>
      </c>
      <c r="X1152" s="163" t="s">
        <v>31</v>
      </c>
      <c r="Y1152" s="163" t="s">
        <v>161</v>
      </c>
      <c r="Z1152" s="163"/>
      <c r="AA1152" s="162">
        <v>46299</v>
      </c>
      <c r="AB1152" s="195" t="s">
        <v>24</v>
      </c>
      <c r="AC1152" s="163"/>
      <c r="AD1152" s="163" t="str">
        <f t="shared" si="131"/>
        <v/>
      </c>
      <c r="AE1152" s="163" t="s">
        <v>270</v>
      </c>
    </row>
    <row r="1153" spans="1:31" x14ac:dyDescent="0.35">
      <c r="A1153" s="162">
        <v>46300</v>
      </c>
      <c r="B1153" s="163" t="s">
        <v>370</v>
      </c>
      <c r="C1153" s="163" t="s">
        <v>93</v>
      </c>
      <c r="D1153" s="163" t="s">
        <v>1830</v>
      </c>
      <c r="E1153" s="163" t="s">
        <v>106</v>
      </c>
      <c r="F1153" s="163" t="s">
        <v>135</v>
      </c>
      <c r="G1153" s="163"/>
      <c r="H1153" s="163" t="s">
        <v>115</v>
      </c>
      <c r="I1153" s="163" t="s">
        <v>121</v>
      </c>
      <c r="J1153" s="163" t="s">
        <v>923</v>
      </c>
      <c r="K1153" s="163" t="s">
        <v>755</v>
      </c>
      <c r="L1153" s="163"/>
      <c r="M1153" s="163" t="s">
        <v>1821</v>
      </c>
      <c r="N1153" s="163" t="s">
        <v>495</v>
      </c>
      <c r="O1153" s="162">
        <v>46319</v>
      </c>
      <c r="P1153" s="163" t="s">
        <v>95</v>
      </c>
      <c r="Q1153" s="163"/>
      <c r="R1153" s="163"/>
      <c r="S1153" s="163" t="s">
        <v>129</v>
      </c>
      <c r="T1153" s="164">
        <v>110000</v>
      </c>
      <c r="U1153" s="164"/>
      <c r="V1153" s="165"/>
      <c r="W1153" s="163"/>
      <c r="X1153" s="163"/>
      <c r="Y1153" s="163"/>
      <c r="Z1153" s="163"/>
      <c r="AA1153" s="162"/>
      <c r="AB1153" s="195" t="s">
        <v>24</v>
      </c>
      <c r="AC1153" s="163"/>
      <c r="AD1153" s="163"/>
      <c r="AE1153" s="163"/>
    </row>
    <row r="1154" spans="1:31" x14ac:dyDescent="0.35">
      <c r="A1154" s="162">
        <v>46300</v>
      </c>
      <c r="B1154" s="163" t="s">
        <v>370</v>
      </c>
      <c r="C1154" s="163" t="s">
        <v>93</v>
      </c>
      <c r="D1154" s="163" t="s">
        <v>1831</v>
      </c>
      <c r="E1154" s="163" t="s">
        <v>106</v>
      </c>
      <c r="F1154" s="163" t="s">
        <v>135</v>
      </c>
      <c r="G1154" s="163"/>
      <c r="H1154" s="163" t="s">
        <v>115</v>
      </c>
      <c r="I1154" s="163" t="s">
        <v>121</v>
      </c>
      <c r="J1154" s="163" t="s">
        <v>698</v>
      </c>
      <c r="K1154" s="163" t="s">
        <v>1832</v>
      </c>
      <c r="L1154" s="163"/>
      <c r="M1154" s="163" t="s">
        <v>1821</v>
      </c>
      <c r="N1154" s="163" t="s">
        <v>495</v>
      </c>
      <c r="O1154" s="162">
        <v>46321</v>
      </c>
      <c r="P1154" s="163" t="s">
        <v>95</v>
      </c>
      <c r="Q1154" s="163"/>
      <c r="R1154" s="163"/>
      <c r="S1154" s="163" t="s">
        <v>129</v>
      </c>
      <c r="T1154" s="164">
        <v>60000</v>
      </c>
      <c r="U1154" s="164"/>
      <c r="V1154" s="165"/>
      <c r="W1154" s="163"/>
      <c r="X1154" s="163"/>
      <c r="Y1154" s="163"/>
      <c r="Z1154" s="163"/>
      <c r="AA1154" s="162"/>
      <c r="AB1154" s="195" t="s">
        <v>24</v>
      </c>
      <c r="AC1154" s="163"/>
      <c r="AD1154" s="163"/>
      <c r="AE1154" s="163"/>
    </row>
    <row r="1155" spans="1:31" x14ac:dyDescent="0.35">
      <c r="A1155" s="162">
        <v>46300</v>
      </c>
      <c r="B1155" s="163" t="s">
        <v>370</v>
      </c>
      <c r="C1155" s="163" t="s">
        <v>93</v>
      </c>
      <c r="D1155" s="163" t="s">
        <v>646</v>
      </c>
      <c r="E1155" s="163" t="s">
        <v>106</v>
      </c>
      <c r="F1155" s="163" t="s">
        <v>135</v>
      </c>
      <c r="G1155" s="163"/>
      <c r="H1155" s="163" t="s">
        <v>115</v>
      </c>
      <c r="I1155" s="163" t="s">
        <v>121</v>
      </c>
      <c r="J1155" s="163" t="s">
        <v>438</v>
      </c>
      <c r="K1155" s="163" t="s">
        <v>647</v>
      </c>
      <c r="L1155" s="163"/>
      <c r="M1155" s="163" t="s">
        <v>1686</v>
      </c>
      <c r="N1155" s="163" t="s">
        <v>130</v>
      </c>
      <c r="O1155" s="162">
        <v>46318</v>
      </c>
      <c r="P1155" s="163" t="s">
        <v>95</v>
      </c>
      <c r="Q1155" s="163"/>
      <c r="R1155" s="163"/>
      <c r="S1155" s="163" t="s">
        <v>129</v>
      </c>
      <c r="T1155" s="164">
        <v>40000</v>
      </c>
      <c r="U1155" s="164"/>
      <c r="V1155" s="165"/>
      <c r="W1155" s="163"/>
      <c r="X1155" s="163"/>
      <c r="Y1155" s="163"/>
      <c r="Z1155" s="163"/>
      <c r="AA1155" s="162"/>
      <c r="AB1155" s="195" t="s">
        <v>24</v>
      </c>
      <c r="AC1155" s="163"/>
      <c r="AD1155" s="163"/>
      <c r="AE1155" s="163"/>
    </row>
    <row r="1156" spans="1:31" x14ac:dyDescent="0.35">
      <c r="A1156" s="162">
        <v>46300</v>
      </c>
      <c r="B1156" s="163" t="s">
        <v>370</v>
      </c>
      <c r="C1156" s="163" t="s">
        <v>93</v>
      </c>
      <c r="D1156" s="163" t="s">
        <v>1833</v>
      </c>
      <c r="E1156" s="163" t="s">
        <v>106</v>
      </c>
      <c r="F1156" s="163" t="s">
        <v>135</v>
      </c>
      <c r="G1156" s="163"/>
      <c r="H1156" s="163" t="s">
        <v>115</v>
      </c>
      <c r="I1156" s="163" t="s">
        <v>121</v>
      </c>
      <c r="J1156" s="163" t="s">
        <v>178</v>
      </c>
      <c r="K1156" s="163" t="s">
        <v>913</v>
      </c>
      <c r="L1156" s="163"/>
      <c r="M1156" s="163" t="s">
        <v>1821</v>
      </c>
      <c r="N1156" s="163" t="s">
        <v>130</v>
      </c>
      <c r="O1156" s="162">
        <v>46324</v>
      </c>
      <c r="P1156" s="163" t="s">
        <v>95</v>
      </c>
      <c r="Q1156" s="163"/>
      <c r="R1156" s="163"/>
      <c r="S1156" s="163" t="s">
        <v>129</v>
      </c>
      <c r="T1156" s="164">
        <v>20000</v>
      </c>
      <c r="U1156" s="164"/>
      <c r="V1156" s="165"/>
      <c r="W1156" s="163"/>
      <c r="X1156" s="163"/>
      <c r="Y1156" s="163"/>
      <c r="Z1156" s="163"/>
      <c r="AA1156" s="162"/>
      <c r="AB1156" s="195" t="s">
        <v>24</v>
      </c>
      <c r="AC1156" s="163"/>
      <c r="AD1156" s="163"/>
      <c r="AE1156" s="163"/>
    </row>
    <row r="1157" spans="1:31" x14ac:dyDescent="0.35">
      <c r="A1157" s="162">
        <v>46301</v>
      </c>
      <c r="B1157" s="163" t="s">
        <v>370</v>
      </c>
      <c r="C1157" s="163" t="s">
        <v>93</v>
      </c>
      <c r="D1157" s="163" t="s">
        <v>1834</v>
      </c>
      <c r="E1157" s="163" t="s">
        <v>106</v>
      </c>
      <c r="F1157" s="163" t="s">
        <v>135</v>
      </c>
      <c r="G1157" s="163"/>
      <c r="H1157" s="163" t="s">
        <v>115</v>
      </c>
      <c r="I1157" s="163" t="s">
        <v>121</v>
      </c>
      <c r="J1157" s="163" t="s">
        <v>356</v>
      </c>
      <c r="K1157" s="163" t="s">
        <v>475</v>
      </c>
      <c r="L1157" s="163"/>
      <c r="M1157" s="163" t="s">
        <v>1686</v>
      </c>
      <c r="N1157" s="163" t="s">
        <v>130</v>
      </c>
      <c r="O1157" s="162">
        <v>46318</v>
      </c>
      <c r="P1157" s="163" t="s">
        <v>95</v>
      </c>
      <c r="Q1157" s="163"/>
      <c r="R1157" s="163"/>
      <c r="S1157" s="163" t="s">
        <v>133</v>
      </c>
      <c r="T1157" s="164">
        <v>25000</v>
      </c>
      <c r="U1157" s="164"/>
      <c r="V1157" s="165"/>
      <c r="W1157" s="163"/>
      <c r="X1157" s="163"/>
      <c r="Y1157" s="163"/>
      <c r="Z1157" s="163"/>
      <c r="AA1157" s="162"/>
      <c r="AB1157" s="195" t="s">
        <v>24</v>
      </c>
      <c r="AC1157" s="163"/>
      <c r="AD1157" s="163"/>
      <c r="AE1157" s="163"/>
    </row>
    <row r="1158" spans="1:31" x14ac:dyDescent="0.35">
      <c r="A1158" s="162">
        <v>46301</v>
      </c>
      <c r="B1158" s="163" t="s">
        <v>370</v>
      </c>
      <c r="C1158" s="163" t="s">
        <v>93</v>
      </c>
      <c r="D1158" s="163" t="s">
        <v>1738</v>
      </c>
      <c r="E1158" s="163" t="s">
        <v>106</v>
      </c>
      <c r="F1158" s="163" t="s">
        <v>135</v>
      </c>
      <c r="G1158" s="163"/>
      <c r="H1158" s="163" t="s">
        <v>115</v>
      </c>
      <c r="I1158" s="163" t="s">
        <v>121</v>
      </c>
      <c r="J1158" s="163" t="s">
        <v>438</v>
      </c>
      <c r="K1158" s="163" t="s">
        <v>1127</v>
      </c>
      <c r="L1158" s="163"/>
      <c r="M1158" s="163" t="s">
        <v>1821</v>
      </c>
      <c r="N1158" s="163" t="s">
        <v>128</v>
      </c>
      <c r="O1158" s="162">
        <v>46320</v>
      </c>
      <c r="P1158" s="163" t="s">
        <v>95</v>
      </c>
      <c r="Q1158" s="163"/>
      <c r="R1158" s="163"/>
      <c r="S1158" s="163" t="s">
        <v>129</v>
      </c>
      <c r="T1158" s="164">
        <v>30000</v>
      </c>
      <c r="U1158" s="164"/>
      <c r="V1158" s="165"/>
      <c r="W1158" s="163"/>
      <c r="X1158" s="163"/>
      <c r="Y1158" s="163"/>
      <c r="Z1158" s="163"/>
      <c r="AA1158" s="162"/>
      <c r="AB1158" s="195" t="s">
        <v>24</v>
      </c>
      <c r="AC1158" s="163"/>
      <c r="AD1158" s="163"/>
      <c r="AE1158" s="163"/>
    </row>
    <row r="1159" spans="1:31" x14ac:dyDescent="0.35">
      <c r="A1159" s="162">
        <v>46301</v>
      </c>
      <c r="B1159" s="163" t="s">
        <v>370</v>
      </c>
      <c r="C1159" s="163" t="s">
        <v>93</v>
      </c>
      <c r="D1159" s="163" t="s">
        <v>1835</v>
      </c>
      <c r="E1159" s="163" t="s">
        <v>106</v>
      </c>
      <c r="F1159" s="163" t="s">
        <v>135</v>
      </c>
      <c r="G1159" s="163"/>
      <c r="H1159" s="163" t="s">
        <v>115</v>
      </c>
      <c r="I1159" s="163" t="s">
        <v>121</v>
      </c>
      <c r="J1159" s="163" t="s">
        <v>147</v>
      </c>
      <c r="K1159" s="163" t="s">
        <v>1836</v>
      </c>
      <c r="L1159" s="163"/>
      <c r="M1159" s="163" t="s">
        <v>1821</v>
      </c>
      <c r="N1159" s="163" t="s">
        <v>495</v>
      </c>
      <c r="O1159" s="162">
        <v>46321</v>
      </c>
      <c r="P1159" s="163" t="s">
        <v>95</v>
      </c>
      <c r="Q1159" s="163"/>
      <c r="R1159" s="163"/>
      <c r="S1159" s="163" t="s">
        <v>129</v>
      </c>
      <c r="T1159" s="164">
        <v>50000</v>
      </c>
      <c r="U1159" s="164"/>
      <c r="V1159" s="165"/>
      <c r="W1159" s="163"/>
      <c r="X1159" s="163"/>
      <c r="Y1159" s="163"/>
      <c r="Z1159" s="163"/>
      <c r="AA1159" s="162"/>
      <c r="AB1159" s="195" t="s">
        <v>24</v>
      </c>
      <c r="AC1159" s="163"/>
      <c r="AD1159" s="163"/>
      <c r="AE1159" s="163"/>
    </row>
    <row r="1160" spans="1:31" x14ac:dyDescent="0.35">
      <c r="A1160" s="162">
        <v>46301</v>
      </c>
      <c r="B1160" s="163" t="s">
        <v>370</v>
      </c>
      <c r="C1160" s="163" t="s">
        <v>93</v>
      </c>
      <c r="D1160" s="163" t="s">
        <v>1837</v>
      </c>
      <c r="E1160" s="163" t="s">
        <v>106</v>
      </c>
      <c r="F1160" s="163" t="s">
        <v>135</v>
      </c>
      <c r="G1160" s="163"/>
      <c r="H1160" s="163" t="s">
        <v>115</v>
      </c>
      <c r="I1160" s="163" t="s">
        <v>121</v>
      </c>
      <c r="J1160" s="163" t="s">
        <v>432</v>
      </c>
      <c r="K1160" s="163" t="s">
        <v>1838</v>
      </c>
      <c r="L1160" s="163"/>
      <c r="M1160" s="163" t="s">
        <v>1821</v>
      </c>
      <c r="N1160" s="163" t="s">
        <v>495</v>
      </c>
      <c r="O1160" s="162">
        <v>46324</v>
      </c>
      <c r="P1160" s="163" t="s">
        <v>95</v>
      </c>
      <c r="Q1160" s="163"/>
      <c r="R1160" s="163"/>
      <c r="S1160" s="163" t="s">
        <v>129</v>
      </c>
      <c r="T1160" s="164">
        <v>20000</v>
      </c>
      <c r="U1160" s="164"/>
      <c r="V1160" s="165"/>
      <c r="W1160" s="163"/>
      <c r="X1160" s="163"/>
      <c r="Y1160" s="163"/>
      <c r="Z1160" s="163"/>
      <c r="AA1160" s="162"/>
      <c r="AB1160" s="195" t="s">
        <v>24</v>
      </c>
      <c r="AC1160" s="163"/>
      <c r="AD1160" s="163"/>
      <c r="AE1160" s="163"/>
    </row>
    <row r="1161" spans="1:31" x14ac:dyDescent="0.35">
      <c r="A1161" s="162">
        <v>46302</v>
      </c>
      <c r="B1161" s="163" t="s">
        <v>370</v>
      </c>
      <c r="C1161" s="163" t="s">
        <v>93</v>
      </c>
      <c r="D1161" s="163" t="s">
        <v>19</v>
      </c>
      <c r="E1161" s="163" t="s">
        <v>95</v>
      </c>
      <c r="F1161" s="163" t="s">
        <v>96</v>
      </c>
      <c r="G1161" s="163" t="s">
        <v>10</v>
      </c>
      <c r="H1161" s="163" t="s">
        <v>115</v>
      </c>
      <c r="I1161" s="163" t="s">
        <v>121</v>
      </c>
      <c r="J1161" s="163" t="s">
        <v>99</v>
      </c>
      <c r="K1161" s="163" t="s">
        <v>256</v>
      </c>
      <c r="L1161" s="163"/>
      <c r="M1161" s="163" t="s">
        <v>159</v>
      </c>
      <c r="N1161" s="163" t="s">
        <v>102</v>
      </c>
      <c r="O1161" s="162"/>
      <c r="P1161" s="163"/>
      <c r="Q1161" s="163"/>
      <c r="R1161" s="163" t="str">
        <f ca="1">IF(OR(N1161="Closed( C4 )",N1161="Cancelled"),"",IF(AND(O1161&lt;&gt;"",O1161&lt;TODAY()),"Yes",""))</f>
        <v/>
      </c>
      <c r="S1161" s="163" t="s">
        <v>103</v>
      </c>
      <c r="T1161" s="164">
        <v>100000</v>
      </c>
      <c r="U1161" s="164">
        <v>208950</v>
      </c>
      <c r="V1161" s="165">
        <v>46302</v>
      </c>
      <c r="W1161" s="163"/>
      <c r="X1161" s="163" t="s">
        <v>57</v>
      </c>
      <c r="Y1161" s="163" t="s">
        <v>1017</v>
      </c>
      <c r="Z1161" s="163"/>
      <c r="AA1161" s="162"/>
      <c r="AB1161" s="195" t="str">
        <f t="shared" ref="AB1161:AB1162" si="132">IF($V1161="",TEXT($A1161,"MMM-YY"),TEXT($V1161,"MMM-YY"))</f>
        <v>Oct-26</v>
      </c>
      <c r="AC1161" s="163"/>
      <c r="AD1161" s="163" t="str">
        <f t="shared" ref="AD1161:AD1162" si="133">IF(AC1161="Yes",U1161*2%,"")</f>
        <v/>
      </c>
      <c r="AE1161" s="163"/>
    </row>
    <row r="1162" spans="1:31" x14ac:dyDescent="0.35">
      <c r="A1162" s="162">
        <v>46302</v>
      </c>
      <c r="B1162" s="163" t="s">
        <v>125</v>
      </c>
      <c r="C1162" s="163" t="s">
        <v>93</v>
      </c>
      <c r="D1162" s="163" t="s">
        <v>19</v>
      </c>
      <c r="E1162" s="163" t="s">
        <v>95</v>
      </c>
      <c r="F1162" s="163" t="s">
        <v>96</v>
      </c>
      <c r="G1162" s="163" t="s">
        <v>10</v>
      </c>
      <c r="H1162" s="163" t="s">
        <v>115</v>
      </c>
      <c r="I1162" s="163" t="s">
        <v>121</v>
      </c>
      <c r="J1162" s="163" t="s">
        <v>99</v>
      </c>
      <c r="K1162" s="163" t="s">
        <v>256</v>
      </c>
      <c r="L1162" s="163"/>
      <c r="M1162" s="163" t="s">
        <v>159</v>
      </c>
      <c r="N1162" s="163" t="s">
        <v>102</v>
      </c>
      <c r="O1162" s="162"/>
      <c r="P1162" s="163"/>
      <c r="Q1162" s="163"/>
      <c r="R1162" s="163" t="str">
        <f ca="1">IF(OR(N1162="Closed( C4 )",N1162="Cancelled"),"",IF(AND(O1162&lt;&gt;"",O1162&lt;TODAY()),"Yes",""))</f>
        <v/>
      </c>
      <c r="S1162" s="163" t="s">
        <v>103</v>
      </c>
      <c r="T1162" s="164">
        <v>100000</v>
      </c>
      <c r="U1162" s="164">
        <v>208950</v>
      </c>
      <c r="V1162" s="165">
        <v>46302</v>
      </c>
      <c r="W1162" s="163"/>
      <c r="X1162" s="163" t="s">
        <v>57</v>
      </c>
      <c r="Y1162" s="163" t="s">
        <v>1017</v>
      </c>
      <c r="Z1162" s="163"/>
      <c r="AA1162" s="162"/>
      <c r="AB1162" s="195" t="str">
        <f t="shared" si="132"/>
        <v>Oct-26</v>
      </c>
      <c r="AC1162" s="163"/>
      <c r="AD1162" s="163" t="str">
        <f t="shared" si="133"/>
        <v/>
      </c>
      <c r="AE1162" s="163"/>
    </row>
    <row r="1163" spans="1:31" x14ac:dyDescent="0.35">
      <c r="A1163" s="162">
        <v>46303</v>
      </c>
      <c r="B1163" s="163" t="s">
        <v>370</v>
      </c>
      <c r="C1163" s="163" t="s">
        <v>93</v>
      </c>
      <c r="D1163" s="163" t="s">
        <v>1839</v>
      </c>
      <c r="E1163" s="163" t="s">
        <v>106</v>
      </c>
      <c r="F1163" s="163" t="s">
        <v>135</v>
      </c>
      <c r="G1163" s="163"/>
      <c r="H1163" s="163" t="s">
        <v>115</v>
      </c>
      <c r="I1163" s="163" t="s">
        <v>121</v>
      </c>
      <c r="J1163" s="163" t="s">
        <v>356</v>
      </c>
      <c r="K1163" s="163" t="s">
        <v>501</v>
      </c>
      <c r="L1163" s="163"/>
      <c r="M1163" s="163" t="s">
        <v>159</v>
      </c>
      <c r="N1163" s="163" t="s">
        <v>102</v>
      </c>
      <c r="O1163" s="162"/>
      <c r="P1163" s="163"/>
      <c r="Q1163" s="163"/>
      <c r="R1163" s="163"/>
      <c r="S1163" s="163" t="s">
        <v>103</v>
      </c>
      <c r="T1163" s="164">
        <v>20000</v>
      </c>
      <c r="U1163" s="164">
        <v>7709</v>
      </c>
      <c r="V1163" s="165">
        <v>46303</v>
      </c>
      <c r="W1163" s="163" t="s">
        <v>1840</v>
      </c>
      <c r="X1163" s="163" t="s">
        <v>56</v>
      </c>
      <c r="Y1163" s="163" t="s">
        <v>161</v>
      </c>
      <c r="Z1163" s="163"/>
      <c r="AA1163" s="162">
        <v>46303</v>
      </c>
      <c r="AB1163" s="195" t="s">
        <v>24</v>
      </c>
      <c r="AC1163" s="163"/>
      <c r="AD1163" s="163" t="str">
        <f t="shared" si="131"/>
        <v/>
      </c>
      <c r="AE1163" s="163" t="s">
        <v>270</v>
      </c>
    </row>
    <row r="1164" spans="1:31" x14ac:dyDescent="0.35">
      <c r="A1164" s="162">
        <v>46303</v>
      </c>
      <c r="B1164" s="163" t="s">
        <v>92</v>
      </c>
      <c r="C1164" s="163" t="s">
        <v>93</v>
      </c>
      <c r="D1164" s="163" t="s">
        <v>1841</v>
      </c>
      <c r="E1164" s="163" t="s">
        <v>106</v>
      </c>
      <c r="F1164" s="163" t="s">
        <v>135</v>
      </c>
      <c r="G1164" s="163"/>
      <c r="H1164" s="163" t="s">
        <v>115</v>
      </c>
      <c r="I1164" s="163" t="s">
        <v>121</v>
      </c>
      <c r="J1164" s="163" t="s">
        <v>432</v>
      </c>
      <c r="K1164" s="163" t="s">
        <v>556</v>
      </c>
      <c r="L1164" s="163"/>
      <c r="M1164" s="163" t="s">
        <v>1842</v>
      </c>
      <c r="N1164" s="163" t="s">
        <v>102</v>
      </c>
      <c r="O1164" s="162"/>
      <c r="P1164" s="163"/>
      <c r="Q1164" s="163"/>
      <c r="R1164" s="163"/>
      <c r="S1164" s="163" t="s">
        <v>103</v>
      </c>
      <c r="T1164" s="164">
        <v>0</v>
      </c>
      <c r="U1164" s="164">
        <v>0</v>
      </c>
      <c r="V1164" s="165"/>
      <c r="W1164" s="163"/>
      <c r="X1164" s="163" t="s">
        <v>56</v>
      </c>
      <c r="Y1164" s="163"/>
      <c r="Z1164" s="163"/>
      <c r="AA1164" s="162"/>
      <c r="AB1164" s="195" t="s">
        <v>24</v>
      </c>
      <c r="AC1164" s="163"/>
      <c r="AD1164" s="163"/>
      <c r="AE1164" s="163"/>
    </row>
    <row r="1165" spans="1:31" x14ac:dyDescent="0.35">
      <c r="A1165" s="162">
        <v>46304</v>
      </c>
      <c r="B1165" s="163" t="s">
        <v>370</v>
      </c>
      <c r="C1165" s="163" t="s">
        <v>93</v>
      </c>
      <c r="D1165" s="163" t="s">
        <v>689</v>
      </c>
      <c r="E1165" s="163" t="s">
        <v>106</v>
      </c>
      <c r="F1165" s="163" t="s">
        <v>135</v>
      </c>
      <c r="G1165" s="163"/>
      <c r="H1165" s="163" t="s">
        <v>115</v>
      </c>
      <c r="I1165" s="163" t="s">
        <v>121</v>
      </c>
      <c r="J1165" s="163" t="s">
        <v>136</v>
      </c>
      <c r="K1165" s="163" t="s">
        <v>423</v>
      </c>
      <c r="L1165" s="163"/>
      <c r="M1165" s="163" t="s">
        <v>159</v>
      </c>
      <c r="N1165" s="163" t="s">
        <v>102</v>
      </c>
      <c r="O1165" s="162"/>
      <c r="P1165" s="163"/>
      <c r="Q1165" s="163"/>
      <c r="R1165" s="163"/>
      <c r="S1165" s="163" t="s">
        <v>103</v>
      </c>
      <c r="T1165" s="164">
        <v>15000</v>
      </c>
      <c r="U1165" s="164">
        <v>6966</v>
      </c>
      <c r="V1165" s="165">
        <v>46305</v>
      </c>
      <c r="W1165" s="163" t="s">
        <v>1843</v>
      </c>
      <c r="X1165" s="163" t="s">
        <v>61</v>
      </c>
      <c r="Y1165" s="163" t="s">
        <v>161</v>
      </c>
      <c r="Z1165" s="163"/>
      <c r="AA1165" s="162">
        <v>46305</v>
      </c>
      <c r="AB1165" s="195" t="s">
        <v>24</v>
      </c>
      <c r="AC1165" s="163"/>
      <c r="AD1165" s="163" t="str">
        <f t="shared" si="131"/>
        <v/>
      </c>
      <c r="AE1165" s="163" t="s">
        <v>270</v>
      </c>
    </row>
    <row r="1166" spans="1:31" x14ac:dyDescent="0.3">
      <c r="A1166" s="162">
        <v>46304</v>
      </c>
      <c r="B1166" s="163" t="s">
        <v>148</v>
      </c>
      <c r="C1166" s="163" t="s">
        <v>113</v>
      </c>
      <c r="D1166" s="219" t="s">
        <v>1557</v>
      </c>
      <c r="E1166" s="163" t="s">
        <v>106</v>
      </c>
      <c r="F1166" s="163" t="s">
        <v>135</v>
      </c>
      <c r="G1166" s="163"/>
      <c r="H1166" s="163" t="s">
        <v>115</v>
      </c>
      <c r="I1166" s="163" t="s">
        <v>121</v>
      </c>
      <c r="J1166" s="163" t="s">
        <v>378</v>
      </c>
      <c r="K1166" s="163" t="s">
        <v>1558</v>
      </c>
      <c r="L1166" s="163"/>
      <c r="M1166" s="163" t="s">
        <v>1821</v>
      </c>
      <c r="N1166" s="163" t="s">
        <v>495</v>
      </c>
      <c r="O1166" s="162">
        <v>46346</v>
      </c>
      <c r="P1166" s="163" t="s">
        <v>95</v>
      </c>
      <c r="Q1166" s="163"/>
      <c r="R1166" s="163"/>
      <c r="S1166" s="163" t="s">
        <v>129</v>
      </c>
      <c r="T1166" s="164"/>
      <c r="U1166" s="164"/>
      <c r="V1166" s="165"/>
      <c r="W1166" s="163"/>
      <c r="X1166" s="163"/>
      <c r="Y1166" s="163"/>
      <c r="Z1166" s="163"/>
      <c r="AA1166" s="162"/>
      <c r="AB1166" s="195"/>
      <c r="AC1166" s="163"/>
      <c r="AD1166" s="163"/>
      <c r="AE1166" s="163"/>
    </row>
    <row r="1167" spans="1:31" x14ac:dyDescent="0.3">
      <c r="A1167" s="162">
        <v>46304</v>
      </c>
      <c r="B1167" s="163" t="s">
        <v>148</v>
      </c>
      <c r="C1167" s="163" t="s">
        <v>113</v>
      </c>
      <c r="D1167" s="219" t="s">
        <v>1844</v>
      </c>
      <c r="E1167" s="163" t="s">
        <v>106</v>
      </c>
      <c r="F1167" s="163" t="s">
        <v>135</v>
      </c>
      <c r="G1167" s="163"/>
      <c r="H1167" s="163" t="s">
        <v>115</v>
      </c>
      <c r="I1167" s="163" t="s">
        <v>121</v>
      </c>
      <c r="J1167" s="163" t="s">
        <v>356</v>
      </c>
      <c r="K1167" s="163" t="s">
        <v>1845</v>
      </c>
      <c r="L1167" s="163"/>
      <c r="M1167" s="163" t="s">
        <v>1821</v>
      </c>
      <c r="N1167" s="163" t="s">
        <v>495</v>
      </c>
      <c r="O1167" s="162">
        <v>46349</v>
      </c>
      <c r="P1167" s="163" t="s">
        <v>95</v>
      </c>
      <c r="Q1167" s="163"/>
      <c r="R1167" s="163"/>
      <c r="S1167" s="163" t="s">
        <v>129</v>
      </c>
      <c r="T1167" s="164"/>
      <c r="U1167" s="164"/>
      <c r="V1167" s="165"/>
      <c r="W1167" s="163"/>
      <c r="X1167" s="163"/>
      <c r="Y1167" s="163"/>
      <c r="Z1167" s="163"/>
      <c r="AA1167" s="162"/>
      <c r="AB1167" s="195"/>
      <c r="AC1167" s="163"/>
      <c r="AD1167" s="163"/>
      <c r="AE1167" s="163"/>
    </row>
    <row r="1168" spans="1:31" x14ac:dyDescent="0.35">
      <c r="A1168" s="162">
        <v>46304</v>
      </c>
      <c r="B1168" s="163" t="s">
        <v>370</v>
      </c>
      <c r="C1168" s="163" t="s">
        <v>93</v>
      </c>
      <c r="D1168" s="163" t="s">
        <v>1846</v>
      </c>
      <c r="E1168" s="163" t="s">
        <v>106</v>
      </c>
      <c r="F1168" s="163" t="s">
        <v>135</v>
      </c>
      <c r="G1168" s="163"/>
      <c r="H1168" s="163" t="s">
        <v>115</v>
      </c>
      <c r="I1168" s="163" t="s">
        <v>121</v>
      </c>
      <c r="J1168" s="163" t="s">
        <v>923</v>
      </c>
      <c r="K1168" s="163" t="s">
        <v>284</v>
      </c>
      <c r="L1168" s="163"/>
      <c r="M1168" s="163" t="s">
        <v>1847</v>
      </c>
      <c r="N1168" s="163" t="s">
        <v>156</v>
      </c>
      <c r="O1168" s="162">
        <v>46388</v>
      </c>
      <c r="P1168" s="163" t="s">
        <v>95</v>
      </c>
      <c r="Q1168" s="163"/>
      <c r="R1168" s="163"/>
      <c r="S1168" s="163" t="s">
        <v>103</v>
      </c>
      <c r="T1168" s="164">
        <v>300000</v>
      </c>
      <c r="U1168" s="164"/>
      <c r="V1168" s="165">
        <v>46389</v>
      </c>
      <c r="W1168" s="163"/>
      <c r="X1168" s="163" t="s">
        <v>56</v>
      </c>
      <c r="Y1168" s="163"/>
      <c r="Z1168" s="163"/>
      <c r="AA1168" s="162"/>
      <c r="AB1168" s="195" t="str">
        <f t="shared" ref="AB1168" si="134">IF($V1168="",TEXT($A1168,"MMM-YY"),TEXT($V1168,"MMM-YY"))</f>
        <v>Jan-27</v>
      </c>
      <c r="AC1168" s="163"/>
      <c r="AD1168" s="163" t="str">
        <f t="shared" si="131"/>
        <v/>
      </c>
      <c r="AE1168" s="163"/>
    </row>
    <row r="1169" spans="1:31" x14ac:dyDescent="0.35">
      <c r="A1169" s="162">
        <v>46304</v>
      </c>
      <c r="B1169" s="163" t="s">
        <v>92</v>
      </c>
      <c r="C1169" s="163" t="s">
        <v>93</v>
      </c>
      <c r="D1169" s="163" t="s">
        <v>1848</v>
      </c>
      <c r="E1169" s="163" t="s">
        <v>106</v>
      </c>
      <c r="F1169" s="163" t="s">
        <v>135</v>
      </c>
      <c r="G1169" s="163"/>
      <c r="H1169" s="163" t="s">
        <v>115</v>
      </c>
      <c r="I1169" s="163" t="s">
        <v>121</v>
      </c>
      <c r="J1169" s="163" t="s">
        <v>378</v>
      </c>
      <c r="K1169" s="163" t="s">
        <v>1584</v>
      </c>
      <c r="L1169" s="163"/>
      <c r="M1169" s="163" t="s">
        <v>1849</v>
      </c>
      <c r="N1169" s="163" t="s">
        <v>102</v>
      </c>
      <c r="O1169" s="162"/>
      <c r="P1169" s="163"/>
      <c r="Q1169" s="163"/>
      <c r="R1169" s="163"/>
      <c r="S1169" s="163" t="s">
        <v>103</v>
      </c>
      <c r="T1169" s="164">
        <v>0</v>
      </c>
      <c r="U1169" s="164">
        <v>0</v>
      </c>
      <c r="V1169" s="165"/>
      <c r="W1169" s="163"/>
      <c r="X1169" s="163"/>
      <c r="Y1169" s="163"/>
      <c r="Z1169" s="163"/>
      <c r="AA1169" s="162"/>
      <c r="AB1169" s="195" t="s">
        <v>24</v>
      </c>
      <c r="AC1169" s="163"/>
      <c r="AD1169" s="163" t="str">
        <f t="shared" si="131"/>
        <v/>
      </c>
      <c r="AE1169" s="163"/>
    </row>
    <row r="1170" spans="1:31" x14ac:dyDescent="0.35">
      <c r="A1170" s="162">
        <v>46306</v>
      </c>
      <c r="B1170" s="163" t="s">
        <v>370</v>
      </c>
      <c r="C1170" s="163" t="s">
        <v>93</v>
      </c>
      <c r="D1170" s="163" t="s">
        <v>262</v>
      </c>
      <c r="E1170" s="163" t="s">
        <v>95</v>
      </c>
      <c r="F1170" s="163" t="s">
        <v>115</v>
      </c>
      <c r="G1170" s="163"/>
      <c r="H1170" s="163" t="s">
        <v>115</v>
      </c>
      <c r="I1170" s="163" t="s">
        <v>121</v>
      </c>
      <c r="J1170" s="163" t="s">
        <v>262</v>
      </c>
      <c r="K1170" s="163" t="s">
        <v>1850</v>
      </c>
      <c r="L1170" s="163"/>
      <c r="M1170" s="163" t="s">
        <v>159</v>
      </c>
      <c r="N1170" s="163" t="s">
        <v>102</v>
      </c>
      <c r="O1170" s="162"/>
      <c r="P1170" s="163"/>
      <c r="Q1170" s="163"/>
      <c r="R1170" s="163"/>
      <c r="S1170" s="163" t="s">
        <v>103</v>
      </c>
      <c r="T1170" s="164">
        <v>10000</v>
      </c>
      <c r="U1170" s="164">
        <v>3600</v>
      </c>
      <c r="V1170" s="165">
        <v>46306</v>
      </c>
      <c r="W1170" s="163" t="s">
        <v>1851</v>
      </c>
      <c r="X1170" s="163" t="s">
        <v>56</v>
      </c>
      <c r="Y1170" s="163" t="s">
        <v>161</v>
      </c>
      <c r="Z1170" s="163"/>
      <c r="AA1170" s="162">
        <v>46306</v>
      </c>
      <c r="AB1170" s="195" t="s">
        <v>24</v>
      </c>
      <c r="AC1170" s="163"/>
      <c r="AD1170" s="163" t="str">
        <f t="shared" si="131"/>
        <v/>
      </c>
      <c r="AE1170" s="163" t="s">
        <v>270</v>
      </c>
    </row>
    <row r="1171" spans="1:31" x14ac:dyDescent="0.35">
      <c r="A1171" s="162">
        <v>46307</v>
      </c>
      <c r="B1171" s="163" t="s">
        <v>1331</v>
      </c>
      <c r="C1171" s="163" t="s">
        <v>93</v>
      </c>
      <c r="D1171" s="163" t="s">
        <v>1852</v>
      </c>
      <c r="E1171" s="163" t="s">
        <v>95</v>
      </c>
      <c r="F1171" s="163" t="s">
        <v>115</v>
      </c>
      <c r="G1171" s="163"/>
      <c r="H1171" s="163" t="s">
        <v>115</v>
      </c>
      <c r="I1171" s="163" t="s">
        <v>121</v>
      </c>
      <c r="J1171" s="163" t="s">
        <v>266</v>
      </c>
      <c r="K1171" s="163" t="s">
        <v>1853</v>
      </c>
      <c r="L1171" s="163"/>
      <c r="M1171" s="163" t="s">
        <v>1619</v>
      </c>
      <c r="N1171" s="163" t="s">
        <v>128</v>
      </c>
      <c r="O1171" s="162"/>
      <c r="P1171" s="163"/>
      <c r="Q1171" s="163"/>
      <c r="R1171" s="163"/>
      <c r="S1171" s="163"/>
      <c r="T1171" s="164"/>
      <c r="U1171" s="164"/>
      <c r="V1171" s="165"/>
      <c r="W1171" s="163"/>
      <c r="X1171" s="163"/>
      <c r="Y1171" s="163"/>
      <c r="Z1171" s="163"/>
      <c r="AA1171" s="162"/>
      <c r="AB1171" s="195" t="s">
        <v>24</v>
      </c>
      <c r="AC1171" s="163"/>
      <c r="AD1171" s="163" t="str">
        <f t="shared" si="131"/>
        <v/>
      </c>
      <c r="AE1171" s="163"/>
    </row>
    <row r="1172" spans="1:31" x14ac:dyDescent="0.35">
      <c r="A1172" s="162">
        <v>46307</v>
      </c>
      <c r="B1172" s="163" t="s">
        <v>1331</v>
      </c>
      <c r="C1172" s="163" t="s">
        <v>93</v>
      </c>
      <c r="D1172" s="201" t="s">
        <v>1854</v>
      </c>
      <c r="E1172" s="163" t="s">
        <v>95</v>
      </c>
      <c r="F1172" s="163" t="s">
        <v>115</v>
      </c>
      <c r="G1172" s="163"/>
      <c r="H1172" s="163" t="s">
        <v>115</v>
      </c>
      <c r="I1172" s="163" t="s">
        <v>121</v>
      </c>
      <c r="J1172" s="163" t="s">
        <v>416</v>
      </c>
      <c r="K1172" s="163"/>
      <c r="L1172" s="163"/>
      <c r="M1172" s="163" t="s">
        <v>1855</v>
      </c>
      <c r="N1172" s="163" t="s">
        <v>128</v>
      </c>
      <c r="O1172" s="162"/>
      <c r="P1172" s="163"/>
      <c r="Q1172" s="163"/>
      <c r="R1172" s="163"/>
      <c r="S1172" s="163"/>
      <c r="T1172" s="164"/>
      <c r="U1172" s="164"/>
      <c r="V1172" s="165"/>
      <c r="W1172" s="163"/>
      <c r="X1172" s="163"/>
      <c r="Y1172" s="163"/>
      <c r="Z1172" s="163"/>
      <c r="AA1172" s="162"/>
      <c r="AB1172" s="195" t="s">
        <v>24</v>
      </c>
      <c r="AC1172" s="163"/>
      <c r="AD1172" s="163" t="str">
        <f t="shared" si="131"/>
        <v/>
      </c>
      <c r="AE1172" s="163"/>
    </row>
    <row r="1173" spans="1:31" x14ac:dyDescent="0.35">
      <c r="A1173" s="162">
        <v>46307</v>
      </c>
      <c r="B1173" s="163" t="s">
        <v>370</v>
      </c>
      <c r="C1173" s="199" t="s">
        <v>93</v>
      </c>
      <c r="D1173" s="163" t="s">
        <v>1856</v>
      </c>
      <c r="E1173" s="200" t="s">
        <v>106</v>
      </c>
      <c r="F1173" s="163" t="s">
        <v>135</v>
      </c>
      <c r="G1173" s="163"/>
      <c r="H1173" s="163" t="s">
        <v>115</v>
      </c>
      <c r="I1173" s="163" t="s">
        <v>121</v>
      </c>
      <c r="J1173" s="163" t="s">
        <v>432</v>
      </c>
      <c r="K1173" s="163" t="s">
        <v>1857</v>
      </c>
      <c r="L1173" s="163"/>
      <c r="M1173" s="163" t="s">
        <v>1821</v>
      </c>
      <c r="N1173" s="163" t="s">
        <v>495</v>
      </c>
      <c r="O1173" s="162">
        <v>46324</v>
      </c>
      <c r="P1173" s="163" t="s">
        <v>95</v>
      </c>
      <c r="Q1173" s="163"/>
      <c r="R1173" s="163"/>
      <c r="S1173" s="163" t="s">
        <v>103</v>
      </c>
      <c r="T1173" s="164">
        <v>25000</v>
      </c>
      <c r="U1173" s="164"/>
      <c r="V1173" s="165"/>
      <c r="W1173" s="163"/>
      <c r="X1173" s="163"/>
      <c r="Y1173" s="163"/>
      <c r="Z1173" s="163"/>
      <c r="AA1173" s="162"/>
      <c r="AB1173" s="195" t="s">
        <v>24</v>
      </c>
      <c r="AC1173" s="163"/>
      <c r="AD1173" s="163"/>
      <c r="AE1173" s="163"/>
    </row>
    <row r="1174" spans="1:31" x14ac:dyDescent="0.35">
      <c r="A1174" s="162">
        <v>46307</v>
      </c>
      <c r="B1174" s="163" t="s">
        <v>370</v>
      </c>
      <c r="C1174" s="199" t="s">
        <v>93</v>
      </c>
      <c r="D1174" s="163" t="s">
        <v>1858</v>
      </c>
      <c r="E1174" s="200" t="s">
        <v>106</v>
      </c>
      <c r="F1174" s="163" t="s">
        <v>135</v>
      </c>
      <c r="G1174" s="163"/>
      <c r="H1174" s="163" t="s">
        <v>115</v>
      </c>
      <c r="I1174" s="163" t="s">
        <v>121</v>
      </c>
      <c r="J1174" s="163" t="s">
        <v>147</v>
      </c>
      <c r="K1174" s="163" t="s">
        <v>122</v>
      </c>
      <c r="L1174" s="163"/>
      <c r="M1174" s="163" t="s">
        <v>1821</v>
      </c>
      <c r="N1174" s="163" t="s">
        <v>128</v>
      </c>
      <c r="O1174" s="162">
        <v>46325</v>
      </c>
      <c r="P1174" s="163" t="s">
        <v>95</v>
      </c>
      <c r="Q1174" s="163"/>
      <c r="R1174" s="163"/>
      <c r="S1174" s="163" t="s">
        <v>129</v>
      </c>
      <c r="T1174" s="164">
        <v>60000</v>
      </c>
      <c r="U1174" s="164"/>
      <c r="V1174" s="165"/>
      <c r="W1174" s="163"/>
      <c r="X1174" s="163"/>
      <c r="Y1174" s="163"/>
      <c r="Z1174" s="163"/>
      <c r="AA1174" s="162"/>
      <c r="AB1174" s="195" t="s">
        <v>24</v>
      </c>
      <c r="AC1174" s="163"/>
      <c r="AD1174" s="163"/>
      <c r="AE1174" s="163"/>
    </row>
    <row r="1175" spans="1:31" x14ac:dyDescent="0.35">
      <c r="A1175" s="162">
        <v>46307</v>
      </c>
      <c r="B1175" s="163" t="s">
        <v>1331</v>
      </c>
      <c r="C1175" s="163" t="s">
        <v>93</v>
      </c>
      <c r="D1175" t="s">
        <v>1859</v>
      </c>
      <c r="E1175" s="163" t="s">
        <v>95</v>
      </c>
      <c r="F1175" s="163" t="s">
        <v>115</v>
      </c>
      <c r="G1175" s="163"/>
      <c r="H1175" s="163" t="s">
        <v>115</v>
      </c>
      <c r="I1175" s="163" t="s">
        <v>121</v>
      </c>
      <c r="J1175" s="163" t="s">
        <v>416</v>
      </c>
      <c r="K1175" s="163" t="s">
        <v>1860</v>
      </c>
      <c r="L1175" s="163"/>
      <c r="M1175" s="163" t="s">
        <v>1855</v>
      </c>
      <c r="N1175" s="163" t="s">
        <v>181</v>
      </c>
      <c r="O1175" s="162"/>
      <c r="P1175" s="163"/>
      <c r="Q1175" s="163"/>
      <c r="R1175" s="163"/>
      <c r="S1175" s="163"/>
      <c r="T1175" s="164"/>
      <c r="U1175" s="164"/>
      <c r="V1175" s="165"/>
      <c r="W1175" s="163"/>
      <c r="X1175" s="163"/>
      <c r="Y1175" s="163"/>
      <c r="Z1175" s="163"/>
      <c r="AA1175" s="162"/>
      <c r="AB1175" s="195" t="s">
        <v>24</v>
      </c>
      <c r="AC1175" s="163"/>
      <c r="AD1175" s="163" t="str">
        <f t="shared" si="131"/>
        <v/>
      </c>
      <c r="AE1175" s="163"/>
    </row>
    <row r="1176" spans="1:31" x14ac:dyDescent="0.35">
      <c r="A1176" s="162">
        <v>46307</v>
      </c>
      <c r="B1176" s="163" t="s">
        <v>370</v>
      </c>
      <c r="C1176" s="199" t="s">
        <v>93</v>
      </c>
      <c r="D1176" s="191" t="s">
        <v>1861</v>
      </c>
      <c r="E1176" s="200" t="s">
        <v>106</v>
      </c>
      <c r="F1176" s="163" t="s">
        <v>135</v>
      </c>
      <c r="G1176" s="163"/>
      <c r="H1176" s="163" t="s">
        <v>115</v>
      </c>
      <c r="I1176" s="163" t="s">
        <v>121</v>
      </c>
      <c r="J1176" s="163" t="s">
        <v>147</v>
      </c>
      <c r="K1176" s="163" t="s">
        <v>1124</v>
      </c>
      <c r="L1176" s="163"/>
      <c r="M1176" s="163" t="s">
        <v>1821</v>
      </c>
      <c r="N1176" s="163" t="s">
        <v>495</v>
      </c>
      <c r="O1176" s="162">
        <v>46325</v>
      </c>
      <c r="P1176" s="163"/>
      <c r="Q1176" s="163"/>
      <c r="R1176" s="163"/>
      <c r="S1176" s="163" t="s">
        <v>129</v>
      </c>
      <c r="T1176" s="164">
        <v>20000</v>
      </c>
      <c r="U1176" s="164"/>
      <c r="V1176" s="165"/>
      <c r="W1176" s="163"/>
      <c r="X1176" s="163"/>
      <c r="Y1176" s="163"/>
      <c r="Z1176" s="163"/>
      <c r="AA1176" s="162"/>
      <c r="AB1176" s="195" t="s">
        <v>24</v>
      </c>
      <c r="AC1176" s="163"/>
      <c r="AD1176" s="163"/>
      <c r="AE1176" s="163"/>
    </row>
    <row r="1177" spans="1:31" x14ac:dyDescent="0.35">
      <c r="A1177" s="162">
        <v>46307</v>
      </c>
      <c r="B1177" s="163" t="s">
        <v>370</v>
      </c>
      <c r="C1177" s="199" t="s">
        <v>93</v>
      </c>
      <c r="D1177" s="191" t="s">
        <v>1409</v>
      </c>
      <c r="E1177" s="200" t="s">
        <v>106</v>
      </c>
      <c r="F1177" s="163" t="s">
        <v>135</v>
      </c>
      <c r="G1177" s="163"/>
      <c r="H1177" s="163" t="s">
        <v>115</v>
      </c>
      <c r="I1177" s="163" t="s">
        <v>121</v>
      </c>
      <c r="J1177" s="163" t="s">
        <v>147</v>
      </c>
      <c r="K1177" s="163" t="s">
        <v>1862</v>
      </c>
      <c r="L1177" s="163"/>
      <c r="M1177" s="163" t="s">
        <v>1821</v>
      </c>
      <c r="N1177" s="163" t="s">
        <v>156</v>
      </c>
      <c r="O1177" s="162">
        <v>46324</v>
      </c>
      <c r="P1177" s="163"/>
      <c r="Q1177" s="163"/>
      <c r="R1177" s="163"/>
      <c r="S1177" s="163" t="s">
        <v>103</v>
      </c>
      <c r="T1177" s="164">
        <v>80000</v>
      </c>
      <c r="U1177" s="164"/>
      <c r="V1177" s="165"/>
      <c r="W1177" s="163"/>
      <c r="X1177" s="163"/>
      <c r="Y1177" s="163"/>
      <c r="Z1177" s="163"/>
      <c r="AA1177" s="162"/>
      <c r="AB1177" s="195" t="s">
        <v>24</v>
      </c>
      <c r="AC1177" s="163"/>
      <c r="AD1177" s="163"/>
      <c r="AE1177" s="163"/>
    </row>
    <row r="1178" spans="1:31" x14ac:dyDescent="0.35">
      <c r="A1178" s="162">
        <v>46308</v>
      </c>
      <c r="B1178" s="163" t="s">
        <v>92</v>
      </c>
      <c r="C1178" s="163" t="s">
        <v>93</v>
      </c>
      <c r="D1178" s="202" t="s">
        <v>1863</v>
      </c>
      <c r="E1178" s="163" t="s">
        <v>106</v>
      </c>
      <c r="F1178" s="163" t="s">
        <v>226</v>
      </c>
      <c r="G1178" s="163"/>
      <c r="H1178" s="163" t="s">
        <v>163</v>
      </c>
      <c r="I1178" s="163" t="s">
        <v>121</v>
      </c>
      <c r="J1178" s="163" t="s">
        <v>388</v>
      </c>
      <c r="K1178" s="163" t="s">
        <v>1571</v>
      </c>
      <c r="L1178" s="163"/>
      <c r="M1178" s="163" t="s">
        <v>1864</v>
      </c>
      <c r="N1178" s="163" t="s">
        <v>156</v>
      </c>
      <c r="O1178" s="162"/>
      <c r="P1178" s="163"/>
      <c r="Q1178" s="163"/>
      <c r="R1178" s="163"/>
      <c r="S1178" s="163" t="s">
        <v>103</v>
      </c>
      <c r="T1178" s="164">
        <v>0</v>
      </c>
      <c r="U1178" s="164">
        <v>0</v>
      </c>
      <c r="V1178" s="165">
        <v>46314</v>
      </c>
      <c r="W1178" s="163"/>
      <c r="X1178" s="163" t="s">
        <v>1865</v>
      </c>
      <c r="Y1178" s="163"/>
      <c r="Z1178" s="163"/>
      <c r="AA1178" s="162"/>
      <c r="AB1178" s="195" t="s">
        <v>24</v>
      </c>
      <c r="AC1178" s="163"/>
      <c r="AD1178" s="163" t="str">
        <f t="shared" si="131"/>
        <v/>
      </c>
      <c r="AE1178" s="163"/>
    </row>
    <row r="1179" spans="1:31" x14ac:dyDescent="0.35">
      <c r="A1179" s="162">
        <v>46308</v>
      </c>
      <c r="B1179" s="163" t="s">
        <v>370</v>
      </c>
      <c r="C1179" s="163" t="s">
        <v>93</v>
      </c>
      <c r="D1179" s="202" t="s">
        <v>1863</v>
      </c>
      <c r="E1179" s="163" t="s">
        <v>106</v>
      </c>
      <c r="F1179" s="163" t="s">
        <v>226</v>
      </c>
      <c r="G1179" s="163"/>
      <c r="H1179" s="163" t="s">
        <v>163</v>
      </c>
      <c r="I1179" s="163" t="s">
        <v>121</v>
      </c>
      <c r="J1179" s="163" t="s">
        <v>388</v>
      </c>
      <c r="K1179" s="163" t="s">
        <v>1571</v>
      </c>
      <c r="L1179" s="163"/>
      <c r="M1179" s="163" t="s">
        <v>1864</v>
      </c>
      <c r="N1179" s="163" t="s">
        <v>156</v>
      </c>
      <c r="O1179" s="162"/>
      <c r="P1179" s="163"/>
      <c r="Q1179" s="163"/>
      <c r="R1179" s="163"/>
      <c r="S1179" s="163" t="s">
        <v>103</v>
      </c>
      <c r="T1179" s="164">
        <v>0</v>
      </c>
      <c r="U1179" s="164">
        <v>0</v>
      </c>
      <c r="V1179" s="165">
        <v>46314</v>
      </c>
      <c r="W1179" s="163"/>
      <c r="X1179" s="163" t="s">
        <v>1865</v>
      </c>
      <c r="Y1179" s="163"/>
      <c r="Z1179" s="163"/>
      <c r="AA1179" s="162"/>
      <c r="AB1179" s="195" t="s">
        <v>24</v>
      </c>
      <c r="AC1179" s="163"/>
      <c r="AD1179" s="163" t="str">
        <f t="shared" ref="AD1179" si="135">IF(AC1179="Yes",U1179*2%,"")</f>
        <v/>
      </c>
      <c r="AE1179" s="163"/>
    </row>
    <row r="1180" spans="1:31" x14ac:dyDescent="0.35">
      <c r="A1180" s="162">
        <v>46308</v>
      </c>
      <c r="B1180" s="163" t="s">
        <v>370</v>
      </c>
      <c r="C1180" s="163" t="s">
        <v>93</v>
      </c>
      <c r="D1180" s="202" t="s">
        <v>1866</v>
      </c>
      <c r="E1180" s="163" t="s">
        <v>106</v>
      </c>
      <c r="F1180" s="163" t="s">
        <v>226</v>
      </c>
      <c r="G1180" s="163"/>
      <c r="H1180" s="163" t="s">
        <v>163</v>
      </c>
      <c r="I1180" s="163" t="s">
        <v>121</v>
      </c>
      <c r="J1180" s="163" t="s">
        <v>388</v>
      </c>
      <c r="K1180" s="163" t="s">
        <v>1867</v>
      </c>
      <c r="L1180" s="163"/>
      <c r="M1180" s="163" t="s">
        <v>1864</v>
      </c>
      <c r="N1180" s="163" t="s">
        <v>156</v>
      </c>
      <c r="O1180" s="162"/>
      <c r="P1180" s="163"/>
      <c r="Q1180" s="163"/>
      <c r="R1180" s="163"/>
      <c r="S1180" s="163" t="s">
        <v>103</v>
      </c>
      <c r="T1180" s="164">
        <v>0</v>
      </c>
      <c r="U1180" s="164">
        <v>0</v>
      </c>
      <c r="V1180" s="165">
        <v>46314</v>
      </c>
      <c r="W1180" s="163"/>
      <c r="X1180" s="163" t="s">
        <v>26</v>
      </c>
      <c r="Y1180" s="163"/>
      <c r="Z1180" s="163"/>
      <c r="AA1180" s="162"/>
      <c r="AB1180" s="195" t="s">
        <v>24</v>
      </c>
      <c r="AC1180" s="163"/>
      <c r="AD1180" s="163" t="str">
        <f t="shared" ref="AD1180" si="136">IF(AC1180="Yes",U1180*2%,"")</f>
        <v/>
      </c>
      <c r="AE1180" s="163"/>
    </row>
    <row r="1181" spans="1:31" x14ac:dyDescent="0.35">
      <c r="A1181" s="162">
        <v>46308</v>
      </c>
      <c r="B1181" s="163" t="s">
        <v>370</v>
      </c>
      <c r="C1181" s="163" t="s">
        <v>93</v>
      </c>
      <c r="D1181" s="202" t="s">
        <v>1868</v>
      </c>
      <c r="E1181" s="163" t="s">
        <v>106</v>
      </c>
      <c r="F1181" s="163" t="s">
        <v>135</v>
      </c>
      <c r="G1181" s="163"/>
      <c r="H1181" s="163" t="s">
        <v>115</v>
      </c>
      <c r="I1181" s="163" t="s">
        <v>121</v>
      </c>
      <c r="J1181" s="163" t="s">
        <v>378</v>
      </c>
      <c r="K1181" s="163" t="s">
        <v>1869</v>
      </c>
      <c r="L1181" s="163"/>
      <c r="M1181" s="163" t="s">
        <v>1870</v>
      </c>
      <c r="N1181" s="163" t="s">
        <v>156</v>
      </c>
      <c r="O1181" s="162"/>
      <c r="P1181" s="163"/>
      <c r="Q1181" s="163"/>
      <c r="R1181" s="163"/>
      <c r="S1181" s="163" t="s">
        <v>103</v>
      </c>
      <c r="T1181" s="164"/>
      <c r="U1181" s="164"/>
      <c r="V1181" s="165"/>
      <c r="W1181" s="163"/>
      <c r="X1181" s="163"/>
      <c r="Y1181" s="163"/>
      <c r="Z1181" s="163"/>
      <c r="AA1181" s="162"/>
      <c r="AB1181" s="195" t="str">
        <f>IF($V1181="",TEXT($A1181,"MMM-YY"),TEXT($V1181,"MMM-YY"))</f>
        <v>Oct-26</v>
      </c>
      <c r="AC1181" s="163"/>
      <c r="AD1181" s="163"/>
      <c r="AE1181" s="163"/>
    </row>
    <row r="1182" spans="1:31" x14ac:dyDescent="0.35">
      <c r="A1182" s="162">
        <v>46309</v>
      </c>
      <c r="B1182" s="163" t="s">
        <v>370</v>
      </c>
      <c r="C1182" s="163" t="s">
        <v>93</v>
      </c>
      <c r="D1182" s="163" t="s">
        <v>19</v>
      </c>
      <c r="E1182" s="163" t="s">
        <v>95</v>
      </c>
      <c r="F1182" s="163" t="s">
        <v>96</v>
      </c>
      <c r="G1182" s="163" t="s">
        <v>10</v>
      </c>
      <c r="H1182" s="163" t="s">
        <v>115</v>
      </c>
      <c r="I1182" s="163" t="s">
        <v>121</v>
      </c>
      <c r="J1182" s="163" t="s">
        <v>99</v>
      </c>
      <c r="K1182" s="163" t="s">
        <v>256</v>
      </c>
      <c r="L1182" s="163"/>
      <c r="M1182" s="163" t="s">
        <v>159</v>
      </c>
      <c r="N1182" s="163" t="s">
        <v>102</v>
      </c>
      <c r="O1182" s="162"/>
      <c r="P1182" s="163"/>
      <c r="Q1182" s="163"/>
      <c r="R1182" s="163" t="str">
        <f ca="1">IF(OR(N1182="Closed( C4 )",N1182="Cancelled"),"",IF(AND(O1182&lt;&gt;"",O1182&lt;TODAY()),"Yes",""))</f>
        <v/>
      </c>
      <c r="S1182" s="163" t="s">
        <v>103</v>
      </c>
      <c r="T1182" s="164">
        <v>100000</v>
      </c>
      <c r="U1182" s="164">
        <v>109200</v>
      </c>
      <c r="V1182" s="165">
        <v>46309</v>
      </c>
      <c r="W1182" s="163" t="s">
        <v>1871</v>
      </c>
      <c r="X1182" s="163" t="s">
        <v>27</v>
      </c>
      <c r="Y1182" s="163" t="s">
        <v>1017</v>
      </c>
      <c r="Z1182" s="163"/>
      <c r="AA1182" s="162"/>
      <c r="AB1182" s="195" t="str">
        <f>IF($V1182="",TEXT($A1182,"MMM-YY"),TEXT($V1182,"MMM-YY"))</f>
        <v>Oct-26</v>
      </c>
      <c r="AC1182" s="163"/>
      <c r="AD1182" s="163" t="str">
        <f t="shared" si="131"/>
        <v/>
      </c>
      <c r="AE1182" s="163"/>
    </row>
    <row r="1183" spans="1:31" x14ac:dyDescent="0.35">
      <c r="A1183" s="162">
        <v>46309</v>
      </c>
      <c r="B1183" s="163" t="s">
        <v>125</v>
      </c>
      <c r="C1183" s="163" t="s">
        <v>93</v>
      </c>
      <c r="D1183" s="163" t="s">
        <v>19</v>
      </c>
      <c r="E1183" s="163" t="s">
        <v>95</v>
      </c>
      <c r="F1183" s="163" t="s">
        <v>96</v>
      </c>
      <c r="G1183" s="163" t="s">
        <v>10</v>
      </c>
      <c r="H1183" s="163" t="s">
        <v>115</v>
      </c>
      <c r="I1183" s="163" t="s">
        <v>121</v>
      </c>
      <c r="J1183" s="163" t="s">
        <v>99</v>
      </c>
      <c r="K1183" s="163" t="s">
        <v>256</v>
      </c>
      <c r="L1183" s="163"/>
      <c r="M1183" s="163" t="s">
        <v>159</v>
      </c>
      <c r="N1183" s="163" t="s">
        <v>102</v>
      </c>
      <c r="O1183" s="162"/>
      <c r="P1183" s="163"/>
      <c r="Q1183" s="163"/>
      <c r="R1183" s="163" t="str">
        <f ca="1">IF(OR(N1183="Closed( C4 )",N1183="Cancelled"),"",IF(AND(O1183&lt;&gt;"",O1183&lt;TODAY()),"Yes",""))</f>
        <v/>
      </c>
      <c r="S1183" s="163" t="s">
        <v>103</v>
      </c>
      <c r="T1183" s="164">
        <v>100000</v>
      </c>
      <c r="U1183" s="164">
        <v>109200</v>
      </c>
      <c r="V1183" s="165">
        <v>46309</v>
      </c>
      <c r="W1183" s="163" t="s">
        <v>1871</v>
      </c>
      <c r="X1183" s="163" t="s">
        <v>27</v>
      </c>
      <c r="Y1183" s="163" t="s">
        <v>1017</v>
      </c>
      <c r="Z1183" s="163"/>
      <c r="AA1183" s="162"/>
      <c r="AB1183" s="195" t="str">
        <f>IF($V1183="",TEXT($A1183,"MMM-YY"),TEXT($V1183,"MMM-YY"))</f>
        <v>Oct-26</v>
      </c>
      <c r="AC1183" s="163"/>
      <c r="AD1183" s="163" t="str">
        <f t="shared" si="131"/>
        <v/>
      </c>
      <c r="AE1183" s="163"/>
    </row>
    <row r="1184" spans="1:31" x14ac:dyDescent="0.35">
      <c r="A1184" s="162">
        <v>46309</v>
      </c>
      <c r="B1184" s="163" t="s">
        <v>370</v>
      </c>
      <c r="C1184" s="163" t="s">
        <v>93</v>
      </c>
      <c r="D1184" s="163" t="s">
        <v>912</v>
      </c>
      <c r="E1184" s="163" t="s">
        <v>106</v>
      </c>
      <c r="F1184" s="163" t="s">
        <v>135</v>
      </c>
      <c r="G1184" s="163"/>
      <c r="H1184" s="163" t="s">
        <v>115</v>
      </c>
      <c r="I1184" s="163" t="s">
        <v>121</v>
      </c>
      <c r="J1184" s="163" t="s">
        <v>147</v>
      </c>
      <c r="K1184" s="163" t="s">
        <v>913</v>
      </c>
      <c r="L1184" s="163"/>
      <c r="M1184" s="163" t="s">
        <v>914</v>
      </c>
      <c r="N1184" s="163" t="s">
        <v>495</v>
      </c>
      <c r="O1184" s="162">
        <v>46323</v>
      </c>
      <c r="P1184" s="163" t="s">
        <v>95</v>
      </c>
      <c r="Q1184" s="163"/>
      <c r="R1184" s="163"/>
      <c r="S1184" s="163" t="s">
        <v>103</v>
      </c>
      <c r="T1184" s="164">
        <v>40000</v>
      </c>
      <c r="U1184" s="164"/>
      <c r="V1184" s="165"/>
      <c r="W1184" s="163"/>
      <c r="X1184" s="163"/>
      <c r="Y1184" s="163"/>
      <c r="Z1184" s="163"/>
      <c r="AA1184" s="162"/>
      <c r="AB1184" s="195" t="str">
        <f t="shared" ref="AB1184:AB1185" si="137">IF($V1184="",TEXT($A1184,"MMM-YY"),TEXT($V1184,"MMM-YY"))</f>
        <v>Oct-26</v>
      </c>
      <c r="AC1184" s="163"/>
      <c r="AD1184" s="163"/>
      <c r="AE1184" s="163"/>
    </row>
    <row r="1185" spans="1:31" x14ac:dyDescent="0.35">
      <c r="A1185" s="162">
        <v>46309</v>
      </c>
      <c r="B1185" s="163" t="s">
        <v>370</v>
      </c>
      <c r="C1185" s="163" t="s">
        <v>93</v>
      </c>
      <c r="D1185" s="163" t="s">
        <v>1196</v>
      </c>
      <c r="E1185" s="163" t="s">
        <v>106</v>
      </c>
      <c r="F1185" s="163" t="s">
        <v>135</v>
      </c>
      <c r="G1185" s="163"/>
      <c r="H1185" s="163" t="s">
        <v>115</v>
      </c>
      <c r="I1185" s="163" t="s">
        <v>121</v>
      </c>
      <c r="J1185" s="163" t="s">
        <v>432</v>
      </c>
      <c r="K1185" s="163" t="s">
        <v>1197</v>
      </c>
      <c r="L1185" s="163"/>
      <c r="M1185" s="163" t="s">
        <v>914</v>
      </c>
      <c r="N1185" s="163" t="s">
        <v>156</v>
      </c>
      <c r="O1185" s="162">
        <v>46325</v>
      </c>
      <c r="P1185" s="163" t="s">
        <v>95</v>
      </c>
      <c r="Q1185" s="163"/>
      <c r="R1185" s="163"/>
      <c r="S1185" s="163" t="s">
        <v>103</v>
      </c>
      <c r="T1185" s="164">
        <v>35000</v>
      </c>
      <c r="U1185" s="164"/>
      <c r="V1185" s="165"/>
      <c r="W1185" s="163"/>
      <c r="X1185" s="163"/>
      <c r="Y1185" s="163"/>
      <c r="Z1185" s="163"/>
      <c r="AA1185" s="162"/>
      <c r="AB1185" s="195" t="str">
        <f t="shared" si="137"/>
        <v>Oct-26</v>
      </c>
      <c r="AC1185" s="163"/>
      <c r="AD1185" s="163"/>
      <c r="AE1185" s="163"/>
    </row>
    <row r="1186" spans="1:31" x14ac:dyDescent="0.35">
      <c r="A1186" s="162">
        <v>46310</v>
      </c>
      <c r="B1186" s="163" t="s">
        <v>370</v>
      </c>
      <c r="C1186" s="163" t="s">
        <v>93</v>
      </c>
      <c r="D1186" s="163" t="s">
        <v>1872</v>
      </c>
      <c r="E1186" s="163" t="s">
        <v>106</v>
      </c>
      <c r="F1186" s="163" t="s">
        <v>135</v>
      </c>
      <c r="G1186" s="163"/>
      <c r="H1186" s="163" t="s">
        <v>115</v>
      </c>
      <c r="I1186" s="163" t="s">
        <v>121</v>
      </c>
      <c r="J1186" s="163" t="s">
        <v>438</v>
      </c>
      <c r="K1186" s="163" t="s">
        <v>475</v>
      </c>
      <c r="L1186" s="163"/>
      <c r="M1186" s="163" t="s">
        <v>1873</v>
      </c>
      <c r="N1186" s="163" t="s">
        <v>128</v>
      </c>
      <c r="O1186" s="162">
        <v>46323</v>
      </c>
      <c r="P1186" s="163" t="s">
        <v>95</v>
      </c>
      <c r="Q1186" s="163"/>
      <c r="R1186" s="163"/>
      <c r="S1186" s="163" t="s">
        <v>129</v>
      </c>
      <c r="T1186" s="164">
        <v>65000</v>
      </c>
      <c r="U1186" s="164"/>
      <c r="V1186" s="165"/>
      <c r="W1186" s="163"/>
      <c r="X1186" s="163"/>
      <c r="Y1186" s="163"/>
      <c r="Z1186" s="163"/>
      <c r="AA1186" s="162"/>
      <c r="AB1186" s="195" t="str">
        <f>IF($V1186="",TEXT($A1186,"MMM-YY"),TEXT($V1186,"MMM-YY"))</f>
        <v>Oct-26</v>
      </c>
      <c r="AC1186" s="163"/>
      <c r="AD1186" s="163"/>
      <c r="AE1186" s="163"/>
    </row>
    <row r="1187" spans="1:31" x14ac:dyDescent="0.35">
      <c r="A1187" s="162">
        <v>46310</v>
      </c>
      <c r="B1187" s="163" t="s">
        <v>370</v>
      </c>
      <c r="C1187" s="163" t="s">
        <v>93</v>
      </c>
      <c r="D1187" s="163" t="s">
        <v>1581</v>
      </c>
      <c r="E1187" s="163" t="s">
        <v>106</v>
      </c>
      <c r="F1187" s="163" t="s">
        <v>135</v>
      </c>
      <c r="G1187" s="163"/>
      <c r="H1187" s="163" t="s">
        <v>115</v>
      </c>
      <c r="I1187" s="163" t="s">
        <v>121</v>
      </c>
      <c r="J1187" s="163" t="s">
        <v>356</v>
      </c>
      <c r="K1187" s="163" t="s">
        <v>1874</v>
      </c>
      <c r="L1187" s="163"/>
      <c r="M1187" s="163" t="s">
        <v>914</v>
      </c>
      <c r="N1187" s="163" t="s">
        <v>130</v>
      </c>
      <c r="O1187" s="162"/>
      <c r="P1187" s="163"/>
      <c r="Q1187" s="163"/>
      <c r="R1187" s="163"/>
      <c r="S1187" s="163" t="s">
        <v>129</v>
      </c>
      <c r="T1187" s="164">
        <v>40000</v>
      </c>
      <c r="U1187" s="164"/>
      <c r="V1187" s="165"/>
      <c r="W1187" s="163"/>
      <c r="X1187" s="163"/>
      <c r="Y1187" s="163"/>
      <c r="Z1187" s="163"/>
      <c r="AA1187" s="162"/>
      <c r="AB1187" s="195" t="str">
        <f>IF($V1187="",TEXT($A1187,"MMM-YY"),TEXT($V1187,"MMM-YY"))</f>
        <v>Oct-26</v>
      </c>
      <c r="AC1187" s="163"/>
      <c r="AD1187" s="163"/>
      <c r="AE1187" s="163"/>
    </row>
    <row r="1188" spans="1:31" x14ac:dyDescent="0.35">
      <c r="A1188" s="162">
        <v>46311</v>
      </c>
      <c r="B1188" s="163" t="s">
        <v>1331</v>
      </c>
      <c r="C1188" s="163" t="s">
        <v>93</v>
      </c>
      <c r="D1188" s="163" t="s">
        <v>1875</v>
      </c>
      <c r="E1188" s="163" t="s">
        <v>95</v>
      </c>
      <c r="F1188" s="163" t="s">
        <v>135</v>
      </c>
      <c r="G1188" s="163"/>
      <c r="H1188" s="163" t="s">
        <v>115</v>
      </c>
      <c r="I1188" s="163" t="s">
        <v>121</v>
      </c>
      <c r="J1188" s="163" t="s">
        <v>378</v>
      </c>
      <c r="K1188" s="163" t="s">
        <v>1876</v>
      </c>
      <c r="L1188" s="163"/>
      <c r="M1188" s="163" t="s">
        <v>159</v>
      </c>
      <c r="N1188" s="163" t="s">
        <v>102</v>
      </c>
      <c r="O1188" s="162"/>
      <c r="P1188" s="163"/>
      <c r="Q1188" s="163"/>
      <c r="R1188" s="163"/>
      <c r="S1188" s="163" t="s">
        <v>103</v>
      </c>
      <c r="T1188" s="164">
        <v>200000</v>
      </c>
      <c r="U1188" s="164">
        <v>241870</v>
      </c>
      <c r="V1188" s="165">
        <v>46311</v>
      </c>
      <c r="W1188" s="163"/>
      <c r="X1188" s="163" t="s">
        <v>27</v>
      </c>
      <c r="Y1188" s="163"/>
      <c r="Z1188" s="163"/>
      <c r="AA1188" s="162"/>
      <c r="AB1188" s="195" t="str">
        <f>IF($V1188="",TEXT($A1188,"MMM-YY"),TEXT($V1188,"MMM-YY"))</f>
        <v>Oct-26</v>
      </c>
      <c r="AC1188" s="163"/>
      <c r="AD1188" s="163"/>
      <c r="AE1188" s="163"/>
    </row>
    <row r="1189" spans="1:31" x14ac:dyDescent="0.35">
      <c r="A1189" s="162">
        <v>46311</v>
      </c>
      <c r="B1189" s="163" t="s">
        <v>370</v>
      </c>
      <c r="C1189" s="163" t="s">
        <v>93</v>
      </c>
      <c r="D1189" s="163" t="s">
        <v>1875</v>
      </c>
      <c r="E1189" s="163" t="s">
        <v>106</v>
      </c>
      <c r="F1189" s="163" t="s">
        <v>135</v>
      </c>
      <c r="G1189" s="163"/>
      <c r="H1189" s="163" t="s">
        <v>115</v>
      </c>
      <c r="I1189" s="163" t="s">
        <v>121</v>
      </c>
      <c r="J1189" s="163" t="s">
        <v>378</v>
      </c>
      <c r="K1189" s="163" t="s">
        <v>1876</v>
      </c>
      <c r="L1189" s="163"/>
      <c r="M1189" s="163" t="s">
        <v>1877</v>
      </c>
      <c r="N1189" s="163" t="s">
        <v>181</v>
      </c>
      <c r="O1189" s="162"/>
      <c r="P1189" s="163"/>
      <c r="Q1189" s="163"/>
      <c r="R1189" s="163"/>
      <c r="S1189" s="163" t="s">
        <v>103</v>
      </c>
      <c r="T1189" s="164"/>
      <c r="U1189" s="164"/>
      <c r="V1189" s="165">
        <v>46311</v>
      </c>
      <c r="W1189" s="163"/>
      <c r="X1189" s="163" t="s">
        <v>27</v>
      </c>
      <c r="Y1189" s="163"/>
      <c r="Z1189" s="163"/>
      <c r="AA1189" s="162"/>
      <c r="AB1189" s="195" t="str">
        <f>IF($V1189="",TEXT($A1189,"MMM-YY"),TEXT($V1189,"MMM-YY"))</f>
        <v>Oct-26</v>
      </c>
      <c r="AC1189" s="163"/>
      <c r="AD1189" s="163"/>
      <c r="AE1189" s="163"/>
    </row>
    <row r="1190" spans="1:31" x14ac:dyDescent="0.35">
      <c r="A1190" s="162">
        <v>46311</v>
      </c>
      <c r="B1190" s="163" t="s">
        <v>370</v>
      </c>
      <c r="C1190" s="163" t="s">
        <v>93</v>
      </c>
      <c r="D1190" s="202" t="s">
        <v>1866</v>
      </c>
      <c r="E1190" s="163" t="s">
        <v>106</v>
      </c>
      <c r="F1190" s="163" t="s">
        <v>226</v>
      </c>
      <c r="G1190" s="163"/>
      <c r="H1190" s="163" t="s">
        <v>163</v>
      </c>
      <c r="I1190" s="163" t="s">
        <v>121</v>
      </c>
      <c r="J1190" s="163" t="s">
        <v>388</v>
      </c>
      <c r="K1190" s="163" t="s">
        <v>1867</v>
      </c>
      <c r="L1190" s="163"/>
      <c r="M1190" s="163" t="s">
        <v>1864</v>
      </c>
      <c r="N1190" s="163" t="s">
        <v>102</v>
      </c>
      <c r="O1190" s="162"/>
      <c r="P1190" s="163"/>
      <c r="Q1190" s="163"/>
      <c r="R1190" s="163"/>
      <c r="S1190" s="163" t="s">
        <v>103</v>
      </c>
      <c r="T1190" s="164">
        <v>10000</v>
      </c>
      <c r="U1190" s="164">
        <v>6165</v>
      </c>
      <c r="V1190" s="165">
        <v>46314</v>
      </c>
      <c r="W1190" s="163"/>
      <c r="X1190" s="163" t="s">
        <v>26</v>
      </c>
      <c r="Y1190" s="163"/>
      <c r="Z1190" s="163"/>
      <c r="AA1190" s="162"/>
      <c r="AB1190" s="195" t="s">
        <v>24</v>
      </c>
      <c r="AC1190" s="163"/>
      <c r="AD1190" s="163" t="str">
        <f t="shared" ref="AD1190" si="138">IF(AC1190="Yes",U1190*2%,"")</f>
        <v/>
      </c>
      <c r="AE1190" s="163"/>
    </row>
    <row r="1191" spans="1:31" x14ac:dyDescent="0.35">
      <c r="A1191" s="162">
        <v>46312</v>
      </c>
      <c r="B1191" s="163" t="s">
        <v>92</v>
      </c>
      <c r="C1191" s="163" t="s">
        <v>93</v>
      </c>
      <c r="D1191" s="163" t="s">
        <v>1602</v>
      </c>
      <c r="E1191" s="163" t="s">
        <v>106</v>
      </c>
      <c r="F1191" s="163" t="s">
        <v>422</v>
      </c>
      <c r="G1191" s="163"/>
      <c r="H1191" s="163" t="s">
        <v>115</v>
      </c>
      <c r="I1191" s="163" t="s">
        <v>121</v>
      </c>
      <c r="J1191" s="163" t="s">
        <v>432</v>
      </c>
      <c r="K1191" s="163" t="s">
        <v>724</v>
      </c>
      <c r="L1191" s="163"/>
      <c r="M1191" s="163" t="s">
        <v>159</v>
      </c>
      <c r="N1191" s="163" t="s">
        <v>102</v>
      </c>
      <c r="O1191" s="162"/>
      <c r="P1191" s="163"/>
      <c r="Q1191" s="163"/>
      <c r="R1191" s="163"/>
      <c r="S1191" s="163" t="s">
        <v>103</v>
      </c>
      <c r="T1191" s="164">
        <v>2500000</v>
      </c>
      <c r="U1191" s="164">
        <v>3027675</v>
      </c>
      <c r="V1191" s="165">
        <v>46312</v>
      </c>
      <c r="W1191" s="163" t="s">
        <v>1878</v>
      </c>
      <c r="X1191" s="163" t="s">
        <v>56</v>
      </c>
      <c r="Y1191" s="163" t="s">
        <v>85</v>
      </c>
      <c r="Z1191" s="163"/>
      <c r="AA1191" s="162">
        <v>46314</v>
      </c>
      <c r="AB1191" s="195" t="s">
        <v>24</v>
      </c>
      <c r="AC1191" s="163"/>
      <c r="AD1191" s="163" t="str">
        <f t="shared" si="131"/>
        <v/>
      </c>
      <c r="AE1191" s="163"/>
    </row>
    <row r="1192" spans="1:31" x14ac:dyDescent="0.35">
      <c r="A1192" s="162">
        <v>46313</v>
      </c>
      <c r="B1192" s="163" t="s">
        <v>1331</v>
      </c>
      <c r="C1192" s="163" t="s">
        <v>93</v>
      </c>
      <c r="D1192" s="163" t="s">
        <v>1879</v>
      </c>
      <c r="E1192" s="163" t="s">
        <v>95</v>
      </c>
      <c r="F1192" s="163" t="s">
        <v>135</v>
      </c>
      <c r="G1192" s="163"/>
      <c r="H1192" s="163" t="s">
        <v>115</v>
      </c>
      <c r="I1192" s="163" t="s">
        <v>121</v>
      </c>
      <c r="J1192" s="163" t="s">
        <v>378</v>
      </c>
      <c r="K1192" s="163" t="s">
        <v>1857</v>
      </c>
      <c r="L1192" s="163"/>
      <c r="M1192" s="163" t="s">
        <v>159</v>
      </c>
      <c r="N1192" s="163" t="s">
        <v>102</v>
      </c>
      <c r="O1192" s="162"/>
      <c r="P1192" s="163"/>
      <c r="Q1192" s="163"/>
      <c r="R1192" s="163"/>
      <c r="S1192" s="163" t="s">
        <v>103</v>
      </c>
      <c r="T1192" s="164">
        <v>30000</v>
      </c>
      <c r="U1192" s="164">
        <v>33000</v>
      </c>
      <c r="V1192" s="165">
        <v>46313</v>
      </c>
      <c r="W1192" s="163"/>
      <c r="X1192" s="163" t="s">
        <v>27</v>
      </c>
      <c r="Y1192" s="163"/>
      <c r="Z1192" s="163"/>
      <c r="AA1192" s="162"/>
      <c r="AB1192" s="195" t="s">
        <v>24</v>
      </c>
      <c r="AC1192" s="163"/>
      <c r="AD1192" s="163" t="str">
        <f t="shared" si="131"/>
        <v/>
      </c>
      <c r="AE1192" s="163"/>
    </row>
    <row r="1193" spans="1:31" x14ac:dyDescent="0.35">
      <c r="A1193" s="162">
        <v>46313</v>
      </c>
      <c r="B1193" s="163" t="s">
        <v>1331</v>
      </c>
      <c r="C1193" s="163" t="s">
        <v>93</v>
      </c>
      <c r="D1193" s="163" t="s">
        <v>1880</v>
      </c>
      <c r="E1193" s="163" t="s">
        <v>95</v>
      </c>
      <c r="F1193" s="163" t="s">
        <v>135</v>
      </c>
      <c r="G1193" s="163"/>
      <c r="H1193" s="163" t="s">
        <v>115</v>
      </c>
      <c r="I1193" s="163" t="s">
        <v>121</v>
      </c>
      <c r="J1193" s="163" t="s">
        <v>378</v>
      </c>
      <c r="K1193" s="163" t="s">
        <v>614</v>
      </c>
      <c r="L1193" s="163"/>
      <c r="M1193" s="163" t="s">
        <v>159</v>
      </c>
      <c r="N1193" s="163" t="s">
        <v>102</v>
      </c>
      <c r="O1193" s="162"/>
      <c r="P1193" s="163"/>
      <c r="Q1193" s="163"/>
      <c r="R1193" s="163"/>
      <c r="S1193" s="163" t="s">
        <v>103</v>
      </c>
      <c r="T1193" s="164">
        <v>65000</v>
      </c>
      <c r="U1193" s="164">
        <v>75000</v>
      </c>
      <c r="V1193" s="165">
        <v>46313</v>
      </c>
      <c r="W1193" s="163"/>
      <c r="X1193" s="163" t="s">
        <v>27</v>
      </c>
      <c r="Y1193" s="163"/>
      <c r="Z1193" s="163"/>
      <c r="AA1193" s="162"/>
      <c r="AB1193" s="195" t="s">
        <v>24</v>
      </c>
      <c r="AC1193" s="163"/>
      <c r="AD1193" s="163" t="str">
        <f t="shared" si="131"/>
        <v/>
      </c>
      <c r="AE1193" s="163"/>
    </row>
    <row r="1194" spans="1:31" x14ac:dyDescent="0.35">
      <c r="A1194" s="162">
        <v>46313</v>
      </c>
      <c r="B1194" s="163" t="s">
        <v>370</v>
      </c>
      <c r="C1194" s="163" t="s">
        <v>93</v>
      </c>
      <c r="D1194" s="163" t="s">
        <v>1879</v>
      </c>
      <c r="E1194" s="163" t="s">
        <v>106</v>
      </c>
      <c r="F1194" s="163" t="s">
        <v>135</v>
      </c>
      <c r="G1194" s="163"/>
      <c r="H1194" s="163" t="s">
        <v>115</v>
      </c>
      <c r="I1194" s="163" t="s">
        <v>121</v>
      </c>
      <c r="J1194" s="163" t="s">
        <v>378</v>
      </c>
      <c r="K1194" s="163" t="s">
        <v>1857</v>
      </c>
      <c r="L1194" s="163"/>
      <c r="M1194" s="163" t="s">
        <v>1877</v>
      </c>
      <c r="N1194" s="163" t="s">
        <v>181</v>
      </c>
      <c r="O1194" s="162"/>
      <c r="P1194" s="163"/>
      <c r="Q1194" s="163"/>
      <c r="R1194" s="163"/>
      <c r="S1194" s="163" t="s">
        <v>103</v>
      </c>
      <c r="T1194" s="164"/>
      <c r="U1194" s="164"/>
      <c r="V1194" s="165">
        <v>46313</v>
      </c>
      <c r="W1194" s="163"/>
      <c r="X1194" s="163" t="s">
        <v>27</v>
      </c>
      <c r="Y1194" s="163"/>
      <c r="Z1194" s="163"/>
      <c r="AA1194" s="162"/>
      <c r="AB1194" s="195" t="s">
        <v>24</v>
      </c>
      <c r="AC1194" s="163"/>
      <c r="AD1194" s="163" t="str">
        <f t="shared" ref="AD1194:AD1195" si="139">IF(AC1194="Yes",U1194*2%,"")</f>
        <v/>
      </c>
      <c r="AE1194" s="163"/>
    </row>
    <row r="1195" spans="1:31" x14ac:dyDescent="0.35">
      <c r="A1195" s="162">
        <v>46313</v>
      </c>
      <c r="B1195" s="163" t="s">
        <v>370</v>
      </c>
      <c r="C1195" s="163" t="s">
        <v>93</v>
      </c>
      <c r="D1195" s="163" t="s">
        <v>1880</v>
      </c>
      <c r="E1195" s="163" t="s">
        <v>106</v>
      </c>
      <c r="F1195" s="163" t="s">
        <v>135</v>
      </c>
      <c r="G1195" s="163"/>
      <c r="H1195" s="163" t="s">
        <v>115</v>
      </c>
      <c r="I1195" s="163" t="s">
        <v>121</v>
      </c>
      <c r="J1195" s="163" t="s">
        <v>378</v>
      </c>
      <c r="K1195" s="163" t="s">
        <v>614</v>
      </c>
      <c r="L1195" s="163"/>
      <c r="M1195" s="163" t="s">
        <v>1877</v>
      </c>
      <c r="N1195" s="163" t="s">
        <v>181</v>
      </c>
      <c r="O1195" s="162"/>
      <c r="P1195" s="163"/>
      <c r="Q1195" s="163"/>
      <c r="R1195" s="163"/>
      <c r="S1195" s="163" t="s">
        <v>103</v>
      </c>
      <c r="T1195" s="164"/>
      <c r="U1195" s="164"/>
      <c r="V1195" s="165">
        <v>46313</v>
      </c>
      <c r="W1195" s="163"/>
      <c r="X1195" s="163" t="s">
        <v>27</v>
      </c>
      <c r="Y1195" s="163"/>
      <c r="Z1195" s="163"/>
      <c r="AA1195" s="162"/>
      <c r="AB1195" s="195" t="s">
        <v>24</v>
      </c>
      <c r="AC1195" s="163"/>
      <c r="AD1195" s="163" t="str">
        <f t="shared" si="139"/>
        <v/>
      </c>
      <c r="AE1195" s="163"/>
    </row>
    <row r="1196" spans="1:31" x14ac:dyDescent="0.35">
      <c r="A1196" s="162">
        <v>46313</v>
      </c>
      <c r="B1196" s="163" t="s">
        <v>92</v>
      </c>
      <c r="C1196" s="163" t="s">
        <v>93</v>
      </c>
      <c r="D1196" s="163" t="s">
        <v>1880</v>
      </c>
      <c r="E1196" s="163" t="s">
        <v>106</v>
      </c>
      <c r="F1196" s="163" t="s">
        <v>135</v>
      </c>
      <c r="G1196" s="163"/>
      <c r="H1196" s="163" t="s">
        <v>115</v>
      </c>
      <c r="I1196" s="163" t="s">
        <v>121</v>
      </c>
      <c r="J1196" s="163" t="s">
        <v>378</v>
      </c>
      <c r="K1196" s="163" t="s">
        <v>614</v>
      </c>
      <c r="L1196" s="163"/>
      <c r="M1196" s="163" t="s">
        <v>1877</v>
      </c>
      <c r="N1196" s="163" t="s">
        <v>102</v>
      </c>
      <c r="O1196" s="162"/>
      <c r="P1196" s="163"/>
      <c r="Q1196" s="163"/>
      <c r="R1196" s="163"/>
      <c r="S1196" s="163" t="s">
        <v>103</v>
      </c>
      <c r="T1196" s="164"/>
      <c r="U1196" s="164"/>
      <c r="V1196" s="165">
        <v>46313</v>
      </c>
      <c r="W1196" s="163"/>
      <c r="X1196" s="163" t="s">
        <v>27</v>
      </c>
      <c r="Y1196" s="163"/>
      <c r="Z1196" s="163"/>
      <c r="AA1196" s="162"/>
      <c r="AB1196" s="195" t="s">
        <v>24</v>
      </c>
      <c r="AC1196" s="163"/>
      <c r="AD1196" s="163" t="str">
        <f t="shared" ref="AD1196:AD1197" si="140">IF(AC1196="Yes",U1196*2%,"")</f>
        <v/>
      </c>
      <c r="AE1196" s="163"/>
    </row>
    <row r="1197" spans="1:31" x14ac:dyDescent="0.35">
      <c r="A1197" s="162">
        <v>46313</v>
      </c>
      <c r="B1197" s="163" t="s">
        <v>92</v>
      </c>
      <c r="C1197" s="163" t="s">
        <v>93</v>
      </c>
      <c r="D1197" s="163" t="s">
        <v>1879</v>
      </c>
      <c r="E1197" s="163" t="s">
        <v>106</v>
      </c>
      <c r="F1197" s="163" t="s">
        <v>135</v>
      </c>
      <c r="G1197" s="163"/>
      <c r="H1197" s="163" t="s">
        <v>115</v>
      </c>
      <c r="I1197" s="163" t="s">
        <v>121</v>
      </c>
      <c r="J1197" s="163" t="s">
        <v>378</v>
      </c>
      <c r="K1197" s="163" t="s">
        <v>1857</v>
      </c>
      <c r="L1197" s="163"/>
      <c r="M1197" s="163" t="s">
        <v>1877</v>
      </c>
      <c r="N1197" s="163" t="s">
        <v>102</v>
      </c>
      <c r="O1197" s="162"/>
      <c r="P1197" s="163"/>
      <c r="Q1197" s="163"/>
      <c r="R1197" s="163"/>
      <c r="S1197" s="163" t="s">
        <v>103</v>
      </c>
      <c r="T1197" s="164"/>
      <c r="U1197" s="164"/>
      <c r="V1197" s="165">
        <v>46313</v>
      </c>
      <c r="W1197" s="163"/>
      <c r="X1197" s="163" t="s">
        <v>27</v>
      </c>
      <c r="Y1197" s="163"/>
      <c r="Z1197" s="163"/>
      <c r="AA1197" s="162"/>
      <c r="AB1197" s="195" t="s">
        <v>24</v>
      </c>
      <c r="AC1197" s="163"/>
      <c r="AD1197" s="163" t="str">
        <f t="shared" si="140"/>
        <v/>
      </c>
      <c r="AE1197" s="163"/>
    </row>
    <row r="1198" spans="1:31" x14ac:dyDescent="0.35">
      <c r="A1198" s="162">
        <v>46314</v>
      </c>
      <c r="B1198" s="163" t="s">
        <v>370</v>
      </c>
      <c r="C1198" s="163" t="s">
        <v>93</v>
      </c>
      <c r="D1198" s="163" t="s">
        <v>1881</v>
      </c>
      <c r="E1198" s="163" t="s">
        <v>106</v>
      </c>
      <c r="F1198" s="163" t="s">
        <v>135</v>
      </c>
      <c r="G1198" s="163"/>
      <c r="H1198" s="163" t="s">
        <v>163</v>
      </c>
      <c r="I1198" s="163" t="s">
        <v>121</v>
      </c>
      <c r="J1198" s="163" t="s">
        <v>147</v>
      </c>
      <c r="K1198" s="163" t="s">
        <v>1882</v>
      </c>
      <c r="L1198" s="163"/>
      <c r="M1198" s="163" t="s">
        <v>1883</v>
      </c>
      <c r="N1198" s="163" t="s">
        <v>156</v>
      </c>
      <c r="O1198" s="162">
        <v>46324</v>
      </c>
      <c r="P1198" s="163" t="s">
        <v>95</v>
      </c>
      <c r="Q1198" s="163"/>
      <c r="R1198" s="163"/>
      <c r="S1198" s="163" t="s">
        <v>103</v>
      </c>
      <c r="T1198" s="164">
        <v>50000</v>
      </c>
      <c r="U1198" s="164"/>
      <c r="V1198" s="165"/>
      <c r="W1198" s="163"/>
      <c r="X1198" s="163"/>
      <c r="Y1198" s="163"/>
      <c r="Z1198" s="163"/>
      <c r="AA1198" s="162"/>
      <c r="AB1198" s="195" t="s">
        <v>24</v>
      </c>
      <c r="AC1198" s="163"/>
      <c r="AD1198" s="163"/>
      <c r="AE1198" s="163"/>
    </row>
    <row r="1199" spans="1:31" x14ac:dyDescent="0.35">
      <c r="A1199" s="162">
        <v>46315</v>
      </c>
      <c r="B1199" s="163" t="s">
        <v>370</v>
      </c>
      <c r="C1199" s="163" t="s">
        <v>93</v>
      </c>
      <c r="D1199" s="163" t="s">
        <v>1884</v>
      </c>
      <c r="E1199" s="163" t="s">
        <v>106</v>
      </c>
      <c r="F1199" s="163" t="s">
        <v>135</v>
      </c>
      <c r="G1199" s="163"/>
      <c r="H1199" s="163" t="s">
        <v>226</v>
      </c>
      <c r="I1199" s="163" t="s">
        <v>121</v>
      </c>
      <c r="J1199" s="163" t="s">
        <v>388</v>
      </c>
      <c r="K1199" s="163" t="s">
        <v>1885</v>
      </c>
      <c r="L1199" s="163"/>
      <c r="M1199" s="163" t="s">
        <v>1886</v>
      </c>
      <c r="N1199" s="163" t="s">
        <v>102</v>
      </c>
      <c r="O1199" s="162"/>
      <c r="P1199" s="163"/>
      <c r="Q1199" s="163"/>
      <c r="R1199" s="163"/>
      <c r="S1199" s="163" t="s">
        <v>103</v>
      </c>
      <c r="T1199" s="164">
        <v>50000</v>
      </c>
      <c r="U1199" s="164">
        <v>36868</v>
      </c>
      <c r="V1199" s="165">
        <v>46313</v>
      </c>
      <c r="W1199" s="163"/>
      <c r="X1199" s="163" t="s">
        <v>1865</v>
      </c>
      <c r="Y1199" s="163" t="s">
        <v>161</v>
      </c>
      <c r="Z1199" s="163"/>
      <c r="AA1199" s="162"/>
      <c r="AB1199" s="195" t="s">
        <v>24</v>
      </c>
      <c r="AC1199" s="163"/>
      <c r="AD1199" s="163"/>
      <c r="AE1199" s="163"/>
    </row>
    <row r="1200" spans="1:31" x14ac:dyDescent="0.35">
      <c r="A1200" s="162">
        <v>46315</v>
      </c>
      <c r="B1200" s="163" t="s">
        <v>370</v>
      </c>
      <c r="C1200" s="163" t="s">
        <v>93</v>
      </c>
      <c r="D1200" s="163" t="s">
        <v>1887</v>
      </c>
      <c r="E1200" s="163" t="s">
        <v>106</v>
      </c>
      <c r="F1200" s="163" t="s">
        <v>135</v>
      </c>
      <c r="G1200" s="163"/>
      <c r="H1200" s="163" t="s">
        <v>163</v>
      </c>
      <c r="I1200" s="163" t="s">
        <v>121</v>
      </c>
      <c r="J1200" s="163" t="s">
        <v>147</v>
      </c>
      <c r="K1200" s="163" t="s">
        <v>1888</v>
      </c>
      <c r="L1200" s="163"/>
      <c r="M1200" s="163" t="s">
        <v>1883</v>
      </c>
      <c r="N1200" s="163" t="s">
        <v>156</v>
      </c>
      <c r="O1200" s="162">
        <v>46324</v>
      </c>
      <c r="P1200" s="163" t="s">
        <v>95</v>
      </c>
      <c r="Q1200" s="163"/>
      <c r="R1200" s="163"/>
      <c r="S1200" s="163" t="s">
        <v>103</v>
      </c>
      <c r="T1200" s="164">
        <v>50000</v>
      </c>
      <c r="U1200" s="164"/>
      <c r="V1200" s="165"/>
      <c r="W1200" s="163"/>
      <c r="X1200" s="163"/>
      <c r="Y1200" s="163"/>
      <c r="Z1200" s="163"/>
      <c r="AA1200" s="162"/>
      <c r="AB1200" s="195" t="s">
        <v>24</v>
      </c>
      <c r="AC1200" s="163"/>
      <c r="AD1200" s="163"/>
      <c r="AE1200" s="163"/>
    </row>
    <row r="1201" spans="1:31" x14ac:dyDescent="0.35">
      <c r="A1201" s="162">
        <v>46316</v>
      </c>
      <c r="B1201" s="163" t="s">
        <v>370</v>
      </c>
      <c r="C1201" s="163" t="s">
        <v>93</v>
      </c>
      <c r="D1201" s="163" t="s">
        <v>1889</v>
      </c>
      <c r="E1201" s="163" t="s">
        <v>106</v>
      </c>
      <c r="F1201" s="163" t="s">
        <v>135</v>
      </c>
      <c r="G1201" s="163"/>
      <c r="H1201" s="163" t="s">
        <v>115</v>
      </c>
      <c r="I1201" s="163" t="s">
        <v>121</v>
      </c>
      <c r="J1201" s="163" t="s">
        <v>266</v>
      </c>
      <c r="K1201" s="163" t="s">
        <v>379</v>
      </c>
      <c r="L1201" s="163"/>
      <c r="M1201" s="163" t="s">
        <v>159</v>
      </c>
      <c r="N1201" s="163" t="s">
        <v>102</v>
      </c>
      <c r="O1201" s="162"/>
      <c r="P1201" s="163"/>
      <c r="Q1201" s="163"/>
      <c r="R1201" s="163"/>
      <c r="S1201" s="163" t="s">
        <v>103</v>
      </c>
      <c r="T1201" s="164">
        <v>10000</v>
      </c>
      <c r="U1201" s="164">
        <v>5650</v>
      </c>
      <c r="V1201" s="165">
        <v>46316</v>
      </c>
      <c r="W1201" s="163" t="s">
        <v>1890</v>
      </c>
      <c r="X1201" s="163" t="s">
        <v>57</v>
      </c>
      <c r="Y1201" s="163" t="s">
        <v>1017</v>
      </c>
      <c r="Z1201" s="163"/>
      <c r="AA1201" s="162"/>
      <c r="AB1201" s="195" t="s">
        <v>24</v>
      </c>
      <c r="AC1201" s="163"/>
      <c r="AD1201" s="163" t="str">
        <f t="shared" ref="AD1201:AD1233" si="141">IF(AC1201="Yes",U1201*2%,"")</f>
        <v/>
      </c>
      <c r="AE1201" s="163" t="s">
        <v>270</v>
      </c>
    </row>
    <row r="1202" spans="1:31" x14ac:dyDescent="0.35">
      <c r="A1202" s="162">
        <v>46318</v>
      </c>
      <c r="B1202" s="163" t="s">
        <v>370</v>
      </c>
      <c r="C1202" s="163" t="s">
        <v>93</v>
      </c>
      <c r="D1202" s="163" t="s">
        <v>1891</v>
      </c>
      <c r="E1202" s="163" t="s">
        <v>106</v>
      </c>
      <c r="F1202" s="163" t="s">
        <v>135</v>
      </c>
      <c r="G1202" s="163"/>
      <c r="H1202" s="163" t="s">
        <v>115</v>
      </c>
      <c r="I1202" s="163" t="s">
        <v>121</v>
      </c>
      <c r="J1202" s="163" t="s">
        <v>698</v>
      </c>
      <c r="K1202" s="163" t="s">
        <v>1892</v>
      </c>
      <c r="L1202" s="163"/>
      <c r="M1202" s="163" t="s">
        <v>159</v>
      </c>
      <c r="N1202" s="163" t="s">
        <v>102</v>
      </c>
      <c r="O1202" s="162"/>
      <c r="P1202" s="163"/>
      <c r="Q1202" s="163"/>
      <c r="R1202" s="163"/>
      <c r="S1202" s="163" t="s">
        <v>103</v>
      </c>
      <c r="T1202" s="164">
        <v>15000</v>
      </c>
      <c r="U1202" s="164">
        <v>9864</v>
      </c>
      <c r="V1202" s="165">
        <v>46318</v>
      </c>
      <c r="W1202" s="163" t="s">
        <v>1893</v>
      </c>
      <c r="X1202" s="163" t="s">
        <v>56</v>
      </c>
      <c r="Y1202" s="163" t="s">
        <v>161</v>
      </c>
      <c r="Z1202" s="163"/>
      <c r="AA1202" s="162">
        <v>46318</v>
      </c>
      <c r="AB1202" s="195" t="s">
        <v>24</v>
      </c>
      <c r="AC1202" s="163"/>
      <c r="AD1202" s="163"/>
      <c r="AE1202" s="163" t="s">
        <v>270</v>
      </c>
    </row>
    <row r="1203" spans="1:31" x14ac:dyDescent="0.35">
      <c r="A1203" s="162">
        <v>46320</v>
      </c>
      <c r="B1203" s="163" t="s">
        <v>370</v>
      </c>
      <c r="C1203" s="163" t="s">
        <v>93</v>
      </c>
      <c r="D1203" s="163" t="s">
        <v>1889</v>
      </c>
      <c r="E1203" s="163" t="s">
        <v>106</v>
      </c>
      <c r="F1203" s="163" t="s">
        <v>135</v>
      </c>
      <c r="G1203" s="163"/>
      <c r="H1203" s="163" t="s">
        <v>115</v>
      </c>
      <c r="I1203" s="163" t="s">
        <v>121</v>
      </c>
      <c r="J1203" s="163" t="s">
        <v>266</v>
      </c>
      <c r="K1203" s="163" t="s">
        <v>379</v>
      </c>
      <c r="L1203" s="163"/>
      <c r="M1203" s="163" t="s">
        <v>159</v>
      </c>
      <c r="N1203" s="163" t="s">
        <v>102</v>
      </c>
      <c r="O1203" s="162"/>
      <c r="P1203" s="163"/>
      <c r="Q1203" s="163"/>
      <c r="R1203" s="163"/>
      <c r="S1203" s="163" t="s">
        <v>103</v>
      </c>
      <c r="T1203" s="164">
        <v>5000</v>
      </c>
      <c r="U1203" s="164">
        <v>2800</v>
      </c>
      <c r="V1203" s="165">
        <v>46320</v>
      </c>
      <c r="W1203" s="163" t="s">
        <v>1894</v>
      </c>
      <c r="X1203" s="163" t="s">
        <v>57</v>
      </c>
      <c r="Y1203" s="163" t="s">
        <v>1017</v>
      </c>
      <c r="Z1203" s="163"/>
      <c r="AA1203" s="162"/>
      <c r="AB1203" s="195" t="s">
        <v>24</v>
      </c>
      <c r="AC1203" s="163"/>
      <c r="AD1203" s="163" t="str">
        <f t="shared" ref="AD1203" si="142">IF(AC1203="Yes",U1203*2%,"")</f>
        <v/>
      </c>
      <c r="AE1203" s="163" t="s">
        <v>270</v>
      </c>
    </row>
    <row r="1204" spans="1:31" x14ac:dyDescent="0.35">
      <c r="A1204" s="162">
        <v>46323</v>
      </c>
      <c r="B1204" s="163" t="s">
        <v>370</v>
      </c>
      <c r="C1204" s="163" t="s">
        <v>93</v>
      </c>
      <c r="D1204" s="163" t="s">
        <v>19</v>
      </c>
      <c r="E1204" s="163" t="s">
        <v>95</v>
      </c>
      <c r="F1204" s="163" t="s">
        <v>96</v>
      </c>
      <c r="G1204" s="163" t="s">
        <v>10</v>
      </c>
      <c r="H1204" s="163" t="s">
        <v>115</v>
      </c>
      <c r="I1204" s="163" t="s">
        <v>121</v>
      </c>
      <c r="J1204" s="163" t="s">
        <v>99</v>
      </c>
      <c r="K1204" s="163" t="s">
        <v>256</v>
      </c>
      <c r="L1204" s="163"/>
      <c r="M1204" s="163" t="s">
        <v>159</v>
      </c>
      <c r="N1204" s="163" t="s">
        <v>102</v>
      </c>
      <c r="O1204" s="162"/>
      <c r="P1204" s="163"/>
      <c r="Q1204" s="163"/>
      <c r="R1204" s="163" t="str">
        <f ca="1">IF(OR(N1204="Closed( C4 )",N1204="Cancelled"),"",IF(AND(O1204&lt;&gt;"",O1204&lt;TODAY()),"Yes",""))</f>
        <v/>
      </c>
      <c r="S1204" s="163" t="s">
        <v>103</v>
      </c>
      <c r="T1204" s="164">
        <v>100000</v>
      </c>
      <c r="U1204" s="164">
        <v>203700</v>
      </c>
      <c r="V1204" s="165">
        <v>46323</v>
      </c>
      <c r="W1204" s="163" t="s">
        <v>1895</v>
      </c>
      <c r="X1204" s="163" t="s">
        <v>27</v>
      </c>
      <c r="Y1204" s="163" t="s">
        <v>1017</v>
      </c>
      <c r="Z1204" s="163"/>
      <c r="AA1204" s="162"/>
      <c r="AB1204" s="195" t="str">
        <f>IF($V1204="",TEXT($A1204,"MMM-YY"),TEXT($V1204,"MMM-YY"))</f>
        <v>Oct-26</v>
      </c>
      <c r="AC1204" s="163"/>
      <c r="AD1204" s="163" t="str">
        <f t="shared" si="141"/>
        <v/>
      </c>
      <c r="AE1204" s="163"/>
    </row>
    <row r="1205" spans="1:31" x14ac:dyDescent="0.35">
      <c r="A1205" s="162">
        <v>46323</v>
      </c>
      <c r="B1205" s="163" t="s">
        <v>125</v>
      </c>
      <c r="C1205" s="163" t="s">
        <v>93</v>
      </c>
      <c r="D1205" s="163" t="s">
        <v>19</v>
      </c>
      <c r="E1205" s="163" t="s">
        <v>95</v>
      </c>
      <c r="F1205" s="163" t="s">
        <v>96</v>
      </c>
      <c r="G1205" s="163" t="s">
        <v>10</v>
      </c>
      <c r="H1205" s="163" t="s">
        <v>115</v>
      </c>
      <c r="I1205" s="163" t="s">
        <v>121</v>
      </c>
      <c r="J1205" s="163" t="s">
        <v>99</v>
      </c>
      <c r="K1205" s="163" t="s">
        <v>256</v>
      </c>
      <c r="L1205" s="163"/>
      <c r="M1205" s="163" t="s">
        <v>159</v>
      </c>
      <c r="N1205" s="163" t="s">
        <v>102</v>
      </c>
      <c r="O1205" s="162"/>
      <c r="P1205" s="163"/>
      <c r="Q1205" s="163"/>
      <c r="R1205" s="163" t="str">
        <f ca="1">IF(OR(N1205="Closed( C4 )",N1205="Cancelled"),"",IF(AND(O1205&lt;&gt;"",O1205&lt;TODAY()),"Yes",""))</f>
        <v/>
      </c>
      <c r="S1205" s="163" t="s">
        <v>103</v>
      </c>
      <c r="T1205" s="164">
        <v>100000</v>
      </c>
      <c r="U1205" s="164">
        <v>203700</v>
      </c>
      <c r="V1205" s="165">
        <v>46323</v>
      </c>
      <c r="W1205" s="163" t="s">
        <v>1895</v>
      </c>
      <c r="X1205" s="163" t="s">
        <v>27</v>
      </c>
      <c r="Y1205" s="163" t="s">
        <v>1017</v>
      </c>
      <c r="Z1205" s="163"/>
      <c r="AA1205" s="162"/>
      <c r="AB1205" s="195" t="str">
        <f>IF($V1205="",TEXT($A1205,"MMM-YY"),TEXT($V1205,"MMM-YY"))</f>
        <v>Oct-26</v>
      </c>
      <c r="AC1205" s="163"/>
      <c r="AD1205" s="163" t="str">
        <f t="shared" si="141"/>
        <v/>
      </c>
      <c r="AE1205" s="163"/>
    </row>
    <row r="1206" spans="1:31" x14ac:dyDescent="0.35">
      <c r="A1206" s="162">
        <v>46323</v>
      </c>
      <c r="B1206" s="163" t="s">
        <v>92</v>
      </c>
      <c r="C1206" s="163" t="s">
        <v>93</v>
      </c>
      <c r="D1206" s="163" t="s">
        <v>1042</v>
      </c>
      <c r="E1206" s="163" t="s">
        <v>106</v>
      </c>
      <c r="F1206" s="163" t="s">
        <v>135</v>
      </c>
      <c r="G1206" s="163"/>
      <c r="H1206" s="163" t="s">
        <v>115</v>
      </c>
      <c r="I1206" s="163" t="s">
        <v>121</v>
      </c>
      <c r="J1206" s="163" t="s">
        <v>147</v>
      </c>
      <c r="K1206" s="163" t="s">
        <v>812</v>
      </c>
      <c r="L1206" s="163"/>
      <c r="M1206" s="163" t="s">
        <v>1896</v>
      </c>
      <c r="N1206" s="163" t="s">
        <v>495</v>
      </c>
      <c r="O1206" s="162">
        <v>46324</v>
      </c>
      <c r="P1206" s="163"/>
      <c r="Q1206" s="163"/>
      <c r="R1206" s="163"/>
      <c r="S1206" s="163" t="s">
        <v>103</v>
      </c>
      <c r="T1206" s="164">
        <v>77000</v>
      </c>
      <c r="U1206" s="164"/>
      <c r="V1206" s="165"/>
      <c r="W1206" s="163"/>
      <c r="X1206" s="163"/>
      <c r="Y1206" s="163"/>
      <c r="Z1206" s="163"/>
      <c r="AA1206" s="162"/>
      <c r="AB1206" s="195" t="s">
        <v>24</v>
      </c>
      <c r="AC1206" s="163"/>
      <c r="AD1206" s="163" t="str">
        <f t="shared" si="141"/>
        <v/>
      </c>
      <c r="AE1206" s="163"/>
    </row>
    <row r="1207" spans="1:31" x14ac:dyDescent="0.35">
      <c r="A1207" s="162">
        <v>46324</v>
      </c>
      <c r="B1207" s="163" t="s">
        <v>370</v>
      </c>
      <c r="C1207" s="163" t="s">
        <v>93</v>
      </c>
      <c r="D1207" s="163" t="s">
        <v>1897</v>
      </c>
      <c r="E1207" s="163" t="s">
        <v>106</v>
      </c>
      <c r="F1207" s="163" t="s">
        <v>96</v>
      </c>
      <c r="G1207" s="163" t="s">
        <v>12</v>
      </c>
      <c r="H1207" s="163" t="s">
        <v>163</v>
      </c>
      <c r="I1207" s="163" t="s">
        <v>121</v>
      </c>
      <c r="J1207" s="163" t="s">
        <v>99</v>
      </c>
      <c r="K1207" s="163" t="s">
        <v>511</v>
      </c>
      <c r="L1207" s="163"/>
      <c r="M1207" s="163" t="s">
        <v>159</v>
      </c>
      <c r="N1207" s="163" t="s">
        <v>102</v>
      </c>
      <c r="O1207" s="162"/>
      <c r="P1207" s="163"/>
      <c r="Q1207" s="163"/>
      <c r="R1207" s="163"/>
      <c r="S1207" s="163" t="s">
        <v>103</v>
      </c>
      <c r="T1207" s="164">
        <v>70000</v>
      </c>
      <c r="U1207" s="164">
        <v>75000</v>
      </c>
      <c r="V1207" s="165">
        <v>46324</v>
      </c>
      <c r="W1207" s="163"/>
      <c r="X1207" s="163" t="s">
        <v>50</v>
      </c>
      <c r="Y1207" s="163" t="s">
        <v>1017</v>
      </c>
      <c r="Z1207" s="163"/>
      <c r="AA1207" s="162"/>
      <c r="AB1207" s="195" t="s">
        <v>24</v>
      </c>
      <c r="AC1207" s="163"/>
      <c r="AD1207" s="163" t="str">
        <f t="shared" si="141"/>
        <v/>
      </c>
      <c r="AE1207" s="163"/>
    </row>
    <row r="1208" spans="1:31" x14ac:dyDescent="0.35">
      <c r="A1208" s="162">
        <v>46325</v>
      </c>
      <c r="B1208" s="163" t="s">
        <v>370</v>
      </c>
      <c r="C1208" s="163" t="s">
        <v>93</v>
      </c>
      <c r="D1208" s="163" t="s">
        <v>1897</v>
      </c>
      <c r="E1208" s="163" t="s">
        <v>106</v>
      </c>
      <c r="F1208" s="163" t="s">
        <v>96</v>
      </c>
      <c r="G1208" s="163" t="s">
        <v>12</v>
      </c>
      <c r="H1208" s="163" t="s">
        <v>163</v>
      </c>
      <c r="I1208" s="163" t="s">
        <v>121</v>
      </c>
      <c r="J1208" s="163" t="s">
        <v>99</v>
      </c>
      <c r="K1208" s="163" t="s">
        <v>511</v>
      </c>
      <c r="L1208" s="163"/>
      <c r="M1208" s="163" t="s">
        <v>228</v>
      </c>
      <c r="N1208" s="163" t="s">
        <v>156</v>
      </c>
      <c r="O1208" s="162"/>
      <c r="P1208" s="163"/>
      <c r="Q1208" s="163"/>
      <c r="R1208" s="163"/>
      <c r="S1208" s="163" t="s">
        <v>103</v>
      </c>
      <c r="T1208" s="164">
        <v>45000</v>
      </c>
      <c r="U1208" s="164"/>
      <c r="V1208" s="165">
        <v>46325</v>
      </c>
      <c r="W1208" s="163"/>
      <c r="X1208" s="163" t="s">
        <v>50</v>
      </c>
      <c r="Y1208" s="163"/>
      <c r="Z1208" s="163"/>
      <c r="AA1208" s="162"/>
      <c r="AB1208" s="195" t="s">
        <v>24</v>
      </c>
      <c r="AC1208" s="163"/>
      <c r="AD1208" s="163" t="str">
        <f t="shared" si="141"/>
        <v/>
      </c>
      <c r="AE1208" s="163"/>
    </row>
    <row r="1209" spans="1:31" x14ac:dyDescent="0.35">
      <c r="A1209" s="162">
        <v>46324</v>
      </c>
      <c r="B1209" s="163" t="s">
        <v>370</v>
      </c>
      <c r="C1209" s="163" t="s">
        <v>93</v>
      </c>
      <c r="D1209" s="163" t="s">
        <v>1898</v>
      </c>
      <c r="E1209" s="163" t="s">
        <v>106</v>
      </c>
      <c r="F1209" s="163" t="s">
        <v>96</v>
      </c>
      <c r="G1209" s="163" t="s">
        <v>12</v>
      </c>
      <c r="H1209" s="163" t="s">
        <v>163</v>
      </c>
      <c r="I1209" s="163" t="s">
        <v>121</v>
      </c>
      <c r="J1209" s="163" t="s">
        <v>99</v>
      </c>
      <c r="K1209" s="163" t="s">
        <v>100</v>
      </c>
      <c r="L1209" s="163"/>
      <c r="M1209" s="163" t="s">
        <v>159</v>
      </c>
      <c r="N1209" s="163" t="s">
        <v>102</v>
      </c>
      <c r="O1209" s="162"/>
      <c r="P1209" s="163"/>
      <c r="Q1209" s="163"/>
      <c r="R1209" s="163"/>
      <c r="S1209" s="163" t="s">
        <v>103</v>
      </c>
      <c r="T1209" s="164">
        <v>30000</v>
      </c>
      <c r="U1209" s="164">
        <v>34427</v>
      </c>
      <c r="V1209" s="165">
        <v>46324</v>
      </c>
      <c r="W1209" s="163"/>
      <c r="X1209" s="163" t="s">
        <v>30</v>
      </c>
      <c r="Y1209" s="163" t="s">
        <v>1017</v>
      </c>
      <c r="Z1209" s="163"/>
      <c r="AA1209" s="162"/>
      <c r="AB1209" s="195" t="s">
        <v>24</v>
      </c>
      <c r="AC1209" s="163"/>
      <c r="AD1209" s="163" t="str">
        <f t="shared" si="141"/>
        <v/>
      </c>
      <c r="AE1209" s="163"/>
    </row>
    <row r="1210" spans="1:31" x14ac:dyDescent="0.35">
      <c r="A1210" s="162">
        <v>46324</v>
      </c>
      <c r="B1210" s="163" t="s">
        <v>125</v>
      </c>
      <c r="C1210" s="163" t="s">
        <v>93</v>
      </c>
      <c r="D1210" s="163" t="s">
        <v>1222</v>
      </c>
      <c r="E1210" s="163" t="s">
        <v>95</v>
      </c>
      <c r="F1210" s="163" t="s">
        <v>96</v>
      </c>
      <c r="G1210" s="163" t="s">
        <v>12</v>
      </c>
      <c r="H1210" s="163" t="s">
        <v>163</v>
      </c>
      <c r="I1210" s="163" t="s">
        <v>121</v>
      </c>
      <c r="J1210" s="163" t="s">
        <v>99</v>
      </c>
      <c r="K1210" s="163" t="s">
        <v>100</v>
      </c>
      <c r="L1210" s="163"/>
      <c r="M1210" s="163" t="s">
        <v>159</v>
      </c>
      <c r="N1210" s="163" t="s">
        <v>102</v>
      </c>
      <c r="O1210" s="162"/>
      <c r="P1210" s="163"/>
      <c r="Q1210" s="163"/>
      <c r="R1210" s="163"/>
      <c r="S1210" s="163" t="s">
        <v>103</v>
      </c>
      <c r="T1210" s="164">
        <v>30000</v>
      </c>
      <c r="U1210" s="164">
        <v>34427</v>
      </c>
      <c r="V1210" s="165">
        <v>46324</v>
      </c>
      <c r="W1210" s="163"/>
      <c r="X1210" s="163" t="s">
        <v>30</v>
      </c>
      <c r="Y1210" s="163" t="s">
        <v>1017</v>
      </c>
      <c r="Z1210" s="163"/>
      <c r="AA1210" s="162"/>
      <c r="AB1210" s="195" t="s">
        <v>24</v>
      </c>
      <c r="AC1210" s="163"/>
      <c r="AD1210" s="163" t="str">
        <f t="shared" si="141"/>
        <v/>
      </c>
      <c r="AE1210" s="163"/>
    </row>
    <row r="1211" spans="1:31" x14ac:dyDescent="0.35">
      <c r="A1211" s="162"/>
      <c r="B1211" s="163"/>
      <c r="C1211" s="163"/>
      <c r="D1211" s="163"/>
      <c r="E1211" s="163"/>
      <c r="F1211" s="163"/>
      <c r="G1211" s="163"/>
      <c r="H1211" s="163"/>
      <c r="I1211" s="163"/>
      <c r="J1211" s="163"/>
      <c r="K1211" s="163"/>
      <c r="L1211" s="163"/>
      <c r="M1211" s="163"/>
      <c r="N1211" s="163"/>
      <c r="O1211" s="162"/>
      <c r="P1211" s="163"/>
      <c r="Q1211" s="163"/>
      <c r="R1211" s="163"/>
      <c r="S1211" s="163"/>
      <c r="T1211" s="164"/>
      <c r="U1211" s="164"/>
      <c r="V1211" s="165"/>
      <c r="W1211" s="163"/>
      <c r="X1211" s="163"/>
      <c r="Y1211" s="163"/>
      <c r="Z1211" s="163"/>
      <c r="AA1211" s="162"/>
      <c r="AB1211" s="195" t="s">
        <v>24</v>
      </c>
      <c r="AC1211" s="163"/>
      <c r="AD1211" s="163" t="str">
        <f t="shared" si="141"/>
        <v/>
      </c>
      <c r="AE1211" s="163"/>
    </row>
    <row r="1212" spans="1:31" x14ac:dyDescent="0.35">
      <c r="A1212" s="162"/>
      <c r="B1212" s="163"/>
      <c r="C1212" s="163"/>
      <c r="D1212" s="163"/>
      <c r="E1212" s="163"/>
      <c r="F1212" s="163"/>
      <c r="G1212" s="163"/>
      <c r="H1212" s="163"/>
      <c r="I1212" s="163"/>
      <c r="J1212" s="163"/>
      <c r="K1212" s="163"/>
      <c r="L1212" s="163"/>
      <c r="M1212" s="163"/>
      <c r="N1212" s="163"/>
      <c r="O1212" s="162"/>
      <c r="P1212" s="163"/>
      <c r="Q1212" s="163"/>
      <c r="R1212" s="163"/>
      <c r="S1212" s="163"/>
      <c r="T1212" s="164"/>
      <c r="U1212" s="164"/>
      <c r="V1212" s="165"/>
      <c r="W1212" s="163"/>
      <c r="X1212" s="163"/>
      <c r="Y1212" s="163"/>
      <c r="Z1212" s="163"/>
      <c r="AA1212" s="162"/>
      <c r="AB1212" s="195" t="s">
        <v>24</v>
      </c>
      <c r="AC1212" s="163"/>
      <c r="AD1212" s="163" t="str">
        <f t="shared" si="141"/>
        <v/>
      </c>
      <c r="AE1212" s="163"/>
    </row>
    <row r="1213" spans="1:31" x14ac:dyDescent="0.35">
      <c r="A1213" s="162"/>
      <c r="B1213" s="163"/>
      <c r="C1213" s="163"/>
      <c r="D1213" s="163"/>
      <c r="E1213" s="163"/>
      <c r="F1213" s="163"/>
      <c r="G1213" s="163"/>
      <c r="H1213" s="163"/>
      <c r="I1213" s="163"/>
      <c r="J1213" s="163"/>
      <c r="K1213" s="163"/>
      <c r="L1213" s="163"/>
      <c r="M1213" s="163"/>
      <c r="N1213" s="163"/>
      <c r="O1213" s="162"/>
      <c r="P1213" s="163"/>
      <c r="Q1213" s="163"/>
      <c r="R1213" s="163"/>
      <c r="S1213" s="163"/>
      <c r="T1213" s="164"/>
      <c r="U1213" s="164"/>
      <c r="V1213" s="165"/>
      <c r="W1213" s="163"/>
      <c r="X1213" s="163"/>
      <c r="Y1213" s="163"/>
      <c r="Z1213" s="163"/>
      <c r="AA1213" s="162"/>
      <c r="AB1213" s="195" t="s">
        <v>24</v>
      </c>
      <c r="AC1213" s="163"/>
      <c r="AD1213" s="163" t="str">
        <f t="shared" si="141"/>
        <v/>
      </c>
      <c r="AE1213" s="163"/>
    </row>
    <row r="1214" spans="1:31" x14ac:dyDescent="0.35">
      <c r="A1214" s="162"/>
      <c r="B1214" s="163"/>
      <c r="C1214" s="163"/>
      <c r="D1214" s="163"/>
      <c r="E1214" s="163"/>
      <c r="F1214" s="163"/>
      <c r="G1214" s="163"/>
      <c r="H1214" s="163"/>
      <c r="I1214" s="163"/>
      <c r="J1214" s="163"/>
      <c r="K1214" s="163"/>
      <c r="L1214" s="163"/>
      <c r="M1214" s="163"/>
      <c r="N1214" s="163"/>
      <c r="O1214" s="162"/>
      <c r="P1214" s="163"/>
      <c r="Q1214" s="163"/>
      <c r="R1214" s="163"/>
      <c r="S1214" s="163"/>
      <c r="T1214" s="164"/>
      <c r="U1214" s="164"/>
      <c r="V1214" s="165"/>
      <c r="W1214" s="163"/>
      <c r="X1214" s="163"/>
      <c r="Y1214" s="163"/>
      <c r="Z1214" s="163"/>
      <c r="AA1214" s="162"/>
      <c r="AB1214" s="195" t="s">
        <v>24</v>
      </c>
      <c r="AC1214" s="163"/>
      <c r="AD1214" s="163" t="str">
        <f t="shared" si="141"/>
        <v/>
      </c>
      <c r="AE1214" s="163"/>
    </row>
    <row r="1215" spans="1:31" x14ac:dyDescent="0.35">
      <c r="A1215" s="162"/>
      <c r="B1215" s="163"/>
      <c r="C1215" s="163"/>
      <c r="D1215" s="163"/>
      <c r="E1215" s="163"/>
      <c r="F1215" s="163"/>
      <c r="G1215" s="163"/>
      <c r="H1215" s="163"/>
      <c r="I1215" s="163"/>
      <c r="J1215" s="163"/>
      <c r="K1215" s="163"/>
      <c r="L1215" s="163"/>
      <c r="M1215" s="163"/>
      <c r="N1215" s="163"/>
      <c r="O1215" s="162"/>
      <c r="P1215" s="163"/>
      <c r="Q1215" s="163"/>
      <c r="R1215" s="163"/>
      <c r="S1215" s="163"/>
      <c r="T1215" s="164"/>
      <c r="U1215" s="164"/>
      <c r="V1215" s="165"/>
      <c r="W1215" s="163"/>
      <c r="X1215" s="163"/>
      <c r="Y1215" s="163"/>
      <c r="Z1215" s="163"/>
      <c r="AA1215" s="162"/>
      <c r="AB1215" s="195" t="s">
        <v>24</v>
      </c>
      <c r="AC1215" s="163"/>
      <c r="AD1215" s="163" t="str">
        <f t="shared" si="141"/>
        <v/>
      </c>
      <c r="AE1215" s="163"/>
    </row>
    <row r="1216" spans="1:31" x14ac:dyDescent="0.35">
      <c r="A1216" s="162"/>
      <c r="B1216" s="163"/>
      <c r="C1216" s="163"/>
      <c r="D1216" s="163"/>
      <c r="E1216" s="163"/>
      <c r="F1216" s="163"/>
      <c r="G1216" s="163"/>
      <c r="H1216" s="163"/>
      <c r="I1216" s="163"/>
      <c r="J1216" s="163"/>
      <c r="K1216" s="163"/>
      <c r="L1216" s="163"/>
      <c r="M1216" s="163"/>
      <c r="N1216" s="163"/>
      <c r="O1216" s="162"/>
      <c r="P1216" s="163"/>
      <c r="Q1216" s="163"/>
      <c r="R1216" s="163"/>
      <c r="S1216" s="163"/>
      <c r="T1216" s="164"/>
      <c r="U1216" s="164"/>
      <c r="V1216" s="165"/>
      <c r="W1216" s="163"/>
      <c r="X1216" s="163"/>
      <c r="Y1216" s="163"/>
      <c r="Z1216" s="163"/>
      <c r="AA1216" s="162"/>
      <c r="AB1216" s="195" t="s">
        <v>24</v>
      </c>
      <c r="AC1216" s="163"/>
      <c r="AD1216" s="163" t="str">
        <f t="shared" si="141"/>
        <v/>
      </c>
      <c r="AE1216" s="163"/>
    </row>
    <row r="1217" spans="1:31" x14ac:dyDescent="0.35">
      <c r="A1217" s="162"/>
      <c r="B1217" s="163"/>
      <c r="C1217" s="163"/>
      <c r="D1217" s="163"/>
      <c r="E1217" s="163"/>
      <c r="F1217" s="163"/>
      <c r="G1217" s="163"/>
      <c r="H1217" s="163"/>
      <c r="I1217" s="163"/>
      <c r="J1217" s="163"/>
      <c r="K1217" s="163"/>
      <c r="L1217" s="163"/>
      <c r="M1217" s="163"/>
      <c r="N1217" s="163"/>
      <c r="O1217" s="162"/>
      <c r="P1217" s="163"/>
      <c r="Q1217" s="163"/>
      <c r="R1217" s="163"/>
      <c r="S1217" s="163"/>
      <c r="T1217" s="164"/>
      <c r="U1217" s="164"/>
      <c r="V1217" s="165"/>
      <c r="W1217" s="163"/>
      <c r="X1217" s="163"/>
      <c r="Y1217" s="163"/>
      <c r="Z1217" s="163"/>
      <c r="AA1217" s="162"/>
      <c r="AB1217" s="195" t="s">
        <v>24</v>
      </c>
      <c r="AC1217" s="163"/>
      <c r="AD1217" s="163" t="str">
        <f t="shared" si="141"/>
        <v/>
      </c>
      <c r="AE1217" s="163"/>
    </row>
    <row r="1218" spans="1:31" x14ac:dyDescent="0.35">
      <c r="A1218" s="162"/>
      <c r="B1218" s="163"/>
      <c r="C1218" s="163"/>
      <c r="D1218" s="163"/>
      <c r="E1218" s="163"/>
      <c r="F1218" s="163"/>
      <c r="G1218" s="163"/>
      <c r="H1218" s="163"/>
      <c r="I1218" s="163"/>
      <c r="J1218" s="163"/>
      <c r="K1218" s="163"/>
      <c r="L1218" s="163"/>
      <c r="M1218" s="163"/>
      <c r="N1218" s="163"/>
      <c r="O1218" s="162"/>
      <c r="P1218" s="163"/>
      <c r="Q1218" s="163"/>
      <c r="R1218" s="163"/>
      <c r="S1218" s="163"/>
      <c r="T1218" s="164"/>
      <c r="U1218" s="164"/>
      <c r="V1218" s="165"/>
      <c r="W1218" s="163"/>
      <c r="X1218" s="163"/>
      <c r="Y1218" s="163"/>
      <c r="Z1218" s="163"/>
      <c r="AA1218" s="162"/>
      <c r="AB1218" s="195" t="s">
        <v>24</v>
      </c>
      <c r="AC1218" s="163"/>
      <c r="AD1218" s="163" t="str">
        <f t="shared" si="141"/>
        <v/>
      </c>
      <c r="AE1218" s="163"/>
    </row>
    <row r="1219" spans="1:31" x14ac:dyDescent="0.35">
      <c r="A1219" s="162"/>
      <c r="B1219" s="163"/>
      <c r="C1219" s="163"/>
      <c r="D1219" s="163"/>
      <c r="E1219" s="163"/>
      <c r="F1219" s="163"/>
      <c r="G1219" s="163"/>
      <c r="H1219" s="163"/>
      <c r="I1219" s="163"/>
      <c r="J1219" s="163"/>
      <c r="K1219" s="163"/>
      <c r="L1219" s="163"/>
      <c r="M1219" s="163"/>
      <c r="N1219" s="163"/>
      <c r="O1219" s="162"/>
      <c r="P1219" s="163"/>
      <c r="Q1219" s="163"/>
      <c r="R1219" s="163"/>
      <c r="S1219" s="163"/>
      <c r="T1219" s="164"/>
      <c r="U1219" s="164"/>
      <c r="V1219" s="165"/>
      <c r="W1219" s="163"/>
      <c r="X1219" s="163"/>
      <c r="Y1219" s="163"/>
      <c r="Z1219" s="163"/>
      <c r="AA1219" s="162"/>
      <c r="AB1219" s="195" t="s">
        <v>24</v>
      </c>
      <c r="AC1219" s="163"/>
      <c r="AD1219" s="163" t="str">
        <f t="shared" si="141"/>
        <v/>
      </c>
      <c r="AE1219" s="163"/>
    </row>
    <row r="1220" spans="1:31" x14ac:dyDescent="0.35">
      <c r="A1220" s="162"/>
      <c r="B1220" s="163"/>
      <c r="C1220" s="163"/>
      <c r="D1220" s="163"/>
      <c r="E1220" s="163"/>
      <c r="F1220" s="163"/>
      <c r="G1220" s="163"/>
      <c r="H1220" s="163"/>
      <c r="I1220" s="163"/>
      <c r="J1220" s="163"/>
      <c r="K1220" s="163"/>
      <c r="L1220" s="163"/>
      <c r="M1220" s="163"/>
      <c r="N1220" s="163"/>
      <c r="O1220" s="162"/>
      <c r="P1220" s="163"/>
      <c r="Q1220" s="163"/>
      <c r="R1220" s="163"/>
      <c r="S1220" s="163"/>
      <c r="T1220" s="164"/>
      <c r="U1220" s="164"/>
      <c r="V1220" s="165"/>
      <c r="W1220" s="163"/>
      <c r="X1220" s="163"/>
      <c r="Y1220" s="163"/>
      <c r="Z1220" s="163"/>
      <c r="AA1220" s="162"/>
      <c r="AB1220" s="195" t="s">
        <v>24</v>
      </c>
      <c r="AC1220" s="163"/>
      <c r="AD1220" s="163" t="str">
        <f t="shared" si="141"/>
        <v/>
      </c>
      <c r="AE1220" s="163"/>
    </row>
    <row r="1221" spans="1:31" x14ac:dyDescent="0.35">
      <c r="A1221" s="162"/>
      <c r="B1221" s="163"/>
      <c r="C1221" s="163"/>
      <c r="D1221" s="163"/>
      <c r="E1221" s="163"/>
      <c r="F1221" s="163"/>
      <c r="G1221" s="163"/>
      <c r="H1221" s="163"/>
      <c r="I1221" s="163"/>
      <c r="J1221" s="163"/>
      <c r="K1221" s="163"/>
      <c r="L1221" s="163"/>
      <c r="M1221" s="163"/>
      <c r="N1221" s="163"/>
      <c r="O1221" s="162"/>
      <c r="P1221" s="163"/>
      <c r="Q1221" s="163"/>
      <c r="R1221" s="163"/>
      <c r="S1221" s="163"/>
      <c r="T1221" s="164"/>
      <c r="U1221" s="164"/>
      <c r="V1221" s="165"/>
      <c r="W1221" s="163"/>
      <c r="X1221" s="163"/>
      <c r="Y1221" s="163"/>
      <c r="Z1221" s="163"/>
      <c r="AA1221" s="162"/>
      <c r="AB1221" s="195" t="s">
        <v>24</v>
      </c>
      <c r="AC1221" s="163"/>
      <c r="AD1221" s="163" t="str">
        <f t="shared" si="141"/>
        <v/>
      </c>
      <c r="AE1221" s="163"/>
    </row>
    <row r="1222" spans="1:31" x14ac:dyDescent="0.35">
      <c r="A1222" s="162"/>
      <c r="B1222" s="163"/>
      <c r="C1222" s="163"/>
      <c r="D1222" s="163"/>
      <c r="E1222" s="163"/>
      <c r="F1222" s="163"/>
      <c r="G1222" s="163"/>
      <c r="H1222" s="163"/>
      <c r="I1222" s="163"/>
      <c r="J1222" s="163"/>
      <c r="K1222" s="163"/>
      <c r="L1222" s="163"/>
      <c r="M1222" s="163"/>
      <c r="N1222" s="163"/>
      <c r="O1222" s="162"/>
      <c r="P1222" s="163"/>
      <c r="Q1222" s="163"/>
      <c r="R1222" s="163"/>
      <c r="S1222" s="163"/>
      <c r="T1222" s="164"/>
      <c r="U1222" s="164"/>
      <c r="V1222" s="165"/>
      <c r="W1222" s="163"/>
      <c r="X1222" s="163"/>
      <c r="Y1222" s="163"/>
      <c r="Z1222" s="163"/>
      <c r="AA1222" s="162"/>
      <c r="AB1222" s="195" t="s">
        <v>24</v>
      </c>
      <c r="AC1222" s="163"/>
      <c r="AD1222" s="163" t="str">
        <f t="shared" si="141"/>
        <v/>
      </c>
      <c r="AE1222" s="163"/>
    </row>
    <row r="1223" spans="1:31" x14ac:dyDescent="0.35">
      <c r="A1223" s="162"/>
      <c r="B1223" s="163"/>
      <c r="C1223" s="163"/>
      <c r="D1223" s="163"/>
      <c r="E1223" s="163"/>
      <c r="F1223" s="163"/>
      <c r="G1223" s="163"/>
      <c r="H1223" s="163"/>
      <c r="I1223" s="163"/>
      <c r="J1223" s="163"/>
      <c r="K1223" s="163"/>
      <c r="L1223" s="163"/>
      <c r="M1223" s="163"/>
      <c r="N1223" s="163"/>
      <c r="O1223" s="162"/>
      <c r="P1223" s="163"/>
      <c r="Q1223" s="163"/>
      <c r="R1223" s="163"/>
      <c r="S1223" s="163"/>
      <c r="T1223" s="164"/>
      <c r="U1223" s="164"/>
      <c r="V1223" s="165"/>
      <c r="W1223" s="163"/>
      <c r="X1223" s="163"/>
      <c r="Y1223" s="163"/>
      <c r="Z1223" s="163"/>
      <c r="AA1223" s="162"/>
      <c r="AB1223" s="195" t="s">
        <v>24</v>
      </c>
      <c r="AC1223" s="163"/>
      <c r="AD1223" s="163" t="str">
        <f t="shared" si="141"/>
        <v/>
      </c>
      <c r="AE1223" s="163"/>
    </row>
    <row r="1224" spans="1:31" x14ac:dyDescent="0.35">
      <c r="A1224" s="162"/>
      <c r="B1224" s="163"/>
      <c r="C1224" s="163"/>
      <c r="D1224" s="163"/>
      <c r="E1224" s="163"/>
      <c r="F1224" s="163"/>
      <c r="G1224" s="163"/>
      <c r="H1224" s="163"/>
      <c r="I1224" s="163"/>
      <c r="J1224" s="163"/>
      <c r="K1224" s="163"/>
      <c r="L1224" s="163"/>
      <c r="M1224" s="163"/>
      <c r="N1224" s="163"/>
      <c r="O1224" s="162"/>
      <c r="P1224" s="163"/>
      <c r="Q1224" s="163"/>
      <c r="R1224" s="163"/>
      <c r="S1224" s="163"/>
      <c r="T1224" s="164"/>
      <c r="U1224" s="164"/>
      <c r="V1224" s="165"/>
      <c r="W1224" s="163"/>
      <c r="X1224" s="163"/>
      <c r="Y1224" s="163"/>
      <c r="Z1224" s="163"/>
      <c r="AA1224" s="162"/>
      <c r="AB1224" s="195" t="s">
        <v>24</v>
      </c>
      <c r="AC1224" s="163"/>
      <c r="AD1224" s="163" t="str">
        <f t="shared" si="141"/>
        <v/>
      </c>
      <c r="AE1224" s="163"/>
    </row>
    <row r="1225" spans="1:31" x14ac:dyDescent="0.35">
      <c r="A1225" s="162"/>
      <c r="B1225" s="163"/>
      <c r="C1225" s="163"/>
      <c r="D1225" s="163"/>
      <c r="E1225" s="163"/>
      <c r="F1225" s="163"/>
      <c r="G1225" s="163"/>
      <c r="H1225" s="163"/>
      <c r="I1225" s="163"/>
      <c r="J1225" s="163"/>
      <c r="K1225" s="163"/>
      <c r="L1225" s="163"/>
      <c r="M1225" s="163"/>
      <c r="N1225" s="163"/>
      <c r="O1225" s="162"/>
      <c r="P1225" s="163"/>
      <c r="Q1225" s="163"/>
      <c r="R1225" s="163"/>
      <c r="S1225" s="163"/>
      <c r="T1225" s="164"/>
      <c r="U1225" s="164"/>
      <c r="V1225" s="165"/>
      <c r="W1225" s="163"/>
      <c r="X1225" s="163"/>
      <c r="Y1225" s="163"/>
      <c r="Z1225" s="163"/>
      <c r="AA1225" s="162"/>
      <c r="AB1225" s="195" t="s">
        <v>24</v>
      </c>
      <c r="AC1225" s="163"/>
      <c r="AD1225" s="163" t="str">
        <f t="shared" si="141"/>
        <v/>
      </c>
      <c r="AE1225" s="163"/>
    </row>
    <row r="1226" spans="1:31" x14ac:dyDescent="0.35">
      <c r="A1226" s="162"/>
      <c r="B1226" s="163"/>
      <c r="C1226" s="163"/>
      <c r="D1226" s="163"/>
      <c r="E1226" s="163"/>
      <c r="F1226" s="163"/>
      <c r="G1226" s="163"/>
      <c r="H1226" s="163"/>
      <c r="I1226" s="163"/>
      <c r="J1226" s="163"/>
      <c r="K1226" s="163"/>
      <c r="L1226" s="163"/>
      <c r="M1226" s="163"/>
      <c r="N1226" s="163"/>
      <c r="O1226" s="162"/>
      <c r="P1226" s="163"/>
      <c r="Q1226" s="163"/>
      <c r="R1226" s="163"/>
      <c r="S1226" s="163"/>
      <c r="T1226" s="164"/>
      <c r="U1226" s="164"/>
      <c r="V1226" s="165"/>
      <c r="W1226" s="163"/>
      <c r="X1226" s="163"/>
      <c r="Y1226" s="163"/>
      <c r="Z1226" s="163"/>
      <c r="AA1226" s="162"/>
      <c r="AB1226" s="195" t="s">
        <v>24</v>
      </c>
      <c r="AC1226" s="163"/>
      <c r="AD1226" s="163" t="str">
        <f t="shared" si="141"/>
        <v/>
      </c>
      <c r="AE1226" s="163"/>
    </row>
    <row r="1227" spans="1:31" x14ac:dyDescent="0.35">
      <c r="A1227" s="162"/>
      <c r="B1227" s="163"/>
      <c r="C1227" s="163"/>
      <c r="D1227" s="163"/>
      <c r="E1227" s="163"/>
      <c r="F1227" s="163"/>
      <c r="G1227" s="163"/>
      <c r="H1227" s="163"/>
      <c r="I1227" s="163"/>
      <c r="J1227" s="163"/>
      <c r="K1227" s="163"/>
      <c r="L1227" s="163"/>
      <c r="M1227" s="163"/>
      <c r="N1227" s="163"/>
      <c r="O1227" s="162"/>
      <c r="P1227" s="163"/>
      <c r="Q1227" s="163"/>
      <c r="R1227" s="163"/>
      <c r="S1227" s="163"/>
      <c r="T1227" s="164"/>
      <c r="U1227" s="164"/>
      <c r="V1227" s="165"/>
      <c r="W1227" s="163"/>
      <c r="X1227" s="163"/>
      <c r="Y1227" s="163"/>
      <c r="Z1227" s="163"/>
      <c r="AA1227" s="162"/>
      <c r="AB1227" s="195" t="s">
        <v>24</v>
      </c>
      <c r="AC1227" s="163"/>
      <c r="AD1227" s="163" t="str">
        <f t="shared" si="141"/>
        <v/>
      </c>
      <c r="AE1227" s="163"/>
    </row>
    <row r="1228" spans="1:31" x14ac:dyDescent="0.35">
      <c r="A1228" s="162"/>
      <c r="B1228" s="163"/>
      <c r="C1228" s="163"/>
      <c r="D1228" s="163"/>
      <c r="E1228" s="163"/>
      <c r="F1228" s="163"/>
      <c r="G1228" s="163"/>
      <c r="H1228" s="163"/>
      <c r="I1228" s="163"/>
      <c r="J1228" s="163"/>
      <c r="K1228" s="163"/>
      <c r="L1228" s="163"/>
      <c r="M1228" s="163"/>
      <c r="N1228" s="163"/>
      <c r="O1228" s="162"/>
      <c r="P1228" s="163"/>
      <c r="Q1228" s="163"/>
      <c r="R1228" s="163"/>
      <c r="S1228" s="163"/>
      <c r="T1228" s="164"/>
      <c r="U1228" s="164"/>
      <c r="V1228" s="165"/>
      <c r="W1228" s="163"/>
      <c r="X1228" s="163"/>
      <c r="Y1228" s="163"/>
      <c r="Z1228" s="163"/>
      <c r="AA1228" s="162"/>
      <c r="AB1228" s="195" t="s">
        <v>24</v>
      </c>
      <c r="AC1228" s="163"/>
      <c r="AD1228" s="163" t="str">
        <f t="shared" si="141"/>
        <v/>
      </c>
      <c r="AE1228" s="163"/>
    </row>
    <row r="1229" spans="1:31" x14ac:dyDescent="0.35">
      <c r="A1229" s="162"/>
      <c r="B1229" s="163"/>
      <c r="C1229" s="163"/>
      <c r="D1229" s="163"/>
      <c r="E1229" s="163"/>
      <c r="F1229" s="163"/>
      <c r="G1229" s="163"/>
      <c r="H1229" s="163"/>
      <c r="I1229" s="163"/>
      <c r="J1229" s="163"/>
      <c r="K1229" s="163"/>
      <c r="L1229" s="163"/>
      <c r="M1229" s="163"/>
      <c r="N1229" s="163"/>
      <c r="O1229" s="162"/>
      <c r="P1229" s="163"/>
      <c r="Q1229" s="163"/>
      <c r="R1229" s="163"/>
      <c r="S1229" s="163"/>
      <c r="T1229" s="164"/>
      <c r="U1229" s="164"/>
      <c r="V1229" s="165"/>
      <c r="W1229" s="163"/>
      <c r="X1229" s="163"/>
      <c r="Y1229" s="163"/>
      <c r="Z1229" s="163"/>
      <c r="AA1229" s="162"/>
      <c r="AB1229" s="195" t="s">
        <v>24</v>
      </c>
      <c r="AC1229" s="163"/>
      <c r="AD1229" s="163" t="str">
        <f t="shared" si="141"/>
        <v/>
      </c>
      <c r="AE1229" s="163"/>
    </row>
    <row r="1230" spans="1:31" x14ac:dyDescent="0.35">
      <c r="A1230" s="162"/>
      <c r="B1230" s="163"/>
      <c r="C1230" s="163"/>
      <c r="D1230" s="163"/>
      <c r="E1230" s="163"/>
      <c r="F1230" s="163"/>
      <c r="G1230" s="163"/>
      <c r="H1230" s="163"/>
      <c r="I1230" s="163"/>
      <c r="J1230" s="163"/>
      <c r="K1230" s="163"/>
      <c r="L1230" s="163"/>
      <c r="M1230" s="163"/>
      <c r="N1230" s="163"/>
      <c r="O1230" s="162"/>
      <c r="P1230" s="163"/>
      <c r="Q1230" s="163"/>
      <c r="R1230" s="163"/>
      <c r="S1230" s="163"/>
      <c r="T1230" s="164"/>
      <c r="U1230" s="164"/>
      <c r="V1230" s="165"/>
      <c r="W1230" s="163"/>
      <c r="X1230" s="163"/>
      <c r="Y1230" s="163"/>
      <c r="Z1230" s="163"/>
      <c r="AA1230" s="162"/>
      <c r="AB1230" s="195" t="s">
        <v>24</v>
      </c>
      <c r="AC1230" s="163"/>
      <c r="AD1230" s="163" t="str">
        <f t="shared" si="141"/>
        <v/>
      </c>
      <c r="AE1230" s="163"/>
    </row>
    <row r="1231" spans="1:31" x14ac:dyDescent="0.35">
      <c r="A1231" s="162"/>
      <c r="B1231" s="163"/>
      <c r="C1231" s="163"/>
      <c r="D1231" s="163"/>
      <c r="E1231" s="163"/>
      <c r="F1231" s="163"/>
      <c r="G1231" s="163"/>
      <c r="H1231" s="163"/>
      <c r="I1231" s="163"/>
      <c r="J1231" s="163"/>
      <c r="K1231" s="163"/>
      <c r="L1231" s="163"/>
      <c r="M1231" s="163"/>
      <c r="N1231" s="163"/>
      <c r="O1231" s="162"/>
      <c r="P1231" s="163"/>
      <c r="Q1231" s="163"/>
      <c r="R1231" s="163"/>
      <c r="S1231" s="163"/>
      <c r="T1231" s="164"/>
      <c r="U1231" s="164"/>
      <c r="V1231" s="165"/>
      <c r="W1231" s="163"/>
      <c r="X1231" s="163"/>
      <c r="Y1231" s="163"/>
      <c r="Z1231" s="163"/>
      <c r="AA1231" s="162"/>
      <c r="AB1231" s="195" t="s">
        <v>24</v>
      </c>
      <c r="AC1231" s="163"/>
      <c r="AD1231" s="163" t="str">
        <f t="shared" si="141"/>
        <v/>
      </c>
      <c r="AE1231" s="163"/>
    </row>
    <row r="1232" spans="1:31" x14ac:dyDescent="0.35">
      <c r="A1232" s="162"/>
      <c r="B1232" s="163"/>
      <c r="C1232" s="163"/>
      <c r="D1232" s="163"/>
      <c r="E1232" s="163"/>
      <c r="F1232" s="163"/>
      <c r="G1232" s="163"/>
      <c r="H1232" s="163"/>
      <c r="I1232" s="163"/>
      <c r="J1232" s="163"/>
      <c r="K1232" s="163"/>
      <c r="L1232" s="163"/>
      <c r="M1232" s="163"/>
      <c r="N1232" s="163"/>
      <c r="O1232" s="162"/>
      <c r="P1232" s="163"/>
      <c r="Q1232" s="163"/>
      <c r="R1232" s="163"/>
      <c r="S1232" s="163"/>
      <c r="T1232" s="164"/>
      <c r="U1232" s="164"/>
      <c r="V1232" s="165"/>
      <c r="W1232" s="163"/>
      <c r="X1232" s="163"/>
      <c r="Y1232" s="163"/>
      <c r="Z1232" s="163"/>
      <c r="AA1232" s="162"/>
      <c r="AB1232" s="195" t="s">
        <v>24</v>
      </c>
      <c r="AC1232" s="163"/>
      <c r="AD1232" s="163" t="str">
        <f t="shared" si="141"/>
        <v/>
      </c>
      <c r="AE1232" s="163"/>
    </row>
    <row r="1233" spans="1:31" x14ac:dyDescent="0.35">
      <c r="A1233" s="162"/>
      <c r="B1233" s="163"/>
      <c r="C1233" s="163"/>
      <c r="D1233" s="163"/>
      <c r="E1233" s="163"/>
      <c r="F1233" s="163"/>
      <c r="G1233" s="163"/>
      <c r="H1233" s="163"/>
      <c r="I1233" s="163"/>
      <c r="J1233" s="163"/>
      <c r="K1233" s="163"/>
      <c r="L1233" s="163"/>
      <c r="M1233" s="163"/>
      <c r="N1233" s="163"/>
      <c r="O1233" s="162"/>
      <c r="P1233" s="163"/>
      <c r="Q1233" s="163"/>
      <c r="R1233" s="163"/>
      <c r="S1233" s="163"/>
      <c r="T1233" s="164"/>
      <c r="U1233" s="164"/>
      <c r="V1233" s="165"/>
      <c r="W1233" s="163"/>
      <c r="X1233" s="163"/>
      <c r="Y1233" s="163"/>
      <c r="Z1233" s="163"/>
      <c r="AA1233" s="162"/>
      <c r="AB1233" s="195" t="s">
        <v>24</v>
      </c>
      <c r="AC1233" s="163"/>
      <c r="AD1233" s="163" t="str">
        <f t="shared" si="141"/>
        <v/>
      </c>
      <c r="AE1233" s="163"/>
    </row>
    <row r="1234" spans="1:31" x14ac:dyDescent="0.35">
      <c r="A1234" s="162"/>
      <c r="B1234" s="163"/>
      <c r="C1234" s="163"/>
      <c r="D1234" s="163"/>
      <c r="E1234" s="163"/>
      <c r="F1234" s="163"/>
      <c r="G1234" s="163"/>
      <c r="H1234" s="163"/>
      <c r="I1234" s="163"/>
      <c r="J1234" s="163"/>
      <c r="K1234" s="163"/>
      <c r="L1234" s="163"/>
      <c r="M1234" s="163"/>
      <c r="N1234" s="163"/>
      <c r="O1234" s="162"/>
      <c r="P1234" s="163"/>
      <c r="Q1234" s="163"/>
      <c r="R1234" s="163"/>
      <c r="S1234" s="163"/>
      <c r="T1234" s="164"/>
      <c r="U1234" s="164"/>
      <c r="V1234" s="165"/>
      <c r="W1234" s="163"/>
      <c r="X1234" s="163"/>
      <c r="Y1234" s="163"/>
      <c r="Z1234" s="163"/>
      <c r="AA1234" s="162"/>
      <c r="AB1234" s="195" t="s">
        <v>24</v>
      </c>
      <c r="AC1234" s="163"/>
      <c r="AD1234" s="163" t="str">
        <f t="shared" ref="AD1234:AD1257" si="143">IF(AC1234="Yes",U1234*2%,"")</f>
        <v/>
      </c>
      <c r="AE1234" s="163"/>
    </row>
    <row r="1235" spans="1:31" x14ac:dyDescent="0.35">
      <c r="A1235" s="162"/>
      <c r="B1235" s="163"/>
      <c r="C1235" s="163"/>
      <c r="D1235" s="163"/>
      <c r="E1235" s="163"/>
      <c r="F1235" s="163"/>
      <c r="G1235" s="163"/>
      <c r="H1235" s="163"/>
      <c r="I1235" s="163"/>
      <c r="J1235" s="163"/>
      <c r="K1235" s="163"/>
      <c r="L1235" s="163"/>
      <c r="M1235" s="163"/>
      <c r="N1235" s="163"/>
      <c r="O1235" s="162"/>
      <c r="P1235" s="163"/>
      <c r="Q1235" s="163"/>
      <c r="R1235" s="163"/>
      <c r="S1235" s="163"/>
      <c r="T1235" s="164"/>
      <c r="U1235" s="164"/>
      <c r="V1235" s="165"/>
      <c r="W1235" s="163"/>
      <c r="X1235" s="163"/>
      <c r="Y1235" s="163"/>
      <c r="Z1235" s="163"/>
      <c r="AA1235" s="162"/>
      <c r="AB1235" s="195" t="s">
        <v>24</v>
      </c>
      <c r="AC1235" s="163"/>
      <c r="AD1235" s="163" t="str">
        <f t="shared" si="143"/>
        <v/>
      </c>
      <c r="AE1235" s="163"/>
    </row>
    <row r="1236" spans="1:31" x14ac:dyDescent="0.35">
      <c r="A1236" s="162"/>
      <c r="B1236" s="163"/>
      <c r="C1236" s="163"/>
      <c r="D1236" s="163"/>
      <c r="E1236" s="163"/>
      <c r="F1236" s="163"/>
      <c r="G1236" s="163"/>
      <c r="H1236" s="163"/>
      <c r="I1236" s="163"/>
      <c r="J1236" s="163"/>
      <c r="K1236" s="163"/>
      <c r="L1236" s="163"/>
      <c r="M1236" s="163"/>
      <c r="N1236" s="163"/>
      <c r="O1236" s="162"/>
      <c r="P1236" s="163"/>
      <c r="Q1236" s="163"/>
      <c r="R1236" s="163"/>
      <c r="S1236" s="163"/>
      <c r="T1236" s="164"/>
      <c r="U1236" s="164"/>
      <c r="V1236" s="165"/>
      <c r="W1236" s="163"/>
      <c r="X1236" s="163"/>
      <c r="Y1236" s="163"/>
      <c r="Z1236" s="163"/>
      <c r="AA1236" s="162"/>
      <c r="AB1236" s="195" t="s">
        <v>24</v>
      </c>
      <c r="AC1236" s="163"/>
      <c r="AD1236" s="163" t="str">
        <f t="shared" si="143"/>
        <v/>
      </c>
      <c r="AE1236" s="163"/>
    </row>
    <row r="1237" spans="1:31" x14ac:dyDescent="0.35">
      <c r="A1237" s="162"/>
      <c r="B1237" s="163"/>
      <c r="C1237" s="163"/>
      <c r="D1237" s="163"/>
      <c r="E1237" s="163"/>
      <c r="F1237" s="163"/>
      <c r="G1237" s="163"/>
      <c r="H1237" s="163"/>
      <c r="I1237" s="163"/>
      <c r="J1237" s="163"/>
      <c r="K1237" s="163"/>
      <c r="L1237" s="163"/>
      <c r="M1237" s="163"/>
      <c r="N1237" s="163"/>
      <c r="O1237" s="162"/>
      <c r="P1237" s="163"/>
      <c r="Q1237" s="163"/>
      <c r="R1237" s="163"/>
      <c r="S1237" s="163"/>
      <c r="T1237" s="164"/>
      <c r="U1237" s="164"/>
      <c r="V1237" s="165"/>
      <c r="W1237" s="163"/>
      <c r="X1237" s="163"/>
      <c r="Y1237" s="163"/>
      <c r="Z1237" s="163"/>
      <c r="AA1237" s="162"/>
      <c r="AB1237" s="195" t="s">
        <v>24</v>
      </c>
      <c r="AC1237" s="163"/>
      <c r="AD1237" s="163" t="str">
        <f t="shared" si="143"/>
        <v/>
      </c>
      <c r="AE1237" s="163"/>
    </row>
    <row r="1238" spans="1:31" x14ac:dyDescent="0.35">
      <c r="A1238" s="162"/>
      <c r="B1238" s="163"/>
      <c r="C1238" s="163"/>
      <c r="D1238" s="163"/>
      <c r="E1238" s="163"/>
      <c r="F1238" s="163"/>
      <c r="G1238" s="163"/>
      <c r="H1238" s="163"/>
      <c r="I1238" s="163"/>
      <c r="J1238" s="163"/>
      <c r="K1238" s="163"/>
      <c r="L1238" s="163"/>
      <c r="M1238" s="163"/>
      <c r="N1238" s="163"/>
      <c r="O1238" s="162"/>
      <c r="P1238" s="163"/>
      <c r="Q1238" s="163"/>
      <c r="R1238" s="163"/>
      <c r="S1238" s="163"/>
      <c r="T1238" s="164"/>
      <c r="U1238" s="164"/>
      <c r="V1238" s="165"/>
      <c r="W1238" s="163"/>
      <c r="X1238" s="163"/>
      <c r="Y1238" s="163"/>
      <c r="Z1238" s="163"/>
      <c r="AA1238" s="162"/>
      <c r="AB1238" s="195" t="s">
        <v>24</v>
      </c>
      <c r="AC1238" s="163"/>
      <c r="AD1238" s="163" t="str">
        <f t="shared" si="143"/>
        <v/>
      </c>
      <c r="AE1238" s="163"/>
    </row>
    <row r="1239" spans="1:31" x14ac:dyDescent="0.35">
      <c r="A1239" s="162"/>
      <c r="B1239" s="163"/>
      <c r="C1239" s="163"/>
      <c r="D1239" s="163"/>
      <c r="E1239" s="163"/>
      <c r="F1239" s="163"/>
      <c r="G1239" s="163"/>
      <c r="H1239" s="163"/>
      <c r="I1239" s="163"/>
      <c r="J1239" s="163"/>
      <c r="K1239" s="163"/>
      <c r="L1239" s="163"/>
      <c r="M1239" s="163"/>
      <c r="N1239" s="163"/>
      <c r="O1239" s="162"/>
      <c r="P1239" s="163"/>
      <c r="Q1239" s="163"/>
      <c r="R1239" s="163"/>
      <c r="S1239" s="163"/>
      <c r="T1239" s="164"/>
      <c r="U1239" s="164"/>
      <c r="V1239" s="165"/>
      <c r="W1239" s="163"/>
      <c r="X1239" s="163"/>
      <c r="Y1239" s="163"/>
      <c r="Z1239" s="163"/>
      <c r="AA1239" s="162"/>
      <c r="AB1239" s="195" t="s">
        <v>24</v>
      </c>
      <c r="AC1239" s="163"/>
      <c r="AD1239" s="163" t="str">
        <f t="shared" si="143"/>
        <v/>
      </c>
      <c r="AE1239" s="163"/>
    </row>
    <row r="1240" spans="1:31" x14ac:dyDescent="0.35">
      <c r="A1240" s="162"/>
      <c r="B1240" s="163"/>
      <c r="C1240" s="163"/>
      <c r="D1240" s="163"/>
      <c r="E1240" s="163"/>
      <c r="F1240" s="163"/>
      <c r="G1240" s="163"/>
      <c r="H1240" s="163"/>
      <c r="I1240" s="163"/>
      <c r="J1240" s="163"/>
      <c r="K1240" s="163"/>
      <c r="L1240" s="163"/>
      <c r="M1240" s="163"/>
      <c r="N1240" s="163"/>
      <c r="O1240" s="162"/>
      <c r="P1240" s="163"/>
      <c r="Q1240" s="163"/>
      <c r="R1240" s="163"/>
      <c r="S1240" s="163"/>
      <c r="T1240" s="164"/>
      <c r="U1240" s="164"/>
      <c r="V1240" s="165"/>
      <c r="W1240" s="163"/>
      <c r="X1240" s="163"/>
      <c r="Y1240" s="163"/>
      <c r="Z1240" s="163"/>
      <c r="AA1240" s="162"/>
      <c r="AB1240" s="195" t="s">
        <v>24</v>
      </c>
      <c r="AC1240" s="163"/>
      <c r="AD1240" s="163" t="str">
        <f t="shared" si="143"/>
        <v/>
      </c>
      <c r="AE1240" s="163"/>
    </row>
    <row r="1241" spans="1:31" x14ac:dyDescent="0.35">
      <c r="A1241" s="162"/>
      <c r="B1241" s="163"/>
      <c r="C1241" s="163"/>
      <c r="D1241" s="163"/>
      <c r="E1241" s="163"/>
      <c r="F1241" s="163"/>
      <c r="G1241" s="163"/>
      <c r="H1241" s="163"/>
      <c r="I1241" s="163"/>
      <c r="J1241" s="163"/>
      <c r="K1241" s="163"/>
      <c r="L1241" s="163"/>
      <c r="M1241" s="163"/>
      <c r="N1241" s="163"/>
      <c r="O1241" s="162"/>
      <c r="P1241" s="163"/>
      <c r="Q1241" s="163"/>
      <c r="R1241" s="163"/>
      <c r="S1241" s="163"/>
      <c r="T1241" s="164"/>
      <c r="U1241" s="164"/>
      <c r="V1241" s="165"/>
      <c r="W1241" s="163"/>
      <c r="X1241" s="163"/>
      <c r="Y1241" s="163"/>
      <c r="Z1241" s="163"/>
      <c r="AA1241" s="162"/>
      <c r="AB1241" s="195" t="s">
        <v>24</v>
      </c>
      <c r="AC1241" s="163"/>
      <c r="AD1241" s="163" t="str">
        <f t="shared" si="143"/>
        <v/>
      </c>
      <c r="AE1241" s="163"/>
    </row>
    <row r="1242" spans="1:31" x14ac:dyDescent="0.35">
      <c r="A1242" s="162"/>
      <c r="B1242" s="163"/>
      <c r="C1242" s="163"/>
      <c r="D1242" s="163"/>
      <c r="E1242" s="163"/>
      <c r="F1242" s="163"/>
      <c r="G1242" s="163"/>
      <c r="H1242" s="163"/>
      <c r="I1242" s="163"/>
      <c r="J1242" s="163"/>
      <c r="K1242" s="163"/>
      <c r="L1242" s="163"/>
      <c r="M1242" s="163"/>
      <c r="N1242" s="163"/>
      <c r="O1242" s="162"/>
      <c r="P1242" s="163"/>
      <c r="Q1242" s="163"/>
      <c r="R1242" s="163"/>
      <c r="S1242" s="163"/>
      <c r="T1242" s="164"/>
      <c r="U1242" s="164"/>
      <c r="V1242" s="165"/>
      <c r="W1242" s="163"/>
      <c r="X1242" s="163"/>
      <c r="Y1242" s="163"/>
      <c r="Z1242" s="163"/>
      <c r="AA1242" s="162"/>
      <c r="AB1242" s="195" t="s">
        <v>24</v>
      </c>
      <c r="AC1242" s="163"/>
      <c r="AD1242" s="163" t="str">
        <f t="shared" si="143"/>
        <v/>
      </c>
      <c r="AE1242" s="163"/>
    </row>
    <row r="1243" spans="1:31" x14ac:dyDescent="0.35">
      <c r="A1243" s="162"/>
      <c r="B1243" s="163"/>
      <c r="C1243" s="163"/>
      <c r="D1243" s="163"/>
      <c r="E1243" s="163"/>
      <c r="F1243" s="163"/>
      <c r="G1243" s="163"/>
      <c r="H1243" s="163"/>
      <c r="I1243" s="163"/>
      <c r="J1243" s="163"/>
      <c r="K1243" s="163"/>
      <c r="L1243" s="163"/>
      <c r="M1243" s="163"/>
      <c r="N1243" s="163"/>
      <c r="O1243" s="162"/>
      <c r="P1243" s="163"/>
      <c r="Q1243" s="163"/>
      <c r="R1243" s="163"/>
      <c r="S1243" s="163"/>
      <c r="T1243" s="164"/>
      <c r="U1243" s="164"/>
      <c r="V1243" s="165"/>
      <c r="W1243" s="163"/>
      <c r="X1243" s="163"/>
      <c r="Y1243" s="163"/>
      <c r="Z1243" s="163"/>
      <c r="AA1243" s="162"/>
      <c r="AB1243" s="195" t="s">
        <v>24</v>
      </c>
      <c r="AC1243" s="163"/>
      <c r="AD1243" s="163" t="str">
        <f t="shared" si="143"/>
        <v/>
      </c>
      <c r="AE1243" s="163"/>
    </row>
    <row r="1244" spans="1:31" x14ac:dyDescent="0.35">
      <c r="A1244" s="162"/>
      <c r="B1244" s="163"/>
      <c r="C1244" s="163"/>
      <c r="D1244" s="163"/>
      <c r="E1244" s="163"/>
      <c r="F1244" s="163"/>
      <c r="G1244" s="163"/>
      <c r="H1244" s="163"/>
      <c r="I1244" s="163"/>
      <c r="J1244" s="163"/>
      <c r="K1244" s="163"/>
      <c r="L1244" s="163"/>
      <c r="M1244" s="163"/>
      <c r="N1244" s="163"/>
      <c r="O1244" s="162"/>
      <c r="P1244" s="163"/>
      <c r="Q1244" s="163"/>
      <c r="R1244" s="163"/>
      <c r="S1244" s="163"/>
      <c r="T1244" s="164"/>
      <c r="U1244" s="164"/>
      <c r="V1244" s="165"/>
      <c r="W1244" s="163"/>
      <c r="X1244" s="163"/>
      <c r="Y1244" s="163"/>
      <c r="Z1244" s="163"/>
      <c r="AA1244" s="162"/>
      <c r="AB1244" s="195" t="s">
        <v>24</v>
      </c>
      <c r="AC1244" s="163"/>
      <c r="AD1244" s="163" t="str">
        <f t="shared" si="143"/>
        <v/>
      </c>
      <c r="AE1244" s="163"/>
    </row>
    <row r="1245" spans="1:31" x14ac:dyDescent="0.35">
      <c r="A1245" s="162"/>
      <c r="B1245" s="163"/>
      <c r="C1245" s="163"/>
      <c r="D1245" s="163"/>
      <c r="E1245" s="163"/>
      <c r="F1245" s="163"/>
      <c r="G1245" s="163"/>
      <c r="H1245" s="163"/>
      <c r="I1245" s="163"/>
      <c r="J1245" s="163"/>
      <c r="K1245" s="163"/>
      <c r="L1245" s="163"/>
      <c r="M1245" s="163"/>
      <c r="N1245" s="163"/>
      <c r="O1245" s="162"/>
      <c r="P1245" s="163"/>
      <c r="Q1245" s="163"/>
      <c r="R1245" s="163"/>
      <c r="S1245" s="163"/>
      <c r="T1245" s="164"/>
      <c r="U1245" s="164"/>
      <c r="V1245" s="165"/>
      <c r="W1245" s="163"/>
      <c r="X1245" s="163"/>
      <c r="Y1245" s="163"/>
      <c r="Z1245" s="163"/>
      <c r="AA1245" s="162"/>
      <c r="AB1245" s="195" t="s">
        <v>24</v>
      </c>
      <c r="AC1245" s="163"/>
      <c r="AD1245" s="163" t="str">
        <f t="shared" si="143"/>
        <v/>
      </c>
      <c r="AE1245" s="163"/>
    </row>
    <row r="1246" spans="1:31" x14ac:dyDescent="0.35">
      <c r="A1246" s="162"/>
      <c r="B1246" s="163"/>
      <c r="C1246" s="163"/>
      <c r="D1246" s="163"/>
      <c r="E1246" s="163"/>
      <c r="F1246" s="163"/>
      <c r="G1246" s="163"/>
      <c r="H1246" s="163"/>
      <c r="I1246" s="163"/>
      <c r="J1246" s="163"/>
      <c r="K1246" s="163"/>
      <c r="L1246" s="163"/>
      <c r="M1246" s="163"/>
      <c r="N1246" s="163"/>
      <c r="O1246" s="162"/>
      <c r="P1246" s="163"/>
      <c r="Q1246" s="163"/>
      <c r="R1246" s="163"/>
      <c r="S1246" s="163"/>
      <c r="T1246" s="164"/>
      <c r="U1246" s="164"/>
      <c r="V1246" s="165"/>
      <c r="W1246" s="163"/>
      <c r="X1246" s="163"/>
      <c r="Y1246" s="163"/>
      <c r="Z1246" s="163"/>
      <c r="AA1246" s="162"/>
      <c r="AB1246" s="195" t="s">
        <v>24</v>
      </c>
      <c r="AC1246" s="163"/>
      <c r="AD1246" s="163" t="str">
        <f t="shared" si="143"/>
        <v/>
      </c>
      <c r="AE1246" s="163"/>
    </row>
    <row r="1247" spans="1:31" x14ac:dyDescent="0.35">
      <c r="A1247" s="162"/>
      <c r="B1247" s="163"/>
      <c r="C1247" s="163"/>
      <c r="D1247" s="163"/>
      <c r="E1247" s="163"/>
      <c r="F1247" s="163"/>
      <c r="G1247" s="163"/>
      <c r="H1247" s="163"/>
      <c r="I1247" s="163"/>
      <c r="J1247" s="163"/>
      <c r="K1247" s="163"/>
      <c r="L1247" s="163"/>
      <c r="M1247" s="163"/>
      <c r="N1247" s="163"/>
      <c r="O1247" s="162"/>
      <c r="P1247" s="163"/>
      <c r="Q1247" s="163"/>
      <c r="R1247" s="163"/>
      <c r="S1247" s="163"/>
      <c r="T1247" s="164"/>
      <c r="U1247" s="164"/>
      <c r="V1247" s="165"/>
      <c r="W1247" s="163"/>
      <c r="X1247" s="163"/>
      <c r="Y1247" s="163"/>
      <c r="Z1247" s="163"/>
      <c r="AA1247" s="162"/>
      <c r="AB1247" s="195" t="s">
        <v>24</v>
      </c>
      <c r="AC1247" s="163"/>
      <c r="AD1247" s="163" t="str">
        <f t="shared" si="143"/>
        <v/>
      </c>
      <c r="AE1247" s="163"/>
    </row>
    <row r="1248" spans="1:31" x14ac:dyDescent="0.35">
      <c r="A1248" s="162"/>
      <c r="B1248" s="163"/>
      <c r="C1248" s="163"/>
      <c r="D1248" s="163"/>
      <c r="E1248" s="163"/>
      <c r="F1248" s="163"/>
      <c r="G1248" s="163"/>
      <c r="H1248" s="163"/>
      <c r="I1248" s="163"/>
      <c r="J1248" s="163"/>
      <c r="K1248" s="163"/>
      <c r="L1248" s="163"/>
      <c r="M1248" s="163"/>
      <c r="N1248" s="163"/>
      <c r="O1248" s="162"/>
      <c r="P1248" s="163"/>
      <c r="Q1248" s="163"/>
      <c r="R1248" s="163"/>
      <c r="S1248" s="163"/>
      <c r="T1248" s="164"/>
      <c r="U1248" s="164"/>
      <c r="V1248" s="165"/>
      <c r="W1248" s="163"/>
      <c r="X1248" s="163"/>
      <c r="Y1248" s="163"/>
      <c r="Z1248" s="163"/>
      <c r="AA1248" s="162"/>
      <c r="AB1248" s="195" t="s">
        <v>24</v>
      </c>
      <c r="AC1248" s="163"/>
      <c r="AD1248" s="163" t="str">
        <f t="shared" si="143"/>
        <v/>
      </c>
      <c r="AE1248" s="163"/>
    </row>
    <row r="1249" spans="1:31" x14ac:dyDescent="0.35">
      <c r="A1249" s="162"/>
      <c r="B1249" s="163"/>
      <c r="C1249" s="163"/>
      <c r="D1249" s="163"/>
      <c r="E1249" s="163"/>
      <c r="F1249" s="163"/>
      <c r="G1249" s="163"/>
      <c r="H1249" s="163"/>
      <c r="I1249" s="163"/>
      <c r="J1249" s="163"/>
      <c r="K1249" s="163"/>
      <c r="L1249" s="163"/>
      <c r="M1249" s="163"/>
      <c r="N1249" s="163"/>
      <c r="O1249" s="162"/>
      <c r="P1249" s="163"/>
      <c r="Q1249" s="163"/>
      <c r="R1249" s="163"/>
      <c r="S1249" s="163"/>
      <c r="T1249" s="164"/>
      <c r="U1249" s="164"/>
      <c r="V1249" s="165"/>
      <c r="W1249" s="163"/>
      <c r="X1249" s="163"/>
      <c r="Y1249" s="163"/>
      <c r="Z1249" s="163"/>
      <c r="AA1249" s="162"/>
      <c r="AB1249" s="195" t="s">
        <v>24</v>
      </c>
      <c r="AC1249" s="163"/>
      <c r="AD1249" s="163" t="str">
        <f t="shared" si="143"/>
        <v/>
      </c>
      <c r="AE1249" s="163"/>
    </row>
    <row r="1250" spans="1:31" x14ac:dyDescent="0.35">
      <c r="A1250" s="162"/>
      <c r="B1250" s="163"/>
      <c r="C1250" s="163"/>
      <c r="D1250" s="163"/>
      <c r="E1250" s="163"/>
      <c r="F1250" s="163"/>
      <c r="G1250" s="163"/>
      <c r="H1250" s="163"/>
      <c r="I1250" s="163"/>
      <c r="J1250" s="163"/>
      <c r="K1250" s="163"/>
      <c r="L1250" s="163"/>
      <c r="M1250" s="163"/>
      <c r="N1250" s="163"/>
      <c r="O1250" s="162"/>
      <c r="P1250" s="163"/>
      <c r="Q1250" s="163"/>
      <c r="R1250" s="163"/>
      <c r="S1250" s="163"/>
      <c r="T1250" s="164"/>
      <c r="U1250" s="164"/>
      <c r="V1250" s="165"/>
      <c r="W1250" s="163"/>
      <c r="X1250" s="163"/>
      <c r="Y1250" s="163"/>
      <c r="Z1250" s="163"/>
      <c r="AA1250" s="162"/>
      <c r="AB1250" s="195" t="s">
        <v>24</v>
      </c>
      <c r="AC1250" s="163"/>
      <c r="AD1250" s="163" t="str">
        <f t="shared" si="143"/>
        <v/>
      </c>
      <c r="AE1250" s="163"/>
    </row>
    <row r="1251" spans="1:31" x14ac:dyDescent="0.35">
      <c r="A1251" s="162"/>
      <c r="B1251" s="163"/>
      <c r="C1251" s="163"/>
      <c r="D1251" s="163"/>
      <c r="E1251" s="163"/>
      <c r="F1251" s="163"/>
      <c r="G1251" s="163"/>
      <c r="H1251" s="163"/>
      <c r="I1251" s="163"/>
      <c r="J1251" s="163"/>
      <c r="K1251" s="163"/>
      <c r="L1251" s="163"/>
      <c r="M1251" s="163"/>
      <c r="N1251" s="163"/>
      <c r="O1251" s="162"/>
      <c r="P1251" s="163"/>
      <c r="Q1251" s="163"/>
      <c r="R1251" s="163"/>
      <c r="S1251" s="163"/>
      <c r="T1251" s="164"/>
      <c r="U1251" s="164"/>
      <c r="V1251" s="165"/>
      <c r="W1251" s="163"/>
      <c r="X1251" s="163"/>
      <c r="Y1251" s="163"/>
      <c r="Z1251" s="163"/>
      <c r="AA1251" s="162"/>
      <c r="AB1251" s="195" t="s">
        <v>24</v>
      </c>
      <c r="AC1251" s="163"/>
      <c r="AD1251" s="163" t="str">
        <f t="shared" si="143"/>
        <v/>
      </c>
      <c r="AE1251" s="163"/>
    </row>
    <row r="1252" spans="1:31" x14ac:dyDescent="0.35">
      <c r="A1252" s="162"/>
      <c r="B1252" s="163"/>
      <c r="C1252" s="163"/>
      <c r="D1252" s="163"/>
      <c r="E1252" s="163"/>
      <c r="F1252" s="163"/>
      <c r="G1252" s="163"/>
      <c r="H1252" s="163"/>
      <c r="I1252" s="163"/>
      <c r="J1252" s="163"/>
      <c r="K1252" s="163"/>
      <c r="L1252" s="163"/>
      <c r="M1252" s="163"/>
      <c r="N1252" s="163"/>
      <c r="O1252" s="162"/>
      <c r="P1252" s="163"/>
      <c r="Q1252" s="163"/>
      <c r="R1252" s="163"/>
      <c r="S1252" s="163"/>
      <c r="T1252" s="164"/>
      <c r="U1252" s="164"/>
      <c r="V1252" s="165"/>
      <c r="W1252" s="163"/>
      <c r="X1252" s="163"/>
      <c r="Y1252" s="163"/>
      <c r="Z1252" s="163"/>
      <c r="AA1252" s="162"/>
      <c r="AB1252" s="195" t="s">
        <v>24</v>
      </c>
      <c r="AC1252" s="163"/>
      <c r="AD1252" s="163" t="str">
        <f t="shared" si="143"/>
        <v/>
      </c>
      <c r="AE1252" s="163"/>
    </row>
    <row r="1253" spans="1:31" x14ac:dyDescent="0.35">
      <c r="A1253" s="162"/>
      <c r="B1253" s="163"/>
      <c r="C1253" s="163"/>
      <c r="D1253" s="163"/>
      <c r="E1253" s="163"/>
      <c r="F1253" s="163"/>
      <c r="G1253" s="163"/>
      <c r="H1253" s="163"/>
      <c r="I1253" s="163"/>
      <c r="J1253" s="163"/>
      <c r="K1253" s="163"/>
      <c r="L1253" s="163"/>
      <c r="M1253" s="163"/>
      <c r="N1253" s="163"/>
      <c r="O1253" s="162"/>
      <c r="P1253" s="163"/>
      <c r="Q1253" s="163"/>
      <c r="R1253" s="163"/>
      <c r="S1253" s="163"/>
      <c r="T1253" s="164"/>
      <c r="U1253" s="164"/>
      <c r="V1253" s="165"/>
      <c r="W1253" s="163"/>
      <c r="X1253" s="163"/>
      <c r="Y1253" s="163"/>
      <c r="Z1253" s="163"/>
      <c r="AA1253" s="162"/>
      <c r="AB1253" s="195" t="s">
        <v>24</v>
      </c>
      <c r="AC1253" s="163"/>
      <c r="AD1253" s="163" t="str">
        <f t="shared" si="143"/>
        <v/>
      </c>
      <c r="AE1253" s="163"/>
    </row>
    <row r="1254" spans="1:31" x14ac:dyDescent="0.35">
      <c r="A1254" s="162"/>
      <c r="B1254" s="163"/>
      <c r="C1254" s="163"/>
      <c r="D1254" s="163"/>
      <c r="E1254" s="163"/>
      <c r="F1254" s="163"/>
      <c r="G1254" s="163"/>
      <c r="H1254" s="163"/>
      <c r="I1254" s="163"/>
      <c r="J1254" s="163"/>
      <c r="K1254" s="163"/>
      <c r="L1254" s="163"/>
      <c r="M1254" s="163"/>
      <c r="N1254" s="163"/>
      <c r="O1254" s="162"/>
      <c r="P1254" s="163"/>
      <c r="Q1254" s="163"/>
      <c r="R1254" s="163"/>
      <c r="S1254" s="163"/>
      <c r="T1254" s="164"/>
      <c r="U1254" s="164"/>
      <c r="V1254" s="165"/>
      <c r="W1254" s="163"/>
      <c r="X1254" s="163"/>
      <c r="Y1254" s="163"/>
      <c r="Z1254" s="163"/>
      <c r="AA1254" s="162"/>
      <c r="AB1254" s="195" t="s">
        <v>24</v>
      </c>
      <c r="AC1254" s="163"/>
      <c r="AD1254" s="163" t="str">
        <f t="shared" si="143"/>
        <v/>
      </c>
      <c r="AE1254" s="163"/>
    </row>
    <row r="1255" spans="1:31" x14ac:dyDescent="0.35">
      <c r="A1255" s="162"/>
      <c r="B1255" s="163"/>
      <c r="C1255" s="163"/>
      <c r="D1255" s="163"/>
      <c r="E1255" s="163"/>
      <c r="F1255" s="163"/>
      <c r="G1255" s="163"/>
      <c r="H1255" s="163"/>
      <c r="I1255" s="163"/>
      <c r="J1255" s="163"/>
      <c r="K1255" s="163"/>
      <c r="L1255" s="163"/>
      <c r="M1255" s="163"/>
      <c r="N1255" s="163"/>
      <c r="O1255" s="162"/>
      <c r="P1255" s="163"/>
      <c r="Q1255" s="163"/>
      <c r="R1255" s="163"/>
      <c r="S1255" s="163"/>
      <c r="T1255" s="164"/>
      <c r="U1255" s="164"/>
      <c r="V1255" s="165"/>
      <c r="W1255" s="163"/>
      <c r="X1255" s="163"/>
      <c r="Y1255" s="163"/>
      <c r="Z1255" s="163"/>
      <c r="AA1255" s="162"/>
      <c r="AB1255" s="195" t="s">
        <v>24</v>
      </c>
      <c r="AC1255" s="163"/>
      <c r="AD1255" s="163" t="str">
        <f t="shared" si="143"/>
        <v/>
      </c>
      <c r="AE1255" s="163"/>
    </row>
    <row r="1256" spans="1:31" x14ac:dyDescent="0.35">
      <c r="A1256" s="162"/>
      <c r="B1256" s="163"/>
      <c r="C1256" s="163"/>
      <c r="D1256" s="163"/>
      <c r="E1256" s="163"/>
      <c r="F1256" s="163"/>
      <c r="G1256" s="163"/>
      <c r="H1256" s="163"/>
      <c r="I1256" s="163"/>
      <c r="J1256" s="163"/>
      <c r="K1256" s="163"/>
      <c r="L1256" s="163"/>
      <c r="M1256" s="163"/>
      <c r="N1256" s="163"/>
      <c r="O1256" s="162"/>
      <c r="P1256" s="163"/>
      <c r="Q1256" s="163"/>
      <c r="R1256" s="163"/>
      <c r="S1256" s="163"/>
      <c r="T1256" s="164"/>
      <c r="U1256" s="164"/>
      <c r="V1256" s="165"/>
      <c r="W1256" s="163"/>
      <c r="X1256" s="163"/>
      <c r="Y1256" s="163"/>
      <c r="Z1256" s="163"/>
      <c r="AA1256" s="162"/>
      <c r="AB1256" s="195" t="s">
        <v>24</v>
      </c>
      <c r="AC1256" s="163"/>
      <c r="AD1256" s="163" t="str">
        <f t="shared" si="143"/>
        <v/>
      </c>
      <c r="AE1256" s="163"/>
    </row>
    <row r="1257" spans="1:31" x14ac:dyDescent="0.35">
      <c r="A1257" s="162"/>
      <c r="B1257" s="163"/>
      <c r="C1257" s="163"/>
      <c r="D1257" s="163"/>
      <c r="E1257" s="163"/>
      <c r="F1257" s="163"/>
      <c r="G1257" s="163"/>
      <c r="H1257" s="163"/>
      <c r="I1257" s="163"/>
      <c r="J1257" s="163"/>
      <c r="K1257" s="163"/>
      <c r="L1257" s="163"/>
      <c r="M1257" s="163"/>
      <c r="N1257" s="163"/>
      <c r="O1257" s="162"/>
      <c r="P1257" s="163"/>
      <c r="Q1257" s="163"/>
      <c r="R1257" s="163"/>
      <c r="S1257" s="163"/>
      <c r="T1257" s="164"/>
      <c r="U1257" s="164"/>
      <c r="V1257" s="165"/>
      <c r="W1257" s="163"/>
      <c r="X1257" s="163"/>
      <c r="Y1257" s="163"/>
      <c r="Z1257" s="163"/>
      <c r="AA1257" s="162"/>
      <c r="AB1257" s="195" t="s">
        <v>24</v>
      </c>
      <c r="AC1257" s="163"/>
      <c r="AD1257" s="163" t="str">
        <f t="shared" si="143"/>
        <v/>
      </c>
      <c r="AE1257" s="163"/>
    </row>
    <row r="1258" spans="1:31" x14ac:dyDescent="0.35">
      <c r="A1258" s="162"/>
      <c r="B1258" s="163"/>
      <c r="C1258" s="163"/>
      <c r="D1258" s="163"/>
      <c r="E1258" s="163"/>
      <c r="F1258" s="163"/>
      <c r="G1258" s="163"/>
      <c r="H1258" s="163"/>
      <c r="I1258" s="163"/>
      <c r="J1258" s="163"/>
      <c r="K1258" s="163"/>
      <c r="L1258" s="163"/>
      <c r="M1258" s="163"/>
      <c r="N1258" s="163"/>
      <c r="O1258" s="162"/>
      <c r="P1258" s="163"/>
      <c r="Q1258" s="163"/>
      <c r="R1258" s="163"/>
      <c r="S1258" s="163"/>
      <c r="T1258" s="164"/>
      <c r="U1258" s="164"/>
      <c r="V1258" s="165"/>
      <c r="W1258" s="163"/>
      <c r="X1258" s="163"/>
      <c r="Y1258" s="163"/>
      <c r="Z1258" s="163"/>
      <c r="AA1258" s="162"/>
      <c r="AB1258" s="195" t="s">
        <v>24</v>
      </c>
      <c r="AC1258" s="163"/>
      <c r="AD1258" s="163" t="str">
        <f t="shared" ref="AD1258:AD1263" si="144">IF(AC1258="Yes",U760*2%,"")</f>
        <v/>
      </c>
      <c r="AE1258" s="163"/>
    </row>
    <row r="1259" spans="1:31" x14ac:dyDescent="0.35">
      <c r="A1259" s="162"/>
      <c r="B1259" s="163"/>
      <c r="C1259" s="163"/>
      <c r="D1259" s="163"/>
      <c r="E1259" s="163"/>
      <c r="F1259" s="163"/>
      <c r="G1259" s="163"/>
      <c r="H1259" s="163"/>
      <c r="I1259" s="163"/>
      <c r="J1259" s="163"/>
      <c r="K1259" s="163"/>
      <c r="L1259" s="163"/>
      <c r="M1259" s="163"/>
      <c r="N1259" s="163"/>
      <c r="O1259" s="162"/>
      <c r="P1259" s="163"/>
      <c r="Q1259" s="163"/>
      <c r="R1259" s="163"/>
      <c r="S1259" s="163"/>
      <c r="T1259" s="164"/>
      <c r="U1259" s="164"/>
      <c r="V1259" s="165"/>
      <c r="W1259" s="163"/>
      <c r="X1259" s="163"/>
      <c r="Y1259" s="163"/>
      <c r="Z1259" s="163"/>
      <c r="AA1259" s="162"/>
      <c r="AB1259" s="195" t="s">
        <v>24</v>
      </c>
      <c r="AC1259" s="163"/>
      <c r="AD1259" s="163" t="str">
        <f t="shared" si="144"/>
        <v/>
      </c>
      <c r="AE1259" s="163"/>
    </row>
    <row r="1260" spans="1:31" x14ac:dyDescent="0.35">
      <c r="A1260" s="162"/>
      <c r="B1260" s="163"/>
      <c r="C1260" s="163"/>
      <c r="D1260" s="163"/>
      <c r="E1260" s="163"/>
      <c r="F1260" s="163"/>
      <c r="G1260" s="163"/>
      <c r="H1260" s="163"/>
      <c r="I1260" s="163"/>
      <c r="J1260" s="163"/>
      <c r="K1260" s="163"/>
      <c r="L1260" s="163"/>
      <c r="M1260" s="163"/>
      <c r="N1260" s="163"/>
      <c r="O1260" s="162"/>
      <c r="P1260" s="163"/>
      <c r="Q1260" s="163"/>
      <c r="R1260" s="163"/>
      <c r="S1260" s="163"/>
      <c r="T1260" s="164"/>
      <c r="U1260" s="164"/>
      <c r="V1260" s="165"/>
      <c r="W1260" s="163"/>
      <c r="X1260" s="163"/>
      <c r="Y1260" s="163"/>
      <c r="Z1260" s="163"/>
      <c r="AA1260" s="162"/>
      <c r="AB1260" s="195" t="s">
        <v>24</v>
      </c>
      <c r="AC1260" s="163"/>
      <c r="AD1260" s="163" t="str">
        <f t="shared" si="144"/>
        <v/>
      </c>
      <c r="AE1260" s="163"/>
    </row>
    <row r="1261" spans="1:31" x14ac:dyDescent="0.35">
      <c r="A1261" s="162"/>
      <c r="B1261" s="163"/>
      <c r="C1261" s="163"/>
      <c r="D1261" s="163"/>
      <c r="E1261" s="163"/>
      <c r="F1261" s="163"/>
      <c r="G1261" s="163"/>
      <c r="H1261" s="163"/>
      <c r="I1261" s="163"/>
      <c r="J1261" s="163"/>
      <c r="K1261" s="163"/>
      <c r="L1261" s="163"/>
      <c r="M1261" s="163"/>
      <c r="N1261" s="163"/>
      <c r="O1261" s="162"/>
      <c r="P1261" s="163"/>
      <c r="Q1261" s="163"/>
      <c r="R1261" s="163"/>
      <c r="S1261" s="163"/>
      <c r="T1261" s="164"/>
      <c r="U1261" s="164"/>
      <c r="V1261" s="165"/>
      <c r="W1261" s="163"/>
      <c r="X1261" s="163"/>
      <c r="Y1261" s="163"/>
      <c r="Z1261" s="163"/>
      <c r="AA1261" s="162"/>
      <c r="AB1261" s="195" t="s">
        <v>24</v>
      </c>
      <c r="AC1261" s="163"/>
      <c r="AD1261" s="163" t="str">
        <f t="shared" si="144"/>
        <v/>
      </c>
      <c r="AE1261" s="163"/>
    </row>
    <row r="1262" spans="1:31" x14ac:dyDescent="0.35">
      <c r="A1262" s="162"/>
      <c r="B1262" s="163"/>
      <c r="C1262" s="163"/>
      <c r="D1262" s="163"/>
      <c r="E1262" s="163"/>
      <c r="F1262" s="163"/>
      <c r="G1262" s="163"/>
      <c r="H1262" s="163"/>
      <c r="I1262" s="163"/>
      <c r="J1262" s="163"/>
      <c r="K1262" s="163"/>
      <c r="L1262" s="163"/>
      <c r="M1262" s="163"/>
      <c r="N1262" s="163"/>
      <c r="O1262" s="162"/>
      <c r="P1262" s="163"/>
      <c r="Q1262" s="163"/>
      <c r="R1262" s="163"/>
      <c r="S1262" s="163"/>
      <c r="T1262" s="164"/>
      <c r="U1262" s="164"/>
      <c r="V1262" s="165"/>
      <c r="W1262" s="163"/>
      <c r="X1262" s="163"/>
      <c r="Y1262" s="163"/>
      <c r="Z1262" s="163"/>
      <c r="AA1262" s="162"/>
      <c r="AB1262" s="195" t="s">
        <v>24</v>
      </c>
      <c r="AC1262" s="163"/>
      <c r="AD1262" s="163" t="str">
        <f t="shared" si="144"/>
        <v/>
      </c>
      <c r="AE1262" s="163"/>
    </row>
    <row r="1263" spans="1:31" x14ac:dyDescent="0.35">
      <c r="A1263" s="162"/>
      <c r="B1263" s="163"/>
      <c r="C1263" s="163"/>
      <c r="D1263" s="163"/>
      <c r="E1263" s="163"/>
      <c r="F1263" s="163"/>
      <c r="G1263" s="163"/>
      <c r="H1263" s="163"/>
      <c r="I1263" s="163"/>
      <c r="J1263" s="163"/>
      <c r="K1263" s="163"/>
      <c r="L1263" s="163"/>
      <c r="M1263" s="163"/>
      <c r="N1263" s="163"/>
      <c r="O1263" s="162"/>
      <c r="P1263" s="163"/>
      <c r="Q1263" s="163"/>
      <c r="R1263" s="163"/>
      <c r="S1263" s="163"/>
      <c r="T1263" s="164"/>
      <c r="U1263" s="164"/>
      <c r="V1263" s="165"/>
      <c r="W1263" s="163"/>
      <c r="X1263" s="163"/>
      <c r="Y1263" s="163"/>
      <c r="Z1263" s="163"/>
      <c r="AA1263" s="162"/>
      <c r="AB1263" s="195" t="s">
        <v>24</v>
      </c>
      <c r="AC1263" s="163"/>
      <c r="AD1263" s="163" t="str">
        <f t="shared" si="144"/>
        <v/>
      </c>
      <c r="AE1263" s="163"/>
    </row>
    <row r="1264" spans="1:31" x14ac:dyDescent="0.35">
      <c r="A1264" s="162"/>
      <c r="B1264" s="163"/>
      <c r="C1264" s="163"/>
      <c r="D1264" s="163"/>
      <c r="E1264" s="163"/>
      <c r="F1264" s="163"/>
      <c r="G1264" s="163"/>
      <c r="H1264" s="163"/>
      <c r="I1264" s="163"/>
      <c r="J1264" s="163"/>
      <c r="K1264" s="163"/>
      <c r="L1264" s="163"/>
      <c r="M1264" s="163"/>
      <c r="N1264" s="163"/>
      <c r="O1264" s="162"/>
      <c r="P1264" s="163"/>
      <c r="Q1264" s="163"/>
      <c r="R1264" s="163"/>
      <c r="S1264" s="163"/>
      <c r="T1264" s="164"/>
      <c r="U1264" s="164"/>
      <c r="V1264" s="165"/>
      <c r="W1264" s="163"/>
      <c r="X1264" s="163"/>
      <c r="Y1264" s="163"/>
      <c r="Z1264" s="163"/>
      <c r="AA1264" s="162"/>
      <c r="AB1264" s="195" t="s">
        <v>24</v>
      </c>
      <c r="AC1264" s="163"/>
      <c r="AD1264" s="163" t="str">
        <f>IF(AC1264="Yes",U767*2%,"")</f>
        <v/>
      </c>
      <c r="AE1264" s="163"/>
    </row>
    <row r="1265" spans="1:31" x14ac:dyDescent="0.35">
      <c r="A1265" s="162"/>
      <c r="B1265" s="163"/>
      <c r="C1265" s="163"/>
      <c r="D1265" s="163"/>
      <c r="E1265" s="163"/>
      <c r="F1265" s="163"/>
      <c r="G1265" s="163"/>
      <c r="H1265" s="163"/>
      <c r="I1265" s="163"/>
      <c r="J1265" s="163"/>
      <c r="K1265" s="163"/>
      <c r="L1265" s="163"/>
      <c r="M1265" s="163"/>
      <c r="N1265" s="163"/>
      <c r="O1265" s="162"/>
      <c r="P1265" s="163"/>
      <c r="Q1265" s="163"/>
      <c r="R1265" s="163"/>
      <c r="S1265" s="163"/>
      <c r="T1265" s="164"/>
      <c r="U1265" s="164"/>
      <c r="V1265" s="165"/>
      <c r="W1265" s="163"/>
      <c r="X1265" s="163"/>
      <c r="Y1265" s="163"/>
      <c r="Z1265" s="163"/>
      <c r="AA1265" s="162"/>
      <c r="AB1265" s="195" t="s">
        <v>24</v>
      </c>
      <c r="AC1265" s="163"/>
      <c r="AD1265" s="163" t="str">
        <f>IF(AC1265="Yes",U768*2%,"")</f>
        <v/>
      </c>
      <c r="AE1265" s="163"/>
    </row>
    <row r="1266" spans="1:31" x14ac:dyDescent="0.35">
      <c r="A1266" s="162"/>
      <c r="B1266" s="163"/>
      <c r="C1266" s="163"/>
      <c r="D1266" s="163"/>
      <c r="E1266" s="163"/>
      <c r="F1266" s="163"/>
      <c r="G1266" s="163"/>
      <c r="H1266" s="163"/>
      <c r="I1266" s="163"/>
      <c r="J1266" s="163"/>
      <c r="K1266" s="163"/>
      <c r="L1266" s="163"/>
      <c r="M1266" s="163"/>
      <c r="N1266" s="163"/>
      <c r="O1266" s="162"/>
      <c r="P1266" s="163"/>
      <c r="Q1266" s="163"/>
      <c r="R1266" s="163"/>
      <c r="S1266" s="163"/>
      <c r="T1266" s="164"/>
      <c r="U1266" s="164"/>
      <c r="V1266" s="165"/>
      <c r="W1266" s="163"/>
      <c r="X1266" s="163"/>
      <c r="Y1266" s="163"/>
      <c r="Z1266" s="163"/>
      <c r="AA1266" s="162"/>
      <c r="AB1266" s="195" t="s">
        <v>24</v>
      </c>
      <c r="AC1266" s="163"/>
      <c r="AD1266" s="163" t="str">
        <f>IF(AC1266="Yes",U769*2%,"")</f>
        <v/>
      </c>
      <c r="AE1266" s="163"/>
    </row>
    <row r="1267" spans="1:31" x14ac:dyDescent="0.35">
      <c r="A1267" s="162"/>
      <c r="B1267" s="163"/>
      <c r="C1267" s="163"/>
      <c r="D1267" s="163"/>
      <c r="E1267" s="163"/>
      <c r="F1267" s="163"/>
      <c r="G1267" s="163"/>
      <c r="H1267" s="163"/>
      <c r="I1267" s="163"/>
      <c r="J1267" s="163"/>
      <c r="K1267" s="163"/>
      <c r="L1267" s="163"/>
      <c r="M1267" s="163"/>
      <c r="N1267" s="163"/>
      <c r="O1267" s="162"/>
      <c r="P1267" s="163"/>
      <c r="Q1267" s="163"/>
      <c r="R1267" s="163"/>
      <c r="S1267" s="163"/>
      <c r="T1267" s="164"/>
      <c r="U1267" s="164"/>
      <c r="V1267" s="165"/>
      <c r="W1267" s="163"/>
      <c r="X1267" s="163"/>
      <c r="Y1267" s="163"/>
      <c r="Z1267" s="163"/>
      <c r="AA1267" s="162"/>
      <c r="AB1267" s="195" t="s">
        <v>24</v>
      </c>
      <c r="AC1267" s="163"/>
      <c r="AD1267" s="163"/>
      <c r="AE1267" s="163"/>
    </row>
    <row r="1268" spans="1:31" x14ac:dyDescent="0.35">
      <c r="A1268" s="162"/>
      <c r="B1268" s="163"/>
      <c r="C1268" s="163"/>
      <c r="D1268" s="163"/>
      <c r="E1268" s="163"/>
      <c r="F1268" s="163"/>
      <c r="G1268" s="163"/>
      <c r="H1268" s="163"/>
      <c r="I1268" s="163"/>
      <c r="J1268" s="163"/>
      <c r="K1268" s="163"/>
      <c r="L1268" s="163"/>
      <c r="M1268" s="163"/>
      <c r="N1268" s="163"/>
      <c r="O1268" s="162"/>
      <c r="P1268" s="163"/>
      <c r="Q1268" s="163"/>
      <c r="R1268" s="163"/>
      <c r="S1268" s="163"/>
      <c r="T1268" s="164"/>
      <c r="U1268" s="164"/>
      <c r="V1268" s="165"/>
      <c r="W1268" s="163"/>
      <c r="X1268" s="163"/>
      <c r="Y1268" s="163"/>
      <c r="Z1268" s="163"/>
      <c r="AA1268" s="162"/>
      <c r="AB1268" s="195" t="s">
        <v>24</v>
      </c>
      <c r="AC1268" s="163"/>
      <c r="AD1268" s="163"/>
      <c r="AE1268" s="163"/>
    </row>
    <row r="1269" spans="1:31" x14ac:dyDescent="0.35">
      <c r="A1269" s="162"/>
      <c r="B1269" s="163"/>
      <c r="C1269" s="163"/>
      <c r="D1269" s="163"/>
      <c r="E1269" s="163"/>
      <c r="F1269" s="163"/>
      <c r="G1269" s="163"/>
      <c r="H1269" s="163"/>
      <c r="I1269" s="163"/>
      <c r="J1269" s="163"/>
      <c r="K1269" s="163"/>
      <c r="L1269" s="163"/>
      <c r="M1269" s="163"/>
      <c r="N1269" s="163"/>
      <c r="O1269" s="162"/>
      <c r="P1269" s="163"/>
      <c r="Q1269" s="163"/>
      <c r="R1269" s="163"/>
      <c r="S1269" s="163"/>
      <c r="T1269" s="164"/>
      <c r="U1269" s="164"/>
      <c r="V1269" s="165"/>
      <c r="W1269" s="163"/>
      <c r="X1269" s="163"/>
      <c r="Y1269" s="163"/>
      <c r="Z1269" s="163"/>
      <c r="AA1269" s="162"/>
      <c r="AB1269" s="195" t="s">
        <v>24</v>
      </c>
      <c r="AC1269" s="163"/>
      <c r="AD1269" s="163"/>
      <c r="AE1269" s="163"/>
    </row>
    <row r="1270" spans="1:31" x14ac:dyDescent="0.35">
      <c r="A1270" s="162"/>
      <c r="B1270" s="163"/>
      <c r="C1270" s="163"/>
      <c r="D1270" s="163"/>
      <c r="E1270" s="163"/>
      <c r="F1270" s="163"/>
      <c r="G1270" s="163"/>
      <c r="H1270" s="163"/>
      <c r="I1270" s="163"/>
      <c r="J1270" s="163"/>
      <c r="K1270" s="163"/>
      <c r="L1270" s="163"/>
      <c r="M1270" s="163"/>
      <c r="N1270" s="163"/>
      <c r="O1270" s="162"/>
      <c r="P1270" s="163"/>
      <c r="Q1270" s="163"/>
      <c r="R1270" s="163"/>
      <c r="S1270" s="163"/>
      <c r="T1270" s="164"/>
      <c r="U1270" s="164"/>
      <c r="V1270" s="165"/>
      <c r="W1270" s="163"/>
      <c r="X1270" s="163"/>
      <c r="Y1270" s="163"/>
      <c r="Z1270" s="163"/>
      <c r="AA1270" s="162"/>
      <c r="AB1270" s="195" t="s">
        <v>24</v>
      </c>
      <c r="AC1270" s="163"/>
      <c r="AD1270" s="163"/>
      <c r="AE1270" s="163"/>
    </row>
    <row r="1271" spans="1:31" x14ac:dyDescent="0.35">
      <c r="A1271" s="162"/>
      <c r="B1271" s="163"/>
      <c r="C1271" s="163"/>
      <c r="D1271" s="163"/>
      <c r="E1271" s="163"/>
      <c r="F1271" s="163"/>
      <c r="G1271" s="163"/>
      <c r="H1271" s="163"/>
      <c r="I1271" s="163"/>
      <c r="J1271" s="163"/>
      <c r="K1271" s="163"/>
      <c r="L1271" s="163"/>
      <c r="M1271" s="163"/>
      <c r="N1271" s="163"/>
      <c r="O1271" s="162"/>
      <c r="P1271" s="163"/>
      <c r="Q1271" s="163"/>
      <c r="R1271" s="163"/>
      <c r="S1271" s="163"/>
      <c r="T1271" s="164"/>
      <c r="U1271" s="164"/>
      <c r="V1271" s="165"/>
      <c r="W1271" s="163"/>
      <c r="X1271" s="163"/>
      <c r="Y1271" s="163"/>
      <c r="Z1271" s="163"/>
      <c r="AA1271" s="162"/>
      <c r="AB1271" s="195" t="s">
        <v>24</v>
      </c>
      <c r="AC1271" s="163"/>
      <c r="AD1271" s="163"/>
      <c r="AE1271" s="163"/>
    </row>
    <row r="1272" spans="1:31" x14ac:dyDescent="0.35">
      <c r="A1272" s="162"/>
      <c r="B1272" s="163"/>
      <c r="C1272" s="163"/>
      <c r="D1272" s="163"/>
      <c r="E1272" s="163"/>
      <c r="F1272" s="163"/>
      <c r="G1272" s="163"/>
      <c r="H1272" s="163"/>
      <c r="I1272" s="163"/>
      <c r="J1272" s="163"/>
      <c r="K1272" s="163"/>
      <c r="L1272" s="163"/>
      <c r="M1272" s="163"/>
      <c r="N1272" s="163"/>
      <c r="O1272" s="162"/>
      <c r="P1272" s="163"/>
      <c r="Q1272" s="163"/>
      <c r="R1272" s="163"/>
      <c r="S1272" s="163"/>
      <c r="T1272" s="164"/>
      <c r="U1272" s="164"/>
      <c r="V1272" s="165"/>
      <c r="W1272" s="163"/>
      <c r="X1272" s="163"/>
      <c r="Y1272" s="163"/>
      <c r="Z1272" s="163"/>
      <c r="AA1272" s="162"/>
      <c r="AB1272" s="195" t="s">
        <v>24</v>
      </c>
      <c r="AC1272" s="163"/>
      <c r="AD1272" s="163"/>
      <c r="AE1272" s="163"/>
    </row>
    <row r="1273" spans="1:31" x14ac:dyDescent="0.35">
      <c r="A1273" s="162"/>
      <c r="B1273" s="163"/>
      <c r="C1273" s="163"/>
      <c r="D1273" s="163"/>
      <c r="E1273" s="163"/>
      <c r="F1273" s="163"/>
      <c r="G1273" s="163"/>
      <c r="H1273" s="163"/>
      <c r="I1273" s="163"/>
      <c r="J1273" s="163"/>
      <c r="K1273" s="163"/>
      <c r="L1273" s="163"/>
      <c r="M1273" s="163"/>
      <c r="N1273" s="163"/>
      <c r="O1273" s="162"/>
      <c r="P1273" s="163"/>
      <c r="Q1273" s="163"/>
      <c r="R1273" s="163"/>
      <c r="S1273" s="163"/>
      <c r="T1273" s="164"/>
      <c r="U1273" s="164"/>
      <c r="V1273" s="165"/>
      <c r="W1273" s="163"/>
      <c r="X1273" s="163"/>
      <c r="Y1273" s="163"/>
      <c r="Z1273" s="163"/>
      <c r="AA1273" s="162"/>
      <c r="AB1273" s="195" t="s">
        <v>24</v>
      </c>
      <c r="AC1273" s="163"/>
      <c r="AD1273" s="163"/>
      <c r="AE1273" s="163"/>
    </row>
    <row r="1274" spans="1:31" x14ac:dyDescent="0.35">
      <c r="A1274" s="162"/>
      <c r="B1274" s="163"/>
      <c r="C1274" s="163"/>
      <c r="D1274" s="163"/>
      <c r="E1274" s="163"/>
      <c r="F1274" s="163"/>
      <c r="G1274" s="163"/>
      <c r="H1274" s="163"/>
      <c r="I1274" s="163"/>
      <c r="J1274" s="163"/>
      <c r="K1274" s="163"/>
      <c r="L1274" s="163"/>
      <c r="M1274" s="163"/>
      <c r="N1274" s="163"/>
      <c r="O1274" s="162"/>
      <c r="P1274" s="163"/>
      <c r="Q1274" s="163"/>
      <c r="R1274" s="163"/>
      <c r="S1274" s="163"/>
      <c r="T1274" s="164"/>
      <c r="U1274" s="164"/>
      <c r="V1274" s="165"/>
      <c r="W1274" s="163"/>
      <c r="X1274" s="163"/>
      <c r="Y1274" s="163"/>
      <c r="Z1274" s="163"/>
      <c r="AA1274" s="162"/>
      <c r="AB1274" s="195" t="s">
        <v>24</v>
      </c>
      <c r="AC1274" s="163"/>
      <c r="AD1274" s="163"/>
      <c r="AE1274" s="163"/>
    </row>
    <row r="1275" spans="1:31" x14ac:dyDescent="0.35">
      <c r="A1275" s="162"/>
      <c r="B1275" s="163"/>
      <c r="C1275" s="163"/>
      <c r="D1275" s="163"/>
      <c r="E1275" s="163"/>
      <c r="F1275" s="163"/>
      <c r="G1275" s="163"/>
      <c r="H1275" s="163"/>
      <c r="I1275" s="163"/>
      <c r="J1275" s="163"/>
      <c r="K1275" s="163"/>
      <c r="L1275" s="163"/>
      <c r="M1275" s="163"/>
      <c r="N1275" s="163"/>
      <c r="O1275" s="162"/>
      <c r="P1275" s="163"/>
      <c r="Q1275" s="163"/>
      <c r="R1275" s="163"/>
      <c r="S1275" s="163"/>
      <c r="T1275" s="164"/>
      <c r="U1275" s="164"/>
      <c r="V1275" s="165"/>
      <c r="W1275" s="163"/>
      <c r="X1275" s="163"/>
      <c r="Y1275" s="163"/>
      <c r="Z1275" s="163"/>
      <c r="AA1275" s="162"/>
      <c r="AB1275" s="195" t="s">
        <v>24</v>
      </c>
      <c r="AC1275" s="163"/>
      <c r="AD1275" s="163"/>
      <c r="AE1275" s="163"/>
    </row>
    <row r="1276" spans="1:31" x14ac:dyDescent="0.35">
      <c r="A1276" s="162"/>
      <c r="B1276" s="163"/>
      <c r="C1276" s="163"/>
      <c r="D1276" s="163"/>
      <c r="E1276" s="163"/>
      <c r="F1276" s="163"/>
      <c r="G1276" s="163"/>
      <c r="H1276" s="163"/>
      <c r="I1276" s="163"/>
      <c r="J1276" s="163"/>
      <c r="K1276" s="163"/>
      <c r="L1276" s="163"/>
      <c r="M1276" s="163"/>
      <c r="N1276" s="163"/>
      <c r="O1276" s="162"/>
      <c r="P1276" s="163"/>
      <c r="Q1276" s="163"/>
      <c r="R1276" s="163"/>
      <c r="S1276" s="163"/>
      <c r="T1276" s="164"/>
      <c r="U1276" s="164"/>
      <c r="V1276" s="165"/>
      <c r="W1276" s="163"/>
      <c r="X1276" s="163"/>
      <c r="Y1276" s="163"/>
      <c r="Z1276" s="163"/>
      <c r="AA1276" s="162"/>
      <c r="AB1276" s="195" t="s">
        <v>24</v>
      </c>
      <c r="AC1276" s="163"/>
      <c r="AD1276" s="163"/>
      <c r="AE1276" s="163"/>
    </row>
    <row r="1277" spans="1:31" x14ac:dyDescent="0.35">
      <c r="A1277" s="162"/>
      <c r="B1277" s="163"/>
      <c r="C1277" s="163"/>
      <c r="D1277" s="163"/>
      <c r="E1277" s="163"/>
      <c r="F1277" s="163"/>
      <c r="G1277" s="163"/>
      <c r="H1277" s="163"/>
      <c r="I1277" s="163"/>
      <c r="J1277" s="163"/>
      <c r="K1277" s="163"/>
      <c r="L1277" s="163"/>
      <c r="M1277" s="163"/>
      <c r="N1277" s="163"/>
      <c r="O1277" s="162"/>
      <c r="P1277" s="163"/>
      <c r="Q1277" s="163"/>
      <c r="R1277" s="163"/>
      <c r="S1277" s="163"/>
      <c r="T1277" s="164"/>
      <c r="U1277" s="164"/>
      <c r="V1277" s="165"/>
      <c r="W1277" s="163"/>
      <c r="X1277" s="163"/>
      <c r="Y1277" s="163"/>
      <c r="Z1277" s="163"/>
      <c r="AA1277" s="162"/>
      <c r="AB1277" s="195" t="s">
        <v>24</v>
      </c>
      <c r="AC1277" s="163"/>
      <c r="AD1277" s="163"/>
      <c r="AE1277" s="163"/>
    </row>
    <row r="1278" spans="1:31" x14ac:dyDescent="0.35">
      <c r="A1278" s="162"/>
      <c r="B1278" s="163"/>
      <c r="C1278" s="163"/>
      <c r="D1278" s="163"/>
      <c r="E1278" s="163"/>
      <c r="F1278" s="163"/>
      <c r="G1278" s="163"/>
      <c r="H1278" s="163"/>
      <c r="I1278" s="163"/>
      <c r="J1278" s="163"/>
      <c r="K1278" s="163"/>
      <c r="L1278" s="163"/>
      <c r="M1278" s="163"/>
      <c r="N1278" s="163"/>
      <c r="O1278" s="162"/>
      <c r="P1278" s="163"/>
      <c r="Q1278" s="163"/>
      <c r="R1278" s="163"/>
      <c r="S1278" s="163"/>
      <c r="T1278" s="164"/>
      <c r="U1278" s="164"/>
      <c r="V1278" s="165"/>
      <c r="W1278" s="163"/>
      <c r="X1278" s="163"/>
      <c r="Y1278" s="163"/>
      <c r="Z1278" s="163"/>
      <c r="AA1278" s="162"/>
      <c r="AB1278" s="195" t="s">
        <v>24</v>
      </c>
      <c r="AC1278" s="163"/>
      <c r="AD1278" s="163"/>
      <c r="AE1278" s="163"/>
    </row>
    <row r="1279" spans="1:31" x14ac:dyDescent="0.35">
      <c r="A1279" s="162"/>
      <c r="B1279" s="163"/>
      <c r="C1279" s="163"/>
      <c r="D1279" s="163"/>
      <c r="E1279" s="163"/>
      <c r="F1279" s="163"/>
      <c r="G1279" s="163"/>
      <c r="H1279" s="163"/>
      <c r="I1279" s="163"/>
      <c r="J1279" s="163"/>
      <c r="K1279" s="163"/>
      <c r="L1279" s="163"/>
      <c r="M1279" s="163"/>
      <c r="N1279" s="163"/>
      <c r="O1279" s="162"/>
      <c r="P1279" s="163"/>
      <c r="Q1279" s="163"/>
      <c r="R1279" s="163"/>
      <c r="S1279" s="163"/>
      <c r="T1279" s="164"/>
      <c r="U1279" s="164"/>
      <c r="V1279" s="165"/>
      <c r="W1279" s="163"/>
      <c r="X1279" s="163"/>
      <c r="Y1279" s="163"/>
      <c r="Z1279" s="163"/>
      <c r="AA1279" s="162"/>
      <c r="AB1279" s="195" t="s">
        <v>24</v>
      </c>
      <c r="AC1279" s="163"/>
      <c r="AD1279" s="163"/>
      <c r="AE1279" s="163"/>
    </row>
    <row r="1280" spans="1:31" x14ac:dyDescent="0.35">
      <c r="A1280" s="162"/>
      <c r="B1280" s="163"/>
      <c r="C1280" s="163"/>
      <c r="D1280" s="163"/>
      <c r="E1280" s="163"/>
      <c r="F1280" s="163"/>
      <c r="G1280" s="163"/>
      <c r="H1280" s="163"/>
      <c r="I1280" s="163"/>
      <c r="J1280" s="163"/>
      <c r="K1280" s="163"/>
      <c r="L1280" s="163"/>
      <c r="M1280" s="163"/>
      <c r="N1280" s="163"/>
      <c r="O1280" s="162"/>
      <c r="P1280" s="163"/>
      <c r="Q1280" s="163"/>
      <c r="R1280" s="163"/>
      <c r="S1280" s="163"/>
      <c r="T1280" s="164"/>
      <c r="U1280" s="164"/>
      <c r="V1280" s="165"/>
      <c r="W1280" s="163"/>
      <c r="X1280" s="163"/>
      <c r="Y1280" s="163"/>
      <c r="Z1280" s="163"/>
      <c r="AA1280" s="162"/>
      <c r="AB1280" s="195" t="s">
        <v>24</v>
      </c>
      <c r="AC1280" s="163"/>
      <c r="AD1280" s="163"/>
      <c r="AE1280" s="163"/>
    </row>
    <row r="1281" spans="1:31" x14ac:dyDescent="0.35">
      <c r="A1281" s="162"/>
      <c r="B1281" s="163"/>
      <c r="C1281" s="163"/>
      <c r="D1281" s="163"/>
      <c r="E1281" s="163"/>
      <c r="F1281" s="163"/>
      <c r="G1281" s="163"/>
      <c r="H1281" s="163"/>
      <c r="I1281" s="163"/>
      <c r="J1281" s="163"/>
      <c r="K1281" s="163"/>
      <c r="L1281" s="163"/>
      <c r="M1281" s="163"/>
      <c r="N1281" s="163"/>
      <c r="O1281" s="162"/>
      <c r="P1281" s="163"/>
      <c r="Q1281" s="163"/>
      <c r="R1281" s="163"/>
      <c r="S1281" s="163"/>
      <c r="T1281" s="164"/>
      <c r="U1281" s="164"/>
      <c r="V1281" s="165"/>
      <c r="W1281" s="163"/>
      <c r="X1281" s="163"/>
      <c r="Y1281" s="163"/>
      <c r="Z1281" s="163"/>
      <c r="AA1281" s="162"/>
      <c r="AB1281" s="195" t="s">
        <v>24</v>
      </c>
      <c r="AC1281" s="163"/>
      <c r="AD1281" s="163"/>
      <c r="AE1281" s="163"/>
    </row>
    <row r="1282" spans="1:31" x14ac:dyDescent="0.35">
      <c r="A1282" s="162"/>
      <c r="B1282" s="163"/>
      <c r="C1282" s="163"/>
      <c r="D1282" s="163"/>
      <c r="E1282" s="163"/>
      <c r="F1282" s="163"/>
      <c r="G1282" s="163"/>
      <c r="H1282" s="163"/>
      <c r="I1282" s="163"/>
      <c r="J1282" s="163"/>
      <c r="K1282" s="163"/>
      <c r="L1282" s="163"/>
      <c r="M1282" s="163"/>
      <c r="N1282" s="163"/>
      <c r="O1282" s="162"/>
      <c r="P1282" s="163"/>
      <c r="Q1282" s="163"/>
      <c r="R1282" s="163"/>
      <c r="S1282" s="163"/>
      <c r="T1282" s="164"/>
      <c r="U1282" s="164"/>
      <c r="V1282" s="163"/>
      <c r="W1282" s="163"/>
      <c r="X1282" s="163"/>
      <c r="Y1282" s="163"/>
      <c r="Z1282" s="163"/>
      <c r="AA1282" s="162"/>
      <c r="AB1282" s="195" t="s">
        <v>24</v>
      </c>
      <c r="AC1282" s="163"/>
      <c r="AD1282" s="163"/>
      <c r="AE1282" s="163"/>
    </row>
    <row r="1283" spans="1:31" x14ac:dyDescent="0.35">
      <c r="A1283" s="162"/>
      <c r="B1283" s="163"/>
      <c r="C1283" s="163"/>
      <c r="D1283" s="163"/>
      <c r="E1283" s="163"/>
      <c r="F1283" s="163"/>
      <c r="G1283" s="163"/>
      <c r="H1283" s="163"/>
      <c r="I1283" s="163"/>
      <c r="J1283" s="163"/>
      <c r="K1283" s="163"/>
      <c r="L1283" s="163"/>
      <c r="M1283" s="163"/>
      <c r="N1283" s="163"/>
      <c r="O1283" s="162"/>
      <c r="P1283" s="163"/>
      <c r="Q1283" s="163"/>
      <c r="R1283" s="163"/>
      <c r="S1283" s="163"/>
      <c r="T1283" s="164"/>
      <c r="U1283" s="164"/>
      <c r="V1283" s="163"/>
      <c r="W1283" s="163"/>
      <c r="X1283" s="163"/>
      <c r="Y1283" s="163"/>
      <c r="Z1283" s="163"/>
      <c r="AA1283" s="162"/>
      <c r="AB1283" s="195" t="s">
        <v>24</v>
      </c>
      <c r="AC1283" s="163"/>
      <c r="AD1283" s="163"/>
      <c r="AE1283" s="163"/>
    </row>
    <row r="1284" spans="1:31" x14ac:dyDescent="0.35">
      <c r="A1284" s="162"/>
      <c r="B1284" s="163"/>
      <c r="C1284" s="163"/>
      <c r="D1284" s="163"/>
      <c r="E1284" s="163"/>
      <c r="F1284" s="163"/>
      <c r="G1284" s="163"/>
      <c r="H1284" s="163"/>
      <c r="I1284" s="163"/>
      <c r="J1284" s="163"/>
      <c r="K1284" s="163"/>
      <c r="L1284" s="163"/>
      <c r="M1284" s="163"/>
      <c r="N1284" s="163"/>
      <c r="O1284" s="162"/>
      <c r="P1284" s="163"/>
      <c r="Q1284" s="163"/>
      <c r="R1284" s="163"/>
      <c r="S1284" s="163"/>
      <c r="T1284" s="164"/>
      <c r="U1284" s="164"/>
      <c r="V1284" s="163"/>
      <c r="W1284" s="163"/>
      <c r="X1284" s="163"/>
      <c r="Y1284" s="163"/>
      <c r="Z1284" s="163"/>
      <c r="AA1284" s="162"/>
      <c r="AB1284" s="195" t="str">
        <f t="shared" ref="AB1284:AB1315" si="145">IF($V1284="",TEXT($A1284,"MMM-YY"),TEXT($V1284,"MMM-YY"))</f>
        <v>Jan-00</v>
      </c>
      <c r="AC1284" s="163"/>
      <c r="AD1284" s="163"/>
      <c r="AE1284" s="163"/>
    </row>
    <row r="1285" spans="1:31" x14ac:dyDescent="0.35">
      <c r="A1285" s="162"/>
      <c r="B1285" s="163"/>
      <c r="C1285" s="163"/>
      <c r="D1285" s="163"/>
      <c r="E1285" s="163"/>
      <c r="F1285" s="163"/>
      <c r="G1285" s="163"/>
      <c r="H1285" s="163"/>
      <c r="I1285" s="163"/>
      <c r="J1285" s="163"/>
      <c r="K1285" s="163"/>
      <c r="L1285" s="163"/>
      <c r="M1285" s="163"/>
      <c r="N1285" s="163"/>
      <c r="O1285" s="162"/>
      <c r="P1285" s="163"/>
      <c r="Q1285" s="163"/>
      <c r="R1285" s="163"/>
      <c r="S1285" s="163"/>
      <c r="T1285" s="164"/>
      <c r="U1285" s="164"/>
      <c r="V1285" s="162"/>
      <c r="W1285" s="163"/>
      <c r="X1285" s="163"/>
      <c r="Y1285" s="163"/>
      <c r="Z1285" s="163"/>
      <c r="AA1285" s="162"/>
      <c r="AB1285" s="195" t="str">
        <f t="shared" si="145"/>
        <v>Jan-00</v>
      </c>
      <c r="AC1285" s="163"/>
      <c r="AD1285" s="163"/>
      <c r="AE1285" s="163"/>
    </row>
    <row r="1286" spans="1:31" x14ac:dyDescent="0.35">
      <c r="A1286" s="162"/>
      <c r="B1286" s="163"/>
      <c r="C1286" s="163"/>
      <c r="D1286" s="163"/>
      <c r="E1286" s="163"/>
      <c r="F1286" s="163"/>
      <c r="G1286" s="163"/>
      <c r="H1286" s="163"/>
      <c r="I1286" s="163"/>
      <c r="J1286" s="163"/>
      <c r="K1286" s="163"/>
      <c r="L1286" s="163"/>
      <c r="M1286" s="163"/>
      <c r="N1286" s="163"/>
      <c r="O1286" s="162"/>
      <c r="P1286" s="163"/>
      <c r="Q1286" s="163"/>
      <c r="R1286" s="163"/>
      <c r="S1286" s="163"/>
      <c r="T1286" s="164"/>
      <c r="U1286" s="164"/>
      <c r="V1286" s="162"/>
      <c r="W1286" s="163"/>
      <c r="X1286" s="163"/>
      <c r="Y1286" s="163"/>
      <c r="Z1286" s="163"/>
      <c r="AA1286" s="162"/>
      <c r="AB1286" s="195" t="str">
        <f t="shared" si="145"/>
        <v>Jan-00</v>
      </c>
      <c r="AC1286" s="163"/>
      <c r="AD1286" s="163"/>
      <c r="AE1286" s="163"/>
    </row>
    <row r="1287" spans="1:31" x14ac:dyDescent="0.35">
      <c r="A1287" s="162"/>
      <c r="B1287" s="163"/>
      <c r="C1287" s="163"/>
      <c r="D1287" s="163"/>
      <c r="E1287" s="163"/>
      <c r="F1287" s="163"/>
      <c r="G1287" s="163"/>
      <c r="H1287" s="163"/>
      <c r="I1287" s="163"/>
      <c r="J1287" s="163"/>
      <c r="K1287" s="163"/>
      <c r="L1287" s="163"/>
      <c r="M1287" s="163"/>
      <c r="N1287" s="163"/>
      <c r="O1287" s="162"/>
      <c r="P1287" s="163"/>
      <c r="Q1287" s="163"/>
      <c r="R1287" s="163"/>
      <c r="S1287" s="163"/>
      <c r="T1287" s="164"/>
      <c r="U1287" s="164"/>
      <c r="V1287" s="162"/>
      <c r="W1287" s="163"/>
      <c r="X1287" s="163"/>
      <c r="Y1287" s="163"/>
      <c r="Z1287" s="163"/>
      <c r="AA1287" s="162"/>
      <c r="AB1287" s="195" t="str">
        <f t="shared" si="145"/>
        <v>Jan-00</v>
      </c>
      <c r="AC1287" s="163"/>
      <c r="AD1287" s="163"/>
      <c r="AE1287" s="163"/>
    </row>
    <row r="1288" spans="1:31" x14ac:dyDescent="0.35">
      <c r="A1288" s="162"/>
      <c r="B1288" s="163"/>
      <c r="C1288" s="163"/>
      <c r="D1288" s="163"/>
      <c r="E1288" s="163"/>
      <c r="F1288" s="163"/>
      <c r="G1288" s="163"/>
      <c r="H1288" s="163"/>
      <c r="I1288" s="163"/>
      <c r="J1288" s="163"/>
      <c r="K1288" s="163"/>
      <c r="L1288" s="163"/>
      <c r="M1288" s="163"/>
      <c r="N1288" s="163"/>
      <c r="O1288" s="162"/>
      <c r="P1288" s="163"/>
      <c r="Q1288" s="163"/>
      <c r="R1288" s="163"/>
      <c r="S1288" s="163"/>
      <c r="T1288" s="164"/>
      <c r="U1288" s="164"/>
      <c r="V1288" s="163"/>
      <c r="W1288" s="163"/>
      <c r="X1288" s="163"/>
      <c r="Y1288" s="163"/>
      <c r="Z1288" s="163"/>
      <c r="AA1288" s="162"/>
      <c r="AB1288" s="195" t="str">
        <f t="shared" si="145"/>
        <v>Jan-00</v>
      </c>
      <c r="AC1288" s="163"/>
      <c r="AD1288" s="163"/>
      <c r="AE1288" s="163"/>
    </row>
    <row r="1289" spans="1:31" x14ac:dyDescent="0.35">
      <c r="A1289" s="162"/>
      <c r="B1289" s="163"/>
      <c r="C1289" s="163"/>
      <c r="D1289" s="163"/>
      <c r="E1289" s="163"/>
      <c r="F1289" s="163"/>
      <c r="G1289" s="163"/>
      <c r="H1289" s="163"/>
      <c r="I1289" s="163"/>
      <c r="J1289" s="163"/>
      <c r="K1289" s="163"/>
      <c r="L1289" s="163"/>
      <c r="M1289" s="163"/>
      <c r="N1289" s="163"/>
      <c r="O1289" s="162"/>
      <c r="P1289" s="163"/>
      <c r="Q1289" s="163"/>
      <c r="R1289" s="163"/>
      <c r="S1289" s="163"/>
      <c r="T1289" s="164"/>
      <c r="U1289" s="164"/>
      <c r="V1289" s="163"/>
      <c r="W1289" s="163"/>
      <c r="X1289" s="163"/>
      <c r="Y1289" s="163"/>
      <c r="Z1289" s="163"/>
      <c r="AA1289" s="162"/>
      <c r="AB1289" s="195" t="str">
        <f t="shared" si="145"/>
        <v>Jan-00</v>
      </c>
      <c r="AC1289" s="163"/>
      <c r="AD1289" s="163"/>
      <c r="AE1289" s="163"/>
    </row>
    <row r="1290" spans="1:31" x14ac:dyDescent="0.35">
      <c r="A1290" s="162"/>
      <c r="B1290" s="163"/>
      <c r="C1290" s="163"/>
      <c r="D1290" s="163"/>
      <c r="E1290" s="163"/>
      <c r="F1290" s="163"/>
      <c r="G1290" s="163"/>
      <c r="H1290" s="163"/>
      <c r="I1290" s="163"/>
      <c r="J1290" s="163"/>
      <c r="K1290" s="163"/>
      <c r="L1290" s="163"/>
      <c r="M1290" s="163"/>
      <c r="N1290" s="163"/>
      <c r="O1290" s="162"/>
      <c r="P1290" s="163"/>
      <c r="Q1290" s="163"/>
      <c r="R1290" s="163"/>
      <c r="S1290" s="163"/>
      <c r="T1290" s="164"/>
      <c r="U1290" s="164"/>
      <c r="V1290" s="162"/>
      <c r="W1290" s="163"/>
      <c r="X1290" s="163"/>
      <c r="Y1290" s="163"/>
      <c r="Z1290" s="163"/>
      <c r="AA1290" s="162"/>
      <c r="AB1290" s="195" t="str">
        <f t="shared" si="145"/>
        <v>Jan-00</v>
      </c>
      <c r="AC1290" s="163"/>
      <c r="AD1290" s="163"/>
      <c r="AE1290" s="163"/>
    </row>
    <row r="1291" spans="1:31" x14ac:dyDescent="0.35">
      <c r="A1291" s="162"/>
      <c r="B1291" s="163"/>
      <c r="C1291" s="163"/>
      <c r="D1291" s="163"/>
      <c r="E1291" s="163"/>
      <c r="F1291" s="163"/>
      <c r="G1291" s="163"/>
      <c r="H1291" s="163"/>
      <c r="I1291" s="163"/>
      <c r="J1291" s="163"/>
      <c r="K1291" s="163"/>
      <c r="L1291" s="163"/>
      <c r="M1291" s="163"/>
      <c r="N1291" s="163"/>
      <c r="O1291" s="162"/>
      <c r="P1291" s="163"/>
      <c r="Q1291" s="163"/>
      <c r="R1291" s="163"/>
      <c r="S1291" s="163"/>
      <c r="T1291" s="164"/>
      <c r="U1291" s="164"/>
      <c r="V1291" s="162"/>
      <c r="W1291" s="163"/>
      <c r="X1291" s="163"/>
      <c r="Y1291" s="163"/>
      <c r="Z1291" s="163"/>
      <c r="AA1291" s="162"/>
      <c r="AB1291" s="195" t="str">
        <f t="shared" si="145"/>
        <v>Jan-00</v>
      </c>
      <c r="AC1291" s="163"/>
      <c r="AD1291" s="163"/>
      <c r="AE1291" s="163"/>
    </row>
    <row r="1292" spans="1:31" x14ac:dyDescent="0.35">
      <c r="A1292" s="162"/>
      <c r="B1292" s="163"/>
      <c r="C1292" s="163"/>
      <c r="D1292" s="163"/>
      <c r="E1292" s="163"/>
      <c r="F1292" s="163"/>
      <c r="G1292" s="163"/>
      <c r="H1292" s="163"/>
      <c r="I1292" s="163"/>
      <c r="J1292" s="163"/>
      <c r="K1292" s="163"/>
      <c r="L1292" s="163"/>
      <c r="M1292" s="163"/>
      <c r="N1292" s="163"/>
      <c r="O1292" s="162"/>
      <c r="P1292" s="163"/>
      <c r="Q1292" s="163"/>
      <c r="R1292" s="163"/>
      <c r="S1292" s="163"/>
      <c r="T1292" s="164"/>
      <c r="U1292" s="164"/>
      <c r="V1292" s="163"/>
      <c r="W1292" s="163"/>
      <c r="X1292" s="163"/>
      <c r="Y1292" s="163"/>
      <c r="Z1292" s="163"/>
      <c r="AA1292" s="162"/>
      <c r="AB1292" s="195" t="str">
        <f t="shared" si="145"/>
        <v>Jan-00</v>
      </c>
      <c r="AC1292" s="163"/>
      <c r="AD1292" s="163"/>
      <c r="AE1292" s="163"/>
    </row>
    <row r="1293" spans="1:31" x14ac:dyDescent="0.35">
      <c r="A1293" s="162"/>
      <c r="B1293" s="163"/>
      <c r="C1293" s="163"/>
      <c r="D1293" s="163"/>
      <c r="E1293" s="163"/>
      <c r="F1293" s="163"/>
      <c r="G1293" s="163"/>
      <c r="H1293" s="163"/>
      <c r="I1293" s="163"/>
      <c r="J1293" s="163"/>
      <c r="K1293" s="163"/>
      <c r="L1293" s="163"/>
      <c r="M1293" s="163"/>
      <c r="N1293" s="163"/>
      <c r="O1293" s="162"/>
      <c r="P1293" s="163"/>
      <c r="Q1293" s="163"/>
      <c r="R1293" s="163"/>
      <c r="S1293" s="163"/>
      <c r="T1293" s="164"/>
      <c r="U1293" s="164"/>
      <c r="V1293" s="163"/>
      <c r="W1293" s="163"/>
      <c r="X1293" s="163"/>
      <c r="Y1293" s="163"/>
      <c r="Z1293" s="163"/>
      <c r="AA1293" s="162"/>
      <c r="AB1293" s="195" t="str">
        <f t="shared" si="145"/>
        <v>Jan-00</v>
      </c>
      <c r="AC1293" s="163"/>
      <c r="AD1293" s="163"/>
      <c r="AE1293" s="163"/>
    </row>
    <row r="1294" spans="1:31" x14ac:dyDescent="0.35">
      <c r="A1294" s="162"/>
      <c r="B1294" s="163"/>
      <c r="C1294" s="163"/>
      <c r="D1294" s="163"/>
      <c r="E1294" s="163"/>
      <c r="F1294" s="163"/>
      <c r="G1294" s="163"/>
      <c r="H1294" s="163"/>
      <c r="I1294" s="163"/>
      <c r="J1294" s="163"/>
      <c r="K1294" s="163"/>
      <c r="L1294" s="163"/>
      <c r="M1294" s="163"/>
      <c r="N1294" s="163"/>
      <c r="O1294" s="162"/>
      <c r="P1294" s="163"/>
      <c r="Q1294" s="163"/>
      <c r="R1294" s="163"/>
      <c r="S1294" s="163"/>
      <c r="T1294" s="164"/>
      <c r="U1294" s="164"/>
      <c r="V1294" s="162"/>
      <c r="W1294" s="163"/>
      <c r="X1294" s="163"/>
      <c r="Y1294" s="163"/>
      <c r="Z1294" s="163"/>
      <c r="AA1294" s="162"/>
      <c r="AB1294" s="195" t="str">
        <f t="shared" si="145"/>
        <v>Jan-00</v>
      </c>
      <c r="AC1294" s="163"/>
      <c r="AD1294" s="163"/>
      <c r="AE1294" s="163"/>
    </row>
    <row r="1295" spans="1:31" x14ac:dyDescent="0.35">
      <c r="A1295" s="162"/>
      <c r="B1295" s="163"/>
      <c r="C1295" s="163"/>
      <c r="D1295" s="163"/>
      <c r="E1295" s="163"/>
      <c r="F1295" s="163"/>
      <c r="G1295" s="163"/>
      <c r="H1295" s="163"/>
      <c r="I1295" s="163"/>
      <c r="J1295" s="163"/>
      <c r="K1295" s="163"/>
      <c r="L1295" s="163"/>
      <c r="M1295" s="163"/>
      <c r="N1295" s="163"/>
      <c r="O1295" s="162"/>
      <c r="P1295" s="163"/>
      <c r="Q1295" s="163"/>
      <c r="R1295" s="163"/>
      <c r="S1295" s="163"/>
      <c r="T1295" s="164"/>
      <c r="U1295" s="164"/>
      <c r="V1295" s="163"/>
      <c r="W1295" s="163"/>
      <c r="X1295" s="163"/>
      <c r="Y1295" s="163"/>
      <c r="Z1295" s="163"/>
      <c r="AA1295" s="163"/>
      <c r="AB1295" s="195" t="str">
        <f t="shared" si="145"/>
        <v>Jan-00</v>
      </c>
      <c r="AC1295" s="163"/>
      <c r="AD1295" s="163"/>
      <c r="AE1295" s="163"/>
    </row>
    <row r="1296" spans="1:31" x14ac:dyDescent="0.35">
      <c r="A1296" s="175"/>
      <c r="B1296" s="172"/>
      <c r="C1296" s="172"/>
      <c r="D1296" s="172"/>
      <c r="E1296" s="172"/>
      <c r="F1296" s="172"/>
      <c r="G1296" s="172"/>
      <c r="H1296" s="172"/>
      <c r="I1296" s="172"/>
      <c r="J1296" s="172"/>
      <c r="K1296" s="172"/>
      <c r="L1296" s="172"/>
      <c r="M1296" s="172"/>
      <c r="N1296" s="172"/>
      <c r="O1296" s="162"/>
      <c r="P1296" s="172"/>
      <c r="Q1296" s="172"/>
      <c r="R1296" s="172"/>
      <c r="S1296" s="172"/>
      <c r="T1296" s="173"/>
      <c r="U1296" s="173"/>
      <c r="V1296" s="172"/>
      <c r="W1296" s="172"/>
      <c r="X1296" s="172"/>
      <c r="Y1296" s="172"/>
      <c r="Z1296" s="172"/>
      <c r="AA1296" s="172"/>
      <c r="AB1296" s="195" t="str">
        <f t="shared" si="145"/>
        <v>Jan-00</v>
      </c>
      <c r="AC1296" s="172"/>
      <c r="AD1296" s="172"/>
      <c r="AE1296" s="172"/>
    </row>
    <row r="1297" spans="15:28" x14ac:dyDescent="0.35">
      <c r="O1297" s="162"/>
      <c r="AB1297" s="195" t="str">
        <f t="shared" si="145"/>
        <v>Jan-00</v>
      </c>
    </row>
    <row r="1298" spans="15:28" x14ac:dyDescent="0.35">
      <c r="O1298" s="162"/>
      <c r="AB1298" s="195" t="str">
        <f t="shared" si="145"/>
        <v>Jan-00</v>
      </c>
    </row>
    <row r="1299" spans="15:28" x14ac:dyDescent="0.35">
      <c r="O1299" s="162"/>
      <c r="AB1299" s="195" t="str">
        <f t="shared" si="145"/>
        <v>Jan-00</v>
      </c>
    </row>
    <row r="1300" spans="15:28" x14ac:dyDescent="0.35">
      <c r="O1300" s="162"/>
      <c r="AB1300" s="195" t="str">
        <f t="shared" si="145"/>
        <v>Jan-00</v>
      </c>
    </row>
    <row r="1301" spans="15:28" x14ac:dyDescent="0.35">
      <c r="O1301" s="162"/>
      <c r="AB1301" s="195" t="str">
        <f t="shared" si="145"/>
        <v>Jan-00</v>
      </c>
    </row>
    <row r="1302" spans="15:28" x14ac:dyDescent="0.35">
      <c r="O1302" s="162"/>
      <c r="AB1302" s="195" t="str">
        <f t="shared" si="145"/>
        <v>Jan-00</v>
      </c>
    </row>
    <row r="1303" spans="15:28" x14ac:dyDescent="0.35">
      <c r="O1303" s="162"/>
      <c r="AB1303" s="195" t="str">
        <f t="shared" si="145"/>
        <v>Jan-00</v>
      </c>
    </row>
    <row r="1304" spans="15:28" x14ac:dyDescent="0.35">
      <c r="O1304" s="162"/>
      <c r="AB1304" s="195" t="str">
        <f t="shared" si="145"/>
        <v>Jan-00</v>
      </c>
    </row>
    <row r="1305" spans="15:28" x14ac:dyDescent="0.35">
      <c r="O1305" s="162"/>
      <c r="AB1305" s="195" t="str">
        <f t="shared" si="145"/>
        <v>Jan-00</v>
      </c>
    </row>
    <row r="1306" spans="15:28" x14ac:dyDescent="0.35">
      <c r="O1306" s="162"/>
      <c r="AB1306" s="195" t="str">
        <f t="shared" si="145"/>
        <v>Jan-00</v>
      </c>
    </row>
    <row r="1307" spans="15:28" x14ac:dyDescent="0.35">
      <c r="O1307" s="162"/>
      <c r="AB1307" s="195" t="str">
        <f t="shared" si="145"/>
        <v>Jan-00</v>
      </c>
    </row>
    <row r="1308" spans="15:28" x14ac:dyDescent="0.35">
      <c r="O1308" s="162"/>
      <c r="AB1308" s="195" t="str">
        <f t="shared" si="145"/>
        <v>Jan-00</v>
      </c>
    </row>
    <row r="1309" spans="15:28" x14ac:dyDescent="0.35">
      <c r="O1309" s="162"/>
      <c r="AB1309" s="195" t="str">
        <f t="shared" si="145"/>
        <v>Jan-00</v>
      </c>
    </row>
    <row r="1310" spans="15:28" x14ac:dyDescent="0.35">
      <c r="O1310" s="162"/>
      <c r="AB1310" s="195" t="str">
        <f t="shared" si="145"/>
        <v>Jan-00</v>
      </c>
    </row>
    <row r="1311" spans="15:28" x14ac:dyDescent="0.35">
      <c r="O1311" s="162"/>
      <c r="AB1311" s="195" t="str">
        <f t="shared" si="145"/>
        <v>Jan-00</v>
      </c>
    </row>
    <row r="1312" spans="15:28" x14ac:dyDescent="0.35">
      <c r="O1312" s="162"/>
      <c r="AB1312" s="195" t="str">
        <f t="shared" si="145"/>
        <v>Jan-00</v>
      </c>
    </row>
    <row r="1313" spans="15:28" x14ac:dyDescent="0.35">
      <c r="O1313" s="162"/>
      <c r="AB1313" s="195" t="str">
        <f t="shared" si="145"/>
        <v>Jan-00</v>
      </c>
    </row>
    <row r="1314" spans="15:28" x14ac:dyDescent="0.35">
      <c r="O1314" s="162"/>
      <c r="AB1314" s="195" t="str">
        <f t="shared" si="145"/>
        <v>Jan-00</v>
      </c>
    </row>
    <row r="1315" spans="15:28" x14ac:dyDescent="0.35">
      <c r="O1315" s="162"/>
      <c r="AB1315" s="195" t="str">
        <f t="shared" si="145"/>
        <v>Jan-00</v>
      </c>
    </row>
    <row r="1316" spans="15:28" x14ac:dyDescent="0.35">
      <c r="O1316" s="162"/>
      <c r="AB1316" s="195" t="str">
        <f t="shared" ref="AB1316:AB1347" si="146">IF($V1316="",TEXT($A1316,"MMM-YY"),TEXT($V1316,"MMM-YY"))</f>
        <v>Jan-00</v>
      </c>
    </row>
    <row r="1317" spans="15:28" x14ac:dyDescent="0.35">
      <c r="O1317" s="162"/>
      <c r="AB1317" s="195" t="str">
        <f t="shared" si="146"/>
        <v>Jan-00</v>
      </c>
    </row>
    <row r="1318" spans="15:28" x14ac:dyDescent="0.35">
      <c r="O1318" s="162"/>
      <c r="AB1318" s="195" t="str">
        <f t="shared" si="146"/>
        <v>Jan-00</v>
      </c>
    </row>
    <row r="1319" spans="15:28" x14ac:dyDescent="0.35">
      <c r="O1319" s="162"/>
      <c r="AB1319" s="195" t="str">
        <f t="shared" si="146"/>
        <v>Jan-00</v>
      </c>
    </row>
    <row r="1320" spans="15:28" x14ac:dyDescent="0.35">
      <c r="O1320" s="162"/>
      <c r="AB1320" s="195" t="str">
        <f t="shared" si="146"/>
        <v>Jan-00</v>
      </c>
    </row>
    <row r="1321" spans="15:28" x14ac:dyDescent="0.35">
      <c r="O1321" s="162"/>
      <c r="AB1321" s="195" t="str">
        <f t="shared" si="146"/>
        <v>Jan-00</v>
      </c>
    </row>
    <row r="1322" spans="15:28" x14ac:dyDescent="0.35">
      <c r="O1322" s="162"/>
      <c r="AB1322" s="195" t="str">
        <f t="shared" si="146"/>
        <v>Jan-00</v>
      </c>
    </row>
    <row r="1323" spans="15:28" x14ac:dyDescent="0.35">
      <c r="O1323" s="162"/>
      <c r="AB1323" s="195" t="str">
        <f t="shared" si="146"/>
        <v>Jan-00</v>
      </c>
    </row>
    <row r="1324" spans="15:28" x14ac:dyDescent="0.35">
      <c r="O1324" s="162"/>
      <c r="AB1324" s="195" t="str">
        <f t="shared" si="146"/>
        <v>Jan-00</v>
      </c>
    </row>
    <row r="1325" spans="15:28" x14ac:dyDescent="0.35">
      <c r="O1325" s="162"/>
      <c r="AB1325" s="195" t="str">
        <f t="shared" si="146"/>
        <v>Jan-00</v>
      </c>
    </row>
    <row r="1326" spans="15:28" x14ac:dyDescent="0.35">
      <c r="O1326" s="162"/>
      <c r="AB1326" s="195" t="str">
        <f t="shared" si="146"/>
        <v>Jan-00</v>
      </c>
    </row>
    <row r="1327" spans="15:28" x14ac:dyDescent="0.35">
      <c r="O1327" s="162"/>
      <c r="AB1327" s="195" t="str">
        <f t="shared" si="146"/>
        <v>Jan-00</v>
      </c>
    </row>
    <row r="1328" spans="15:28" x14ac:dyDescent="0.35">
      <c r="O1328" s="162"/>
      <c r="AB1328" s="195" t="str">
        <f t="shared" si="146"/>
        <v>Jan-00</v>
      </c>
    </row>
    <row r="1329" spans="15:28" x14ac:dyDescent="0.35">
      <c r="O1329" s="162"/>
      <c r="AB1329" s="195" t="str">
        <f t="shared" si="146"/>
        <v>Jan-00</v>
      </c>
    </row>
    <row r="1330" spans="15:28" x14ac:dyDescent="0.35">
      <c r="O1330" s="162"/>
      <c r="AB1330" s="195" t="str">
        <f t="shared" si="146"/>
        <v>Jan-00</v>
      </c>
    </row>
    <row r="1331" spans="15:28" x14ac:dyDescent="0.35">
      <c r="O1331" s="162"/>
      <c r="AB1331" s="195" t="str">
        <f t="shared" si="146"/>
        <v>Jan-00</v>
      </c>
    </row>
    <row r="1332" spans="15:28" x14ac:dyDescent="0.35">
      <c r="O1332" s="162"/>
      <c r="AB1332" s="195" t="str">
        <f t="shared" si="146"/>
        <v>Jan-00</v>
      </c>
    </row>
    <row r="1333" spans="15:28" x14ac:dyDescent="0.35">
      <c r="O1333" s="162"/>
      <c r="AB1333" s="195" t="str">
        <f t="shared" si="146"/>
        <v>Jan-00</v>
      </c>
    </row>
    <row r="1334" spans="15:28" x14ac:dyDescent="0.35">
      <c r="O1334" s="162"/>
      <c r="AB1334" s="195" t="str">
        <f t="shared" si="146"/>
        <v>Jan-00</v>
      </c>
    </row>
    <row r="1335" spans="15:28" x14ac:dyDescent="0.35">
      <c r="O1335" s="162"/>
      <c r="AB1335" s="195" t="str">
        <f t="shared" si="146"/>
        <v>Jan-00</v>
      </c>
    </row>
    <row r="1336" spans="15:28" x14ac:dyDescent="0.35">
      <c r="O1336" s="162"/>
      <c r="AB1336" s="195" t="str">
        <f t="shared" si="146"/>
        <v>Jan-00</v>
      </c>
    </row>
    <row r="1337" spans="15:28" x14ac:dyDescent="0.35">
      <c r="O1337" s="162"/>
      <c r="AB1337" s="195" t="str">
        <f t="shared" si="146"/>
        <v>Jan-00</v>
      </c>
    </row>
    <row r="1338" spans="15:28" x14ac:dyDescent="0.35">
      <c r="O1338" s="162"/>
      <c r="AB1338" s="195" t="str">
        <f t="shared" si="146"/>
        <v>Jan-00</v>
      </c>
    </row>
    <row r="1339" spans="15:28" x14ac:dyDescent="0.35">
      <c r="O1339" s="162"/>
      <c r="AB1339" s="195" t="str">
        <f t="shared" si="146"/>
        <v>Jan-00</v>
      </c>
    </row>
    <row r="1340" spans="15:28" x14ac:dyDescent="0.35">
      <c r="O1340" s="162"/>
      <c r="AB1340" s="195" t="str">
        <f t="shared" si="146"/>
        <v>Jan-00</v>
      </c>
    </row>
    <row r="1341" spans="15:28" x14ac:dyDescent="0.35">
      <c r="O1341" s="162"/>
      <c r="AB1341" s="195" t="str">
        <f t="shared" si="146"/>
        <v>Jan-00</v>
      </c>
    </row>
    <row r="1342" spans="15:28" x14ac:dyDescent="0.35">
      <c r="O1342" s="162"/>
      <c r="AB1342" s="195" t="str">
        <f t="shared" si="146"/>
        <v>Jan-00</v>
      </c>
    </row>
    <row r="1343" spans="15:28" x14ac:dyDescent="0.35">
      <c r="O1343" s="162"/>
      <c r="AB1343" s="195" t="str">
        <f t="shared" si="146"/>
        <v>Jan-00</v>
      </c>
    </row>
    <row r="1344" spans="15:28" x14ac:dyDescent="0.35">
      <c r="O1344" s="162"/>
      <c r="AB1344" s="195" t="str">
        <f t="shared" si="146"/>
        <v>Jan-00</v>
      </c>
    </row>
    <row r="1345" spans="15:28" x14ac:dyDescent="0.35">
      <c r="O1345" s="162"/>
      <c r="AB1345" s="195" t="str">
        <f t="shared" si="146"/>
        <v>Jan-00</v>
      </c>
    </row>
    <row r="1346" spans="15:28" x14ac:dyDescent="0.35">
      <c r="O1346" s="162"/>
      <c r="AB1346" s="195" t="str">
        <f t="shared" si="146"/>
        <v>Jan-00</v>
      </c>
    </row>
    <row r="1347" spans="15:28" x14ac:dyDescent="0.35">
      <c r="O1347" s="162"/>
      <c r="AB1347" s="195" t="str">
        <f t="shared" si="146"/>
        <v>Jan-00</v>
      </c>
    </row>
    <row r="1348" spans="15:28" x14ac:dyDescent="0.35">
      <c r="O1348" s="162"/>
      <c r="AB1348" s="195" t="str">
        <f t="shared" ref="AB1348:AB1374" si="147">IF($V1348="",TEXT($A1348,"MMM-YY"),TEXT($V1348,"MMM-YY"))</f>
        <v>Jan-00</v>
      </c>
    </row>
    <row r="1349" spans="15:28" x14ac:dyDescent="0.35">
      <c r="O1349" s="162"/>
      <c r="AB1349" s="195" t="str">
        <f t="shared" si="147"/>
        <v>Jan-00</v>
      </c>
    </row>
    <row r="1350" spans="15:28" x14ac:dyDescent="0.35">
      <c r="O1350" s="162"/>
      <c r="AB1350" s="195" t="str">
        <f t="shared" si="147"/>
        <v>Jan-00</v>
      </c>
    </row>
    <row r="1351" spans="15:28" x14ac:dyDescent="0.35">
      <c r="O1351" s="162"/>
      <c r="AB1351" s="195" t="str">
        <f t="shared" si="147"/>
        <v>Jan-00</v>
      </c>
    </row>
    <row r="1352" spans="15:28" x14ac:dyDescent="0.35">
      <c r="O1352" s="162"/>
      <c r="AB1352" s="195" t="str">
        <f t="shared" si="147"/>
        <v>Jan-00</v>
      </c>
    </row>
    <row r="1353" spans="15:28" x14ac:dyDescent="0.35">
      <c r="O1353" s="162"/>
      <c r="AB1353" s="195" t="str">
        <f t="shared" si="147"/>
        <v>Jan-00</v>
      </c>
    </row>
    <row r="1354" spans="15:28" x14ac:dyDescent="0.35">
      <c r="O1354" s="162"/>
      <c r="AB1354" s="195" t="str">
        <f t="shared" si="147"/>
        <v>Jan-00</v>
      </c>
    </row>
    <row r="1355" spans="15:28" x14ac:dyDescent="0.35">
      <c r="O1355" s="162"/>
      <c r="AB1355" s="195" t="str">
        <f t="shared" si="147"/>
        <v>Jan-00</v>
      </c>
    </row>
    <row r="1356" spans="15:28" x14ac:dyDescent="0.35">
      <c r="O1356" s="162"/>
      <c r="AB1356" s="195" t="str">
        <f t="shared" si="147"/>
        <v>Jan-00</v>
      </c>
    </row>
    <row r="1357" spans="15:28" x14ac:dyDescent="0.35">
      <c r="O1357" s="162"/>
      <c r="AB1357" s="195" t="str">
        <f t="shared" si="147"/>
        <v>Jan-00</v>
      </c>
    </row>
    <row r="1358" spans="15:28" x14ac:dyDescent="0.35">
      <c r="O1358" s="162"/>
      <c r="AB1358" s="195" t="str">
        <f t="shared" si="147"/>
        <v>Jan-00</v>
      </c>
    </row>
    <row r="1359" spans="15:28" x14ac:dyDescent="0.35">
      <c r="O1359" s="162"/>
      <c r="AB1359" s="195" t="str">
        <f t="shared" si="147"/>
        <v>Jan-00</v>
      </c>
    </row>
    <row r="1360" spans="15:28" x14ac:dyDescent="0.35">
      <c r="O1360" s="162"/>
      <c r="AB1360" s="195" t="str">
        <f t="shared" si="147"/>
        <v>Jan-00</v>
      </c>
    </row>
    <row r="1361" spans="15:28" x14ac:dyDescent="0.35">
      <c r="O1361" s="162"/>
      <c r="AB1361" s="195" t="str">
        <f t="shared" si="147"/>
        <v>Jan-00</v>
      </c>
    </row>
    <row r="1362" spans="15:28" x14ac:dyDescent="0.35">
      <c r="O1362" s="162"/>
      <c r="AB1362" s="195" t="str">
        <f t="shared" si="147"/>
        <v>Jan-00</v>
      </c>
    </row>
    <row r="1363" spans="15:28" x14ac:dyDescent="0.35">
      <c r="O1363" s="162"/>
      <c r="AB1363" s="195" t="str">
        <f t="shared" si="147"/>
        <v>Jan-00</v>
      </c>
    </row>
    <row r="1364" spans="15:28" x14ac:dyDescent="0.35">
      <c r="O1364" s="162"/>
      <c r="AB1364" s="195" t="str">
        <f t="shared" si="147"/>
        <v>Jan-00</v>
      </c>
    </row>
    <row r="1365" spans="15:28" x14ac:dyDescent="0.35">
      <c r="O1365" s="162"/>
      <c r="AB1365" s="195" t="str">
        <f t="shared" si="147"/>
        <v>Jan-00</v>
      </c>
    </row>
    <row r="1366" spans="15:28" x14ac:dyDescent="0.35">
      <c r="O1366" s="162"/>
      <c r="AB1366" s="195" t="str">
        <f t="shared" si="147"/>
        <v>Jan-00</v>
      </c>
    </row>
    <row r="1367" spans="15:28" x14ac:dyDescent="0.35">
      <c r="O1367" s="162"/>
      <c r="AB1367" s="195" t="str">
        <f t="shared" si="147"/>
        <v>Jan-00</v>
      </c>
    </row>
    <row r="1368" spans="15:28" x14ac:dyDescent="0.35">
      <c r="O1368" s="162"/>
      <c r="AB1368" s="195" t="str">
        <f t="shared" si="147"/>
        <v>Jan-00</v>
      </c>
    </row>
    <row r="1369" spans="15:28" x14ac:dyDescent="0.35">
      <c r="O1369" s="162"/>
      <c r="AB1369" s="195" t="str">
        <f t="shared" si="147"/>
        <v>Jan-00</v>
      </c>
    </row>
    <row r="1370" spans="15:28" x14ac:dyDescent="0.35">
      <c r="O1370" s="162"/>
      <c r="AB1370" s="195" t="str">
        <f t="shared" si="147"/>
        <v>Jan-00</v>
      </c>
    </row>
    <row r="1371" spans="15:28" x14ac:dyDescent="0.35">
      <c r="O1371" s="162"/>
      <c r="AB1371" s="195" t="str">
        <f t="shared" si="147"/>
        <v>Jan-00</v>
      </c>
    </row>
    <row r="1372" spans="15:28" x14ac:dyDescent="0.35">
      <c r="O1372" s="162"/>
      <c r="AB1372" s="195" t="str">
        <f t="shared" si="147"/>
        <v>Jan-00</v>
      </c>
    </row>
    <row r="1373" spans="15:28" x14ac:dyDescent="0.35">
      <c r="O1373" s="162"/>
      <c r="AB1373" s="195" t="str">
        <f t="shared" si="147"/>
        <v>Jan-00</v>
      </c>
    </row>
    <row r="1374" spans="15:28" x14ac:dyDescent="0.35">
      <c r="O1374" s="162"/>
      <c r="AB1374" s="195" t="str">
        <f t="shared" si="147"/>
        <v>Jan-00</v>
      </c>
    </row>
    <row r="1375" spans="15:28" x14ac:dyDescent="0.35">
      <c r="O1375" s="162"/>
    </row>
    <row r="1376" spans="15:28" x14ac:dyDescent="0.35">
      <c r="O1376" s="162"/>
    </row>
    <row r="1377" spans="1:31" x14ac:dyDescent="0.35">
      <c r="A1377" s="162"/>
      <c r="B1377" s="163"/>
      <c r="C1377" s="163"/>
      <c r="D1377" s="163"/>
      <c r="E1377" s="163"/>
      <c r="F1377" s="163"/>
      <c r="G1377" s="163"/>
      <c r="H1377" s="163"/>
      <c r="I1377" s="163"/>
      <c r="J1377" s="163"/>
      <c r="K1377" s="163"/>
      <c r="L1377" s="163"/>
      <c r="M1377" s="163"/>
      <c r="N1377" s="163"/>
      <c r="O1377" s="162"/>
      <c r="P1377" s="163"/>
      <c r="Q1377" s="163"/>
      <c r="R1377" s="163"/>
      <c r="S1377" s="163"/>
      <c r="T1377" s="164"/>
      <c r="U1377" s="164"/>
      <c r="V1377" s="162"/>
      <c r="W1377" s="163"/>
      <c r="X1377" s="163"/>
      <c r="Y1377" s="163"/>
      <c r="Z1377" s="163"/>
      <c r="AA1377" s="162"/>
      <c r="AB1377" s="195"/>
      <c r="AC1377" s="163"/>
      <c r="AD1377" s="163"/>
      <c r="AE1377" s="163"/>
    </row>
    <row r="1378" spans="1:31" x14ac:dyDescent="0.35">
      <c r="A1378" s="162"/>
      <c r="B1378" s="163"/>
      <c r="C1378" s="163"/>
      <c r="D1378" s="163"/>
      <c r="E1378" s="163"/>
      <c r="F1378" s="163"/>
      <c r="G1378" s="163"/>
      <c r="H1378" s="163"/>
      <c r="I1378" s="163"/>
      <c r="J1378" s="163"/>
      <c r="K1378" s="163"/>
      <c r="L1378" s="163"/>
      <c r="M1378" s="163"/>
      <c r="N1378" s="163"/>
      <c r="O1378" s="162"/>
      <c r="P1378" s="163"/>
      <c r="Q1378" s="163"/>
      <c r="R1378" s="163"/>
      <c r="S1378" s="163"/>
      <c r="T1378" s="164"/>
      <c r="U1378" s="164"/>
      <c r="V1378" s="162"/>
      <c r="W1378" s="163"/>
      <c r="X1378" s="163"/>
      <c r="Y1378" s="163"/>
      <c r="Z1378" s="163"/>
      <c r="AA1378" s="162"/>
      <c r="AB1378" s="195"/>
      <c r="AC1378" s="163"/>
      <c r="AD1378" s="163"/>
      <c r="AE1378" s="163"/>
    </row>
    <row r="1379" spans="1:31" x14ac:dyDescent="0.35">
      <c r="A1379" s="162"/>
      <c r="B1379" s="163"/>
      <c r="C1379" s="163"/>
      <c r="D1379" s="163"/>
      <c r="E1379" s="163"/>
      <c r="F1379" s="163"/>
      <c r="G1379" s="163"/>
      <c r="H1379" s="163"/>
      <c r="I1379" s="163"/>
      <c r="J1379" s="163"/>
      <c r="K1379" s="163"/>
      <c r="L1379" s="163"/>
      <c r="M1379" s="163"/>
      <c r="N1379" s="163"/>
      <c r="O1379" s="162"/>
      <c r="P1379" s="163"/>
      <c r="Q1379" s="163"/>
      <c r="R1379" s="163"/>
      <c r="S1379" s="163"/>
      <c r="T1379" s="164"/>
      <c r="U1379" s="164"/>
      <c r="V1379" s="162"/>
      <c r="W1379" s="163"/>
      <c r="X1379" s="163"/>
      <c r="Y1379" s="163"/>
      <c r="Z1379" s="163"/>
      <c r="AA1379" s="162"/>
      <c r="AB1379" s="195"/>
      <c r="AC1379" s="163"/>
      <c r="AD1379" s="163"/>
      <c r="AE1379" s="163"/>
    </row>
    <row r="1380" spans="1:31" x14ac:dyDescent="0.35">
      <c r="A1380" s="162"/>
      <c r="B1380" s="163"/>
      <c r="C1380" s="163"/>
      <c r="D1380" s="163"/>
      <c r="E1380" s="163"/>
      <c r="F1380" s="163"/>
      <c r="G1380" s="163"/>
      <c r="H1380" s="163"/>
      <c r="I1380" s="163"/>
      <c r="J1380" s="163"/>
      <c r="K1380" s="163"/>
      <c r="L1380" s="163"/>
      <c r="M1380" s="163"/>
      <c r="N1380" s="163"/>
      <c r="O1380" s="162"/>
      <c r="P1380" s="163"/>
      <c r="Q1380" s="163"/>
      <c r="R1380" s="163"/>
      <c r="S1380" s="163"/>
      <c r="T1380" s="164"/>
      <c r="U1380" s="164"/>
      <c r="V1380" s="162"/>
      <c r="W1380" s="163"/>
      <c r="X1380" s="163"/>
      <c r="Y1380" s="163"/>
      <c r="Z1380" s="163"/>
      <c r="AA1380" s="162"/>
      <c r="AB1380" s="195"/>
      <c r="AC1380" s="163"/>
      <c r="AD1380" s="163"/>
      <c r="AE1380" s="163"/>
    </row>
    <row r="1381" spans="1:31" x14ac:dyDescent="0.35">
      <c r="A1381" s="162"/>
      <c r="B1381" s="163"/>
      <c r="C1381" s="163"/>
      <c r="D1381" s="163"/>
      <c r="E1381" s="163"/>
      <c r="F1381" s="163"/>
      <c r="G1381" s="163"/>
      <c r="H1381" s="163"/>
      <c r="I1381" s="163"/>
      <c r="J1381" s="163"/>
      <c r="K1381" s="163"/>
      <c r="L1381" s="163"/>
      <c r="M1381" s="163"/>
      <c r="N1381" s="163"/>
      <c r="O1381" s="162"/>
      <c r="P1381" s="163"/>
      <c r="Q1381" s="163"/>
      <c r="R1381" s="163"/>
      <c r="S1381" s="163"/>
      <c r="T1381" s="164"/>
      <c r="U1381" s="164"/>
      <c r="V1381" s="162"/>
      <c r="W1381" s="163"/>
      <c r="X1381" s="163"/>
      <c r="Y1381" s="163"/>
      <c r="Z1381" s="163"/>
      <c r="AA1381" s="162"/>
      <c r="AB1381" s="195"/>
      <c r="AC1381" s="163"/>
      <c r="AD1381" s="163"/>
      <c r="AE1381" s="163"/>
    </row>
    <row r="1382" spans="1:31" x14ac:dyDescent="0.35">
      <c r="A1382" s="162"/>
      <c r="B1382" s="163"/>
      <c r="C1382" s="163"/>
      <c r="D1382" s="163"/>
      <c r="E1382" s="163"/>
      <c r="F1382" s="163"/>
      <c r="G1382" s="163"/>
      <c r="H1382" s="163"/>
      <c r="I1382" s="163"/>
      <c r="J1382" s="163"/>
      <c r="K1382" s="163"/>
      <c r="L1382" s="163"/>
      <c r="M1382" s="163"/>
      <c r="N1382" s="163"/>
      <c r="O1382" s="162"/>
      <c r="P1382" s="163"/>
      <c r="Q1382" s="163"/>
      <c r="R1382" s="163"/>
      <c r="S1382" s="163"/>
      <c r="T1382" s="164"/>
      <c r="U1382" s="164"/>
      <c r="V1382" s="163"/>
      <c r="W1382" s="163"/>
      <c r="X1382" s="163"/>
      <c r="Y1382" s="163"/>
      <c r="Z1382" s="163"/>
      <c r="AA1382" s="162"/>
      <c r="AB1382" s="195"/>
      <c r="AC1382" s="163"/>
      <c r="AD1382" s="163"/>
      <c r="AE1382" s="163"/>
    </row>
    <row r="1383" spans="1:31" x14ac:dyDescent="0.35">
      <c r="A1383" s="162"/>
      <c r="B1383" s="163"/>
      <c r="C1383" s="163"/>
      <c r="D1383" s="163"/>
      <c r="E1383" s="163"/>
      <c r="F1383" s="163"/>
      <c r="G1383" s="163"/>
      <c r="H1383" s="163"/>
      <c r="I1383" s="163"/>
      <c r="J1383" s="163"/>
      <c r="K1383" s="163"/>
      <c r="L1383" s="163"/>
      <c r="M1383" s="163"/>
      <c r="N1383" s="163"/>
      <c r="O1383" s="162"/>
      <c r="P1383" s="163"/>
      <c r="Q1383" s="163"/>
      <c r="R1383" s="163"/>
      <c r="S1383" s="163"/>
      <c r="T1383" s="164"/>
      <c r="U1383" s="164"/>
      <c r="V1383" s="163"/>
      <c r="W1383" s="163"/>
      <c r="X1383" s="163"/>
      <c r="Y1383" s="163"/>
      <c r="Z1383" s="163"/>
      <c r="AA1383" s="162"/>
      <c r="AB1383" s="195"/>
      <c r="AC1383" s="163"/>
      <c r="AD1383" s="163"/>
      <c r="AE1383" s="163"/>
    </row>
    <row r="1384" spans="1:31" x14ac:dyDescent="0.35">
      <c r="A1384" s="162"/>
      <c r="B1384" s="163"/>
      <c r="C1384" s="163"/>
      <c r="D1384" s="163"/>
      <c r="E1384" s="163"/>
      <c r="F1384" s="163"/>
      <c r="G1384" s="163"/>
      <c r="H1384" s="163"/>
      <c r="I1384" s="163"/>
      <c r="J1384" s="163"/>
      <c r="K1384" s="201"/>
      <c r="L1384" s="163"/>
      <c r="M1384" s="163"/>
      <c r="N1384" s="163"/>
      <c r="O1384" s="162"/>
      <c r="P1384" s="163"/>
      <c r="Q1384" s="163"/>
      <c r="R1384" s="163"/>
      <c r="S1384" s="163"/>
      <c r="T1384" s="164"/>
      <c r="U1384" s="164"/>
      <c r="V1384" s="162"/>
      <c r="W1384" s="163"/>
      <c r="X1384" s="163"/>
      <c r="Y1384" s="163"/>
      <c r="Z1384" s="163"/>
      <c r="AA1384" s="162"/>
      <c r="AB1384" s="195"/>
      <c r="AC1384" s="163"/>
      <c r="AD1384" s="163"/>
      <c r="AE1384" s="163"/>
    </row>
    <row r="1385" spans="1:31" x14ac:dyDescent="0.35">
      <c r="A1385" s="162"/>
      <c r="B1385" s="163"/>
      <c r="C1385" s="163"/>
      <c r="D1385" s="163"/>
      <c r="E1385" s="163"/>
      <c r="F1385" s="163"/>
      <c r="G1385" s="163"/>
      <c r="H1385" s="163"/>
      <c r="I1385" s="163"/>
      <c r="J1385" s="163"/>
      <c r="K1385" s="163"/>
      <c r="L1385" s="163"/>
      <c r="M1385" s="163"/>
      <c r="N1385" s="163"/>
      <c r="O1385" s="162"/>
      <c r="P1385" s="163"/>
      <c r="Q1385" s="163"/>
      <c r="R1385" s="163"/>
      <c r="S1385" s="163"/>
      <c r="T1385" s="164"/>
      <c r="U1385" s="164"/>
      <c r="V1385" s="163"/>
      <c r="W1385" s="163"/>
      <c r="X1385" s="163"/>
      <c r="Y1385" s="163"/>
      <c r="Z1385" s="163"/>
      <c r="AA1385" s="162"/>
      <c r="AB1385" s="195"/>
      <c r="AC1385" s="163"/>
      <c r="AD1385" s="163"/>
      <c r="AE1385" s="163"/>
    </row>
    <row r="1386" spans="1:31" x14ac:dyDescent="0.35">
      <c r="A1386" s="162"/>
      <c r="B1386" s="163"/>
      <c r="C1386" s="163"/>
      <c r="D1386" s="201"/>
      <c r="E1386" s="163"/>
      <c r="F1386" s="163"/>
      <c r="G1386" s="163"/>
      <c r="H1386" s="163"/>
      <c r="I1386" s="163"/>
      <c r="J1386" s="163"/>
      <c r="K1386" s="201"/>
      <c r="L1386" s="163"/>
      <c r="M1386" s="163"/>
      <c r="N1386" s="163"/>
      <c r="O1386" s="162"/>
      <c r="P1386" s="163"/>
      <c r="Q1386" s="163"/>
      <c r="R1386" s="163"/>
      <c r="S1386" s="163"/>
      <c r="T1386" s="164"/>
      <c r="U1386" s="164"/>
      <c r="V1386" s="162"/>
      <c r="W1386" s="163"/>
      <c r="X1386" s="163"/>
      <c r="Y1386" s="163"/>
      <c r="Z1386" s="163"/>
      <c r="AA1386" s="162"/>
      <c r="AB1386" s="195"/>
      <c r="AC1386" s="163"/>
      <c r="AD1386" s="163"/>
      <c r="AE1386" s="163"/>
    </row>
    <row r="1387" spans="1:31" x14ac:dyDescent="0.35">
      <c r="A1387" s="162"/>
      <c r="B1387" s="163"/>
      <c r="C1387" s="163"/>
      <c r="D1387" s="163"/>
      <c r="E1387" s="163"/>
      <c r="F1387" s="163"/>
      <c r="G1387" s="163"/>
      <c r="H1387" s="163"/>
      <c r="I1387" s="163"/>
      <c r="J1387" s="163"/>
      <c r="K1387" s="163"/>
      <c r="L1387" s="163"/>
      <c r="M1387" s="163"/>
      <c r="N1387" s="163"/>
      <c r="O1387" s="162"/>
      <c r="P1387" s="163"/>
      <c r="Q1387" s="163"/>
      <c r="R1387" s="163"/>
      <c r="S1387" s="163"/>
      <c r="T1387" s="164"/>
      <c r="U1387" s="164"/>
      <c r="V1387" s="165"/>
      <c r="W1387" s="163"/>
      <c r="X1387" s="163"/>
      <c r="Y1387" s="163"/>
      <c r="Z1387" s="163"/>
      <c r="AA1387" s="162"/>
      <c r="AB1387" s="195"/>
      <c r="AC1387" s="163"/>
      <c r="AD1387" s="163"/>
      <c r="AE1387" s="163"/>
    </row>
    <row r="1388" spans="1:31" x14ac:dyDescent="0.35">
      <c r="A1388" s="162"/>
      <c r="B1388" s="163"/>
      <c r="C1388" s="163"/>
      <c r="D1388" s="163"/>
      <c r="E1388" s="163"/>
      <c r="F1388" s="163"/>
      <c r="G1388" s="163"/>
      <c r="H1388" s="163"/>
      <c r="I1388" s="163"/>
      <c r="J1388" s="163"/>
      <c r="K1388" s="163"/>
      <c r="L1388" s="163"/>
      <c r="M1388" s="163"/>
      <c r="N1388" s="163"/>
      <c r="O1388" s="162"/>
      <c r="P1388" s="163"/>
      <c r="Q1388" s="163"/>
      <c r="R1388" s="163"/>
      <c r="S1388" s="163"/>
      <c r="T1388" s="164"/>
      <c r="U1388" s="164"/>
      <c r="V1388" s="165"/>
      <c r="W1388" s="163"/>
      <c r="X1388" s="163"/>
      <c r="Y1388" s="163"/>
      <c r="Z1388" s="163"/>
      <c r="AA1388" s="162"/>
      <c r="AB1388" s="195"/>
      <c r="AC1388" s="163"/>
      <c r="AD1388" s="163"/>
      <c r="AE1388" s="163"/>
    </row>
    <row r="1389" spans="1:31" x14ac:dyDescent="0.35">
      <c r="O1389" s="162"/>
    </row>
    <row r="1390" spans="1:31" x14ac:dyDescent="0.35">
      <c r="O1390" s="162"/>
    </row>
    <row r="1391" spans="1:31" x14ac:dyDescent="0.35">
      <c r="O1391" s="162"/>
    </row>
    <row r="1392" spans="1:31" x14ac:dyDescent="0.35">
      <c r="O1392" s="162"/>
    </row>
    <row r="1393" spans="15:15" x14ac:dyDescent="0.35">
      <c r="O1393" s="162"/>
    </row>
    <row r="1394" spans="15:15" x14ac:dyDescent="0.35">
      <c r="O1394" s="162"/>
    </row>
    <row r="1395" spans="15:15" x14ac:dyDescent="0.35">
      <c r="O1395" s="162"/>
    </row>
    <row r="1396" spans="15:15" x14ac:dyDescent="0.35">
      <c r="O1396" s="162"/>
    </row>
    <row r="1397" spans="15:15" x14ac:dyDescent="0.35">
      <c r="O1397" s="162"/>
    </row>
    <row r="1398" spans="15:15" x14ac:dyDescent="0.35">
      <c r="O1398" s="162"/>
    </row>
    <row r="1399" spans="15:15" x14ac:dyDescent="0.35">
      <c r="O1399" s="162"/>
    </row>
    <row r="1400" spans="15:15" x14ac:dyDescent="0.35">
      <c r="O1400" s="162"/>
    </row>
    <row r="1401" spans="15:15" x14ac:dyDescent="0.35">
      <c r="O1401" s="162"/>
    </row>
    <row r="1402" spans="15:15" x14ac:dyDescent="0.35">
      <c r="O1402" s="162"/>
    </row>
    <row r="1403" spans="15:15" x14ac:dyDescent="0.35">
      <c r="O1403" s="162"/>
    </row>
    <row r="1404" spans="15:15" x14ac:dyDescent="0.35">
      <c r="O1404" s="162"/>
    </row>
    <row r="1405" spans="15:15" x14ac:dyDescent="0.35">
      <c r="O1405" s="162"/>
    </row>
    <row r="1406" spans="15:15" x14ac:dyDescent="0.35">
      <c r="O1406" s="162"/>
    </row>
    <row r="1407" spans="15:15" x14ac:dyDescent="0.35">
      <c r="O1407" s="162"/>
    </row>
    <row r="1408" spans="15:15" x14ac:dyDescent="0.35">
      <c r="O1408" s="162"/>
    </row>
    <row r="1409" spans="15:15" x14ac:dyDescent="0.35">
      <c r="O1409" s="162"/>
    </row>
    <row r="1410" spans="15:15" x14ac:dyDescent="0.35">
      <c r="O1410" s="162"/>
    </row>
    <row r="1411" spans="15:15" x14ac:dyDescent="0.35">
      <c r="O1411" s="162"/>
    </row>
    <row r="1412" spans="15:15" x14ac:dyDescent="0.35">
      <c r="O1412" s="162"/>
    </row>
    <row r="1413" spans="15:15" x14ac:dyDescent="0.35">
      <c r="O1413" s="162"/>
    </row>
    <row r="1414" spans="15:15" x14ac:dyDescent="0.35">
      <c r="O1414" s="162"/>
    </row>
    <row r="1415" spans="15:15" x14ac:dyDescent="0.35">
      <c r="O1415" s="162"/>
    </row>
    <row r="1416" spans="15:15" x14ac:dyDescent="0.35">
      <c r="O1416" s="162"/>
    </row>
    <row r="1417" spans="15:15" x14ac:dyDescent="0.35">
      <c r="O1417" s="162"/>
    </row>
    <row r="1418" spans="15:15" x14ac:dyDescent="0.35">
      <c r="O1418" s="162"/>
    </row>
    <row r="1419" spans="15:15" x14ac:dyDescent="0.35">
      <c r="O1419" s="162"/>
    </row>
    <row r="1420" spans="15:15" x14ac:dyDescent="0.35">
      <c r="O1420" s="162"/>
    </row>
    <row r="1421" spans="15:15" x14ac:dyDescent="0.35">
      <c r="O1421" s="162"/>
    </row>
    <row r="1422" spans="15:15" x14ac:dyDescent="0.35">
      <c r="O1422" s="162"/>
    </row>
    <row r="1423" spans="15:15" x14ac:dyDescent="0.35">
      <c r="O1423" s="162"/>
    </row>
    <row r="1424" spans="15:15" x14ac:dyDescent="0.35">
      <c r="O1424" s="162"/>
    </row>
    <row r="1425" spans="15:15" x14ac:dyDescent="0.35">
      <c r="O1425" s="162"/>
    </row>
    <row r="1426" spans="15:15" x14ac:dyDescent="0.35">
      <c r="O1426" s="162"/>
    </row>
    <row r="1427" spans="15:15" x14ac:dyDescent="0.35">
      <c r="O1427" s="162"/>
    </row>
    <row r="1428" spans="15:15" x14ac:dyDescent="0.35">
      <c r="O1428" s="162"/>
    </row>
    <row r="1429" spans="15:15" x14ac:dyDescent="0.35">
      <c r="O1429" s="162"/>
    </row>
    <row r="1430" spans="15:15" x14ac:dyDescent="0.35">
      <c r="O1430" s="162"/>
    </row>
    <row r="1431" spans="15:15" x14ac:dyDescent="0.35">
      <c r="O1431" s="162"/>
    </row>
    <row r="1432" spans="15:15" x14ac:dyDescent="0.35">
      <c r="O1432" s="162"/>
    </row>
    <row r="1433" spans="15:15" x14ac:dyDescent="0.35">
      <c r="O1433" s="162"/>
    </row>
    <row r="1434" spans="15:15" x14ac:dyDescent="0.35">
      <c r="O1434" s="162"/>
    </row>
    <row r="1435" spans="15:15" x14ac:dyDescent="0.35">
      <c r="O1435" s="162"/>
    </row>
    <row r="1436" spans="15:15" x14ac:dyDescent="0.35">
      <c r="O1436" s="162"/>
    </row>
    <row r="1437" spans="15:15" x14ac:dyDescent="0.35">
      <c r="O1437" s="162"/>
    </row>
    <row r="1438" spans="15:15" x14ac:dyDescent="0.35">
      <c r="O1438" s="162"/>
    </row>
    <row r="1439" spans="15:15" x14ac:dyDescent="0.35">
      <c r="O1439" s="162"/>
    </row>
    <row r="1440" spans="15:15" x14ac:dyDescent="0.35">
      <c r="O1440" s="162"/>
    </row>
    <row r="1441" spans="15:15" x14ac:dyDescent="0.35">
      <c r="O1441" s="162"/>
    </row>
    <row r="1442" spans="15:15" x14ac:dyDescent="0.35">
      <c r="O1442" s="162"/>
    </row>
    <row r="1443" spans="15:15" x14ac:dyDescent="0.35">
      <c r="O1443" s="162"/>
    </row>
    <row r="1444" spans="15:15" x14ac:dyDescent="0.35">
      <c r="O1444" s="162"/>
    </row>
    <row r="1445" spans="15:15" x14ac:dyDescent="0.35">
      <c r="O1445" s="162"/>
    </row>
    <row r="1446" spans="15:15" x14ac:dyDescent="0.35">
      <c r="O1446" s="162"/>
    </row>
    <row r="1447" spans="15:15" x14ac:dyDescent="0.35">
      <c r="O1447" s="162"/>
    </row>
    <row r="1448" spans="15:15" x14ac:dyDescent="0.35">
      <c r="O1448" s="162"/>
    </row>
    <row r="1449" spans="15:15" x14ac:dyDescent="0.35">
      <c r="O1449" s="162"/>
    </row>
    <row r="1450" spans="15:15" x14ac:dyDescent="0.35">
      <c r="O1450" s="162"/>
    </row>
    <row r="1451" spans="15:15" x14ac:dyDescent="0.35">
      <c r="O1451" s="162"/>
    </row>
    <row r="1452" spans="15:15" x14ac:dyDescent="0.35">
      <c r="O1452" s="162"/>
    </row>
    <row r="1453" spans="15:15" x14ac:dyDescent="0.35">
      <c r="O1453" s="162"/>
    </row>
    <row r="1454" spans="15:15" x14ac:dyDescent="0.35">
      <c r="O1454" s="162"/>
    </row>
    <row r="1455" spans="15:15" x14ac:dyDescent="0.35">
      <c r="O1455" s="162"/>
    </row>
    <row r="1456" spans="15:15" x14ac:dyDescent="0.35">
      <c r="O1456" s="162"/>
    </row>
    <row r="1457" spans="15:15" x14ac:dyDescent="0.35">
      <c r="O1457" s="162"/>
    </row>
    <row r="1458" spans="15:15" x14ac:dyDescent="0.35">
      <c r="O1458" s="162"/>
    </row>
    <row r="1459" spans="15:15" x14ac:dyDescent="0.35">
      <c r="O1459" s="162"/>
    </row>
    <row r="1460" spans="15:15" x14ac:dyDescent="0.35">
      <c r="O1460" s="162"/>
    </row>
    <row r="1461" spans="15:15" x14ac:dyDescent="0.35">
      <c r="O1461" s="162"/>
    </row>
    <row r="1462" spans="15:15" x14ac:dyDescent="0.35">
      <c r="O1462" s="162"/>
    </row>
    <row r="1463" spans="15:15" x14ac:dyDescent="0.35">
      <c r="O1463" s="162"/>
    </row>
    <row r="1464" spans="15:15" x14ac:dyDescent="0.35">
      <c r="O1464" s="162"/>
    </row>
    <row r="1465" spans="15:15" x14ac:dyDescent="0.35">
      <c r="O1465" s="162"/>
    </row>
    <row r="1466" spans="15:15" x14ac:dyDescent="0.35">
      <c r="O1466" s="162"/>
    </row>
    <row r="1467" spans="15:15" x14ac:dyDescent="0.35">
      <c r="O1467" s="162"/>
    </row>
    <row r="1468" spans="15:15" x14ac:dyDescent="0.35">
      <c r="O1468" s="162"/>
    </row>
    <row r="1469" spans="15:15" x14ac:dyDescent="0.35">
      <c r="O1469" s="162"/>
    </row>
    <row r="1470" spans="15:15" x14ac:dyDescent="0.35">
      <c r="O1470" s="162"/>
    </row>
    <row r="1471" spans="15:15" x14ac:dyDescent="0.35">
      <c r="O1471" s="162"/>
    </row>
    <row r="1472" spans="15:15" x14ac:dyDescent="0.35">
      <c r="O1472" s="162"/>
    </row>
    <row r="1473" spans="15:15" x14ac:dyDescent="0.35">
      <c r="O1473" s="162"/>
    </row>
    <row r="1474" spans="15:15" x14ac:dyDescent="0.35">
      <c r="O1474" s="162"/>
    </row>
    <row r="1475" spans="15:15" x14ac:dyDescent="0.35">
      <c r="O1475" s="162"/>
    </row>
    <row r="1476" spans="15:15" x14ac:dyDescent="0.35">
      <c r="O1476" s="162"/>
    </row>
    <row r="1477" spans="15:15" x14ac:dyDescent="0.35">
      <c r="O1477" s="162"/>
    </row>
    <row r="1478" spans="15:15" x14ac:dyDescent="0.35">
      <c r="O1478" s="162"/>
    </row>
    <row r="1479" spans="15:15" x14ac:dyDescent="0.35">
      <c r="O1479" s="162"/>
    </row>
    <row r="1480" spans="15:15" x14ac:dyDescent="0.35">
      <c r="O1480" s="162"/>
    </row>
    <row r="1481" spans="15:15" x14ac:dyDescent="0.35">
      <c r="O1481" s="162"/>
    </row>
    <row r="1482" spans="15:15" x14ac:dyDescent="0.35">
      <c r="O1482" s="162"/>
    </row>
    <row r="1483" spans="15:15" x14ac:dyDescent="0.35">
      <c r="O1483" s="162"/>
    </row>
    <row r="1484" spans="15:15" x14ac:dyDescent="0.35">
      <c r="O1484" s="162"/>
    </row>
    <row r="1485" spans="15:15" x14ac:dyDescent="0.35">
      <c r="O1485" s="162"/>
    </row>
    <row r="1486" spans="15:15" x14ac:dyDescent="0.35">
      <c r="O1486" s="162"/>
    </row>
    <row r="1487" spans="15:15" x14ac:dyDescent="0.35">
      <c r="O1487" s="162"/>
    </row>
    <row r="1488" spans="15:15" x14ac:dyDescent="0.35">
      <c r="O1488" s="162"/>
    </row>
    <row r="1489" spans="15:15" x14ac:dyDescent="0.35">
      <c r="O1489" s="162"/>
    </row>
    <row r="1490" spans="15:15" x14ac:dyDescent="0.35">
      <c r="O1490" s="162"/>
    </row>
    <row r="1491" spans="15:15" x14ac:dyDescent="0.35">
      <c r="O1491" s="162"/>
    </row>
    <row r="1492" spans="15:15" x14ac:dyDescent="0.35">
      <c r="O1492" s="162"/>
    </row>
    <row r="1493" spans="15:15" x14ac:dyDescent="0.35">
      <c r="O1493" s="162"/>
    </row>
    <row r="1494" spans="15:15" x14ac:dyDescent="0.35">
      <c r="O1494" s="162"/>
    </row>
    <row r="1495" spans="15:15" x14ac:dyDescent="0.35">
      <c r="O1495" s="162"/>
    </row>
    <row r="1496" spans="15:15" x14ac:dyDescent="0.35">
      <c r="O1496" s="162"/>
    </row>
    <row r="1497" spans="15:15" x14ac:dyDescent="0.35">
      <c r="O1497" s="162"/>
    </row>
    <row r="1498" spans="15:15" x14ac:dyDescent="0.35">
      <c r="O1498" s="162"/>
    </row>
    <row r="1499" spans="15:15" x14ac:dyDescent="0.35">
      <c r="O1499" s="162"/>
    </row>
    <row r="1500" spans="15:15" x14ac:dyDescent="0.35">
      <c r="O1500" s="162"/>
    </row>
    <row r="1501" spans="15:15" x14ac:dyDescent="0.35">
      <c r="O1501" s="162"/>
    </row>
    <row r="1502" spans="15:15" x14ac:dyDescent="0.35">
      <c r="O1502" s="162"/>
    </row>
    <row r="1503" spans="15:15" x14ac:dyDescent="0.35">
      <c r="O1503" s="162"/>
    </row>
    <row r="1504" spans="15:15" x14ac:dyDescent="0.35">
      <c r="O1504" s="162"/>
    </row>
    <row r="1505" spans="15:15" x14ac:dyDescent="0.35">
      <c r="O1505" s="162"/>
    </row>
    <row r="1506" spans="15:15" x14ac:dyDescent="0.35">
      <c r="O1506" s="162"/>
    </row>
    <row r="1507" spans="15:15" x14ac:dyDescent="0.35">
      <c r="O1507" s="162"/>
    </row>
    <row r="1508" spans="15:15" x14ac:dyDescent="0.35">
      <c r="O1508" s="162"/>
    </row>
    <row r="1509" spans="15:15" x14ac:dyDescent="0.35">
      <c r="O1509" s="162"/>
    </row>
    <row r="1510" spans="15:15" x14ac:dyDescent="0.35">
      <c r="O1510" s="162"/>
    </row>
    <row r="1511" spans="15:15" x14ac:dyDescent="0.35">
      <c r="O1511" s="162"/>
    </row>
    <row r="1512" spans="15:15" x14ac:dyDescent="0.35">
      <c r="O1512" s="162"/>
    </row>
    <row r="1513" spans="15:15" x14ac:dyDescent="0.35">
      <c r="O1513" s="162"/>
    </row>
    <row r="1514" spans="15:15" x14ac:dyDescent="0.35">
      <c r="O1514" s="162"/>
    </row>
    <row r="1515" spans="15:15" x14ac:dyDescent="0.35">
      <c r="O1515" s="162"/>
    </row>
    <row r="1516" spans="15:15" x14ac:dyDescent="0.35">
      <c r="O1516" s="162"/>
    </row>
    <row r="1517" spans="15:15" x14ac:dyDescent="0.35">
      <c r="O1517" s="162"/>
    </row>
    <row r="1518" spans="15:15" x14ac:dyDescent="0.35">
      <c r="O1518" s="162"/>
    </row>
    <row r="1519" spans="15:15" x14ac:dyDescent="0.35">
      <c r="O1519" s="162"/>
    </row>
    <row r="1520" spans="15:15" x14ac:dyDescent="0.35">
      <c r="O1520" s="162"/>
    </row>
    <row r="1521" spans="15:15" x14ac:dyDescent="0.35">
      <c r="O1521" s="162"/>
    </row>
    <row r="1522" spans="15:15" x14ac:dyDescent="0.35">
      <c r="O1522" s="162"/>
    </row>
    <row r="1523" spans="15:15" x14ac:dyDescent="0.35">
      <c r="O1523" s="162"/>
    </row>
    <row r="1524" spans="15:15" x14ac:dyDescent="0.35">
      <c r="O1524" s="162"/>
    </row>
    <row r="1525" spans="15:15" x14ac:dyDescent="0.35">
      <c r="O1525" s="162"/>
    </row>
    <row r="1526" spans="15:15" x14ac:dyDescent="0.35">
      <c r="O1526" s="162"/>
    </row>
    <row r="1527" spans="15:15" x14ac:dyDescent="0.35">
      <c r="O1527" s="162"/>
    </row>
    <row r="1528" spans="15:15" x14ac:dyDescent="0.35">
      <c r="O1528" s="162"/>
    </row>
    <row r="1529" spans="15:15" x14ac:dyDescent="0.35">
      <c r="O1529" s="162"/>
    </row>
    <row r="1530" spans="15:15" x14ac:dyDescent="0.35">
      <c r="O1530" s="162"/>
    </row>
    <row r="1531" spans="15:15" x14ac:dyDescent="0.35">
      <c r="O1531" s="162"/>
    </row>
    <row r="1532" spans="15:15" x14ac:dyDescent="0.35">
      <c r="O1532" s="162"/>
    </row>
    <row r="1533" spans="15:15" x14ac:dyDescent="0.35">
      <c r="O1533" s="162"/>
    </row>
    <row r="1534" spans="15:15" x14ac:dyDescent="0.35">
      <c r="O1534" s="162"/>
    </row>
    <row r="1535" spans="15:15" x14ac:dyDescent="0.35">
      <c r="O1535" s="162"/>
    </row>
    <row r="1536" spans="15:15" x14ac:dyDescent="0.35">
      <c r="O1536" s="162"/>
    </row>
    <row r="1537" spans="15:15" x14ac:dyDescent="0.35">
      <c r="O1537" s="162"/>
    </row>
    <row r="1538" spans="15:15" x14ac:dyDescent="0.35">
      <c r="O1538" s="162"/>
    </row>
    <row r="1539" spans="15:15" x14ac:dyDescent="0.35">
      <c r="O1539" s="162"/>
    </row>
    <row r="1540" spans="15:15" x14ac:dyDescent="0.35">
      <c r="O1540" s="162"/>
    </row>
    <row r="1541" spans="15:15" x14ac:dyDescent="0.35">
      <c r="O1541" s="162"/>
    </row>
    <row r="1542" spans="15:15" x14ac:dyDescent="0.35">
      <c r="O1542" s="162"/>
    </row>
    <row r="1543" spans="15:15" x14ac:dyDescent="0.35">
      <c r="O1543" s="162"/>
    </row>
    <row r="1544" spans="15:15" x14ac:dyDescent="0.35">
      <c r="O1544" s="162"/>
    </row>
    <row r="1545" spans="15:15" x14ac:dyDescent="0.35">
      <c r="O1545" s="162"/>
    </row>
    <row r="1546" spans="15:15" x14ac:dyDescent="0.35">
      <c r="O1546" s="162"/>
    </row>
    <row r="1547" spans="15:15" x14ac:dyDescent="0.35">
      <c r="O1547" s="162"/>
    </row>
    <row r="1548" spans="15:15" x14ac:dyDescent="0.35">
      <c r="O1548" s="162"/>
    </row>
    <row r="1549" spans="15:15" x14ac:dyDescent="0.35">
      <c r="O1549" s="162"/>
    </row>
    <row r="1550" spans="15:15" x14ac:dyDescent="0.35">
      <c r="O1550" s="162"/>
    </row>
    <row r="1551" spans="15:15" x14ac:dyDescent="0.35">
      <c r="O1551" s="162"/>
    </row>
    <row r="1552" spans="15:15" x14ac:dyDescent="0.35">
      <c r="O1552" s="162"/>
    </row>
    <row r="1553" spans="15:15" x14ac:dyDescent="0.35">
      <c r="O1553" s="162"/>
    </row>
    <row r="1554" spans="15:15" x14ac:dyDescent="0.35">
      <c r="O1554" s="162"/>
    </row>
    <row r="1555" spans="15:15" x14ac:dyDescent="0.35">
      <c r="O1555" s="162"/>
    </row>
    <row r="1556" spans="15:15" x14ac:dyDescent="0.35">
      <c r="O1556" s="162"/>
    </row>
    <row r="1557" spans="15:15" x14ac:dyDescent="0.35">
      <c r="O1557" s="162"/>
    </row>
    <row r="1558" spans="15:15" x14ac:dyDescent="0.35">
      <c r="O1558" s="162"/>
    </row>
    <row r="1559" spans="15:15" x14ac:dyDescent="0.35">
      <c r="O1559" s="162"/>
    </row>
    <row r="1560" spans="15:15" x14ac:dyDescent="0.35">
      <c r="O1560" s="162"/>
    </row>
    <row r="1561" spans="15:15" x14ac:dyDescent="0.35">
      <c r="O1561" s="162"/>
    </row>
    <row r="1562" spans="15:15" x14ac:dyDescent="0.35">
      <c r="O1562" s="162"/>
    </row>
    <row r="1563" spans="15:15" x14ac:dyDescent="0.35">
      <c r="O1563" s="162"/>
    </row>
    <row r="1564" spans="15:15" x14ac:dyDescent="0.35">
      <c r="O1564" s="162"/>
    </row>
    <row r="1565" spans="15:15" x14ac:dyDescent="0.35">
      <c r="O1565" s="162"/>
    </row>
    <row r="1566" spans="15:15" x14ac:dyDescent="0.35">
      <c r="O1566" s="162"/>
    </row>
    <row r="1567" spans="15:15" x14ac:dyDescent="0.35">
      <c r="O1567" s="162"/>
    </row>
    <row r="1568" spans="15:15" x14ac:dyDescent="0.35">
      <c r="O1568" s="162"/>
    </row>
    <row r="1569" spans="15:15" x14ac:dyDescent="0.35">
      <c r="O1569" s="162"/>
    </row>
    <row r="1570" spans="15:15" x14ac:dyDescent="0.35">
      <c r="O1570" s="162"/>
    </row>
    <row r="1571" spans="15:15" x14ac:dyDescent="0.35">
      <c r="O1571" s="162"/>
    </row>
    <row r="1572" spans="15:15" x14ac:dyDescent="0.35">
      <c r="O1572" s="162"/>
    </row>
    <row r="1573" spans="15:15" x14ac:dyDescent="0.35">
      <c r="O1573" s="162"/>
    </row>
    <row r="1574" spans="15:15" x14ac:dyDescent="0.35">
      <c r="O1574" s="162"/>
    </row>
    <row r="1575" spans="15:15" x14ac:dyDescent="0.35">
      <c r="O1575" s="162"/>
    </row>
    <row r="1576" spans="15:15" x14ac:dyDescent="0.35">
      <c r="O1576" s="162"/>
    </row>
    <row r="1577" spans="15:15" x14ac:dyDescent="0.35">
      <c r="O1577" s="162"/>
    </row>
    <row r="1578" spans="15:15" x14ac:dyDescent="0.35">
      <c r="O1578" s="162"/>
    </row>
    <row r="1579" spans="15:15" x14ac:dyDescent="0.35">
      <c r="O1579" s="162"/>
    </row>
    <row r="1580" spans="15:15" x14ac:dyDescent="0.35">
      <c r="O1580" s="162"/>
    </row>
    <row r="1581" spans="15:15" x14ac:dyDescent="0.35">
      <c r="O1581" s="162"/>
    </row>
    <row r="1582" spans="15:15" x14ac:dyDescent="0.35">
      <c r="O1582" s="162"/>
    </row>
    <row r="1583" spans="15:15" x14ac:dyDescent="0.35">
      <c r="O1583" s="162"/>
    </row>
    <row r="1584" spans="15:15" x14ac:dyDescent="0.35">
      <c r="O1584" s="162"/>
    </row>
    <row r="1585" spans="15:15" x14ac:dyDescent="0.35">
      <c r="O1585" s="162"/>
    </row>
    <row r="1586" spans="15:15" x14ac:dyDescent="0.35">
      <c r="O1586" s="162"/>
    </row>
    <row r="1587" spans="15:15" x14ac:dyDescent="0.35">
      <c r="O1587" s="162"/>
    </row>
    <row r="1588" spans="15:15" x14ac:dyDescent="0.35">
      <c r="O1588" s="162"/>
    </row>
    <row r="1589" spans="15:15" x14ac:dyDescent="0.35">
      <c r="O1589" s="162"/>
    </row>
    <row r="1590" spans="15:15" x14ac:dyDescent="0.35">
      <c r="O1590" s="162"/>
    </row>
    <row r="1591" spans="15:15" x14ac:dyDescent="0.35">
      <c r="O1591" s="162"/>
    </row>
    <row r="1592" spans="15:15" x14ac:dyDescent="0.35">
      <c r="O1592" s="162"/>
    </row>
    <row r="1593" spans="15:15" x14ac:dyDescent="0.35">
      <c r="O1593" s="162"/>
    </row>
    <row r="1594" spans="15:15" x14ac:dyDescent="0.35">
      <c r="O1594" s="162"/>
    </row>
    <row r="1595" spans="15:15" x14ac:dyDescent="0.35">
      <c r="O1595" s="162"/>
    </row>
    <row r="1596" spans="15:15" x14ac:dyDescent="0.35">
      <c r="O1596" s="162"/>
    </row>
    <row r="1597" spans="15:15" x14ac:dyDescent="0.35">
      <c r="O1597" s="167"/>
    </row>
    <row r="1598" spans="15:15" x14ac:dyDescent="0.35">
      <c r="O1598" s="167"/>
    </row>
    <row r="1599" spans="15:15" x14ac:dyDescent="0.35">
      <c r="O1599" s="167"/>
    </row>
    <row r="1600" spans="15:15" x14ac:dyDescent="0.35">
      <c r="O1600" s="167"/>
    </row>
    <row r="1601" spans="15:15" x14ac:dyDescent="0.35">
      <c r="O1601" s="167"/>
    </row>
    <row r="1602" spans="15:15" x14ac:dyDescent="0.35">
      <c r="O1602" s="167"/>
    </row>
    <row r="1603" spans="15:15" x14ac:dyDescent="0.35">
      <c r="O1603" s="167"/>
    </row>
    <row r="1604" spans="15:15" x14ac:dyDescent="0.35">
      <c r="O1604" s="167"/>
    </row>
    <row r="1605" spans="15:15" x14ac:dyDescent="0.35">
      <c r="O1605" s="167"/>
    </row>
    <row r="1606" spans="15:15" x14ac:dyDescent="0.35">
      <c r="O1606" s="167"/>
    </row>
    <row r="1607" spans="15:15" x14ac:dyDescent="0.35">
      <c r="O1607" s="167"/>
    </row>
    <row r="1608" spans="15:15" x14ac:dyDescent="0.35">
      <c r="O1608" s="167"/>
    </row>
    <row r="1609" spans="15:15" x14ac:dyDescent="0.35">
      <c r="O1609" s="167"/>
    </row>
    <row r="1610" spans="15:15" x14ac:dyDescent="0.35">
      <c r="O1610" s="167"/>
    </row>
    <row r="1611" spans="15:15" x14ac:dyDescent="0.35">
      <c r="O1611" s="167"/>
    </row>
    <row r="1612" spans="15:15" x14ac:dyDescent="0.35">
      <c r="O1612" s="167"/>
    </row>
    <row r="1613" spans="15:15" x14ac:dyDescent="0.35">
      <c r="O1613" s="167"/>
    </row>
    <row r="1614" spans="15:15" x14ac:dyDescent="0.35">
      <c r="O1614" s="167"/>
    </row>
    <row r="1615" spans="15:15" x14ac:dyDescent="0.35">
      <c r="O1615" s="167"/>
    </row>
    <row r="1616" spans="15:15" x14ac:dyDescent="0.35">
      <c r="O1616" s="167"/>
    </row>
    <row r="1617" spans="15:15" x14ac:dyDescent="0.35">
      <c r="O1617" s="167"/>
    </row>
    <row r="1618" spans="15:15" x14ac:dyDescent="0.35">
      <c r="O1618" s="167"/>
    </row>
    <row r="1619" spans="15:15" x14ac:dyDescent="0.35">
      <c r="O1619" s="167"/>
    </row>
    <row r="1620" spans="15:15" x14ac:dyDescent="0.35">
      <c r="O1620" s="167"/>
    </row>
    <row r="1621" spans="15:15" x14ac:dyDescent="0.35">
      <c r="O1621" s="167"/>
    </row>
    <row r="1622" spans="15:15" x14ac:dyDescent="0.35">
      <c r="O1622" s="167"/>
    </row>
    <row r="1623" spans="15:15" x14ac:dyDescent="0.35">
      <c r="O1623" s="167"/>
    </row>
    <row r="1624" spans="15:15" x14ac:dyDescent="0.35">
      <c r="O1624" s="167"/>
    </row>
    <row r="1625" spans="15:15" x14ac:dyDescent="0.35">
      <c r="O1625" s="167"/>
    </row>
    <row r="1626" spans="15:15" x14ac:dyDescent="0.35">
      <c r="O1626" s="167"/>
    </row>
    <row r="1627" spans="15:15" x14ac:dyDescent="0.35">
      <c r="O1627" s="167"/>
    </row>
    <row r="1628" spans="15:15" x14ac:dyDescent="0.35">
      <c r="O1628" s="167"/>
    </row>
    <row r="1629" spans="15:15" x14ac:dyDescent="0.35">
      <c r="O1629" s="167"/>
    </row>
    <row r="1630" spans="15:15" x14ac:dyDescent="0.35">
      <c r="O1630" s="167"/>
    </row>
    <row r="1631" spans="15:15" x14ac:dyDescent="0.35">
      <c r="O1631" s="167"/>
    </row>
    <row r="1632" spans="15:15" x14ac:dyDescent="0.35">
      <c r="O1632" s="167"/>
    </row>
    <row r="1633" spans="15:15" x14ac:dyDescent="0.35">
      <c r="O1633" s="167"/>
    </row>
    <row r="1634" spans="15:15" x14ac:dyDescent="0.35">
      <c r="O1634" s="167"/>
    </row>
    <row r="1635" spans="15:15" x14ac:dyDescent="0.35">
      <c r="O1635" s="167"/>
    </row>
    <row r="1636" spans="15:15" x14ac:dyDescent="0.35">
      <c r="O1636" s="167"/>
    </row>
    <row r="1637" spans="15:15" x14ac:dyDescent="0.35">
      <c r="O1637" s="167"/>
    </row>
    <row r="1638" spans="15:15" x14ac:dyDescent="0.35">
      <c r="O1638" s="167"/>
    </row>
    <row r="1639" spans="15:15" x14ac:dyDescent="0.35">
      <c r="O1639" s="167"/>
    </row>
    <row r="1640" spans="15:15" x14ac:dyDescent="0.35">
      <c r="O1640" s="167"/>
    </row>
    <row r="1641" spans="15:15" x14ac:dyDescent="0.35">
      <c r="O1641" s="167"/>
    </row>
    <row r="1642" spans="15:15" x14ac:dyDescent="0.35">
      <c r="O1642" s="167"/>
    </row>
    <row r="1643" spans="15:15" x14ac:dyDescent="0.35">
      <c r="O1643" s="167"/>
    </row>
    <row r="1644" spans="15:15" x14ac:dyDescent="0.35">
      <c r="O1644" s="167"/>
    </row>
    <row r="1645" spans="15:15" x14ac:dyDescent="0.35">
      <c r="O1645" s="167"/>
    </row>
    <row r="1646" spans="15:15" x14ac:dyDescent="0.35">
      <c r="O1646" s="167"/>
    </row>
    <row r="1647" spans="15:15" x14ac:dyDescent="0.35">
      <c r="O1647" s="167"/>
    </row>
    <row r="1648" spans="15:15" x14ac:dyDescent="0.35">
      <c r="O1648" s="167"/>
    </row>
    <row r="1649" spans="15:15" x14ac:dyDescent="0.35">
      <c r="O1649" s="167"/>
    </row>
    <row r="1650" spans="15:15" x14ac:dyDescent="0.35">
      <c r="O1650" s="167"/>
    </row>
    <row r="1651" spans="15:15" x14ac:dyDescent="0.35">
      <c r="O1651" s="167"/>
    </row>
    <row r="1652" spans="15:15" x14ac:dyDescent="0.35">
      <c r="O1652" s="167"/>
    </row>
    <row r="1653" spans="15:15" x14ac:dyDescent="0.35">
      <c r="O1653" s="167"/>
    </row>
    <row r="1654" spans="15:15" x14ac:dyDescent="0.35">
      <c r="O1654" s="167"/>
    </row>
    <row r="1655" spans="15:15" x14ac:dyDescent="0.35">
      <c r="O1655" s="167"/>
    </row>
    <row r="1656" spans="15:15" x14ac:dyDescent="0.35">
      <c r="O1656" s="167"/>
    </row>
    <row r="1657" spans="15:15" x14ac:dyDescent="0.35">
      <c r="O1657" s="167"/>
    </row>
    <row r="1658" spans="15:15" x14ac:dyDescent="0.35">
      <c r="O1658" s="167"/>
    </row>
    <row r="1659" spans="15:15" x14ac:dyDescent="0.35">
      <c r="O1659" s="167"/>
    </row>
    <row r="1660" spans="15:15" x14ac:dyDescent="0.35">
      <c r="O1660" s="167"/>
    </row>
    <row r="1661" spans="15:15" x14ac:dyDescent="0.35">
      <c r="O1661" s="167"/>
    </row>
    <row r="1662" spans="15:15" x14ac:dyDescent="0.35">
      <c r="O1662" s="167"/>
    </row>
    <row r="1663" spans="15:15" x14ac:dyDescent="0.35">
      <c r="O1663" s="167"/>
    </row>
    <row r="1664" spans="15:15" x14ac:dyDescent="0.35">
      <c r="O1664" s="167"/>
    </row>
    <row r="1665" spans="15:15" x14ac:dyDescent="0.35">
      <c r="O1665" s="167"/>
    </row>
    <row r="1666" spans="15:15" x14ac:dyDescent="0.35">
      <c r="O1666" s="167"/>
    </row>
    <row r="1667" spans="15:15" x14ac:dyDescent="0.35">
      <c r="O1667" s="167"/>
    </row>
    <row r="1668" spans="15:15" x14ac:dyDescent="0.35">
      <c r="O1668" s="167"/>
    </row>
    <row r="1669" spans="15:15" x14ac:dyDescent="0.35">
      <c r="O1669" s="167"/>
    </row>
    <row r="1670" spans="15:15" x14ac:dyDescent="0.35">
      <c r="O1670" s="167"/>
    </row>
    <row r="1671" spans="15:15" x14ac:dyDescent="0.35">
      <c r="O1671" s="167"/>
    </row>
    <row r="1672" spans="15:15" x14ac:dyDescent="0.35">
      <c r="O1672" s="167"/>
    </row>
    <row r="1673" spans="15:15" x14ac:dyDescent="0.35">
      <c r="O1673" s="167"/>
    </row>
    <row r="1674" spans="15:15" x14ac:dyDescent="0.35">
      <c r="O1674" s="167"/>
    </row>
    <row r="1675" spans="15:15" x14ac:dyDescent="0.35">
      <c r="O1675" s="167"/>
    </row>
    <row r="1676" spans="15:15" x14ac:dyDescent="0.35">
      <c r="O1676" s="167"/>
    </row>
    <row r="1677" spans="15:15" x14ac:dyDescent="0.35">
      <c r="O1677" s="167"/>
    </row>
    <row r="1678" spans="15:15" x14ac:dyDescent="0.35">
      <c r="O1678" s="167"/>
    </row>
    <row r="1679" spans="15:15" x14ac:dyDescent="0.35">
      <c r="O1679" s="167"/>
    </row>
    <row r="1680" spans="15:15" x14ac:dyDescent="0.35">
      <c r="O1680" s="167"/>
    </row>
    <row r="1681" spans="15:15" x14ac:dyDescent="0.35">
      <c r="O1681" s="167"/>
    </row>
    <row r="1682" spans="15:15" x14ac:dyDescent="0.35">
      <c r="O1682" s="167"/>
    </row>
    <row r="1683" spans="15:15" x14ac:dyDescent="0.35">
      <c r="O1683" s="167"/>
    </row>
    <row r="1684" spans="15:15" x14ac:dyDescent="0.35">
      <c r="O1684" s="167"/>
    </row>
    <row r="1685" spans="15:15" x14ac:dyDescent="0.35">
      <c r="O1685" s="167"/>
    </row>
    <row r="1686" spans="15:15" x14ac:dyDescent="0.35">
      <c r="O1686" s="167"/>
    </row>
    <row r="1687" spans="15:15" x14ac:dyDescent="0.35">
      <c r="O1687" s="167"/>
    </row>
    <row r="1688" spans="15:15" x14ac:dyDescent="0.35">
      <c r="O1688" s="167"/>
    </row>
    <row r="1689" spans="15:15" x14ac:dyDescent="0.35">
      <c r="O1689" s="167"/>
    </row>
    <row r="1690" spans="15:15" x14ac:dyDescent="0.35">
      <c r="O1690" s="167"/>
    </row>
    <row r="1691" spans="15:15" x14ac:dyDescent="0.35">
      <c r="O1691" s="167"/>
    </row>
    <row r="1692" spans="15:15" x14ac:dyDescent="0.35">
      <c r="O1692" s="167"/>
    </row>
    <row r="1693" spans="15:15" x14ac:dyDescent="0.35">
      <c r="O1693" s="167"/>
    </row>
    <row r="1694" spans="15:15" x14ac:dyDescent="0.35">
      <c r="O1694" s="167"/>
    </row>
    <row r="1695" spans="15:15" x14ac:dyDescent="0.35">
      <c r="O1695" s="167"/>
    </row>
    <row r="1696" spans="15:15" x14ac:dyDescent="0.35">
      <c r="O1696" s="167"/>
    </row>
    <row r="1697" spans="15:15" x14ac:dyDescent="0.35">
      <c r="O1697" s="167"/>
    </row>
    <row r="1698" spans="15:15" x14ac:dyDescent="0.35">
      <c r="O1698" s="167"/>
    </row>
    <row r="1699" spans="15:15" x14ac:dyDescent="0.35">
      <c r="O1699" s="167"/>
    </row>
    <row r="1700" spans="15:15" x14ac:dyDescent="0.35">
      <c r="O1700" s="167"/>
    </row>
    <row r="1701" spans="15:15" x14ac:dyDescent="0.35">
      <c r="O1701" s="167"/>
    </row>
    <row r="1702" spans="15:15" x14ac:dyDescent="0.35">
      <c r="O1702" s="167"/>
    </row>
    <row r="1703" spans="15:15" x14ac:dyDescent="0.35">
      <c r="O1703" s="167"/>
    </row>
    <row r="1704" spans="15:15" x14ac:dyDescent="0.35">
      <c r="O1704" s="167"/>
    </row>
    <row r="1705" spans="15:15" x14ac:dyDescent="0.35">
      <c r="O1705" s="167"/>
    </row>
    <row r="1706" spans="15:15" x14ac:dyDescent="0.35">
      <c r="O1706" s="167"/>
    </row>
    <row r="1707" spans="15:15" x14ac:dyDescent="0.35">
      <c r="O1707" s="167"/>
    </row>
    <row r="1708" spans="15:15" x14ac:dyDescent="0.35">
      <c r="O1708" s="167"/>
    </row>
    <row r="1709" spans="15:15" x14ac:dyDescent="0.35">
      <c r="O1709" s="167"/>
    </row>
    <row r="1710" spans="15:15" x14ac:dyDescent="0.35">
      <c r="O1710" s="167"/>
    </row>
    <row r="1711" spans="15:15" x14ac:dyDescent="0.35">
      <c r="O1711" s="167"/>
    </row>
    <row r="1712" spans="15:15" x14ac:dyDescent="0.35">
      <c r="O1712" s="167"/>
    </row>
    <row r="1713" spans="15:15" x14ac:dyDescent="0.35">
      <c r="O1713" s="167"/>
    </row>
    <row r="1714" spans="15:15" x14ac:dyDescent="0.35">
      <c r="O1714" s="167"/>
    </row>
    <row r="1715" spans="15:15" x14ac:dyDescent="0.35">
      <c r="O1715" s="167"/>
    </row>
    <row r="1716" spans="15:15" x14ac:dyDescent="0.35">
      <c r="O1716" s="167"/>
    </row>
    <row r="1717" spans="15:15" x14ac:dyDescent="0.35">
      <c r="O1717" s="167"/>
    </row>
    <row r="1718" spans="15:15" x14ac:dyDescent="0.35">
      <c r="O1718" s="167"/>
    </row>
    <row r="1719" spans="15:15" x14ac:dyDescent="0.35">
      <c r="O1719" s="167"/>
    </row>
    <row r="1720" spans="15:15" x14ac:dyDescent="0.35">
      <c r="O1720" s="167"/>
    </row>
    <row r="1721" spans="15:15" x14ac:dyDescent="0.35">
      <c r="O1721" s="167"/>
    </row>
    <row r="1722" spans="15:15" x14ac:dyDescent="0.35">
      <c r="O1722" s="167"/>
    </row>
    <row r="1723" spans="15:15" x14ac:dyDescent="0.35">
      <c r="O1723" s="167"/>
    </row>
    <row r="1724" spans="15:15" x14ac:dyDescent="0.35">
      <c r="O1724" s="167"/>
    </row>
    <row r="1725" spans="15:15" x14ac:dyDescent="0.35">
      <c r="O1725" s="167"/>
    </row>
    <row r="1726" spans="15:15" x14ac:dyDescent="0.35">
      <c r="O1726" s="167"/>
    </row>
    <row r="1727" spans="15:15" x14ac:dyDescent="0.35">
      <c r="O1727" s="167"/>
    </row>
    <row r="1728" spans="15:15" x14ac:dyDescent="0.35">
      <c r="O1728" s="167"/>
    </row>
    <row r="1729" spans="15:15" x14ac:dyDescent="0.35">
      <c r="O1729" s="167"/>
    </row>
    <row r="1730" spans="15:15" x14ac:dyDescent="0.35">
      <c r="O1730" s="167"/>
    </row>
    <row r="1731" spans="15:15" x14ac:dyDescent="0.35">
      <c r="O1731" s="167"/>
    </row>
    <row r="1732" spans="15:15" x14ac:dyDescent="0.35">
      <c r="O1732" s="167"/>
    </row>
    <row r="1733" spans="15:15" x14ac:dyDescent="0.35">
      <c r="O1733" s="167"/>
    </row>
    <row r="1734" spans="15:15" x14ac:dyDescent="0.35">
      <c r="O1734" s="167"/>
    </row>
    <row r="1735" spans="15:15" x14ac:dyDescent="0.35">
      <c r="O1735" s="167"/>
    </row>
    <row r="1736" spans="15:15" x14ac:dyDescent="0.35">
      <c r="O1736" s="167"/>
    </row>
    <row r="1737" spans="15:15" x14ac:dyDescent="0.35">
      <c r="O1737" s="167"/>
    </row>
    <row r="1738" spans="15:15" x14ac:dyDescent="0.35">
      <c r="O1738" s="167"/>
    </row>
    <row r="1739" spans="15:15" x14ac:dyDescent="0.35">
      <c r="O1739" s="167"/>
    </row>
    <row r="1740" spans="15:15" x14ac:dyDescent="0.35">
      <c r="O1740" s="167"/>
    </row>
    <row r="1741" spans="15:15" x14ac:dyDescent="0.35">
      <c r="O1741" s="167"/>
    </row>
    <row r="1742" spans="15:15" x14ac:dyDescent="0.35">
      <c r="O1742" s="167"/>
    </row>
    <row r="1743" spans="15:15" x14ac:dyDescent="0.35">
      <c r="O1743" s="167"/>
    </row>
    <row r="1744" spans="15:15" x14ac:dyDescent="0.35">
      <c r="O1744" s="167"/>
    </row>
    <row r="1745" spans="15:15" x14ac:dyDescent="0.35">
      <c r="O1745" s="167"/>
    </row>
    <row r="1746" spans="15:15" x14ac:dyDescent="0.35">
      <c r="O1746" s="167"/>
    </row>
    <row r="1747" spans="15:15" x14ac:dyDescent="0.35">
      <c r="O1747" s="167"/>
    </row>
    <row r="1748" spans="15:15" x14ac:dyDescent="0.35">
      <c r="O1748" s="167"/>
    </row>
    <row r="1749" spans="15:15" x14ac:dyDescent="0.35">
      <c r="O1749" s="167"/>
    </row>
    <row r="1750" spans="15:15" x14ac:dyDescent="0.35">
      <c r="O1750" s="167"/>
    </row>
    <row r="1751" spans="15:15" x14ac:dyDescent="0.35">
      <c r="O1751" s="167"/>
    </row>
    <row r="1752" spans="15:15" x14ac:dyDescent="0.35">
      <c r="O1752" s="167"/>
    </row>
    <row r="1753" spans="15:15" x14ac:dyDescent="0.35">
      <c r="O1753" s="167"/>
    </row>
    <row r="1754" spans="15:15" x14ac:dyDescent="0.35">
      <c r="O1754" s="167"/>
    </row>
    <row r="1755" spans="15:15" x14ac:dyDescent="0.35">
      <c r="O1755" s="167"/>
    </row>
    <row r="1756" spans="15:15" x14ac:dyDescent="0.35">
      <c r="O1756" s="167"/>
    </row>
    <row r="1757" spans="15:15" x14ac:dyDescent="0.35">
      <c r="O1757" s="167"/>
    </row>
    <row r="1758" spans="15:15" x14ac:dyDescent="0.35">
      <c r="O1758" s="167"/>
    </row>
    <row r="1759" spans="15:15" x14ac:dyDescent="0.35">
      <c r="O1759" s="167"/>
    </row>
    <row r="1760" spans="15:15" x14ac:dyDescent="0.35">
      <c r="O1760" s="167"/>
    </row>
    <row r="1761" spans="15:15" x14ac:dyDescent="0.35">
      <c r="O1761" s="167"/>
    </row>
    <row r="1762" spans="15:15" x14ac:dyDescent="0.35">
      <c r="O1762" s="167"/>
    </row>
    <row r="1763" spans="15:15" x14ac:dyDescent="0.35">
      <c r="O1763" s="167"/>
    </row>
    <row r="1764" spans="15:15" x14ac:dyDescent="0.35">
      <c r="O1764" s="167"/>
    </row>
    <row r="1765" spans="15:15" x14ac:dyDescent="0.35">
      <c r="O1765" s="167"/>
    </row>
    <row r="1766" spans="15:15" x14ac:dyDescent="0.35">
      <c r="O1766" s="167"/>
    </row>
    <row r="1767" spans="15:15" x14ac:dyDescent="0.35">
      <c r="O1767" s="167"/>
    </row>
    <row r="1768" spans="15:15" x14ac:dyDescent="0.35">
      <c r="O1768" s="167"/>
    </row>
    <row r="1769" spans="15:15" x14ac:dyDescent="0.35">
      <c r="O1769" s="167"/>
    </row>
    <row r="1770" spans="15:15" x14ac:dyDescent="0.35">
      <c r="O1770" s="167"/>
    </row>
    <row r="1771" spans="15:15" x14ac:dyDescent="0.35">
      <c r="O1771" s="167"/>
    </row>
    <row r="1772" spans="15:15" x14ac:dyDescent="0.35">
      <c r="O1772" s="167"/>
    </row>
    <row r="1773" spans="15:15" x14ac:dyDescent="0.35">
      <c r="O1773" s="167"/>
    </row>
    <row r="1774" spans="15:15" x14ac:dyDescent="0.35">
      <c r="O1774" s="167"/>
    </row>
    <row r="1775" spans="15:15" x14ac:dyDescent="0.35">
      <c r="O1775" s="167"/>
    </row>
    <row r="1776" spans="15:15" x14ac:dyDescent="0.35">
      <c r="O1776" s="167"/>
    </row>
    <row r="1777" spans="15:15" x14ac:dyDescent="0.35">
      <c r="O1777" s="167"/>
    </row>
    <row r="1778" spans="15:15" x14ac:dyDescent="0.35">
      <c r="O1778" s="167"/>
    </row>
    <row r="1779" spans="15:15" x14ac:dyDescent="0.35">
      <c r="O1779" s="167"/>
    </row>
    <row r="1780" spans="15:15" x14ac:dyDescent="0.35">
      <c r="O1780" s="167"/>
    </row>
    <row r="1781" spans="15:15" x14ac:dyDescent="0.35">
      <c r="O1781" s="167"/>
    </row>
    <row r="1782" spans="15:15" x14ac:dyDescent="0.35">
      <c r="O1782" s="167"/>
    </row>
    <row r="1783" spans="15:15" x14ac:dyDescent="0.35">
      <c r="O1783" s="167"/>
    </row>
    <row r="1784" spans="15:15" x14ac:dyDescent="0.35">
      <c r="O1784" s="167"/>
    </row>
    <row r="1785" spans="15:15" x14ac:dyDescent="0.35">
      <c r="O1785" s="167"/>
    </row>
    <row r="1786" spans="15:15" x14ac:dyDescent="0.35">
      <c r="O1786" s="167"/>
    </row>
    <row r="1787" spans="15:15" x14ac:dyDescent="0.35">
      <c r="O1787" s="167"/>
    </row>
    <row r="1788" spans="15:15" x14ac:dyDescent="0.35">
      <c r="O1788" s="167"/>
    </row>
    <row r="1789" spans="15:15" x14ac:dyDescent="0.35">
      <c r="O1789" s="167"/>
    </row>
    <row r="1790" spans="15:15" x14ac:dyDescent="0.35">
      <c r="O1790" s="167"/>
    </row>
    <row r="1791" spans="15:15" x14ac:dyDescent="0.35">
      <c r="O1791" s="167"/>
    </row>
    <row r="1792" spans="15:15" x14ac:dyDescent="0.35">
      <c r="O1792" s="167"/>
    </row>
    <row r="1793" spans="15:15" x14ac:dyDescent="0.35">
      <c r="O1793" s="167"/>
    </row>
    <row r="1794" spans="15:15" x14ac:dyDescent="0.35">
      <c r="O1794" s="167"/>
    </row>
    <row r="1795" spans="15:15" x14ac:dyDescent="0.35">
      <c r="O1795" s="167"/>
    </row>
    <row r="1796" spans="15:15" x14ac:dyDescent="0.35">
      <c r="O1796" s="167"/>
    </row>
    <row r="1797" spans="15:15" x14ac:dyDescent="0.35">
      <c r="O1797" s="167"/>
    </row>
    <row r="1798" spans="15:15" x14ac:dyDescent="0.35">
      <c r="O1798" s="167"/>
    </row>
    <row r="1799" spans="15:15" x14ac:dyDescent="0.35">
      <c r="O1799" s="167"/>
    </row>
    <row r="1800" spans="15:15" x14ac:dyDescent="0.35">
      <c r="O1800" s="167"/>
    </row>
    <row r="1801" spans="15:15" x14ac:dyDescent="0.35">
      <c r="O1801" s="167"/>
    </row>
    <row r="1802" spans="15:15" x14ac:dyDescent="0.35">
      <c r="O1802" s="167"/>
    </row>
    <row r="1803" spans="15:15" x14ac:dyDescent="0.35">
      <c r="O1803" s="167"/>
    </row>
    <row r="1804" spans="15:15" x14ac:dyDescent="0.35">
      <c r="O1804" s="167"/>
    </row>
    <row r="1805" spans="15:15" x14ac:dyDescent="0.35">
      <c r="O1805" s="167"/>
    </row>
    <row r="1806" spans="15:15" x14ac:dyDescent="0.35">
      <c r="O1806" s="167"/>
    </row>
    <row r="1807" spans="15:15" x14ac:dyDescent="0.35">
      <c r="O1807" s="167"/>
    </row>
    <row r="1808" spans="15:15" x14ac:dyDescent="0.35">
      <c r="O1808" s="167"/>
    </row>
    <row r="1809" spans="15:15" x14ac:dyDescent="0.35">
      <c r="O1809" s="167"/>
    </row>
    <row r="1810" spans="15:15" x14ac:dyDescent="0.35">
      <c r="O1810" s="167"/>
    </row>
    <row r="1811" spans="15:15" x14ac:dyDescent="0.35">
      <c r="O1811" s="167"/>
    </row>
    <row r="1812" spans="15:15" x14ac:dyDescent="0.35">
      <c r="O1812" s="167"/>
    </row>
    <row r="1813" spans="15:15" x14ac:dyDescent="0.35">
      <c r="O1813" s="167"/>
    </row>
    <row r="1814" spans="15:15" x14ac:dyDescent="0.35">
      <c r="O1814" s="167"/>
    </row>
    <row r="1815" spans="15:15" x14ac:dyDescent="0.35">
      <c r="O1815" s="167"/>
    </row>
    <row r="1816" spans="15:15" x14ac:dyDescent="0.35">
      <c r="O1816" s="167"/>
    </row>
    <row r="1817" spans="15:15" x14ac:dyDescent="0.35">
      <c r="O1817" s="167"/>
    </row>
    <row r="1818" spans="15:15" x14ac:dyDescent="0.35">
      <c r="O1818" s="167"/>
    </row>
    <row r="1819" spans="15:15" x14ac:dyDescent="0.35">
      <c r="O1819" s="167"/>
    </row>
    <row r="1820" spans="15:15" x14ac:dyDescent="0.35">
      <c r="O1820" s="167"/>
    </row>
    <row r="1821" spans="15:15" x14ac:dyDescent="0.35">
      <c r="O1821" s="167"/>
    </row>
    <row r="1822" spans="15:15" x14ac:dyDescent="0.35">
      <c r="O1822" s="167"/>
    </row>
    <row r="1823" spans="15:15" x14ac:dyDescent="0.35">
      <c r="O1823" s="167"/>
    </row>
    <row r="1824" spans="15:15" x14ac:dyDescent="0.35">
      <c r="O1824" s="167"/>
    </row>
    <row r="1825" spans="15:15" x14ac:dyDescent="0.35">
      <c r="O1825" s="167"/>
    </row>
    <row r="1826" spans="15:15" x14ac:dyDescent="0.35">
      <c r="O1826" s="167"/>
    </row>
    <row r="1827" spans="15:15" x14ac:dyDescent="0.35">
      <c r="O1827" s="167"/>
    </row>
    <row r="1828" spans="15:15" x14ac:dyDescent="0.35">
      <c r="O1828" s="167"/>
    </row>
    <row r="1829" spans="15:15" x14ac:dyDescent="0.35">
      <c r="O1829" s="167"/>
    </row>
    <row r="1830" spans="15:15" x14ac:dyDescent="0.35">
      <c r="O1830" s="167"/>
    </row>
    <row r="1831" spans="15:15" x14ac:dyDescent="0.35">
      <c r="O1831" s="167"/>
    </row>
    <row r="1832" spans="15:15" x14ac:dyDescent="0.35">
      <c r="O1832" s="167"/>
    </row>
    <row r="1833" spans="15:15" x14ac:dyDescent="0.35">
      <c r="O1833" s="167"/>
    </row>
    <row r="1834" spans="15:15" x14ac:dyDescent="0.35">
      <c r="O1834" s="167"/>
    </row>
    <row r="1835" spans="15:15" x14ac:dyDescent="0.35">
      <c r="O1835" s="167"/>
    </row>
    <row r="1836" spans="15:15" x14ac:dyDescent="0.35">
      <c r="O1836" s="167"/>
    </row>
    <row r="1837" spans="15:15" x14ac:dyDescent="0.35">
      <c r="O1837" s="167"/>
    </row>
    <row r="1838" spans="15:15" x14ac:dyDescent="0.35">
      <c r="O1838" s="167"/>
    </row>
    <row r="1839" spans="15:15" x14ac:dyDescent="0.35">
      <c r="O1839" s="167"/>
    </row>
    <row r="1840" spans="15:15" x14ac:dyDescent="0.35">
      <c r="O1840" s="167"/>
    </row>
    <row r="1841" spans="15:15" x14ac:dyDescent="0.35">
      <c r="O1841" s="167"/>
    </row>
    <row r="1842" spans="15:15" x14ac:dyDescent="0.35">
      <c r="O1842" s="167"/>
    </row>
    <row r="1843" spans="15:15" x14ac:dyDescent="0.35">
      <c r="O1843" s="167"/>
    </row>
    <row r="1844" spans="15:15" x14ac:dyDescent="0.35">
      <c r="O1844" s="167"/>
    </row>
    <row r="1845" spans="15:15" x14ac:dyDescent="0.35">
      <c r="O1845" s="167"/>
    </row>
    <row r="1846" spans="15:15" x14ac:dyDescent="0.35">
      <c r="O1846" s="167"/>
    </row>
    <row r="1847" spans="15:15" x14ac:dyDescent="0.35">
      <c r="O1847" s="167"/>
    </row>
    <row r="1848" spans="15:15" x14ac:dyDescent="0.35">
      <c r="O1848" s="167"/>
    </row>
    <row r="1849" spans="15:15" x14ac:dyDescent="0.35">
      <c r="O1849" s="167"/>
    </row>
    <row r="1850" spans="15:15" x14ac:dyDescent="0.35">
      <c r="O1850" s="167"/>
    </row>
    <row r="1851" spans="15:15" x14ac:dyDescent="0.35">
      <c r="O1851" s="167"/>
    </row>
    <row r="1852" spans="15:15" x14ac:dyDescent="0.35">
      <c r="O1852" s="167"/>
    </row>
    <row r="1853" spans="15:15" x14ac:dyDescent="0.35">
      <c r="O1853" s="167"/>
    </row>
    <row r="1854" spans="15:15" x14ac:dyDescent="0.35">
      <c r="O1854" s="167"/>
    </row>
    <row r="1855" spans="15:15" x14ac:dyDescent="0.35">
      <c r="O1855" s="167"/>
    </row>
    <row r="1856" spans="15:15" x14ac:dyDescent="0.35">
      <c r="O1856" s="167"/>
    </row>
    <row r="1857" spans="15:15" x14ac:dyDescent="0.35">
      <c r="O1857" s="167"/>
    </row>
    <row r="1858" spans="15:15" x14ac:dyDescent="0.35">
      <c r="O1858" s="167"/>
    </row>
    <row r="1859" spans="15:15" x14ac:dyDescent="0.35">
      <c r="O1859" s="167"/>
    </row>
    <row r="1860" spans="15:15" x14ac:dyDescent="0.35">
      <c r="O1860" s="167"/>
    </row>
    <row r="1861" spans="15:15" x14ac:dyDescent="0.35">
      <c r="O1861" s="167"/>
    </row>
    <row r="1862" spans="15:15" x14ac:dyDescent="0.35">
      <c r="O1862" s="167"/>
    </row>
    <row r="1863" spans="15:15" x14ac:dyDescent="0.35">
      <c r="O1863" s="167"/>
    </row>
    <row r="1864" spans="15:15" x14ac:dyDescent="0.35">
      <c r="O1864" s="167"/>
    </row>
    <row r="1865" spans="15:15" x14ac:dyDescent="0.35">
      <c r="O1865" s="167"/>
    </row>
    <row r="1866" spans="15:15" x14ac:dyDescent="0.35">
      <c r="O1866" s="167"/>
    </row>
    <row r="1867" spans="15:15" x14ac:dyDescent="0.35">
      <c r="O1867" s="167"/>
    </row>
    <row r="1868" spans="15:15" x14ac:dyDescent="0.35">
      <c r="O1868" s="167"/>
    </row>
    <row r="1869" spans="15:15" x14ac:dyDescent="0.35">
      <c r="O1869" s="167"/>
    </row>
    <row r="1870" spans="15:15" x14ac:dyDescent="0.35">
      <c r="O1870" s="167"/>
    </row>
    <row r="1871" spans="15:15" x14ac:dyDescent="0.35">
      <c r="O1871" s="167"/>
    </row>
    <row r="1872" spans="15:15" x14ac:dyDescent="0.35">
      <c r="O1872" s="167"/>
    </row>
    <row r="1873" spans="15:15" x14ac:dyDescent="0.35">
      <c r="O1873" s="167"/>
    </row>
    <row r="1874" spans="15:15" x14ac:dyDescent="0.35">
      <c r="O1874" s="167"/>
    </row>
    <row r="1875" spans="15:15" x14ac:dyDescent="0.35">
      <c r="O1875" s="167"/>
    </row>
    <row r="1876" spans="15:15" x14ac:dyDescent="0.35">
      <c r="O1876" s="167"/>
    </row>
    <row r="1877" spans="15:15" x14ac:dyDescent="0.35">
      <c r="O1877" s="167"/>
    </row>
    <row r="1878" spans="15:15" x14ac:dyDescent="0.35">
      <c r="O1878" s="167"/>
    </row>
    <row r="1879" spans="15:15" x14ac:dyDescent="0.35">
      <c r="O1879" s="167"/>
    </row>
    <row r="1880" spans="15:15" x14ac:dyDescent="0.35">
      <c r="O1880" s="167"/>
    </row>
    <row r="1881" spans="15:15" x14ac:dyDescent="0.35">
      <c r="O1881" s="167"/>
    </row>
    <row r="1882" spans="15:15" x14ac:dyDescent="0.35">
      <c r="O1882" s="167"/>
    </row>
    <row r="1883" spans="15:15" x14ac:dyDescent="0.35">
      <c r="O1883" s="167"/>
    </row>
    <row r="1884" spans="15:15" x14ac:dyDescent="0.35">
      <c r="O1884" s="167"/>
    </row>
    <row r="1885" spans="15:15" x14ac:dyDescent="0.35">
      <c r="O1885" s="167"/>
    </row>
    <row r="1886" spans="15:15" x14ac:dyDescent="0.35">
      <c r="O1886" s="167"/>
    </row>
    <row r="1887" spans="15:15" x14ac:dyDescent="0.35">
      <c r="O1887" s="167"/>
    </row>
    <row r="1888" spans="15:15" x14ac:dyDescent="0.35">
      <c r="O1888" s="167"/>
    </row>
    <row r="1889" spans="15:15" x14ac:dyDescent="0.35">
      <c r="O1889" s="167"/>
    </row>
    <row r="1890" spans="15:15" x14ac:dyDescent="0.35">
      <c r="O1890" s="167"/>
    </row>
    <row r="1891" spans="15:15" x14ac:dyDescent="0.35">
      <c r="O1891" s="167"/>
    </row>
    <row r="1892" spans="15:15" x14ac:dyDescent="0.35">
      <c r="O1892" s="167"/>
    </row>
    <row r="1893" spans="15:15" x14ac:dyDescent="0.35">
      <c r="O1893" s="167"/>
    </row>
    <row r="1894" spans="15:15" x14ac:dyDescent="0.35">
      <c r="O1894" s="167"/>
    </row>
    <row r="1895" spans="15:15" x14ac:dyDescent="0.35">
      <c r="O1895" s="167"/>
    </row>
    <row r="1896" spans="15:15" x14ac:dyDescent="0.35">
      <c r="O1896" s="167"/>
    </row>
    <row r="1897" spans="15:15" x14ac:dyDescent="0.35">
      <c r="O1897" s="167"/>
    </row>
    <row r="1898" spans="15:15" x14ac:dyDescent="0.35">
      <c r="O1898" s="167"/>
    </row>
    <row r="1899" spans="15:15" x14ac:dyDescent="0.35">
      <c r="O1899" s="167"/>
    </row>
    <row r="1900" spans="15:15" x14ac:dyDescent="0.35">
      <c r="O1900" s="167"/>
    </row>
    <row r="1901" spans="15:15" x14ac:dyDescent="0.35">
      <c r="O1901" s="167"/>
    </row>
    <row r="1902" spans="15:15" x14ac:dyDescent="0.35">
      <c r="O1902" s="167"/>
    </row>
    <row r="1903" spans="15:15" x14ac:dyDescent="0.35">
      <c r="O1903" s="167"/>
    </row>
    <row r="1904" spans="15:15" x14ac:dyDescent="0.35">
      <c r="O1904" s="167"/>
    </row>
    <row r="1905" spans="15:15" x14ac:dyDescent="0.35">
      <c r="O1905" s="167"/>
    </row>
    <row r="1906" spans="15:15" x14ac:dyDescent="0.35">
      <c r="O1906" s="167"/>
    </row>
    <row r="1907" spans="15:15" x14ac:dyDescent="0.35">
      <c r="O1907" s="167"/>
    </row>
    <row r="1908" spans="15:15" x14ac:dyDescent="0.35">
      <c r="O1908" s="167"/>
    </row>
    <row r="1909" spans="15:15" x14ac:dyDescent="0.35">
      <c r="O1909" s="167"/>
    </row>
    <row r="1910" spans="15:15" x14ac:dyDescent="0.35">
      <c r="O1910" s="167"/>
    </row>
    <row r="1911" spans="15:15" x14ac:dyDescent="0.35">
      <c r="O1911" s="167"/>
    </row>
    <row r="1912" spans="15:15" x14ac:dyDescent="0.35">
      <c r="O1912" s="167"/>
    </row>
    <row r="1913" spans="15:15" x14ac:dyDescent="0.35">
      <c r="O1913" s="167"/>
    </row>
    <row r="1914" spans="15:15" x14ac:dyDescent="0.35">
      <c r="O1914" s="167"/>
    </row>
    <row r="1915" spans="15:15" x14ac:dyDescent="0.35">
      <c r="O1915" s="167"/>
    </row>
    <row r="1916" spans="15:15" x14ac:dyDescent="0.35">
      <c r="O1916" s="167"/>
    </row>
    <row r="1917" spans="15:15" x14ac:dyDescent="0.35">
      <c r="O1917" s="167"/>
    </row>
    <row r="1918" spans="15:15" x14ac:dyDescent="0.35">
      <c r="O1918" s="167"/>
    </row>
    <row r="1919" spans="15:15" x14ac:dyDescent="0.35">
      <c r="O1919" s="167"/>
    </row>
    <row r="1920" spans="15:15" x14ac:dyDescent="0.35">
      <c r="O1920" s="167"/>
    </row>
    <row r="1921" spans="15:15" x14ac:dyDescent="0.35">
      <c r="O1921" s="167"/>
    </row>
    <row r="1922" spans="15:15" x14ac:dyDescent="0.35">
      <c r="O1922" s="167"/>
    </row>
    <row r="1923" spans="15:15" x14ac:dyDescent="0.35">
      <c r="O1923" s="167"/>
    </row>
    <row r="1924" spans="15:15" x14ac:dyDescent="0.35">
      <c r="O1924" s="167"/>
    </row>
    <row r="1925" spans="15:15" x14ac:dyDescent="0.35">
      <c r="O1925" s="167"/>
    </row>
    <row r="1926" spans="15:15" x14ac:dyDescent="0.35">
      <c r="O1926" s="167"/>
    </row>
    <row r="1927" spans="15:15" x14ac:dyDescent="0.35">
      <c r="O1927" s="167"/>
    </row>
    <row r="1928" spans="15:15" x14ac:dyDescent="0.35">
      <c r="O1928" s="167"/>
    </row>
    <row r="1929" spans="15:15" x14ac:dyDescent="0.35">
      <c r="O1929" s="167"/>
    </row>
    <row r="1930" spans="15:15" x14ac:dyDescent="0.35">
      <c r="O1930" s="167"/>
    </row>
    <row r="1931" spans="15:15" x14ac:dyDescent="0.35">
      <c r="O1931" s="167"/>
    </row>
    <row r="1932" spans="15:15" x14ac:dyDescent="0.35">
      <c r="O1932" s="167"/>
    </row>
    <row r="1933" spans="15:15" x14ac:dyDescent="0.35">
      <c r="O1933" s="167"/>
    </row>
    <row r="1934" spans="15:15" x14ac:dyDescent="0.35">
      <c r="O1934" s="167"/>
    </row>
    <row r="1935" spans="15:15" x14ac:dyDescent="0.35">
      <c r="O1935" s="167"/>
    </row>
    <row r="1936" spans="15:15" x14ac:dyDescent="0.35">
      <c r="O1936" s="167"/>
    </row>
    <row r="1937" spans="15:15" x14ac:dyDescent="0.35">
      <c r="O1937" s="167"/>
    </row>
    <row r="1938" spans="15:15" x14ac:dyDescent="0.35">
      <c r="O1938" s="167"/>
    </row>
    <row r="1939" spans="15:15" x14ac:dyDescent="0.35">
      <c r="O1939" s="167"/>
    </row>
    <row r="1940" spans="15:15" x14ac:dyDescent="0.35">
      <c r="O1940" s="167"/>
    </row>
    <row r="1941" spans="15:15" x14ac:dyDescent="0.35">
      <c r="O1941" s="167"/>
    </row>
    <row r="1942" spans="15:15" x14ac:dyDescent="0.35">
      <c r="O1942" s="167"/>
    </row>
    <row r="1943" spans="15:15" x14ac:dyDescent="0.35">
      <c r="O1943" s="167"/>
    </row>
    <row r="1944" spans="15:15" x14ac:dyDescent="0.35">
      <c r="O1944" s="167"/>
    </row>
    <row r="1945" spans="15:15" x14ac:dyDescent="0.35">
      <c r="O1945" s="167"/>
    </row>
    <row r="1946" spans="15:15" x14ac:dyDescent="0.35">
      <c r="O1946" s="167"/>
    </row>
    <row r="1947" spans="15:15" x14ac:dyDescent="0.35">
      <c r="O1947" s="167"/>
    </row>
    <row r="1948" spans="15:15" x14ac:dyDescent="0.35">
      <c r="O1948" s="167"/>
    </row>
    <row r="1949" spans="15:15" x14ac:dyDescent="0.35">
      <c r="O1949" s="167"/>
    </row>
    <row r="1950" spans="15:15" x14ac:dyDescent="0.35">
      <c r="O1950" s="167"/>
    </row>
    <row r="1951" spans="15:15" x14ac:dyDescent="0.35">
      <c r="O1951" s="167"/>
    </row>
    <row r="1952" spans="15:15" x14ac:dyDescent="0.35">
      <c r="O1952" s="167"/>
    </row>
    <row r="1953" spans="15:15" x14ac:dyDescent="0.35">
      <c r="O1953" s="167"/>
    </row>
    <row r="1954" spans="15:15" x14ac:dyDescent="0.35">
      <c r="O1954" s="167"/>
    </row>
    <row r="1955" spans="15:15" x14ac:dyDescent="0.35">
      <c r="O1955" s="167"/>
    </row>
    <row r="1956" spans="15:15" x14ac:dyDescent="0.35">
      <c r="O1956" s="167"/>
    </row>
    <row r="1957" spans="15:15" x14ac:dyDescent="0.35">
      <c r="O1957" s="167"/>
    </row>
    <row r="1958" spans="15:15" x14ac:dyDescent="0.35">
      <c r="O1958" s="167"/>
    </row>
    <row r="1959" spans="15:15" x14ac:dyDescent="0.35">
      <c r="O1959" s="167"/>
    </row>
    <row r="1960" spans="15:15" x14ac:dyDescent="0.35">
      <c r="O1960" s="167"/>
    </row>
    <row r="1961" spans="15:15" x14ac:dyDescent="0.35">
      <c r="O1961" s="167"/>
    </row>
    <row r="1962" spans="15:15" x14ac:dyDescent="0.35">
      <c r="O1962" s="167"/>
    </row>
    <row r="1963" spans="15:15" x14ac:dyDescent="0.35">
      <c r="O1963" s="167"/>
    </row>
    <row r="1964" spans="15:15" x14ac:dyDescent="0.35">
      <c r="O1964" s="167"/>
    </row>
    <row r="1965" spans="15:15" x14ac:dyDescent="0.35">
      <c r="O1965" s="167"/>
    </row>
    <row r="1966" spans="15:15" x14ac:dyDescent="0.35">
      <c r="O1966" s="167"/>
    </row>
    <row r="1967" spans="15:15" x14ac:dyDescent="0.35">
      <c r="O1967" s="167"/>
    </row>
    <row r="1968" spans="15:15" x14ac:dyDescent="0.35">
      <c r="O1968" s="167"/>
    </row>
    <row r="1969" spans="15:15" x14ac:dyDescent="0.35">
      <c r="O1969" s="167"/>
    </row>
    <row r="1970" spans="15:15" x14ac:dyDescent="0.35">
      <c r="O1970" s="167"/>
    </row>
    <row r="1971" spans="15:15" x14ac:dyDescent="0.35">
      <c r="O1971" s="167"/>
    </row>
    <row r="1972" spans="15:15" x14ac:dyDescent="0.35">
      <c r="O1972" s="167"/>
    </row>
    <row r="1973" spans="15:15" x14ac:dyDescent="0.35">
      <c r="O1973" s="167"/>
    </row>
    <row r="1974" spans="15:15" x14ac:dyDescent="0.35">
      <c r="O1974" s="167"/>
    </row>
    <row r="1975" spans="15:15" x14ac:dyDescent="0.35">
      <c r="O1975" s="167"/>
    </row>
    <row r="1976" spans="15:15" x14ac:dyDescent="0.35">
      <c r="O1976" s="167"/>
    </row>
    <row r="1977" spans="15:15" x14ac:dyDescent="0.35">
      <c r="O1977" s="167"/>
    </row>
    <row r="1978" spans="15:15" x14ac:dyDescent="0.35">
      <c r="O1978" s="167"/>
    </row>
    <row r="1979" spans="15:15" x14ac:dyDescent="0.35">
      <c r="O1979" s="167"/>
    </row>
    <row r="1980" spans="15:15" x14ac:dyDescent="0.35">
      <c r="O1980" s="167"/>
    </row>
    <row r="1981" spans="15:15" x14ac:dyDescent="0.35">
      <c r="O1981" s="167"/>
    </row>
    <row r="1982" spans="15:15" x14ac:dyDescent="0.35">
      <c r="O1982" s="167"/>
    </row>
    <row r="1983" spans="15:15" x14ac:dyDescent="0.35">
      <c r="O1983" s="167"/>
    </row>
    <row r="1984" spans="15:15" x14ac:dyDescent="0.35">
      <c r="O1984" s="167"/>
    </row>
    <row r="1985" spans="15:15" x14ac:dyDescent="0.35">
      <c r="O1985" s="167"/>
    </row>
    <row r="1986" spans="15:15" x14ac:dyDescent="0.35">
      <c r="O1986" s="167"/>
    </row>
    <row r="1987" spans="15:15" x14ac:dyDescent="0.35">
      <c r="O1987" s="167"/>
    </row>
    <row r="1988" spans="15:15" x14ac:dyDescent="0.35">
      <c r="O1988" s="167"/>
    </row>
    <row r="1989" spans="15:15" x14ac:dyDescent="0.35">
      <c r="O1989" s="167"/>
    </row>
    <row r="1990" spans="15:15" x14ac:dyDescent="0.35">
      <c r="O1990" s="167"/>
    </row>
    <row r="1991" spans="15:15" x14ac:dyDescent="0.35">
      <c r="O1991" s="167"/>
    </row>
    <row r="1992" spans="15:15" x14ac:dyDescent="0.35">
      <c r="O1992" s="167"/>
    </row>
    <row r="1993" spans="15:15" x14ac:dyDescent="0.35">
      <c r="O1993" s="167"/>
    </row>
    <row r="1994" spans="15:15" x14ac:dyDescent="0.35">
      <c r="O1994" s="167"/>
    </row>
    <row r="1995" spans="15:15" x14ac:dyDescent="0.35">
      <c r="O1995" s="167"/>
    </row>
    <row r="1996" spans="15:15" x14ac:dyDescent="0.35">
      <c r="O1996" s="167"/>
    </row>
    <row r="1997" spans="15:15" x14ac:dyDescent="0.35">
      <c r="O1997" s="167"/>
    </row>
    <row r="1998" spans="15:15" x14ac:dyDescent="0.35">
      <c r="O1998" s="167"/>
    </row>
    <row r="1999" spans="15:15" x14ac:dyDescent="0.35">
      <c r="O1999" s="167"/>
    </row>
    <row r="2000" spans="15:15" x14ac:dyDescent="0.35">
      <c r="O2000" s="167"/>
    </row>
    <row r="2001" spans="15:15" x14ac:dyDescent="0.35">
      <c r="O2001" s="167"/>
    </row>
    <row r="2002" spans="15:15" x14ac:dyDescent="0.35">
      <c r="O2002" s="167"/>
    </row>
    <row r="2003" spans="15:15" x14ac:dyDescent="0.35">
      <c r="O2003" s="167"/>
    </row>
    <row r="2004" spans="15:15" x14ac:dyDescent="0.35">
      <c r="O2004" s="167"/>
    </row>
    <row r="2005" spans="15:15" x14ac:dyDescent="0.35">
      <c r="O2005" s="167"/>
    </row>
    <row r="2006" spans="15:15" x14ac:dyDescent="0.35">
      <c r="O2006" s="167"/>
    </row>
    <row r="2007" spans="15:15" x14ac:dyDescent="0.35">
      <c r="O2007" s="167"/>
    </row>
    <row r="2008" spans="15:15" x14ac:dyDescent="0.35">
      <c r="O2008" s="167"/>
    </row>
    <row r="2009" spans="15:15" x14ac:dyDescent="0.35">
      <c r="O2009" s="167"/>
    </row>
    <row r="2010" spans="15:15" x14ac:dyDescent="0.35">
      <c r="O2010" s="167"/>
    </row>
    <row r="2011" spans="15:15" x14ac:dyDescent="0.35">
      <c r="O2011" s="167"/>
    </row>
    <row r="2012" spans="15:15" x14ac:dyDescent="0.35">
      <c r="O2012" s="167"/>
    </row>
    <row r="2013" spans="15:15" x14ac:dyDescent="0.35">
      <c r="O2013" s="167"/>
    </row>
    <row r="2014" spans="15:15" x14ac:dyDescent="0.35">
      <c r="O2014" s="167"/>
    </row>
    <row r="2015" spans="15:15" x14ac:dyDescent="0.35">
      <c r="O2015" s="167"/>
    </row>
    <row r="2016" spans="15:15" x14ac:dyDescent="0.35">
      <c r="O2016" s="167"/>
    </row>
    <row r="2017" spans="15:15" x14ac:dyDescent="0.35">
      <c r="O2017" s="167"/>
    </row>
    <row r="2018" spans="15:15" x14ac:dyDescent="0.35">
      <c r="O2018" s="167"/>
    </row>
    <row r="2019" spans="15:15" x14ac:dyDescent="0.35">
      <c r="O2019" s="167"/>
    </row>
    <row r="2020" spans="15:15" x14ac:dyDescent="0.35">
      <c r="O2020" s="167"/>
    </row>
    <row r="2021" spans="15:15" x14ac:dyDescent="0.35">
      <c r="O2021" s="167"/>
    </row>
    <row r="2022" spans="15:15" x14ac:dyDescent="0.35">
      <c r="O2022" s="167"/>
    </row>
    <row r="2023" spans="15:15" x14ac:dyDescent="0.35">
      <c r="O2023" s="167"/>
    </row>
    <row r="2024" spans="15:15" x14ac:dyDescent="0.35">
      <c r="O2024" s="167"/>
    </row>
    <row r="2025" spans="15:15" x14ac:dyDescent="0.35">
      <c r="O2025" s="167"/>
    </row>
    <row r="2026" spans="15:15" x14ac:dyDescent="0.35">
      <c r="O2026" s="167"/>
    </row>
    <row r="2027" spans="15:15" x14ac:dyDescent="0.35">
      <c r="O2027" s="167"/>
    </row>
    <row r="2028" spans="15:15" x14ac:dyDescent="0.35">
      <c r="O2028" s="167"/>
    </row>
    <row r="2029" spans="15:15" x14ac:dyDescent="0.35">
      <c r="O2029" s="167"/>
    </row>
    <row r="2030" spans="15:15" x14ac:dyDescent="0.35">
      <c r="O2030" s="167"/>
    </row>
    <row r="2031" spans="15:15" x14ac:dyDescent="0.35">
      <c r="O2031" s="167"/>
    </row>
    <row r="2032" spans="15:15" x14ac:dyDescent="0.35">
      <c r="O2032" s="167"/>
    </row>
    <row r="2033" spans="15:15" x14ac:dyDescent="0.35">
      <c r="O2033" s="167"/>
    </row>
    <row r="2034" spans="15:15" x14ac:dyDescent="0.35">
      <c r="O2034" s="167"/>
    </row>
    <row r="2035" spans="15:15" x14ac:dyDescent="0.35">
      <c r="O2035" s="167"/>
    </row>
    <row r="2036" spans="15:15" x14ac:dyDescent="0.35">
      <c r="O2036" s="167"/>
    </row>
    <row r="2037" spans="15:15" x14ac:dyDescent="0.35">
      <c r="O2037" s="167"/>
    </row>
    <row r="2038" spans="15:15" x14ac:dyDescent="0.35">
      <c r="O2038" s="167"/>
    </row>
    <row r="2039" spans="15:15" x14ac:dyDescent="0.35">
      <c r="O2039" s="167"/>
    </row>
    <row r="2040" spans="15:15" x14ac:dyDescent="0.35">
      <c r="O2040" s="167"/>
    </row>
    <row r="2041" spans="15:15" x14ac:dyDescent="0.35">
      <c r="O2041" s="167"/>
    </row>
    <row r="2042" spans="15:15" x14ac:dyDescent="0.35">
      <c r="O2042" s="167"/>
    </row>
    <row r="2043" spans="15:15" x14ac:dyDescent="0.35">
      <c r="O2043" s="167"/>
    </row>
    <row r="2044" spans="15:15" x14ac:dyDescent="0.35">
      <c r="O2044" s="167"/>
    </row>
    <row r="2045" spans="15:15" x14ac:dyDescent="0.35">
      <c r="O2045" s="167"/>
    </row>
    <row r="2046" spans="15:15" x14ac:dyDescent="0.35">
      <c r="O2046" s="167"/>
    </row>
    <row r="2047" spans="15:15" x14ac:dyDescent="0.35">
      <c r="O2047" s="167"/>
    </row>
    <row r="2048" spans="15:15" x14ac:dyDescent="0.35">
      <c r="O2048" s="167"/>
    </row>
    <row r="2049" spans="15:15" x14ac:dyDescent="0.35">
      <c r="O2049" s="167"/>
    </row>
    <row r="2050" spans="15:15" x14ac:dyDescent="0.35">
      <c r="O2050" s="167"/>
    </row>
    <row r="2051" spans="15:15" x14ac:dyDescent="0.35">
      <c r="O2051" s="167"/>
    </row>
    <row r="2052" spans="15:15" x14ac:dyDescent="0.35">
      <c r="O2052" s="167"/>
    </row>
    <row r="2053" spans="15:15" x14ac:dyDescent="0.35">
      <c r="O2053" s="167"/>
    </row>
    <row r="2054" spans="15:15" x14ac:dyDescent="0.35">
      <c r="O2054" s="167"/>
    </row>
    <row r="2055" spans="15:15" x14ac:dyDescent="0.35">
      <c r="O2055" s="167"/>
    </row>
    <row r="2056" spans="15:15" x14ac:dyDescent="0.35">
      <c r="O2056" s="167"/>
    </row>
    <row r="2057" spans="15:15" x14ac:dyDescent="0.35">
      <c r="O2057" s="167"/>
    </row>
    <row r="2058" spans="15:15" x14ac:dyDescent="0.35">
      <c r="O2058" s="167"/>
    </row>
    <row r="2059" spans="15:15" x14ac:dyDescent="0.35">
      <c r="O2059" s="167"/>
    </row>
    <row r="2060" spans="15:15" x14ac:dyDescent="0.35">
      <c r="O2060" s="167"/>
    </row>
    <row r="2061" spans="15:15" x14ac:dyDescent="0.35">
      <c r="O2061" s="167"/>
    </row>
    <row r="2062" spans="15:15" x14ac:dyDescent="0.35">
      <c r="O2062" s="167"/>
    </row>
    <row r="2063" spans="15:15" x14ac:dyDescent="0.35">
      <c r="O2063" s="167"/>
    </row>
    <row r="2064" spans="15:15" x14ac:dyDescent="0.35">
      <c r="O2064" s="167"/>
    </row>
    <row r="2065" spans="15:15" x14ac:dyDescent="0.35">
      <c r="O2065" s="167"/>
    </row>
    <row r="2066" spans="15:15" x14ac:dyDescent="0.35">
      <c r="O2066" s="167"/>
    </row>
    <row r="2067" spans="15:15" x14ac:dyDescent="0.35">
      <c r="O2067" s="167"/>
    </row>
    <row r="2068" spans="15:15" x14ac:dyDescent="0.35">
      <c r="O2068" s="167"/>
    </row>
    <row r="2069" spans="15:15" x14ac:dyDescent="0.35">
      <c r="O2069" s="167"/>
    </row>
    <row r="2070" spans="15:15" x14ac:dyDescent="0.35">
      <c r="O2070" s="167"/>
    </row>
    <row r="2071" spans="15:15" x14ac:dyDescent="0.35">
      <c r="O2071" s="167"/>
    </row>
    <row r="2072" spans="15:15" x14ac:dyDescent="0.35">
      <c r="O2072" s="167"/>
    </row>
    <row r="2073" spans="15:15" x14ac:dyDescent="0.35">
      <c r="O2073" s="167"/>
    </row>
    <row r="2074" spans="15:15" x14ac:dyDescent="0.35">
      <c r="O2074" s="167"/>
    </row>
    <row r="2075" spans="15:15" x14ac:dyDescent="0.35">
      <c r="O2075" s="167"/>
    </row>
    <row r="2076" spans="15:15" x14ac:dyDescent="0.35">
      <c r="O2076" s="167"/>
    </row>
    <row r="2077" spans="15:15" x14ac:dyDescent="0.35">
      <c r="O2077" s="167"/>
    </row>
    <row r="2078" spans="15:15" x14ac:dyDescent="0.35">
      <c r="O2078" s="167"/>
    </row>
    <row r="2079" spans="15:15" x14ac:dyDescent="0.35">
      <c r="O2079" s="167"/>
    </row>
    <row r="2080" spans="15:15" x14ac:dyDescent="0.35">
      <c r="O2080" s="167"/>
    </row>
    <row r="2081" spans="15:15" x14ac:dyDescent="0.35">
      <c r="O2081" s="167"/>
    </row>
    <row r="2082" spans="15:15" x14ac:dyDescent="0.35">
      <c r="O2082" s="167"/>
    </row>
    <row r="2083" spans="15:15" x14ac:dyDescent="0.35">
      <c r="O2083" s="167"/>
    </row>
    <row r="2084" spans="15:15" x14ac:dyDescent="0.35">
      <c r="O2084" s="167"/>
    </row>
    <row r="2085" spans="15:15" x14ac:dyDescent="0.35">
      <c r="O2085" s="167"/>
    </row>
    <row r="2086" spans="15:15" x14ac:dyDescent="0.35">
      <c r="O2086" s="167"/>
    </row>
    <row r="2087" spans="15:15" x14ac:dyDescent="0.35">
      <c r="O2087" s="167"/>
    </row>
    <row r="2088" spans="15:15" x14ac:dyDescent="0.35">
      <c r="O2088" s="167"/>
    </row>
    <row r="2089" spans="15:15" x14ac:dyDescent="0.35">
      <c r="O2089" s="167"/>
    </row>
    <row r="2090" spans="15:15" x14ac:dyDescent="0.35">
      <c r="O2090" s="167"/>
    </row>
    <row r="2091" spans="15:15" x14ac:dyDescent="0.35">
      <c r="O2091" s="167"/>
    </row>
    <row r="2092" spans="15:15" x14ac:dyDescent="0.35">
      <c r="O2092" s="167"/>
    </row>
    <row r="2093" spans="15:15" x14ac:dyDescent="0.35">
      <c r="O2093" s="167"/>
    </row>
    <row r="2094" spans="15:15" x14ac:dyDescent="0.35">
      <c r="O2094" s="167"/>
    </row>
    <row r="2095" spans="15:15" x14ac:dyDescent="0.35">
      <c r="O2095" s="167"/>
    </row>
    <row r="2096" spans="15:15" x14ac:dyDescent="0.35">
      <c r="O2096" s="167"/>
    </row>
    <row r="2097" spans="15:15" x14ac:dyDescent="0.35">
      <c r="O2097" s="167"/>
    </row>
    <row r="2098" spans="15:15" x14ac:dyDescent="0.35">
      <c r="O2098" s="167"/>
    </row>
    <row r="2099" spans="15:15" x14ac:dyDescent="0.35">
      <c r="O2099" s="167"/>
    </row>
    <row r="2100" spans="15:15" x14ac:dyDescent="0.35">
      <c r="O2100" s="167"/>
    </row>
    <row r="2101" spans="15:15" x14ac:dyDescent="0.35">
      <c r="O2101" s="167"/>
    </row>
    <row r="2102" spans="15:15" x14ac:dyDescent="0.35">
      <c r="O2102" s="167"/>
    </row>
    <row r="2103" spans="15:15" x14ac:dyDescent="0.35">
      <c r="O2103" s="167"/>
    </row>
    <row r="2104" spans="15:15" x14ac:dyDescent="0.35">
      <c r="O2104" s="167"/>
    </row>
    <row r="2105" spans="15:15" x14ac:dyDescent="0.35">
      <c r="O2105" s="167"/>
    </row>
    <row r="2106" spans="15:15" x14ac:dyDescent="0.35">
      <c r="O2106" s="167"/>
    </row>
    <row r="2107" spans="15:15" x14ac:dyDescent="0.35">
      <c r="O2107" s="167"/>
    </row>
    <row r="2108" spans="15:15" x14ac:dyDescent="0.35">
      <c r="O2108" s="167"/>
    </row>
    <row r="2109" spans="15:15" x14ac:dyDescent="0.35">
      <c r="O2109" s="167"/>
    </row>
    <row r="2110" spans="15:15" x14ac:dyDescent="0.35">
      <c r="O2110" s="167"/>
    </row>
    <row r="2111" spans="15:15" x14ac:dyDescent="0.35">
      <c r="O2111" s="167"/>
    </row>
    <row r="2112" spans="15:15" x14ac:dyDescent="0.35">
      <c r="O2112" s="167"/>
    </row>
    <row r="2113" spans="15:15" x14ac:dyDescent="0.35">
      <c r="O2113" s="167"/>
    </row>
    <row r="2114" spans="15:15" x14ac:dyDescent="0.35">
      <c r="O2114" s="167"/>
    </row>
    <row r="2115" spans="15:15" x14ac:dyDescent="0.35">
      <c r="O2115" s="167"/>
    </row>
    <row r="2116" spans="15:15" x14ac:dyDescent="0.35">
      <c r="O2116" s="167"/>
    </row>
    <row r="2117" spans="15:15" x14ac:dyDescent="0.35">
      <c r="O2117" s="167"/>
    </row>
    <row r="2118" spans="15:15" x14ac:dyDescent="0.35">
      <c r="O2118" s="167"/>
    </row>
    <row r="2119" spans="15:15" x14ac:dyDescent="0.35">
      <c r="O2119" s="167"/>
    </row>
    <row r="2120" spans="15:15" x14ac:dyDescent="0.35">
      <c r="O2120" s="167"/>
    </row>
    <row r="2121" spans="15:15" x14ac:dyDescent="0.35">
      <c r="O2121" s="167"/>
    </row>
    <row r="2122" spans="15:15" x14ac:dyDescent="0.35">
      <c r="O2122" s="167"/>
    </row>
    <row r="2123" spans="15:15" x14ac:dyDescent="0.35">
      <c r="O2123" s="167"/>
    </row>
    <row r="2124" spans="15:15" x14ac:dyDescent="0.35">
      <c r="O2124" s="167"/>
    </row>
    <row r="2125" spans="15:15" x14ac:dyDescent="0.35">
      <c r="O2125" s="167"/>
    </row>
    <row r="2126" spans="15:15" x14ac:dyDescent="0.35">
      <c r="O2126" s="167"/>
    </row>
    <row r="2127" spans="15:15" x14ac:dyDescent="0.35">
      <c r="O2127" s="167"/>
    </row>
    <row r="2128" spans="15:15" x14ac:dyDescent="0.35">
      <c r="O2128" s="167"/>
    </row>
    <row r="2129" spans="15:15" x14ac:dyDescent="0.35">
      <c r="O2129" s="167"/>
    </row>
    <row r="2130" spans="15:15" x14ac:dyDescent="0.35">
      <c r="O2130" s="167"/>
    </row>
    <row r="2131" spans="15:15" x14ac:dyDescent="0.35">
      <c r="O2131" s="167"/>
    </row>
    <row r="2132" spans="15:15" x14ac:dyDescent="0.35">
      <c r="O2132" s="167"/>
    </row>
    <row r="2133" spans="15:15" x14ac:dyDescent="0.35">
      <c r="O2133" s="167"/>
    </row>
    <row r="2134" spans="15:15" x14ac:dyDescent="0.35">
      <c r="O2134" s="167"/>
    </row>
    <row r="2135" spans="15:15" x14ac:dyDescent="0.35">
      <c r="O2135" s="167"/>
    </row>
    <row r="2136" spans="15:15" x14ac:dyDescent="0.35">
      <c r="O2136" s="167"/>
    </row>
    <row r="2137" spans="15:15" x14ac:dyDescent="0.35">
      <c r="O2137" s="167"/>
    </row>
    <row r="2138" spans="15:15" x14ac:dyDescent="0.35">
      <c r="O2138" s="167"/>
    </row>
    <row r="2139" spans="15:15" x14ac:dyDescent="0.35">
      <c r="O2139" s="167"/>
    </row>
    <row r="2140" spans="15:15" x14ac:dyDescent="0.35">
      <c r="O2140" s="167"/>
    </row>
    <row r="2141" spans="15:15" x14ac:dyDescent="0.35">
      <c r="O2141" s="167"/>
    </row>
    <row r="2142" spans="15:15" x14ac:dyDescent="0.35">
      <c r="O2142" s="167"/>
    </row>
    <row r="2143" spans="15:15" x14ac:dyDescent="0.35">
      <c r="O2143" s="167"/>
    </row>
    <row r="2144" spans="15:15" x14ac:dyDescent="0.35">
      <c r="O2144" s="167"/>
    </row>
    <row r="2145" spans="15:15" x14ac:dyDescent="0.35">
      <c r="O2145" s="167"/>
    </row>
    <row r="2146" spans="15:15" x14ac:dyDescent="0.35">
      <c r="O2146" s="167"/>
    </row>
    <row r="2147" spans="15:15" x14ac:dyDescent="0.35">
      <c r="O2147" s="167"/>
    </row>
    <row r="2148" spans="15:15" x14ac:dyDescent="0.35">
      <c r="O2148" s="167"/>
    </row>
    <row r="2149" spans="15:15" x14ac:dyDescent="0.35">
      <c r="O2149" s="167"/>
    </row>
    <row r="2150" spans="15:15" x14ac:dyDescent="0.35">
      <c r="O2150" s="167"/>
    </row>
    <row r="2151" spans="15:15" x14ac:dyDescent="0.35">
      <c r="O2151" s="167"/>
    </row>
    <row r="2152" spans="15:15" x14ac:dyDescent="0.35">
      <c r="O2152" s="167"/>
    </row>
    <row r="2153" spans="15:15" x14ac:dyDescent="0.35">
      <c r="O2153" s="167"/>
    </row>
    <row r="2154" spans="15:15" x14ac:dyDescent="0.35">
      <c r="O2154" s="167"/>
    </row>
    <row r="2155" spans="15:15" x14ac:dyDescent="0.35">
      <c r="O2155" s="167"/>
    </row>
    <row r="2156" spans="15:15" x14ac:dyDescent="0.35">
      <c r="O2156" s="167"/>
    </row>
    <row r="2157" spans="15:15" x14ac:dyDescent="0.35">
      <c r="O2157" s="167"/>
    </row>
    <row r="2158" spans="15:15" x14ac:dyDescent="0.35">
      <c r="O2158" s="167"/>
    </row>
    <row r="2159" spans="15:15" x14ac:dyDescent="0.35">
      <c r="O2159" s="167"/>
    </row>
    <row r="2160" spans="15:15" x14ac:dyDescent="0.35">
      <c r="O2160" s="167"/>
    </row>
    <row r="2161" spans="15:15" x14ac:dyDescent="0.35">
      <c r="O2161" s="167"/>
    </row>
    <row r="2162" spans="15:15" x14ac:dyDescent="0.35">
      <c r="O2162" s="167"/>
    </row>
    <row r="2163" spans="15:15" x14ac:dyDescent="0.35">
      <c r="O2163" s="167"/>
    </row>
    <row r="2164" spans="15:15" x14ac:dyDescent="0.35">
      <c r="O2164" s="167"/>
    </row>
    <row r="2165" spans="15:15" x14ac:dyDescent="0.35">
      <c r="O2165" s="167"/>
    </row>
    <row r="2166" spans="15:15" x14ac:dyDescent="0.35">
      <c r="O2166" s="167"/>
    </row>
    <row r="2167" spans="15:15" x14ac:dyDescent="0.35">
      <c r="O2167" s="167"/>
    </row>
    <row r="2168" spans="15:15" x14ac:dyDescent="0.35">
      <c r="O2168" s="167"/>
    </row>
    <row r="2169" spans="15:15" x14ac:dyDescent="0.35">
      <c r="O2169" s="167"/>
    </row>
    <row r="2170" spans="15:15" x14ac:dyDescent="0.35">
      <c r="O2170" s="167"/>
    </row>
    <row r="2171" spans="15:15" x14ac:dyDescent="0.35">
      <c r="O2171" s="167"/>
    </row>
    <row r="2172" spans="15:15" x14ac:dyDescent="0.35">
      <c r="O2172" s="167"/>
    </row>
    <row r="2173" spans="15:15" x14ac:dyDescent="0.35">
      <c r="O2173" s="167"/>
    </row>
    <row r="2174" spans="15:15" x14ac:dyDescent="0.35">
      <c r="O2174" s="167"/>
    </row>
    <row r="2175" spans="15:15" x14ac:dyDescent="0.35">
      <c r="O2175" s="167"/>
    </row>
    <row r="2176" spans="15:15" x14ac:dyDescent="0.35">
      <c r="O2176" s="167"/>
    </row>
    <row r="2177" spans="15:15" x14ac:dyDescent="0.35">
      <c r="O2177" s="167"/>
    </row>
    <row r="2178" spans="15:15" x14ac:dyDescent="0.35">
      <c r="O2178" s="167"/>
    </row>
    <row r="2179" spans="15:15" x14ac:dyDescent="0.35">
      <c r="O2179" s="167"/>
    </row>
    <row r="2180" spans="15:15" x14ac:dyDescent="0.35">
      <c r="O2180" s="167"/>
    </row>
    <row r="2181" spans="15:15" x14ac:dyDescent="0.35">
      <c r="O2181" s="167"/>
    </row>
    <row r="2182" spans="15:15" x14ac:dyDescent="0.35">
      <c r="O2182" s="167"/>
    </row>
    <row r="2183" spans="15:15" x14ac:dyDescent="0.35">
      <c r="O2183" s="167"/>
    </row>
    <row r="2184" spans="15:15" x14ac:dyDescent="0.35">
      <c r="O2184" s="167"/>
    </row>
    <row r="2185" spans="15:15" x14ac:dyDescent="0.35">
      <c r="O2185" s="167"/>
    </row>
    <row r="2186" spans="15:15" x14ac:dyDescent="0.35">
      <c r="O2186" s="167"/>
    </row>
    <row r="2187" spans="15:15" x14ac:dyDescent="0.35">
      <c r="O2187" s="167"/>
    </row>
    <row r="2188" spans="15:15" x14ac:dyDescent="0.35">
      <c r="O2188" s="167"/>
    </row>
    <row r="2189" spans="15:15" x14ac:dyDescent="0.35">
      <c r="O2189" s="167"/>
    </row>
    <row r="2190" spans="15:15" x14ac:dyDescent="0.35">
      <c r="O2190" s="167"/>
    </row>
    <row r="2191" spans="15:15" x14ac:dyDescent="0.35">
      <c r="O2191" s="167"/>
    </row>
    <row r="2192" spans="15:15" x14ac:dyDescent="0.35">
      <c r="O2192" s="167"/>
    </row>
    <row r="2193" spans="15:15" x14ac:dyDescent="0.35">
      <c r="O2193" s="167"/>
    </row>
    <row r="2194" spans="15:15" x14ac:dyDescent="0.35">
      <c r="O2194" s="167"/>
    </row>
    <row r="2195" spans="15:15" x14ac:dyDescent="0.35">
      <c r="O2195" s="167"/>
    </row>
    <row r="2196" spans="15:15" x14ac:dyDescent="0.35">
      <c r="O2196" s="167"/>
    </row>
    <row r="2197" spans="15:15" x14ac:dyDescent="0.35">
      <c r="O2197" s="167"/>
    </row>
    <row r="2198" spans="15:15" x14ac:dyDescent="0.35">
      <c r="O2198" s="167"/>
    </row>
    <row r="2199" spans="15:15" x14ac:dyDescent="0.35">
      <c r="O2199" s="167"/>
    </row>
    <row r="2200" spans="15:15" x14ac:dyDescent="0.35">
      <c r="O2200" s="167"/>
    </row>
    <row r="2201" spans="15:15" x14ac:dyDescent="0.35">
      <c r="O2201" s="167"/>
    </row>
    <row r="2202" spans="15:15" x14ac:dyDescent="0.35">
      <c r="O2202" s="167"/>
    </row>
    <row r="2203" spans="15:15" x14ac:dyDescent="0.35">
      <c r="O2203" s="167"/>
    </row>
    <row r="2204" spans="15:15" x14ac:dyDescent="0.35">
      <c r="O2204" s="167"/>
    </row>
    <row r="2205" spans="15:15" x14ac:dyDescent="0.35">
      <c r="O2205" s="167"/>
    </row>
    <row r="2206" spans="15:15" x14ac:dyDescent="0.35">
      <c r="O2206" s="167"/>
    </row>
    <row r="2207" spans="15:15" x14ac:dyDescent="0.35">
      <c r="O2207" s="167"/>
    </row>
    <row r="2208" spans="15:15" x14ac:dyDescent="0.35">
      <c r="O2208" s="167"/>
    </row>
    <row r="2209" spans="15:15" x14ac:dyDescent="0.35">
      <c r="O2209" s="167"/>
    </row>
    <row r="2210" spans="15:15" x14ac:dyDescent="0.35">
      <c r="O2210" s="167"/>
    </row>
    <row r="2211" spans="15:15" x14ac:dyDescent="0.35">
      <c r="O2211" s="167"/>
    </row>
    <row r="2212" spans="15:15" x14ac:dyDescent="0.35">
      <c r="O2212" s="167"/>
    </row>
    <row r="2213" spans="15:15" x14ac:dyDescent="0.35">
      <c r="O2213" s="167"/>
    </row>
    <row r="2214" spans="15:15" x14ac:dyDescent="0.35">
      <c r="O2214" s="167"/>
    </row>
    <row r="2215" spans="15:15" x14ac:dyDescent="0.35">
      <c r="O2215" s="167"/>
    </row>
    <row r="2216" spans="15:15" x14ac:dyDescent="0.35">
      <c r="O2216" s="167"/>
    </row>
    <row r="2217" spans="15:15" x14ac:dyDescent="0.35">
      <c r="O2217" s="167"/>
    </row>
    <row r="2218" spans="15:15" x14ac:dyDescent="0.35">
      <c r="O2218" s="167"/>
    </row>
    <row r="2219" spans="15:15" x14ac:dyDescent="0.35">
      <c r="O2219" s="167"/>
    </row>
    <row r="2220" spans="15:15" x14ac:dyDescent="0.35">
      <c r="O2220" s="167"/>
    </row>
    <row r="2221" spans="15:15" x14ac:dyDescent="0.35">
      <c r="O2221" s="167"/>
    </row>
    <row r="2222" spans="15:15" x14ac:dyDescent="0.35">
      <c r="O2222" s="167"/>
    </row>
    <row r="2223" spans="15:15" x14ac:dyDescent="0.35">
      <c r="O2223" s="167"/>
    </row>
    <row r="2224" spans="15:15" x14ac:dyDescent="0.35">
      <c r="O2224" s="167"/>
    </row>
    <row r="2225" spans="15:15" x14ac:dyDescent="0.35">
      <c r="O2225" s="167"/>
    </row>
    <row r="2226" spans="15:15" x14ac:dyDescent="0.35">
      <c r="O2226" s="167"/>
    </row>
    <row r="2227" spans="15:15" x14ac:dyDescent="0.35">
      <c r="O2227" s="167"/>
    </row>
    <row r="2228" spans="15:15" x14ac:dyDescent="0.35">
      <c r="O2228" s="167"/>
    </row>
    <row r="2229" spans="15:15" x14ac:dyDescent="0.35">
      <c r="O2229" s="167"/>
    </row>
    <row r="2230" spans="15:15" x14ac:dyDescent="0.35">
      <c r="O2230" s="167"/>
    </row>
    <row r="2231" spans="15:15" x14ac:dyDescent="0.35">
      <c r="O2231" s="167"/>
    </row>
    <row r="2232" spans="15:15" x14ac:dyDescent="0.35">
      <c r="O2232" s="167"/>
    </row>
    <row r="2233" spans="15:15" x14ac:dyDescent="0.35">
      <c r="O2233" s="167"/>
    </row>
    <row r="2234" spans="15:15" x14ac:dyDescent="0.35">
      <c r="O2234" s="167"/>
    </row>
    <row r="2235" spans="15:15" x14ac:dyDescent="0.35">
      <c r="O2235" s="167"/>
    </row>
    <row r="2236" spans="15:15" x14ac:dyDescent="0.35">
      <c r="O2236" s="167"/>
    </row>
    <row r="2237" spans="15:15" x14ac:dyDescent="0.35">
      <c r="O2237" s="167"/>
    </row>
    <row r="2238" spans="15:15" x14ac:dyDescent="0.35">
      <c r="O2238" s="167"/>
    </row>
    <row r="2239" spans="15:15" x14ac:dyDescent="0.35">
      <c r="O2239" s="167"/>
    </row>
    <row r="2240" spans="15:15" x14ac:dyDescent="0.35">
      <c r="O2240" s="167"/>
    </row>
    <row r="2241" spans="15:15" x14ac:dyDescent="0.35">
      <c r="O2241" s="167"/>
    </row>
    <row r="2242" spans="15:15" x14ac:dyDescent="0.35">
      <c r="O2242" s="167"/>
    </row>
    <row r="2243" spans="15:15" x14ac:dyDescent="0.35">
      <c r="O2243" s="167"/>
    </row>
    <row r="2244" spans="15:15" x14ac:dyDescent="0.35">
      <c r="O2244" s="167"/>
    </row>
    <row r="2245" spans="15:15" x14ac:dyDescent="0.35">
      <c r="O2245" s="167"/>
    </row>
    <row r="2246" spans="15:15" x14ac:dyDescent="0.35">
      <c r="O2246" s="167"/>
    </row>
    <row r="2247" spans="15:15" x14ac:dyDescent="0.35">
      <c r="O2247" s="167"/>
    </row>
    <row r="2248" spans="15:15" x14ac:dyDescent="0.35">
      <c r="O2248" s="167"/>
    </row>
    <row r="2249" spans="15:15" x14ac:dyDescent="0.35">
      <c r="O2249" s="167"/>
    </row>
    <row r="2250" spans="15:15" x14ac:dyDescent="0.35">
      <c r="O2250" s="167"/>
    </row>
    <row r="2251" spans="15:15" x14ac:dyDescent="0.35">
      <c r="O2251" s="167"/>
    </row>
    <row r="2252" spans="15:15" x14ac:dyDescent="0.35">
      <c r="O2252" s="167"/>
    </row>
    <row r="2253" spans="15:15" x14ac:dyDescent="0.35">
      <c r="O2253" s="167"/>
    </row>
    <row r="2254" spans="15:15" x14ac:dyDescent="0.35">
      <c r="O2254" s="167"/>
    </row>
    <row r="2255" spans="15:15" x14ac:dyDescent="0.35">
      <c r="O2255" s="167"/>
    </row>
    <row r="2256" spans="15:15" x14ac:dyDescent="0.35">
      <c r="O2256" s="167"/>
    </row>
    <row r="2257" spans="15:15" x14ac:dyDescent="0.35">
      <c r="O2257" s="167"/>
    </row>
    <row r="2258" spans="15:15" x14ac:dyDescent="0.35">
      <c r="O2258" s="167"/>
    </row>
    <row r="2259" spans="15:15" x14ac:dyDescent="0.35">
      <c r="O2259" s="167"/>
    </row>
    <row r="2260" spans="15:15" x14ac:dyDescent="0.35">
      <c r="O2260" s="167"/>
    </row>
    <row r="2261" spans="15:15" x14ac:dyDescent="0.35">
      <c r="O2261" s="167"/>
    </row>
    <row r="2262" spans="15:15" x14ac:dyDescent="0.35">
      <c r="O2262" s="167"/>
    </row>
    <row r="2263" spans="15:15" x14ac:dyDescent="0.35">
      <c r="O2263" s="167"/>
    </row>
    <row r="2264" spans="15:15" x14ac:dyDescent="0.35">
      <c r="O2264" s="167"/>
    </row>
    <row r="2265" spans="15:15" x14ac:dyDescent="0.35">
      <c r="O2265" s="167"/>
    </row>
    <row r="2266" spans="15:15" x14ac:dyDescent="0.35">
      <c r="O2266" s="167"/>
    </row>
    <row r="2267" spans="15:15" x14ac:dyDescent="0.35">
      <c r="O2267" s="167"/>
    </row>
    <row r="2268" spans="15:15" x14ac:dyDescent="0.35">
      <c r="O2268" s="167"/>
    </row>
    <row r="2269" spans="15:15" x14ac:dyDescent="0.35">
      <c r="O2269" s="167"/>
    </row>
    <row r="2270" spans="15:15" x14ac:dyDescent="0.35">
      <c r="O2270" s="167"/>
    </row>
    <row r="2271" spans="15:15" x14ac:dyDescent="0.35">
      <c r="O2271" s="167"/>
    </row>
    <row r="2272" spans="15:15" x14ac:dyDescent="0.35">
      <c r="O2272" s="167"/>
    </row>
    <row r="2273" spans="15:15" x14ac:dyDescent="0.35">
      <c r="O2273" s="167"/>
    </row>
    <row r="2274" spans="15:15" x14ac:dyDescent="0.35">
      <c r="O2274" s="167"/>
    </row>
    <row r="2275" spans="15:15" x14ac:dyDescent="0.35">
      <c r="O2275" s="167"/>
    </row>
    <row r="2276" spans="15:15" x14ac:dyDescent="0.35">
      <c r="O2276" s="167"/>
    </row>
    <row r="2277" spans="15:15" x14ac:dyDescent="0.35">
      <c r="O2277" s="167"/>
    </row>
    <row r="2278" spans="15:15" x14ac:dyDescent="0.35">
      <c r="O2278" s="167"/>
    </row>
    <row r="2279" spans="15:15" x14ac:dyDescent="0.35">
      <c r="O2279" s="167"/>
    </row>
    <row r="2280" spans="15:15" x14ac:dyDescent="0.35">
      <c r="O2280" s="167"/>
    </row>
    <row r="2281" spans="15:15" x14ac:dyDescent="0.35">
      <c r="O2281" s="167"/>
    </row>
    <row r="2282" spans="15:15" x14ac:dyDescent="0.35">
      <c r="O2282" s="167"/>
    </row>
    <row r="2283" spans="15:15" x14ac:dyDescent="0.35">
      <c r="O2283" s="167"/>
    </row>
    <row r="2284" spans="15:15" x14ac:dyDescent="0.35">
      <c r="O2284" s="167"/>
    </row>
    <row r="2285" spans="15:15" x14ac:dyDescent="0.35">
      <c r="O2285" s="167"/>
    </row>
    <row r="2286" spans="15:15" x14ac:dyDescent="0.35">
      <c r="O2286" s="167"/>
    </row>
    <row r="2287" spans="15:15" x14ac:dyDescent="0.35">
      <c r="O2287" s="167"/>
    </row>
    <row r="2288" spans="15:15" x14ac:dyDescent="0.35">
      <c r="O2288" s="167"/>
    </row>
    <row r="2289" spans="15:15" x14ac:dyDescent="0.35">
      <c r="O2289" s="167"/>
    </row>
    <row r="2290" spans="15:15" x14ac:dyDescent="0.35">
      <c r="O2290" s="167"/>
    </row>
    <row r="2291" spans="15:15" x14ac:dyDescent="0.35">
      <c r="O2291" s="167"/>
    </row>
    <row r="2292" spans="15:15" x14ac:dyDescent="0.35">
      <c r="O2292" s="167"/>
    </row>
    <row r="2293" spans="15:15" x14ac:dyDescent="0.35">
      <c r="O2293" s="167"/>
    </row>
    <row r="2294" spans="15:15" x14ac:dyDescent="0.35">
      <c r="O2294" s="167"/>
    </row>
    <row r="2295" spans="15:15" x14ac:dyDescent="0.35">
      <c r="O2295" s="167"/>
    </row>
    <row r="2296" spans="15:15" x14ac:dyDescent="0.35">
      <c r="O2296" s="167"/>
    </row>
    <row r="2297" spans="15:15" x14ac:dyDescent="0.35">
      <c r="O2297" s="167"/>
    </row>
    <row r="2298" spans="15:15" x14ac:dyDescent="0.35">
      <c r="O2298" s="167"/>
    </row>
    <row r="2299" spans="15:15" x14ac:dyDescent="0.35">
      <c r="O2299" s="167"/>
    </row>
    <row r="2300" spans="15:15" x14ac:dyDescent="0.35">
      <c r="O2300" s="167"/>
    </row>
    <row r="2301" spans="15:15" x14ac:dyDescent="0.35">
      <c r="O2301" s="167"/>
    </row>
    <row r="2302" spans="15:15" x14ac:dyDescent="0.35">
      <c r="O2302" s="167"/>
    </row>
    <row r="2303" spans="15:15" x14ac:dyDescent="0.35">
      <c r="O2303" s="167"/>
    </row>
    <row r="2304" spans="15:15" x14ac:dyDescent="0.35">
      <c r="O2304" s="167"/>
    </row>
    <row r="2305" spans="15:15" x14ac:dyDescent="0.35">
      <c r="O2305" s="167"/>
    </row>
    <row r="2306" spans="15:15" x14ac:dyDescent="0.35">
      <c r="O2306" s="167"/>
    </row>
    <row r="2307" spans="15:15" x14ac:dyDescent="0.35">
      <c r="O2307" s="167"/>
    </row>
    <row r="2308" spans="15:15" x14ac:dyDescent="0.35">
      <c r="O2308" s="167"/>
    </row>
    <row r="2309" spans="15:15" x14ac:dyDescent="0.35">
      <c r="O2309" s="167"/>
    </row>
    <row r="2310" spans="15:15" x14ac:dyDescent="0.35">
      <c r="O2310" s="167"/>
    </row>
    <row r="2311" spans="15:15" x14ac:dyDescent="0.35">
      <c r="O2311" s="167"/>
    </row>
    <row r="2312" spans="15:15" x14ac:dyDescent="0.35">
      <c r="O2312" s="167"/>
    </row>
    <row r="2313" spans="15:15" x14ac:dyDescent="0.35">
      <c r="O2313" s="167"/>
    </row>
  </sheetData>
  <dataValidations count="15">
    <dataValidation type="date" allowBlank="1" showInputMessage="1" showErrorMessage="1" sqref="AA118:AA125 AA197 AA219 AA223 AA160 AA302:AA303 AA325:AA326 AA319:AA322 AA341 AA484:AA485 AA362:AA363 V258 AA384 AA391 AA409:AA414 AA417:AA418 AA420 AA427:AA429 AA423 AA452:AA453 AA460 AA462:AA464 AA458 AA455 AA471 AA474:AA475 AA477:AA482 AA493:AA494 AA497:AA498 AA502 AA506 AA511 AA525:AA540 AA544:AA545 V1:V256 AA553:AA559 AA562 AA564:AA567 AA572 AA576 AA580 AA596:AA597 AA607 AA603 O625 AA664 AA675:AA679 O635:O636 AA693:AA694 AA682:AA690 AA710:AA711 AA700:AA705 AA713:AA714 AA721 AA624:AA628 AA779 AA740 AA771:AA776 AA834 AA1294 AA1286 AA1290 AA785 AA794:AA796 AA781 AA802:AA811 AA760:AA769 AA942:AA944 AA1268:AA1272 AA1277 AA844:AA849 AA838 AA840:AA841 AA880:AA881 O893 AA893 AA902 AA1275 AA985 AA979:AA982 AA987 AA989 AA1133 A1268:A1048576 V1268:V1048576 V260:V827 A1:A1257 V829:V1257" xr:uid="{826C43B5-5243-49E7-830C-A3160AD7DFE6}">
      <formula1>46082</formula1>
      <formula2>46477</formula2>
    </dataValidation>
    <dataValidation type="date" allowBlank="1" showInputMessage="1" showErrorMessage="1" sqref="AA342:AA361 AA161:AA196 AA220:AA222 AA126:AA159 AA224:AA256 AA198:AA218 AA304:AA318 AA323:AA324 AA1:AA117 AA327:AA340 AA258 AA364:AA383 AA385:AA390 AA392:AA408 AA415:AA416 AA419 AA421:AA422 AA424:AA426 AA512:AA524 AA456:AA457 AA461 AA459 AA454 AA465:AA470 AA430:AA451 AA476 AA483 AA495:AA496 AA472:AA473 AA503:AA505 AA507:AA510 AA499:AA501 AA260:AA301 AA541:AA543 AA560:AA561 AA563 AA568:AA571 AA573:AA575 AA577:AA579 AA581:AA595 AA546:AA552 AA598:AA602 AA604:AA606 AA608:AA623 AA629:AA663 AA665:AA674 AA680:AA681 AA691:AA692 AA486:AA492 AA712 AA715:AA720 AA706:AA709 AA695:AA699 AA1291:AA1293 AA767:AA770 AA777:AA778 AA894:AA901 AA1287:AA1289 AA782:AA784 AA786:AA793 AA780 AA796:AA801 AA903:AA941 AA1276 AA842:AA843 AA839 AA850:AA879 AA722:AA765 AA882:AA892 AA1278:AA1285 AA1273:AA1274 AA945:AA978 AA983:AA984 AA986 AA988 AA1295:AA1048576 AA990:AA1132 AA812:AA837 AA1134:AA1257" xr:uid="{7AA3E9C4-BB49-4554-AB43-B1A9E618BF0F}">
      <formula1>46113</formula1>
      <formula2>46507</formula2>
    </dataValidation>
    <dataValidation type="list" allowBlank="1" showInputMessage="1" showErrorMessage="1" sqref="AE313:AE348 AE353:AE370 AE351 AE1:AE311 AE373:AE679 AE1285:AE1294 AE1268:AE1278 AE1377:AE1388 AE681:AE1266" xr:uid="{80CD3C48-FF35-4214-9AE4-050895E0B163}">
      <formula1>"Dine-in, Takeaway-Bulk-Insti"</formula1>
    </dataValidation>
    <dataValidation type="list" allowBlank="1" showInputMessage="1" showErrorMessage="1" sqref="AC2:AC679 AC1285:AC1294 AC681:AC822 AC1268:AC1278 AC935:AC1039 AC1377:AC1388 AC824:AC931 AC1041:AC1266" xr:uid="{15037F83-37DD-4BFD-969E-250F4D8765B9}">
      <formula1>"Yes, No, Partial"</formula1>
    </dataValidation>
    <dataValidation type="date" allowBlank="1" showInputMessage="1" showErrorMessage="1" sqref="O626:O634 O1:O624 O1268:O1048576 V828 AH1040 O637:O892 O894:O1257" xr:uid="{00220591-8E99-45B6-A79B-FFDF42820E00}">
      <formula1>46143</formula1>
      <formula2>46477</formula2>
    </dataValidation>
    <dataValidation type="list" allowBlank="1" showInputMessage="1" showErrorMessage="1" sqref="E1268:E1048576 E1:E1257" xr:uid="{C6A3121C-11CD-4EB1-B065-044135B2AA21}">
      <formula1>"F2F, Call"</formula1>
    </dataValidation>
    <dataValidation type="list" allowBlank="1" showInputMessage="1" showErrorMessage="1" sqref="F1268:F1048576 F1:F1257" xr:uid="{24B452B1-EDAB-4572-BA73-6FF4D45709D4}">
      <formula1>"Aggregator, Bulk Order, ODC, Gifting, Corporate"</formula1>
    </dataValidation>
    <dataValidation type="list" allowBlank="1" showInputMessage="1" showErrorMessage="1" sqref="H1268:H1048576 H1:H1257" xr:uid="{6AACD427-0F77-4289-9640-C9F5A65F8561}">
      <formula1>"Bulk Order, Pop Up Counter, ODC"</formula1>
    </dataValidation>
    <dataValidation type="list" allowBlank="1" showInputMessage="1" showErrorMessage="1" sqref="I1268:I1048576 I1:I1257" xr:uid="{01781D45-E622-45FD-B60D-AF4E558B4DC3}">
      <formula1>"New, Repeat"</formula1>
    </dataValidation>
    <dataValidation type="list" allowBlank="1" showInputMessage="1" showErrorMessage="1" sqref="C1268:C1048576 C1:C1257" xr:uid="{84239CD3-87D4-4F40-AEE6-A3DDE516F7A4}">
      <formula1>"Hyderabad, Chennai, Bangalore, RO TS, RO AP, NCR"</formula1>
    </dataValidation>
    <dataValidation type="list" allowBlank="1" showInputMessage="1" showErrorMessage="1" sqref="S1268:S1048576 AL1040 S1:S1257" xr:uid="{BE1C002C-E00E-446C-B5C3-00F66F0F21C0}">
      <formula1>"Hot, Warm, Cold"</formula1>
    </dataValidation>
    <dataValidation type="list" allowBlank="1" showInputMessage="1" showErrorMessage="1" sqref="Y1268:Y1048576 Y1:Y1257" xr:uid="{AD73B54C-C8CF-4FB0-9EE9-5BBA0B6D9B7A}">
      <formula1>"Received at Store, Pending, Received at HO"</formula1>
    </dataValidation>
    <dataValidation type="list" allowBlank="1" showInputMessage="1" showErrorMessage="1" sqref="P1268:P1048576 AI1040 P2:P1257" xr:uid="{93B6A897-F7CA-40CC-B3BA-0AB1EB9FE5FB}">
      <formula1>"Call, F2F, Proposal to Send, Paymnet Follow Up, Reorder Check"</formula1>
    </dataValidation>
    <dataValidation type="list" allowBlank="1" showInputMessage="1" showErrorMessage="1" sqref="N1268:N1048576 AG1040 N1:N1257" xr:uid="{26D6062B-FD6F-40DF-8561-4795BD518D48}">
      <formula1>"Introduction( C0 ), Follow-up( C1 ), Negotitaion( C2 ), Confirmed( C3 ),Closed(C4), Cancelled"</formula1>
    </dataValidation>
    <dataValidation type="list" allowBlank="1" showInputMessage="1" showErrorMessage="1" sqref="B2:B1048576" xr:uid="{A508D549-E3FA-4A31-A076-ECBF998A0A1B}">
      <formula1>"Bashab, Sameer, Vishwanath, Pradeep,Anushikha"</formula1>
    </dataValidation>
  </dataValidations>
  <hyperlinks>
    <hyperlink ref="D494" r:id="rId1" xr:uid="{EFE8C1BA-1646-4DC2-9755-9600AD0A0D8C}"/>
  </hyperlinks>
  <pageMargins left="0.7" right="0.7" top="0.75" bottom="0.75" header="0.3" footer="0.3"/>
  <pageSetup orientation="portrait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73306DE-3F47-4A1B-B7D8-35E8DC3226A1}">
          <x14:formula1>
            <xm:f>Target!$A$22:$A$27</xm:f>
          </x14:formula1>
          <xm:sqref>G1:G189 F205 G191:G204 G206:G462 G464:G501 G1268:G1048576 G503:G810 Z1040 G812:G1087 G1089:G1257</xm:sqref>
        </x14:dataValidation>
        <x14:dataValidation type="list" allowBlank="1" showInputMessage="1" showErrorMessage="1" xr:uid="{38C435DD-D892-40F4-8E3D-C40F49062F8D}">
          <x14:formula1>
            <xm:f>Sheet2!$C$4:$C$60</xm:f>
          </x14:formula1>
          <xm:sqref>X1:X462 X464:X501 X1268:X1048576 X503:X810 X812:X1257</xm:sqref>
        </x14:dataValidation>
        <x14:dataValidation type="list" allowBlank="1" showInputMessage="1" showErrorMessage="1" xr:uid="{9C466CA9-DA5A-43B2-8FDD-DA2EA5F3D5DD}">
          <x14:formula1>
            <xm:f>Sheet2!$E$4:$E$35</xm:f>
          </x14:formula1>
          <xm:sqref>J1:J428 J430:J462 J464:J501 J1268:J1048576 J503:J810 AC1040 J812:J1257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BDEF5-62A4-4EDF-9568-70452C12F252}">
  <sheetPr codeName="Sheet2"/>
  <dimension ref="A1:X97"/>
  <sheetViews>
    <sheetView showGridLines="0" zoomScale="80" zoomScaleNormal="80" workbookViewId="0">
      <selection activeCell="C16" sqref="C16"/>
    </sheetView>
  </sheetViews>
  <sheetFormatPr defaultColWidth="8.81640625" defaultRowHeight="14.5" x14ac:dyDescent="0.35"/>
  <cols>
    <col min="1" max="1" width="18.453125" customWidth="1"/>
    <col min="2" max="2" width="14.81640625" customWidth="1"/>
    <col min="3" max="3" width="17" customWidth="1"/>
    <col min="4" max="4" width="20.81640625" customWidth="1"/>
    <col min="5" max="5" width="14.1796875" customWidth="1"/>
    <col min="6" max="6" width="10.54296875" customWidth="1"/>
    <col min="7" max="7" width="16.54296875" customWidth="1"/>
    <col min="8" max="8" width="14.54296875" customWidth="1"/>
    <col min="9" max="9" width="21" customWidth="1"/>
    <col min="10" max="10" width="16.1796875" customWidth="1"/>
    <col min="11" max="11" width="18.1796875" customWidth="1"/>
    <col min="12" max="13" width="12.54296875" bestFit="1" customWidth="1"/>
  </cols>
  <sheetData>
    <row r="1" spans="1:24" ht="16.5" x14ac:dyDescent="0.45">
      <c r="A1" s="16"/>
      <c r="B1" s="16"/>
      <c r="C1" s="16"/>
      <c r="D1" s="16"/>
      <c r="E1" s="16"/>
      <c r="F1" s="16"/>
      <c r="G1" s="16"/>
      <c r="H1" s="16"/>
      <c r="I1" s="16"/>
      <c r="J1" s="16"/>
      <c r="K1" s="27" t="s">
        <v>1899</v>
      </c>
      <c r="L1" s="182">
        <v>46113</v>
      </c>
      <c r="M1" s="17"/>
    </row>
    <row r="2" spans="1:24" ht="25" x14ac:dyDescent="0.7">
      <c r="A2" s="220" t="s">
        <v>1900</v>
      </c>
      <c r="B2" s="220"/>
      <c r="C2" s="220"/>
      <c r="D2" s="220"/>
      <c r="E2" s="220"/>
      <c r="F2" s="220"/>
      <c r="G2" s="220"/>
      <c r="H2" s="220"/>
      <c r="I2" s="220"/>
      <c r="J2" s="220"/>
      <c r="K2" s="221"/>
      <c r="L2" s="28" t="s">
        <v>24</v>
      </c>
      <c r="M2" s="17"/>
      <c r="W2" s="79">
        <v>46113</v>
      </c>
      <c r="X2" t="str">
        <f>TEXT(W2,"MMM-YY")</f>
        <v>Apr-26</v>
      </c>
    </row>
    <row r="3" spans="1:24" ht="16.5" x14ac:dyDescent="0.45">
      <c r="A3" s="222" t="str">
        <f>"DASHBOARD  |  BUSINESS ANALYSIS  |  SALES TRACKER FOR"&amp;"  "&amp;L2</f>
        <v>DASHBOARD  |  BUSINESS ANALYSIS  |  SALES TRACKER FOR  Oct-26</v>
      </c>
      <c r="B3" s="222"/>
      <c r="C3" s="222"/>
      <c r="D3" s="222"/>
      <c r="E3" s="222"/>
      <c r="F3" s="222"/>
      <c r="G3" s="222"/>
      <c r="H3" s="222"/>
      <c r="I3" s="222"/>
      <c r="J3" s="222"/>
      <c r="K3" s="223"/>
      <c r="L3" s="187">
        <f>VALUE(DATEDIF(L1,L2,"m")+1)</f>
        <v>7</v>
      </c>
      <c r="M3" s="17"/>
      <c r="W3" s="79">
        <v>46143</v>
      </c>
      <c r="X3" t="str">
        <f t="shared" ref="X3" si="0">TEXT(W3,"MMM-YY")</f>
        <v>May-26</v>
      </c>
    </row>
    <row r="4" spans="1:24" ht="17.5" x14ac:dyDescent="0.45">
      <c r="A4" s="224" t="str">
        <f>"📊 "&amp;L2&amp;"  |  Achievement: "&amp;TEXT(E18,"0%")&amp;" (Actual)  "&amp;TEXT(E27,"0%")&amp;" (Confirmed)  |  Hot Leads: "&amp;TEXT(E7,"0")&amp;"  |  Payment Collected: "&amp;TEXT(G7,"0%")&amp;"  |  Pipeline: ₹"&amp;TEXT(D53/100000,"0.0")&amp;"L"</f>
        <v>📊 Oct-26  |  Achievement: 82% (Actual)  108% (Confirmed)  |  Hot Leads: 51 Hot  |  Payment Collected: 72%  |  Pipeline: ₹71.4L</v>
      </c>
      <c r="B4" s="224"/>
      <c r="C4" s="224"/>
      <c r="D4" s="224"/>
      <c r="E4" s="224"/>
      <c r="F4" s="224"/>
      <c r="G4" s="224"/>
      <c r="H4" s="224"/>
      <c r="I4" s="224"/>
      <c r="J4" s="224"/>
      <c r="K4" s="225"/>
      <c r="L4" s="16"/>
      <c r="M4" s="16"/>
      <c r="W4" s="79">
        <v>46174</v>
      </c>
      <c r="X4" t="str">
        <f t="shared" ref="X4" si="1">TEXT(W4,"MMM-YY")</f>
        <v>Jun-26</v>
      </c>
    </row>
    <row r="5" spans="1:24" ht="16.5" x14ac:dyDescent="0.45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W5" s="79">
        <v>46204</v>
      </c>
      <c r="X5" t="str">
        <f t="shared" ref="X5:X13" si="2">TEXT(W5,"MMM-YY")</f>
        <v>Jul-26</v>
      </c>
    </row>
    <row r="6" spans="1:24" ht="16.5" x14ac:dyDescent="0.45">
      <c r="A6" s="38" t="s">
        <v>1901</v>
      </c>
      <c r="B6" s="39"/>
      <c r="C6" s="42" t="s">
        <v>1902</v>
      </c>
      <c r="D6" s="43"/>
      <c r="E6" s="46" t="s">
        <v>1903</v>
      </c>
      <c r="F6" s="47"/>
      <c r="G6" s="42" t="s">
        <v>1904</v>
      </c>
      <c r="H6" s="43"/>
      <c r="I6" s="186" t="s">
        <v>1905</v>
      </c>
      <c r="J6" s="38" t="s">
        <v>1906</v>
      </c>
      <c r="K6" s="39"/>
      <c r="L6" s="181"/>
      <c r="M6" s="16"/>
      <c r="W6" s="79">
        <v>46235</v>
      </c>
      <c r="X6" t="str">
        <f t="shared" si="2"/>
        <v>Aug-26</v>
      </c>
    </row>
    <row r="7" spans="1:24" ht="39.5" x14ac:dyDescent="0.45">
      <c r="A7" s="119">
        <f>SUMIFS(DCR!$U:$U,DCR!$AB:$AB,$L$2)</f>
        <v>4669357</v>
      </c>
      <c r="B7" s="40"/>
      <c r="C7" s="180">
        <f>SUMIFS(DCR!$T:$T,DCR!$AB:$AB,$L$2)</f>
        <v>7192000</v>
      </c>
      <c r="D7" s="44"/>
      <c r="E7" s="121" t="str">
        <f>COUNTIFS(DCR!$AB:$AB,$L$2,DCR!$S:$S,"Hot")&amp;" Hot"</f>
        <v>51 Hot</v>
      </c>
      <c r="F7" s="48"/>
      <c r="G7" s="129">
        <f>H27</f>
        <v>0.72168708923073499</v>
      </c>
      <c r="H7" s="44"/>
      <c r="I7" s="184">
        <f>J7/L3</f>
        <v>6447734.25</v>
      </c>
      <c r="J7" s="226">
        <f>SUM(DCR!$U:$U)</f>
        <v>45134139.75</v>
      </c>
      <c r="K7" s="227"/>
      <c r="L7" s="183"/>
      <c r="M7" s="16"/>
      <c r="W7" s="79">
        <v>46266</v>
      </c>
      <c r="X7" t="str">
        <f t="shared" si="2"/>
        <v>Sep-26</v>
      </c>
    </row>
    <row r="8" spans="1:24" ht="16.5" x14ac:dyDescent="0.45">
      <c r="A8" s="84" t="str">
        <f>COUNTIFS(DCR!$U:$U,"&gt;0",DCR!$AB:$AB,$L$2)&amp;" transactions"</f>
        <v>23 transactions</v>
      </c>
      <c r="B8" s="41"/>
      <c r="C8" s="120" t="str">
        <f>IFERROR(TEXT(A7/C7,"0%")&amp;" Conversion Rate","0% Conversion Rate")</f>
        <v>65% Conversion Rate</v>
      </c>
      <c r="D8" s="45"/>
      <c r="E8" s="83" t="str">
        <f>"Warm: "&amp;COUNTIFS(DCR!AB:AB,L2,DCR!S:S,"Warm")&amp;" | Cold: "&amp;COUNTIFS(DCR!AB:AB,L2,DCR!S:S,"Cold")</f>
        <v>Warm: 25 | Cold: 1</v>
      </c>
      <c r="F8" s="49"/>
      <c r="G8" s="120" t="str">
        <f>CONCATENATE(H21,"  ",ROUNDUP(H27,3)*100,"%  and ",I21,"  ",ROUNDUP(I27,3)*100,"%")</f>
        <v>Oct-26  72.2%  and Sep-26  60.2%</v>
      </c>
      <c r="H8" s="45"/>
      <c r="I8" s="185" t="str">
        <f>ROUNDUP(COUNTIF(DCR!$U:$U,"&gt;0")/L3,0) &amp;" transactions"</f>
        <v>78 transactions</v>
      </c>
      <c r="J8" s="228" t="str">
        <f>COUNTIF(DCR!$U:$U,"&gt;0")&amp;" transactions"</f>
        <v>542 transactions</v>
      </c>
      <c r="K8" s="229"/>
      <c r="L8" s="16"/>
      <c r="M8" s="16"/>
      <c r="W8" s="79">
        <v>46296</v>
      </c>
      <c r="X8" t="str">
        <f t="shared" si="2"/>
        <v>Oct-26</v>
      </c>
    </row>
    <row r="9" spans="1:24" ht="16.5" x14ac:dyDescent="0.45">
      <c r="A9" s="18"/>
      <c r="B9" s="19"/>
      <c r="C9" s="20"/>
      <c r="D9" s="19"/>
      <c r="E9" s="21"/>
      <c r="F9" s="19"/>
      <c r="G9" s="20"/>
      <c r="H9" s="19"/>
      <c r="I9" s="21"/>
      <c r="J9" s="18"/>
      <c r="K9" s="19"/>
      <c r="L9" s="16"/>
      <c r="M9" s="16"/>
      <c r="W9" s="79">
        <v>46327</v>
      </c>
      <c r="X9" t="str">
        <f t="shared" si="2"/>
        <v>Nov-26</v>
      </c>
    </row>
    <row r="10" spans="1:24" ht="16.5" x14ac:dyDescent="0.45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W10" s="79">
        <v>46357</v>
      </c>
      <c r="X10" t="str">
        <f t="shared" si="2"/>
        <v>Dec-26</v>
      </c>
    </row>
    <row r="11" spans="1:24" ht="17.5" x14ac:dyDescent="0.45">
      <c r="A11" s="75" t="s">
        <v>1907</v>
      </c>
      <c r="B11" s="75"/>
      <c r="C11" s="75"/>
      <c r="D11" s="75"/>
      <c r="E11" s="75"/>
      <c r="F11" s="17"/>
      <c r="G11" s="75" t="s">
        <v>1908</v>
      </c>
      <c r="H11" s="75"/>
      <c r="I11" s="75"/>
      <c r="J11" s="75"/>
      <c r="K11" s="75"/>
      <c r="L11" s="16"/>
      <c r="M11" s="16"/>
      <c r="W11" s="79">
        <v>46388</v>
      </c>
      <c r="X11" t="str">
        <f t="shared" si="2"/>
        <v>Jan-27</v>
      </c>
    </row>
    <row r="12" spans="1:24" ht="27.75" customHeight="1" x14ac:dyDescent="0.45">
      <c r="A12" s="140" t="s">
        <v>1909</v>
      </c>
      <c r="B12" s="140" t="str">
        <f>"Target ("&amp;$L$2&amp;")"</f>
        <v>Target (Oct-26)</v>
      </c>
      <c r="C12" s="140" t="str">
        <f>"Actual ("&amp;$L$2&amp;")"</f>
        <v>Actual (Oct-26)</v>
      </c>
      <c r="D12" s="140" t="s">
        <v>1910</v>
      </c>
      <c r="E12" s="140" t="s">
        <v>1911</v>
      </c>
      <c r="F12" s="17"/>
      <c r="G12" s="140" t="s">
        <v>1909</v>
      </c>
      <c r="H12" s="140" t="str">
        <f>L2</f>
        <v>Oct-26</v>
      </c>
      <c r="I12" s="140" t="str">
        <f>TEXT(H12-30,"MMM-YY")</f>
        <v>Sep-26</v>
      </c>
      <c r="J12" s="140" t="str">
        <f>TEXT(I12-28,"MMM-YY")</f>
        <v>Aug-26</v>
      </c>
      <c r="K12" s="140" t="s">
        <v>1912</v>
      </c>
      <c r="L12" s="16"/>
      <c r="M12" s="16"/>
      <c r="W12" s="79">
        <v>46419</v>
      </c>
      <c r="X12" t="str">
        <f t="shared" si="2"/>
        <v>Feb-27</v>
      </c>
    </row>
    <row r="13" spans="1:24" ht="16.5" x14ac:dyDescent="0.45">
      <c r="A13" s="65" t="s">
        <v>1913</v>
      </c>
      <c r="B13" s="62" cm="1">
        <f t="array" ref="B13">SUMPRODUCT((Target!$D$3:$R$6)*(Target!$A$3:$A$6="Sameer")*(Target!$D$2:$R$2=Dashboard!$L$2))+B16+B17</f>
        <v>3362343.8623408563</v>
      </c>
      <c r="C13" s="62" cm="1">
        <f t="array" ref="C13">SUMPRODUCT((Target!$D$13:$R$16)*(Target!$A$13:$A$16="Sameer")*(Target!$D$2:$R$2=Dashboard!$L$2))+C16+C17</f>
        <v>4113080</v>
      </c>
      <c r="D13" s="62">
        <f t="shared" ref="D13:D18" si="3">C13-B13</f>
        <v>750736.13765914366</v>
      </c>
      <c r="E13" s="68">
        <f t="shared" ref="E13:E18" si="4">IF(B13=0,"N/A",C13/B13)</f>
        <v>1.2232776207298688</v>
      </c>
      <c r="F13" s="17"/>
      <c r="G13" s="65" t="s">
        <v>1913</v>
      </c>
      <c r="H13" s="62" cm="1">
        <f t="array" ref="H13">SUMPRODUCT((Target!$D$13:$R$16)*(Target!$A$13:$A$16="Sameer")*(Target!$D$2:$R$2=Dashboard!H$12))</f>
        <v>3027675</v>
      </c>
      <c r="I13" s="62" cm="1">
        <f t="array" ref="I13">SUMPRODUCT((Target!$D$13:$R$16)*(Target!$A$13:$A$16="Sameer")*(Target!$D$2:$R$2=Dashboard!I$12))</f>
        <v>869793</v>
      </c>
      <c r="J13" s="62" cm="1">
        <f t="array" ref="J13">SUMPRODUCT((Target!$D$13:$R$16)*(Target!$A$13:$A$16="Sameer")*(Target!$D$2:$R$2=Dashboard!J$12))</f>
        <v>1703572</v>
      </c>
      <c r="K13" s="71">
        <f>H13+I13+J13</f>
        <v>5601040</v>
      </c>
      <c r="L13" s="16"/>
      <c r="M13" s="16"/>
      <c r="W13" s="79">
        <v>46447</v>
      </c>
      <c r="X13" t="str">
        <f t="shared" si="2"/>
        <v>Mar-27</v>
      </c>
    </row>
    <row r="14" spans="1:24" ht="16.5" x14ac:dyDescent="0.45">
      <c r="A14" s="66" t="s">
        <v>1914</v>
      </c>
      <c r="B14" s="63" cm="1">
        <f t="array" ref="B14">SUMPRODUCT((Target!$D$3:$R$6)*(Target!$A$3:$A$6="Bashab")*(Target!$D$2:$R$2=Dashboard!$L$2))+B15</f>
        <v>2363035.2040364584</v>
      </c>
      <c r="C14" s="63" cm="1">
        <f t="array" ref="C14">SUMPRODUCT((Target!$D$13:$R$16)*(Target!$A$13:$A$16="Bashab")*(Target!$D$2:$R$2=Dashboard!$L$2))+C15</f>
        <v>556277</v>
      </c>
      <c r="D14" s="63">
        <f t="shared" si="3"/>
        <v>-1806758.2040364584</v>
      </c>
      <c r="E14" s="69">
        <f t="shared" si="4"/>
        <v>0.23540783440288407</v>
      </c>
      <c r="F14" s="17"/>
      <c r="G14" s="66" t="s">
        <v>1914</v>
      </c>
      <c r="H14" s="63" cm="1">
        <f t="array" ref="H14">SUMPRODUCT((Target!$D$13:$R$16)*(Target!$A$13:$A$16="Bashab")*(Target!$D$2:$R$2=Dashboard!H$12))</f>
        <v>556277</v>
      </c>
      <c r="I14" s="63" cm="1">
        <f t="array" ref="I14">SUMPRODUCT((Target!$D$13:$R$16)*(Target!$A$13:$A$16="Bashab")*(Target!$D$2:$R$2=Dashboard!I$12))</f>
        <v>1936638</v>
      </c>
      <c r="J14" s="63" cm="1">
        <f t="array" ref="J14">SUMPRODUCT((Target!$D$13:$R$16)*(Target!$A$13:$A$16="Bashab")*(Target!$D$2:$R$2=Dashboard!J$12))</f>
        <v>1304315</v>
      </c>
      <c r="K14" s="72">
        <f>H14+I14+J14</f>
        <v>3797230</v>
      </c>
      <c r="L14" s="16"/>
      <c r="M14" s="16"/>
      <c r="W14" s="79"/>
    </row>
    <row r="15" spans="1:24" ht="16.5" x14ac:dyDescent="0.45">
      <c r="A15" s="65" t="s">
        <v>1915</v>
      </c>
      <c r="B15" s="62" cm="1">
        <f t="array" ref="B15">SUMPRODUCT((Target!$D$3:$R$6)*(Target!$A$3:$A$6="Vishwanath")*(Target!$D$2:$R$2=Dashboard!$L$2))</f>
        <v>711284.5861111111</v>
      </c>
      <c r="C15" s="62" cm="1">
        <f t="array" ref="C15">SUMPRODUCT((Target!$D$13:$R$16)*(Target!$A$13:$A$16="Vishwanath")*(Target!$D$2:$R$2=Dashboard!$L$2))</f>
        <v>0</v>
      </c>
      <c r="D15" s="62">
        <f t="shared" si="3"/>
        <v>-711284.5861111111</v>
      </c>
      <c r="E15" s="68">
        <f t="shared" si="4"/>
        <v>0</v>
      </c>
      <c r="F15" s="17"/>
      <c r="G15" s="65" t="s">
        <v>1915</v>
      </c>
      <c r="H15" s="62" cm="1">
        <f t="array" ref="H15">SUMPRODUCT((Target!$D$13:$R$16)*(Target!$A$13:$A$16="Vishwanath")*(Target!$D$2:$R$2=Dashboard!H$12))</f>
        <v>0</v>
      </c>
      <c r="I15" s="62" cm="1">
        <f t="array" ref="I15">SUMPRODUCT((Target!$D$13:$R$16)*(Target!$A$13:$A$16="Vishwanath")*(Target!$D$2:$R$2=Dashboard!I$12))</f>
        <v>726762</v>
      </c>
      <c r="J15" s="62" cm="1">
        <f t="array" ref="J15">SUMPRODUCT((Target!$D$13:$R$16)*(Target!$A$13:$A$16="Manohar")*(Target!$D$2:$R$2=Dashboard!J$12))</f>
        <v>0</v>
      </c>
      <c r="K15" s="71">
        <f>H15+I15+J15</f>
        <v>726762</v>
      </c>
      <c r="L15" s="16"/>
      <c r="M15" s="16"/>
      <c r="W15" s="79"/>
    </row>
    <row r="16" spans="1:24" ht="16.5" x14ac:dyDescent="0.45">
      <c r="A16" s="66" t="s">
        <v>1916</v>
      </c>
      <c r="B16" s="63" cm="1">
        <f t="array" ref="B16">SUMPRODUCT((Target!$D$3:$R$6)*(Target!$A$3:$A$6="Pradeep")*(Target!$D$2:$R$2=Dashboard!$L$2))</f>
        <v>711284.5861111111</v>
      </c>
      <c r="C16" s="63" cm="1">
        <f t="array" ref="C16">SUMPRODUCT((Target!$D$13:$R$16)*(Target!$A$13:$A$16="Pradeep")*(Target!$D$2:$R$2=Dashboard!$L$2))</f>
        <v>735535</v>
      </c>
      <c r="D16" s="63">
        <f t="shared" si="3"/>
        <v>24250.413888888899</v>
      </c>
      <c r="E16" s="69">
        <f t="shared" si="4"/>
        <v>1.0340938273686993</v>
      </c>
      <c r="F16" s="17"/>
      <c r="G16" s="66" t="s">
        <v>1916</v>
      </c>
      <c r="H16" s="63" cm="1">
        <f t="array" ref="H16">SUMPRODUCT((Target!$D$13:$R$16)*(Target!$A$13:$A$16="Pradeep")*(Target!$D$2:$R$2=Dashboard!H$12))</f>
        <v>735535</v>
      </c>
      <c r="I16" s="63" cm="1">
        <f t="array" ref="I16">SUMPRODUCT((Target!$D$13:$R$16)*(Target!$A$13:$A$16="Pradeep")*(Target!$D$2:$R$2=Dashboard!I$12))</f>
        <v>750607</v>
      </c>
      <c r="J16" s="63" cm="1">
        <f t="array" ref="J16">SUMPRODUCT((Target!$D$13:$R$16)*(Target!$A$13:$A$16="Pradeep")*(Target!$D$2:$R$2=Dashboard!J$12))</f>
        <v>919338</v>
      </c>
      <c r="K16" s="72">
        <f>H16+I16+J16</f>
        <v>2405480</v>
      </c>
      <c r="L16" s="16"/>
      <c r="M16" s="16"/>
      <c r="W16" s="79"/>
    </row>
    <row r="17" spans="1:23" ht="16.5" x14ac:dyDescent="0.45">
      <c r="A17" s="65" t="s">
        <v>1917</v>
      </c>
      <c r="B17" s="62" cm="1">
        <f t="array" ref="B17">SUMPRODUCT((Target!$D$3:$R$8)*(Target!$A$3:$A$8="Anushikha")*(Target!$D$2:$R$2=Dashboard!$L$2))</f>
        <v>711284.5861111111</v>
      </c>
      <c r="C17" s="62" cm="1">
        <f t="array" ref="C17">SUMPRODUCT((Target!$D$13:$R$18)*(Target!$A$13:$A$18="Anushikha")*(Target!$D$2:$R$2=Dashboard!$L$2))</f>
        <v>349870</v>
      </c>
      <c r="D17" s="62">
        <f t="shared" si="3"/>
        <v>-361414.5861111111</v>
      </c>
      <c r="E17" s="68">
        <f t="shared" si="4"/>
        <v>0.49188469261352186</v>
      </c>
      <c r="F17" s="17"/>
      <c r="G17" s="65" t="s">
        <v>1917</v>
      </c>
      <c r="H17" s="62" cm="1">
        <f t="array" ref="H17">SUMPRODUCT((Target!$D$13:$R$18)*(Target!$A$13:$A$18="Anushikha")*(Target!$D$2:$R$2=Dashboard!H$12))</f>
        <v>349870</v>
      </c>
      <c r="I17" s="62" cm="1">
        <f t="array" ref="I17">SUMPRODUCT((Target!$D$13:$R$18)*(Target!$A$13:$A$18="Anushikha")*(Target!$D$2:$R$2=Dashboard!I$12))</f>
        <v>63414</v>
      </c>
      <c r="J17" s="62" cm="1">
        <f t="array" ref="J17">SUMPRODUCT((Target!$D$13:$R$18)*(Target!$A$13:$A$18="Manohar")*(Target!$D$2:$R$2=Dashboard!J$12))</f>
        <v>0</v>
      </c>
      <c r="K17" s="71">
        <f>H17+I17+J17</f>
        <v>413284</v>
      </c>
      <c r="L17" s="16"/>
      <c r="M17" s="16"/>
      <c r="W17" s="79"/>
    </row>
    <row r="18" spans="1:23" ht="16.5" x14ac:dyDescent="0.45">
      <c r="A18" s="67" t="s">
        <v>1918</v>
      </c>
      <c r="B18" s="64">
        <f>SUM(B13:B17)-SUM(B15:B17)</f>
        <v>5725379.0663773157</v>
      </c>
      <c r="C18" s="64">
        <f>SUM(C13:C17)-SUM(C15:C17)</f>
        <v>4669357</v>
      </c>
      <c r="D18" s="64">
        <f t="shared" si="3"/>
        <v>-1056022.0663773157</v>
      </c>
      <c r="E18" s="70">
        <f t="shared" si="4"/>
        <v>0.81555420975025428</v>
      </c>
      <c r="F18" s="17"/>
      <c r="G18" s="67" t="s">
        <v>1918</v>
      </c>
      <c r="H18" s="64">
        <f>SUM(H13:H16)</f>
        <v>4319487</v>
      </c>
      <c r="I18" s="64">
        <f>SUM(I13:I16)</f>
        <v>4283800</v>
      </c>
      <c r="J18" s="64">
        <f>SUM(J13:J16)</f>
        <v>3927225</v>
      </c>
      <c r="K18" s="73">
        <f>SUM(K13:K16)</f>
        <v>12530512</v>
      </c>
      <c r="L18" s="16"/>
      <c r="M18" s="176"/>
      <c r="W18" s="79"/>
    </row>
    <row r="19" spans="1:23" ht="16.5" x14ac:dyDescent="0.45">
      <c r="A19" s="16"/>
      <c r="B19" s="16"/>
      <c r="C19" s="176"/>
      <c r="D19" s="16"/>
      <c r="E19" s="16"/>
      <c r="F19" s="16"/>
      <c r="G19" s="16"/>
      <c r="H19" s="16"/>
      <c r="I19" s="16"/>
      <c r="J19" s="16"/>
      <c r="K19" s="16"/>
      <c r="L19" s="16"/>
      <c r="M19" s="176"/>
      <c r="W19" s="79"/>
    </row>
    <row r="20" spans="1:23" ht="17.5" x14ac:dyDescent="0.45">
      <c r="A20" s="75" t="s">
        <v>1919</v>
      </c>
      <c r="B20" s="75"/>
      <c r="C20" s="75"/>
      <c r="D20" s="75"/>
      <c r="E20" s="75"/>
      <c r="G20" s="75" t="s">
        <v>1920</v>
      </c>
      <c r="H20" s="75"/>
      <c r="I20" s="75"/>
      <c r="J20" s="75"/>
      <c r="K20" s="75"/>
      <c r="L20" s="16"/>
      <c r="M20" s="16"/>
    </row>
    <row r="21" spans="1:23" ht="30" customHeight="1" x14ac:dyDescent="0.45">
      <c r="A21" s="140" t="s">
        <v>1909</v>
      </c>
      <c r="B21" s="140" t="str">
        <f>"Target ("&amp;$L$2&amp;")"</f>
        <v>Target (Oct-26)</v>
      </c>
      <c r="C21" s="140" t="str">
        <f>"Actual ("&amp;$L$2&amp;")"</f>
        <v>Actual (Oct-26)</v>
      </c>
      <c r="D21" s="140" t="s">
        <v>1910</v>
      </c>
      <c r="E21" s="140" t="s">
        <v>1911</v>
      </c>
      <c r="G21" s="140" t="s">
        <v>1909</v>
      </c>
      <c r="H21" s="140" t="str">
        <f>H12</f>
        <v>Oct-26</v>
      </c>
      <c r="I21" s="140" t="str">
        <f>I12</f>
        <v>Sep-26</v>
      </c>
      <c r="J21" s="140" t="str">
        <f>J12</f>
        <v>Aug-26</v>
      </c>
      <c r="K21" s="140" t="s">
        <v>1921</v>
      </c>
      <c r="L21" s="16"/>
      <c r="M21" s="16"/>
    </row>
    <row r="22" spans="1:23" ht="16.5" x14ac:dyDescent="0.45">
      <c r="A22" s="65" t="s">
        <v>1913</v>
      </c>
      <c r="B22" s="62" cm="1">
        <f t="array" ref="B22">SUMPRODUCT((Target!$D$3:$R$6)*(Target!$A$3:$A$6="Sameer")*(Target!$D$2:$R$2=Dashboard!$L$2))+B25+B26</f>
        <v>3362343.8623408563</v>
      </c>
      <c r="C22" s="62" cm="1">
        <f t="array" ref="C22">SUMPRODUCT((Target!$D$13:$R$16)*(Target!$A$13:$A$16="Sameer")*(Target!$D$2:$R$2=Dashboard!$L$2))+SUMIFS(DCR!$T:$T,DCR!$AB:$AB,Dashboard!$L$2,DCR!$B:$B,"*Sameer*",DCR!$N:$N,"*Confirm*")+C25</f>
        <v>4423210</v>
      </c>
      <c r="D22" s="62">
        <f t="shared" ref="D22:D27" si="5">C22-B22</f>
        <v>1060866.1376591437</v>
      </c>
      <c r="E22" s="68">
        <f t="shared" ref="E22:E27" si="6">IF(B22=0,"N/A",C22/B22)</f>
        <v>1.3155138739797336</v>
      </c>
      <c r="G22" s="65" t="s">
        <v>1913</v>
      </c>
      <c r="H22" s="116">
        <f>IFERROR(SUMIFS(DCR!$U:$U,DCR!$AB:$AB,Dashboard!H$21,DCR!$B:$B,"*Sameer*",DCR!$Y:$Y,"*Received*")/H13,"")</f>
        <v>1</v>
      </c>
      <c r="I22" s="116">
        <f>IFERROR(SUMIFS(DCR!$U:$U,DCR!$AB:$AB,Dashboard!I$21,DCR!$B:$B,"*Sameer*",DCR!$Y:$Y,"*Received*")/I13,"")</f>
        <v>0.49325529177631922</v>
      </c>
      <c r="J22" s="116">
        <f>IFERROR(SUMIFS(DCR!$U:$U,DCR!$AB:$AB,Dashboard!J$21,DCR!$B:$B,"*Sameer*",DCR!$Y:$Y,"*Received*")/J13,"")</f>
        <v>0.93489268431272643</v>
      </c>
      <c r="K22" s="68">
        <f>IFERROR(AVERAGE(H22:I22),"")</f>
        <v>0.74662764588815955</v>
      </c>
      <c r="L22" s="16"/>
      <c r="M22" s="16"/>
    </row>
    <row r="23" spans="1:23" ht="16.5" x14ac:dyDescent="0.45">
      <c r="A23" s="66" t="s">
        <v>1914</v>
      </c>
      <c r="B23" s="63" cm="1">
        <f t="array" ref="B23">SUMPRODUCT((Target!$D$3:$R$6)*(Target!$A$3:$A$6="Bashab")*(Target!$D$2:$R$2=Dashboard!$L$2))+B24</f>
        <v>2363035.2040364584</v>
      </c>
      <c r="C23" s="63" cm="1">
        <f t="array" ref="C23">SUMPRODUCT((Target!$D$13:$R$16)*(Target!$A$13:$A$16="Bashab")*(Target!$D$2:$R$2=Dashboard!$L$2))+SUMIFS(DCR!$T:$T,DCR!$AB:$AB,Dashboard!$L$2,DCR!$B:$B,"*Bashab*",DCR!$N:$N,"*Confirm*")+C24</f>
        <v>1736277</v>
      </c>
      <c r="D23" s="63">
        <f t="shared" si="5"/>
        <v>-626758.2040364584</v>
      </c>
      <c r="E23" s="69">
        <f t="shared" si="6"/>
        <v>0.73476560866894791</v>
      </c>
      <c r="G23" s="66" t="s">
        <v>1914</v>
      </c>
      <c r="H23" s="117">
        <f>IFERROR(SUMIFS(DCR!$U:$U,DCR!$AB:$AB,Dashboard!H$21,DCR!$B:$B,"*Bashab*",DCR!$Y:$Y,"*Received*")/H14,"")</f>
        <v>0</v>
      </c>
      <c r="I23" s="117">
        <f>IFERROR(SUMIFS(DCR!$U:$U,DCR!$AB:$AB,Dashboard!I$21,DCR!$B:$B,"*Bashab*",DCR!$Y:$Y,"*Received*")/I14,"")</f>
        <v>0.67852226384073844</v>
      </c>
      <c r="J23" s="117">
        <f>IFERROR(SUMIFS(DCR!$U:$U,DCR!$AB:$AB,Dashboard!J$21,DCR!$B:$B,"*Bashab*",DCR!$Y:$Y,"*Received*")/J14,"")</f>
        <v>1</v>
      </c>
      <c r="K23" s="117">
        <f>IFERROR(AVERAGE(H23:I23),"")</f>
        <v>0.33926113192036922</v>
      </c>
      <c r="L23" s="16"/>
      <c r="M23" s="16"/>
    </row>
    <row r="24" spans="1:23" ht="16.5" x14ac:dyDescent="0.45">
      <c r="A24" s="65" t="s">
        <v>1915</v>
      </c>
      <c r="B24" s="62" cm="1">
        <f t="array" ref="B24">SUMPRODUCT((Target!$D$3:$R$6)*(Target!$A$3:$A$6="Vishwanath")*(Target!$D$2:$R$2=Dashboard!$L$2))</f>
        <v>711284.5861111111</v>
      </c>
      <c r="C24" s="62" cm="1">
        <f t="array" ref="C24">SUMPRODUCT((Target!$D$13:$R$16)*(Target!$A$13:$A$16="Vishwanath")*(Target!$D$2:$R$2=Dashboard!$L$2))+SUMIFS(DCR!$T:$T,DCR!$AB:$AB,Dashboard!$L$2,DCR!$B:$B,"*Vishwanath*",DCR!$N:$N,"*Confirm*")</f>
        <v>350000</v>
      </c>
      <c r="D24" s="62">
        <f t="shared" si="5"/>
        <v>-361284.5861111111</v>
      </c>
      <c r="E24" s="68">
        <f t="shared" si="6"/>
        <v>0.49206746052743205</v>
      </c>
      <c r="G24" s="65" t="s">
        <v>1915</v>
      </c>
      <c r="H24" s="116" t="str">
        <f>IFERROR(SUMIFS(DCR!$U:$U,DCR!$AB:$AB,Dashboard!H$21,DCR!$B:$B,"*Vishwanath*",DCR!$Y:$Y,"*Received*")/H15,"")</f>
        <v/>
      </c>
      <c r="I24" s="116">
        <f>IFERROR(SUMIFS(DCR!$U:$U,DCR!$AB:$AB,Dashboard!I$21,DCR!$B:$B,"*Vishwanath*",DCR!$Y:$Y,"*Received*")/I15,"")</f>
        <v>0.58750319912158311</v>
      </c>
      <c r="J24" s="116" t="str">
        <f>IFERROR(SUMIFS(DCR!$U:$U,DCR!$AB:$AB,Dashboard!J$21,DCR!$B:$B,"*Vishwanath*",DCR!$Y:$Y,"*Received*")/J15,"")</f>
        <v/>
      </c>
      <c r="K24" s="68">
        <f>IFERROR(AVERAGE(H24:I24),"")</f>
        <v>0.58750319912158311</v>
      </c>
      <c r="L24" s="16"/>
      <c r="M24" s="16"/>
    </row>
    <row r="25" spans="1:23" ht="16.5" x14ac:dyDescent="0.45">
      <c r="A25" s="66" t="s">
        <v>1916</v>
      </c>
      <c r="B25" s="63" cm="1">
        <f t="array" ref="B25">SUMPRODUCT((Target!$D$3:$R$6)*(Target!$A$3:$A$6="Pradeep")*(Target!$D$2:$R$2=Dashboard!$L$2))</f>
        <v>711284.5861111111</v>
      </c>
      <c r="C25" s="63" cm="1">
        <f t="array" ref="C25">SUMPRODUCT((Target!$D$13:$R$16)*(Target!$A$13:$A$16="Pradeep")*(Target!$D$2:$R$2=Dashboard!$L$2))+SUMIFS(DCR!$T:$T,DCR!$AB:$AB,Dashboard!$L$2,DCR!$B:$B,"*Pradeep*",DCR!$N:$N,"*Confirm*")</f>
        <v>995535</v>
      </c>
      <c r="D25" s="63">
        <f t="shared" si="5"/>
        <v>284250.4138888889</v>
      </c>
      <c r="E25" s="69">
        <f t="shared" si="6"/>
        <v>1.3996296551890772</v>
      </c>
      <c r="G25" s="66" t="s">
        <v>1916</v>
      </c>
      <c r="H25" s="117">
        <f>IFERROR(SUMIFS(DCR!$U:$U,DCR!$AB:$AB,Dashboard!H$21,DCR!$B:$B,"*Pradeep*",DCR!$Y:$Y,"*Received*")/H16,"")</f>
        <v>0.12187455389614363</v>
      </c>
      <c r="I25" s="117">
        <f>IFERROR(SUMIFS(DCR!$U:$U,DCR!$AB:$AB,Dashboard!I$21,DCR!$B:$B,"*Pradeep*",DCR!$Y:$Y,"*Received*")/I16,"")</f>
        <v>0.45617080576120395</v>
      </c>
      <c r="J25" s="117">
        <f>IFERROR(SUMIFS(DCR!$U:$U,DCR!$AB:$AB,Dashboard!J$21,DCR!$B:$B,"*Pradeep*",DCR!$Y:$Y,"*Received*")/J16,"")</f>
        <v>1</v>
      </c>
      <c r="K25" s="117">
        <f>IFERROR(AVERAGE(H25:I25),"")</f>
        <v>0.2890226798286738</v>
      </c>
      <c r="L25" s="16"/>
      <c r="M25" s="16"/>
    </row>
    <row r="26" spans="1:23" ht="16.5" x14ac:dyDescent="0.45">
      <c r="A26" s="65" t="s">
        <v>1917</v>
      </c>
      <c r="B26" s="62" cm="1">
        <f t="array" ref="B26">SUMPRODUCT((Target!$D$3:$R$8)*(Target!$A$3:$A$8="Anushikha")*(Target!$D$2:$R$2=Dashboard!$L$2))</f>
        <v>711284.5861111111</v>
      </c>
      <c r="C26" s="62" cm="1">
        <f t="array" ref="C26">SUMPRODUCT((Target!$D$13:$R$18)*(Target!$A$13:$A$18="Anushikha")*(Target!$D$2:$R$2=Dashboard!$L$2))+SUMIFS(DCR!$T:$T,DCR!$AB:$AB,Dashboard!$L$2,DCR!$B:$B,"*Anushikha*",DCR!$N:$N,"*Confirm*")</f>
        <v>349870</v>
      </c>
      <c r="D26" s="62">
        <f t="shared" si="5"/>
        <v>-361414.5861111111</v>
      </c>
      <c r="E26" s="68">
        <f t="shared" si="6"/>
        <v>0.49188469261352186</v>
      </c>
      <c r="G26" s="65" t="s">
        <v>1917</v>
      </c>
      <c r="H26" s="116">
        <f>IFERROR(SUMIFS(DCR!$U:$U,DCR!$AB:$AB,Dashboard!H$21,DCR!$B:$B,"*Anushikha*",DCR!$Y:$Y,"*Received*")/H17,"")</f>
        <v>0</v>
      </c>
      <c r="I26" s="116">
        <f>IFERROR(SUMIFS(DCR!$U:$U,DCR!$AB:$AB,Dashboard!I$21,DCR!$B:$B,"*Anushikha*",DCR!$Y:$Y,"*Received*")/I17,"")</f>
        <v>1</v>
      </c>
      <c r="J26" s="116" t="str">
        <f>IFERROR(SUMIFS(DCR!$U:$U,DCR!$AB:$AB,Dashboard!J$21,DCR!$B:$B,"*Anushikha*",DCR!$Y:$Y,"*Received*")/J17,"")</f>
        <v/>
      </c>
      <c r="K26" s="68">
        <f>IFERROR(SUMIFS(DCR!$U:$U,DCR!$AB:$AB,Dashboard!K$21,DCR!$B:$B,"*Anushikha*",DCR!$Y:$Y,"*Received*")/K17,"")</f>
        <v>0</v>
      </c>
      <c r="L26" s="16"/>
      <c r="M26" s="16"/>
    </row>
    <row r="27" spans="1:23" ht="16.5" x14ac:dyDescent="0.45">
      <c r="A27" s="67" t="s">
        <v>1918</v>
      </c>
      <c r="B27" s="64">
        <f>SUM(B22:B26)-SUM(B24:B26)</f>
        <v>5725379.0663773157</v>
      </c>
      <c r="C27" s="64">
        <f>SUM(C22:C26)-SUM(C24:C26)</f>
        <v>6159487</v>
      </c>
      <c r="D27" s="64">
        <f t="shared" si="5"/>
        <v>434107.93362268433</v>
      </c>
      <c r="E27" s="70">
        <f t="shared" si="6"/>
        <v>1.0758216929551465</v>
      </c>
      <c r="G27" s="67" t="s">
        <v>1918</v>
      </c>
      <c r="H27" s="118">
        <f>IFERROR(SUMIFS(DCR!$U:$U,DCR!$AB:$AB,Dashboard!H$21,DCR!$Y:$Y,"*Received*")/H18,"")</f>
        <v>0.72168708923073499</v>
      </c>
      <c r="I27" s="118">
        <f>IFERROR(SUMIFS(DCR!$U:$U,DCR!$AB:$AB,Dashboard!I$21,DCR!$Y:$Y,"*Received*")/I18,"")</f>
        <v>0.60130631682151359</v>
      </c>
      <c r="J27" s="118">
        <f>IFERROR(SUMIFS(DCR!$U:$U,DCR!$AB:$AB,Dashboard!J$21,DCR!$Y:$Y,"*Received*")/J18,"")</f>
        <v>1.0357415223217412</v>
      </c>
      <c r="K27" s="70">
        <f t="shared" ref="K27" si="7">AVERAGE(H27:I27)</f>
        <v>0.66149670302612429</v>
      </c>
      <c r="L27" s="16"/>
      <c r="M27" s="16"/>
    </row>
    <row r="28" spans="1:23" ht="16.5" x14ac:dyDescent="0.45">
      <c r="L28" s="16"/>
      <c r="M28" s="16"/>
    </row>
    <row r="29" spans="1:23" ht="17.5" x14ac:dyDescent="0.45">
      <c r="A29" s="77" t="s">
        <v>1922</v>
      </c>
      <c r="B29" s="77"/>
      <c r="D29" s="50" t="s">
        <v>1923</v>
      </c>
      <c r="E29" s="50"/>
      <c r="G29" s="77" t="s">
        <v>1924</v>
      </c>
      <c r="H29" s="77"/>
      <c r="J29" s="77" t="s">
        <v>1925</v>
      </c>
      <c r="K29" s="77"/>
      <c r="L29" s="16"/>
      <c r="M29" s="16"/>
    </row>
    <row r="30" spans="1:23" ht="16.5" x14ac:dyDescent="0.45">
      <c r="A30" s="51" t="s">
        <v>93</v>
      </c>
      <c r="B30" s="54">
        <f>SUMIFS(DCR!U:U,DCR!C:C,"*Hyderabad*",DCR!AB:AB,Dashboard!$L$2)</f>
        <v>4669357</v>
      </c>
      <c r="D30" s="51" t="s">
        <v>1926</v>
      </c>
      <c r="E30" s="54">
        <f>SUMIFS(DCR!$U:$U,DCR!$AB:$AB,$L$2,DCR!$I:$I,"*Repeat*")</f>
        <v>0</v>
      </c>
      <c r="F30" s="16"/>
      <c r="G30" s="51" t="s">
        <v>96</v>
      </c>
      <c r="H30" s="54">
        <f>SUMIFS(DCR!$U:$U,DCR!$AB:$AB,Dashboard!$L$2,DCR!$F:$F,Dashboard!$G30)</f>
        <v>1187554</v>
      </c>
      <c r="I30" s="16"/>
      <c r="J30" s="51" t="s">
        <v>95</v>
      </c>
      <c r="K30" s="59">
        <f>COUNTIFS(DCR!$AB:$AB,$L$2,DCR!$E:$E,"*Call*")</f>
        <v>20</v>
      </c>
      <c r="L30" s="16"/>
      <c r="M30" s="16"/>
    </row>
    <row r="31" spans="1:23" ht="16.5" x14ac:dyDescent="0.45">
      <c r="A31" s="52" t="s">
        <v>143</v>
      </c>
      <c r="B31" s="54">
        <f>SUMIFS(DCR!U:U,DCR!C:C,"*Chennai*",DCR!AB:AB,Dashboard!$L$2)</f>
        <v>0</v>
      </c>
      <c r="D31" s="52" t="s">
        <v>1927</v>
      </c>
      <c r="E31" s="54">
        <f>SUMIFS(DCR!$U:$U,DCR!$AB:$AB,$L$2,DCR!$I:$I,"*New*")</f>
        <v>4669357</v>
      </c>
      <c r="F31" s="16"/>
      <c r="G31" s="52" t="s">
        <v>115</v>
      </c>
      <c r="H31" s="55">
        <f>SUMIFS(DCR!$U:$U,DCR!$AB:$AB,Dashboard!$L$2,DCR!$F:$F,Dashboard!$G31)</f>
        <v>3600</v>
      </c>
      <c r="I31" s="16"/>
      <c r="J31" s="52" t="s">
        <v>106</v>
      </c>
      <c r="K31" s="130">
        <f>COUNTIFS(DCR!$AB:$AB,$L$2,DCR!$E:$E,"*F2F*")</f>
        <v>60</v>
      </c>
      <c r="L31" s="16"/>
      <c r="M31" s="16"/>
    </row>
    <row r="32" spans="1:23" ht="16.5" x14ac:dyDescent="0.45">
      <c r="A32" s="51" t="s">
        <v>113</v>
      </c>
      <c r="B32" s="54">
        <f>SUMIFS(DCR!U:U,DCR!C:C,"*Bangalore*",DCR!AB:AB,Dashboard!$L$2)</f>
        <v>0</v>
      </c>
      <c r="D32" s="51"/>
      <c r="E32" s="59"/>
      <c r="F32" s="16"/>
      <c r="G32" s="51" t="s">
        <v>226</v>
      </c>
      <c r="H32" s="54">
        <f>SUMIFS(DCR!$U:$U,DCR!$AB:$AB,Dashboard!$L$2,DCR!$F:$F,Dashboard!$G32)</f>
        <v>6165</v>
      </c>
      <c r="I32" s="16"/>
      <c r="J32" s="51" t="s">
        <v>1928</v>
      </c>
      <c r="K32" s="59"/>
      <c r="L32" s="16"/>
      <c r="M32" s="16"/>
    </row>
    <row r="33" spans="1:13" ht="16.5" x14ac:dyDescent="0.45">
      <c r="A33" s="53" t="s">
        <v>1929</v>
      </c>
      <c r="B33" s="56">
        <f>SUMIFS(DCR!U:U,DCR!B:B,"&lt;&gt;",DCR!AB:AB,Dashboard!$L$2)-B30-B31-B32</f>
        <v>0</v>
      </c>
      <c r="D33" s="52" t="s">
        <v>1930</v>
      </c>
      <c r="E33" s="60">
        <f>IFERROR(E30/(E30+E31),0)</f>
        <v>0</v>
      </c>
      <c r="F33" s="16"/>
      <c r="G33" s="52" t="s">
        <v>422</v>
      </c>
      <c r="H33" s="55">
        <f>SUMIFS(DCR!$U:$U,DCR!$AB:$AB,Dashboard!$L$2,DCR!$F:$F,Dashboard!$G33)</f>
        <v>3027675</v>
      </c>
      <c r="I33" s="16"/>
      <c r="J33" s="52"/>
      <c r="K33" s="130"/>
      <c r="L33" s="16"/>
      <c r="M33" s="16"/>
    </row>
    <row r="34" spans="1:13" ht="16.5" x14ac:dyDescent="0.45">
      <c r="A34" s="22" t="s">
        <v>1931</v>
      </c>
      <c r="B34" s="80">
        <f>SUM(B30:B33)</f>
        <v>4669357</v>
      </c>
      <c r="D34" s="57" t="s">
        <v>1932</v>
      </c>
      <c r="E34" s="61">
        <f>COUNTIFS(DCR!$AB:$AB,$L$2,DCR!$I:$I,"*New*")</f>
        <v>73</v>
      </c>
      <c r="F34" s="16"/>
      <c r="G34" s="57" t="s">
        <v>135</v>
      </c>
      <c r="H34" s="58">
        <f>SUMIFS(DCR!$U:$U,DCR!$AB:$AB,Dashboard!$L$2,DCR!$F:$F,Dashboard!$G34)</f>
        <v>444363</v>
      </c>
      <c r="I34" s="16"/>
      <c r="J34" s="57" t="s">
        <v>1931</v>
      </c>
      <c r="K34" s="61">
        <f>SUM(K30:K33)</f>
        <v>80</v>
      </c>
      <c r="L34" s="16"/>
      <c r="M34" s="16"/>
    </row>
    <row r="35" spans="1:13" ht="16.5" x14ac:dyDescent="0.45">
      <c r="F35" s="16"/>
      <c r="G35" s="16"/>
      <c r="H35" s="16"/>
      <c r="I35" s="16"/>
      <c r="L35" s="16"/>
      <c r="M35" s="16"/>
    </row>
    <row r="36" spans="1:13" ht="17.5" x14ac:dyDescent="0.45">
      <c r="A36" s="78" t="s">
        <v>1933</v>
      </c>
      <c r="B36" s="75"/>
      <c r="C36" s="75"/>
      <c r="D36" s="75"/>
      <c r="E36" s="75"/>
      <c r="F36" s="23"/>
      <c r="G36" s="78" t="str">
        <f>"📈 MTD AGGREGATOR SALES ("&amp;$L$2&amp;")"</f>
        <v>📈 MTD AGGREGATOR SALES (Oct-26)</v>
      </c>
      <c r="H36" s="75"/>
      <c r="I36" s="75"/>
    </row>
    <row r="37" spans="1:13" ht="16" x14ac:dyDescent="0.45">
      <c r="A37" s="115" t="s">
        <v>1934</v>
      </c>
      <c r="B37" s="115" t="str">
        <f>H12</f>
        <v>Oct-26</v>
      </c>
      <c r="C37" s="115" t="str">
        <f>I12</f>
        <v>Sep-26</v>
      </c>
      <c r="D37" s="115" t="str">
        <f>J12</f>
        <v>Aug-26</v>
      </c>
      <c r="E37" s="115" t="s">
        <v>1912</v>
      </c>
      <c r="F37" s="24"/>
      <c r="G37" s="126" t="s">
        <v>96</v>
      </c>
      <c r="H37" s="126" t="s">
        <v>1935</v>
      </c>
      <c r="I37" s="126" t="s">
        <v>1936</v>
      </c>
    </row>
    <row r="38" spans="1:13" x14ac:dyDescent="0.35">
      <c r="A38" s="85" t="s">
        <v>10</v>
      </c>
      <c r="B38" s="86" cm="1">
        <f t="array" ref="B38">SUMPRODUCT((Target!$D$22:$R$27)*(Target!$A$22:$A$27=$A38)*(Target!$D$2:$R$2=B$37))</f>
        <v>1043700</v>
      </c>
      <c r="C38" s="25" cm="1">
        <f t="array" ref="C38">SUMPRODUCT((Target!$D$22:$R$27)*(Target!$A$22:$A$27=$A38)*(Target!$D$2:$R$2=C$37))</f>
        <v>2266886</v>
      </c>
      <c r="D38" s="25" cm="1">
        <f t="array" ref="D38">SUMPRODUCT((Target!$D$22:$R$27)*(Target!$A$22:$A$27=$A38)*(Target!$D$2:$R$2=D$37))</f>
        <v>2765815</v>
      </c>
      <c r="E38" s="25">
        <f t="shared" ref="E38:E43" si="8">B38+C38+D38</f>
        <v>6076401</v>
      </c>
      <c r="F38" s="17"/>
      <c r="G38" s="85" t="s">
        <v>10</v>
      </c>
      <c r="H38" s="25">
        <f t="shared" ref="H38:H43" si="9">B38</f>
        <v>1043700</v>
      </c>
      <c r="I38" s="143">
        <f t="shared" ref="I38:I44" si="10">IFERROR(H38/$H$44,0)</f>
        <v>0.87886529791487378</v>
      </c>
    </row>
    <row r="39" spans="1:13" x14ac:dyDescent="0.35">
      <c r="A39" s="87" t="s">
        <v>11</v>
      </c>
      <c r="B39" s="29" cm="1">
        <f t="array" ref="B39">SUMPRODUCT((Target!$D$22:$R$27)*(Target!$A$22:$A$27=$A39)*(Target!$D$2:$R$2=B$37))</f>
        <v>0</v>
      </c>
      <c r="C39" s="29" cm="1">
        <f t="array" ref="C39">SUMPRODUCT((Target!$D$22:$R$27)*(Target!$A$22:$A$27=$A39)*(Target!$D$2:$R$2=C$37))</f>
        <v>0</v>
      </c>
      <c r="D39" s="29" cm="1">
        <f t="array" ref="D39">SUMPRODUCT((Target!$D$22:$R$27)*(Target!$A$22:$A$27=$A39)*(Target!$D$2:$R$2=D$37))</f>
        <v>0</v>
      </c>
      <c r="E39" s="29">
        <f t="shared" si="8"/>
        <v>0</v>
      </c>
      <c r="F39" s="17"/>
      <c r="G39" s="87" t="s">
        <v>11</v>
      </c>
      <c r="H39" s="29">
        <f t="shared" si="9"/>
        <v>0</v>
      </c>
      <c r="I39" s="144">
        <f t="shared" si="10"/>
        <v>0</v>
      </c>
    </row>
    <row r="40" spans="1:13" x14ac:dyDescent="0.35">
      <c r="A40" s="85" t="s">
        <v>12</v>
      </c>
      <c r="B40" s="25" cm="1">
        <f t="array" ref="B40">SUMPRODUCT((Target!$D$22:$R$27)*(Target!$A$22:$A$27=$A40)*(Target!$D$2:$R$2=B$37))</f>
        <v>143854</v>
      </c>
      <c r="C40" s="25" cm="1">
        <f t="array" ref="C40">SUMPRODUCT((Target!$D$22:$R$27)*(Target!$A$22:$A$27=$A40)*(Target!$D$2:$R$2=C$37))</f>
        <v>163555</v>
      </c>
      <c r="D40" s="25" cm="1">
        <f t="array" ref="D40">SUMPRODUCT((Target!$D$22:$R$27)*(Target!$A$22:$A$27=$A40)*(Target!$D$2:$R$2=D$37))</f>
        <v>76345</v>
      </c>
      <c r="E40" s="25">
        <f t="shared" si="8"/>
        <v>383754</v>
      </c>
      <c r="F40" s="17"/>
      <c r="G40" s="85" t="s">
        <v>12</v>
      </c>
      <c r="H40" s="25">
        <f t="shared" si="9"/>
        <v>143854</v>
      </c>
      <c r="I40" s="143">
        <f t="shared" si="10"/>
        <v>0.12113470208512624</v>
      </c>
    </row>
    <row r="41" spans="1:13" x14ac:dyDescent="0.35">
      <c r="A41" s="87" t="s">
        <v>13</v>
      </c>
      <c r="B41" s="29" cm="1">
        <f t="array" ref="B41">SUMPRODUCT((Target!$D$22:$R$27)*(Target!$A$22:$A$27=$A41)*(Target!$D$2:$R$2=B$37))</f>
        <v>0</v>
      </c>
      <c r="C41" s="29" cm="1">
        <f t="array" ref="C41">SUMPRODUCT((Target!$D$22:$R$27)*(Target!$A$22:$A$27=$A41)*(Target!$D$2:$R$2=C$37))</f>
        <v>0</v>
      </c>
      <c r="D41" s="29" cm="1">
        <f t="array" ref="D41">SUMPRODUCT((Target!$D$22:$R$27)*(Target!$A$22:$A$27=$A41)*(Target!$D$2:$R$2=D$37))</f>
        <v>0</v>
      </c>
      <c r="E41" s="29">
        <f t="shared" si="8"/>
        <v>0</v>
      </c>
      <c r="F41" s="17"/>
      <c r="G41" s="87" t="s">
        <v>13</v>
      </c>
      <c r="H41" s="29">
        <f t="shared" si="9"/>
        <v>0</v>
      </c>
      <c r="I41" s="144">
        <f t="shared" si="10"/>
        <v>0</v>
      </c>
    </row>
    <row r="42" spans="1:13" x14ac:dyDescent="0.35">
      <c r="A42" s="85" t="s">
        <v>14</v>
      </c>
      <c r="B42" s="25" cm="1">
        <f t="array" ref="B42">SUMPRODUCT((Target!$D$22:$R$27)*(Target!$A$22:$A$27=$A42)*(Target!$D$2:$R$2=B$37))</f>
        <v>0</v>
      </c>
      <c r="C42" s="25" cm="1">
        <f t="array" ref="C42">SUMPRODUCT((Target!$D$22:$R$27)*(Target!$A$22:$A$27=$A42)*(Target!$D$2:$R$2=C$37))</f>
        <v>1127055</v>
      </c>
      <c r="D42" s="25" cm="1">
        <f t="array" ref="D42">SUMPRODUCT((Target!$D$22:$R$27)*(Target!$A$22:$A$27=$A42)*(Target!$D$2:$R$2=D$37))</f>
        <v>740508</v>
      </c>
      <c r="E42" s="25">
        <f t="shared" si="8"/>
        <v>1867563</v>
      </c>
      <c r="F42" s="17"/>
      <c r="G42" s="85" t="s">
        <v>14</v>
      </c>
      <c r="H42" s="25">
        <f t="shared" si="9"/>
        <v>0</v>
      </c>
      <c r="I42" s="143">
        <f t="shared" si="10"/>
        <v>0</v>
      </c>
    </row>
    <row r="43" spans="1:13" x14ac:dyDescent="0.35">
      <c r="A43" s="87" t="s">
        <v>15</v>
      </c>
      <c r="B43" s="29" cm="1">
        <f t="array" ref="B43">SUMPRODUCT((Target!$D$22:$R$27)*(Target!$A$22:$A$27=$A43)*(Target!$D$2:$R$2=B$37))</f>
        <v>0</v>
      </c>
      <c r="C43" s="29" cm="1">
        <f t="array" ref="C43">SUMPRODUCT((Target!$D$22:$R$27)*(Target!$A$22:$A$27=$A43)*(Target!$D$2:$R$2=C$37))</f>
        <v>84460</v>
      </c>
      <c r="D43" s="29" cm="1">
        <f t="array" ref="D43">SUMPRODUCT((Target!$D$22:$R$27)*(Target!$A$22:$A$27=$A43)*(Target!$D$2:$R$2=D$37))</f>
        <v>96880</v>
      </c>
      <c r="E43" s="29">
        <f t="shared" si="8"/>
        <v>181340</v>
      </c>
      <c r="F43" s="17"/>
      <c r="G43" s="87" t="s">
        <v>15</v>
      </c>
      <c r="H43" s="29">
        <f t="shared" si="9"/>
        <v>0</v>
      </c>
      <c r="I43" s="144">
        <f t="shared" si="10"/>
        <v>0</v>
      </c>
    </row>
    <row r="44" spans="1:13" x14ac:dyDescent="0.35">
      <c r="A44" s="137" t="s">
        <v>1937</v>
      </c>
      <c r="B44" s="88">
        <f>SUM(B38:B43)</f>
        <v>1187554</v>
      </c>
      <c r="C44" s="88">
        <f>SUM(C38:C43)</f>
        <v>3641956</v>
      </c>
      <c r="D44" s="89">
        <f>SUM(D38:D43)</f>
        <v>3679548</v>
      </c>
      <c r="E44" s="88">
        <f>SUM(E38:E43)</f>
        <v>8509058</v>
      </c>
      <c r="F44" s="26"/>
      <c r="G44" s="137" t="s">
        <v>1937</v>
      </c>
      <c r="H44" s="89">
        <f>SUM(H38:H43)</f>
        <v>1187554</v>
      </c>
      <c r="I44" s="92">
        <f t="shared" si="10"/>
        <v>1</v>
      </c>
    </row>
    <row r="45" spans="1:13" ht="16.5" x14ac:dyDescent="0.45">
      <c r="A45" s="16"/>
      <c r="B45" s="16"/>
      <c r="C45" s="16"/>
      <c r="D45" s="16"/>
      <c r="E45" s="16"/>
      <c r="F45" s="16"/>
      <c r="G45" s="16"/>
      <c r="H45" s="16"/>
      <c r="I45" s="16"/>
      <c r="L45" s="16"/>
      <c r="M45" s="16"/>
    </row>
    <row r="46" spans="1:13" ht="21" x14ac:dyDescent="0.55000000000000004">
      <c r="A46" s="122" t="s">
        <v>1938</v>
      </c>
      <c r="B46" s="75"/>
      <c r="C46" s="75"/>
      <c r="D46" s="75"/>
      <c r="E46" s="75"/>
      <c r="F46" s="75"/>
      <c r="G46" s="16"/>
      <c r="H46" s="76" t="s">
        <v>1939</v>
      </c>
      <c r="I46" s="76"/>
      <c r="J46" s="76"/>
      <c r="K46" s="75"/>
      <c r="L46" s="75"/>
      <c r="M46" s="16"/>
    </row>
    <row r="47" spans="1:13" ht="16.5" x14ac:dyDescent="0.45">
      <c r="A47" s="141" t="s">
        <v>1940</v>
      </c>
      <c r="B47" s="141" t="s">
        <v>1941</v>
      </c>
      <c r="C47" s="141" t="s">
        <v>1942</v>
      </c>
      <c r="D47" s="141" t="s">
        <v>1943</v>
      </c>
      <c r="E47" s="141" t="s">
        <v>1944</v>
      </c>
      <c r="F47" s="141" t="s">
        <v>1945</v>
      </c>
      <c r="G47" s="16"/>
      <c r="H47" s="140" t="s">
        <v>1909</v>
      </c>
      <c r="I47" s="140" t="s">
        <v>128</v>
      </c>
      <c r="J47" s="140" t="s">
        <v>495</v>
      </c>
      <c r="K47" s="140" t="s">
        <v>130</v>
      </c>
      <c r="L47" s="140" t="s">
        <v>1946</v>
      </c>
      <c r="M47" s="16"/>
    </row>
    <row r="48" spans="1:13" ht="16.5" x14ac:dyDescent="0.45">
      <c r="A48" s="123" t="s">
        <v>1947</v>
      </c>
      <c r="B48" s="123" t="s">
        <v>1948</v>
      </c>
      <c r="C48" s="123">
        <f>COUNTIFS(DCR!$AB:$AB,$L$2,DCR!$N:$N,"*Introduction*")</f>
        <v>5</v>
      </c>
      <c r="D48" s="124">
        <f>SUMIFS(DCR!$T:$T,DCR!$AB:$AB,$L$2,DCR!$N:$N,"*Introduction*")</f>
        <v>155000</v>
      </c>
      <c r="E48" s="124">
        <f>SUMIFS(DCR!$U:$U,DCR!$AB:$AB,$L$2,DCR!$N:$N,"*Introduction*")</f>
        <v>0</v>
      </c>
      <c r="F48" s="125">
        <f>IFERROR(C48/$C$53,0)</f>
        <v>6.7567567567567571E-2</v>
      </c>
      <c r="G48" s="16"/>
      <c r="H48" s="93" t="s">
        <v>1913</v>
      </c>
      <c r="I48" s="95">
        <f>COUNTIFS(DCR!$N:$N,Dashboard!I$47,DCR!$B:$B,"*Sameer*",DCR!$AB:$AB,Dashboard!$L$2)</f>
        <v>0</v>
      </c>
      <c r="J48" s="95">
        <f>COUNTIFS(DCR!$N:$N,Dashboard!J$47,DCR!$B:$B,"*Sameer*",DCR!$AB:$AB,Dashboard!$L$2)</f>
        <v>3</v>
      </c>
      <c r="K48" s="95">
        <f>COUNTIFS(DCR!$N:$N,Dashboard!K$47,DCR!$B:$B,"*Sameer*",DCR!$AB:$AB,Dashboard!$L$2)</f>
        <v>1</v>
      </c>
      <c r="L48" s="95">
        <f>SUM(I48:K48)</f>
        <v>4</v>
      </c>
      <c r="M48" s="16"/>
    </row>
    <row r="49" spans="1:13" ht="16.5" x14ac:dyDescent="0.45">
      <c r="A49" s="30" t="s">
        <v>1949</v>
      </c>
      <c r="B49" s="30" t="s">
        <v>1950</v>
      </c>
      <c r="C49" s="30">
        <f>COUNTIFS(DCR!$AB:$AB,$L$2,DCR!$N:$N,"*FOllow*")</f>
        <v>6</v>
      </c>
      <c r="D49" s="31">
        <f>SUMIFS(DCR!$T:$T,DCR!$AB:$AB,$L$2,DCR!$N:$N,"*Follow*")</f>
        <v>220000</v>
      </c>
      <c r="E49" s="31">
        <f>SUMIFS(DCR!$U:$U,DCR!$AB:$AB,$L$2,DCR!$N:$N,"*Follow*")</f>
        <v>0</v>
      </c>
      <c r="F49" s="109">
        <f>IFERROR(C49/$C$53,0)</f>
        <v>8.1081081081081086E-2</v>
      </c>
      <c r="G49" s="16"/>
      <c r="H49" s="96" t="s">
        <v>1914</v>
      </c>
      <c r="I49" s="95">
        <f>COUNTIFS(DCR!$N:$N,Dashboard!I$47,DCR!$B:$B,"*Bashab*",DCR!$AB:$AB,Dashboard!$L$2)</f>
        <v>0</v>
      </c>
      <c r="J49" s="95">
        <f>COUNTIFS(DCR!$N:$N,Dashboard!J$47,DCR!$B:$B,"*Bashab*",DCR!$AB:$AB,Dashboard!$L$2)</f>
        <v>0</v>
      </c>
      <c r="K49" s="95">
        <f>COUNTIFS(DCR!$N:$N,Dashboard!K$47,DCR!$B:$B,"*Bashab*",DCR!$AB:$AB,Dashboard!$L$2)</f>
        <v>0</v>
      </c>
      <c r="L49" s="95">
        <f t="shared" ref="L49:L51" si="11">SUM(I49:K49)</f>
        <v>0</v>
      </c>
      <c r="M49" s="16"/>
    </row>
    <row r="50" spans="1:13" ht="16.5" x14ac:dyDescent="0.45">
      <c r="A50" s="32" t="s">
        <v>1951</v>
      </c>
      <c r="B50" s="32" t="s">
        <v>1952</v>
      </c>
      <c r="C50" s="32">
        <f>COUNTIFS(DCR!$AB:$AB,$L$2,DCR!$N:$N,"*Nego*")</f>
        <v>12</v>
      </c>
      <c r="D50" s="33">
        <f>SUMIFS(DCR!$T:$T,DCR!$AB:$AB,$L$2,DCR!$N:$N,"*Nego*")</f>
        <v>1242000</v>
      </c>
      <c r="E50" s="33">
        <f>SUMIFS(DCR!$U:$U,DCR!$AB:$AB,$L$2,DCR!$N:$N,"*Nego*")</f>
        <v>0</v>
      </c>
      <c r="F50" s="110">
        <f>IFERROR(C50/$C$53,0)</f>
        <v>0.16216216216216217</v>
      </c>
      <c r="G50" s="16"/>
      <c r="H50" s="93" t="s">
        <v>1915</v>
      </c>
      <c r="I50" s="95">
        <f>COUNTIFS(DCR!$N:$N,Dashboard!I$47,DCR!$B:$B,"*Vishwanath*",DCR!$AB:$AB,Dashboard!$L$2)</f>
        <v>0</v>
      </c>
      <c r="J50" s="95">
        <f>COUNTIFS(DCR!$N:$N,Dashboard!J$47,DCR!$B:$B,"*Vishwanath*",DCR!$AB:$AB,Dashboard!$L$2)</f>
        <v>1</v>
      </c>
      <c r="K50" s="95">
        <f>COUNTIFS(DCR!$N:$N,Dashboard!K$47,DCR!$B:$B,"*Vishwanath*",DCR!$AB:$AB,Dashboard!$L$2)</f>
        <v>0</v>
      </c>
      <c r="L50" s="95">
        <f t="shared" si="11"/>
        <v>1</v>
      </c>
      <c r="M50" s="16"/>
    </row>
    <row r="51" spans="1:13" ht="16.5" x14ac:dyDescent="0.45">
      <c r="A51" s="34" t="s">
        <v>1953</v>
      </c>
      <c r="B51" s="34" t="s">
        <v>1954</v>
      </c>
      <c r="C51" s="34">
        <f>COUNTIFS(DCR!$AB:$AB,$L$2,DCR!$N:$N,"*Confi*")</f>
        <v>24</v>
      </c>
      <c r="D51" s="35">
        <f>SUMIFS(DCR!$T:$T,DCR!$AB:$AB,$L$2,DCR!$N:$N,"*Confirm*")</f>
        <v>1840000</v>
      </c>
      <c r="E51" s="35">
        <f>SUMIFS(DCR!$U:$U,DCR!$AB:$AB,$L$2,DCR!$N:$N,"*Confirm*")</f>
        <v>0</v>
      </c>
      <c r="F51" s="111">
        <f>IFERROR(C51/$C$53,0)</f>
        <v>0.32432432432432434</v>
      </c>
      <c r="G51" s="16"/>
      <c r="H51" s="96" t="s">
        <v>1916</v>
      </c>
      <c r="I51" s="95">
        <f>COUNTIFS(DCR!$N:$N,Dashboard!I$47,DCR!$B:$B,"*Pradeep*",DCR!$AB:$AB,Dashboard!$L$2)</f>
        <v>3</v>
      </c>
      <c r="J51" s="95">
        <f>COUNTIFS(DCR!$N:$N,Dashboard!J$47,DCR!$B:$B,"*Pradeep*",DCR!$AB:$AB,Dashboard!$L$2)</f>
        <v>8</v>
      </c>
      <c r="K51" s="95">
        <f>COUNTIFS(DCR!$N:$N,Dashboard!K$47,DCR!$B:$B,"*Pradeep*",DCR!$AB:$AB,Dashboard!$L$2)</f>
        <v>5</v>
      </c>
      <c r="L51" s="95">
        <f t="shared" si="11"/>
        <v>16</v>
      </c>
      <c r="M51" s="16"/>
    </row>
    <row r="52" spans="1:13" ht="16.5" x14ac:dyDescent="0.45">
      <c r="A52" s="36" t="s">
        <v>1955</v>
      </c>
      <c r="B52" s="36" t="s">
        <v>1956</v>
      </c>
      <c r="C52" s="36">
        <f>COUNTIFS(DCR!$AB:$AB,$L$2,DCR!$N:$N,"*Close*")</f>
        <v>27</v>
      </c>
      <c r="D52" s="37">
        <f>SUMIFS(DCR!$T:$T,DCR!$AB:$AB,$L$2,DCR!$N:$N,"*Close*")</f>
        <v>3685000</v>
      </c>
      <c r="E52" s="37">
        <f>SUMIFS(DCR!$U:$U,DCR!$AB:$AB,$L$2,DCR!$N:$N,"*Close*")</f>
        <v>4669357</v>
      </c>
      <c r="F52" s="112">
        <f>IFERROR(C52/$C$53,0)</f>
        <v>0.36486486486486486</v>
      </c>
      <c r="G52" s="16"/>
      <c r="H52" s="93" t="s">
        <v>1917</v>
      </c>
      <c r="I52" s="95">
        <f>COUNTIFS(DCR!$N:$N,Dashboard!I$47,DCR!$B:$B,"*Anushikha*",DCR!$AB:$AB,Dashboard!$L$2)</f>
        <v>2</v>
      </c>
      <c r="J52" s="95">
        <f>COUNTIFS(DCR!$N:$N,Dashboard!J$47,DCR!$B:$B,"*Anushikha*",DCR!$AB:$AB,Dashboard!$L$2)</f>
        <v>0</v>
      </c>
      <c r="K52" s="95">
        <f>COUNTIFS(DCR!$N:$N,Dashboard!K$47,DCR!$B:$B,"*Anushikha*",DCR!$AB:$AB,Dashboard!$L$2)</f>
        <v>0</v>
      </c>
      <c r="L52" s="95">
        <f t="shared" ref="L52" si="12">SUM(I52:K52)</f>
        <v>2</v>
      </c>
      <c r="M52" s="16"/>
    </row>
    <row r="53" spans="1:13" ht="16.5" x14ac:dyDescent="0.45">
      <c r="A53" s="107" t="s">
        <v>1937</v>
      </c>
      <c r="B53" s="107" t="s">
        <v>1957</v>
      </c>
      <c r="C53" s="107">
        <f>SUM(C48:C52)</f>
        <v>74</v>
      </c>
      <c r="D53" s="108">
        <f>SUM(D48:D52)</f>
        <v>7142000</v>
      </c>
      <c r="E53" s="108">
        <f>SUM(E48:E52)</f>
        <v>4669357</v>
      </c>
      <c r="F53" s="113">
        <f>SUM(F48:F52)</f>
        <v>1</v>
      </c>
      <c r="G53" s="16"/>
      <c r="H53" s="99" t="s">
        <v>1958</v>
      </c>
      <c r="I53" s="100">
        <f>SUM(I48:I52)</f>
        <v>5</v>
      </c>
      <c r="J53" s="100">
        <f t="shared" ref="J53:L53" si="13">SUM(J48:J52)</f>
        <v>12</v>
      </c>
      <c r="K53" s="100">
        <f t="shared" si="13"/>
        <v>6</v>
      </c>
      <c r="L53" s="100">
        <f t="shared" si="13"/>
        <v>23</v>
      </c>
      <c r="M53" s="16"/>
    </row>
    <row r="54" spans="1:13" ht="16.5" x14ac:dyDescent="0.45">
      <c r="A54" s="16"/>
      <c r="B54" s="16"/>
      <c r="C54" s="16"/>
      <c r="D54" s="16"/>
      <c r="E54" s="16"/>
      <c r="F54" s="16"/>
      <c r="G54" s="16"/>
      <c r="H54" s="16"/>
      <c r="I54" s="16"/>
      <c r="L54" s="16"/>
      <c r="M54" s="16"/>
    </row>
    <row r="55" spans="1:13" ht="21" x14ac:dyDescent="0.55000000000000004">
      <c r="A55" s="76" t="s">
        <v>1959</v>
      </c>
      <c r="B55" s="76"/>
      <c r="C55" s="76"/>
      <c r="D55" s="75"/>
      <c r="E55" s="75"/>
      <c r="F55" s="16"/>
      <c r="G55" s="78" t="str">
        <f>"📈 MTD Overdue Follow-up ("&amp;$L$2&amp;")"</f>
        <v>📈 MTD Overdue Follow-up (Oct-26)</v>
      </c>
      <c r="H55" s="75"/>
      <c r="I55" s="75"/>
      <c r="K55" s="74" t="s">
        <v>1960</v>
      </c>
      <c r="L55" s="75"/>
      <c r="M55" s="16"/>
    </row>
    <row r="56" spans="1:13" ht="32" x14ac:dyDescent="0.45">
      <c r="A56" s="141" t="s">
        <v>1909</v>
      </c>
      <c r="B56" s="141" t="s">
        <v>1961</v>
      </c>
      <c r="C56" s="141" t="s">
        <v>1962</v>
      </c>
      <c r="D56" s="141" t="s">
        <v>1963</v>
      </c>
      <c r="E56" s="141" t="s">
        <v>1964</v>
      </c>
      <c r="F56" s="16"/>
      <c r="G56" s="141" t="s">
        <v>1909</v>
      </c>
      <c r="H56" s="140" t="s">
        <v>1965</v>
      </c>
      <c r="I56" s="140" t="s">
        <v>1966</v>
      </c>
      <c r="K56" s="131" t="s">
        <v>1947</v>
      </c>
      <c r="L56" s="101">
        <f>COUNTIFS(DCR!$AB:$AB,$L$2,DCR!$N:$N,"*Introduction*")</f>
        <v>5</v>
      </c>
      <c r="M56" s="16"/>
    </row>
    <row r="57" spans="1:13" ht="16.5" x14ac:dyDescent="0.45">
      <c r="A57" s="93" t="s">
        <v>1913</v>
      </c>
      <c r="B57" s="94">
        <f>SUMIFS(DCR!$T:$T,DCR!$AB:$AB,$L$2,DCR!$B:$B,"*Sameer*")</f>
        <v>3722000</v>
      </c>
      <c r="C57" s="94">
        <f>SUMIFS(DCR!$U:$U,DCR!$AB:$AB,$L$2,DCR!$B:$B,"*Sameer*")</f>
        <v>3027675</v>
      </c>
      <c r="D57" s="95">
        <f>COUNTIFS(DCR!$AB:$AB,$L$2,DCR!$B:$B,"*Sameer*")</f>
        <v>15</v>
      </c>
      <c r="E57" s="95" t="str">
        <f t="shared" ref="E57:E62" si="14">IF(B57=0,"N/A",TEXT(C57/B57,"0%"))</f>
        <v>81%</v>
      </c>
      <c r="F57" s="16"/>
      <c r="G57" s="85" t="s">
        <v>1913</v>
      </c>
      <c r="H57" s="85">
        <f ca="1">COUNTIFS(DCR!$R:$R,"Yes",DCR!$B:$B,"*Sameer*",DCR!$N:$N,"*Follow*",DCR!$AB:$AB,Dashboard!$L$2)</f>
        <v>0</v>
      </c>
      <c r="I57" s="90">
        <f ca="1">H57/COUNTIFS(DCR!$N:$N,"*Follow*",DCR!$B:$B,"*Sameer*",DCR!$AB:$AB,Dashboard!$L$2)</f>
        <v>0</v>
      </c>
      <c r="K57" s="132" t="s">
        <v>1967</v>
      </c>
      <c r="L57" s="102">
        <f>COUNTIFS(DCR!$AB:$AB,$L$2,DCR!$N:$N,"*Follow*")</f>
        <v>6</v>
      </c>
      <c r="M57" s="16"/>
    </row>
    <row r="58" spans="1:13" ht="16.5" x14ac:dyDescent="0.45">
      <c r="A58" s="96" t="s">
        <v>1914</v>
      </c>
      <c r="B58" s="97">
        <f>SUMIFS(DCR!$T:$T,DCR!$AB:$AB,$L$2,DCR!$B:$B,"*Bashab*")</f>
        <v>1160000</v>
      </c>
      <c r="C58" s="97">
        <f>SUMIFS(DCR!$U:$U,DCR!$AB:$AB,$L$2,DCR!$B:$B,"*Bashab*")</f>
        <v>556277</v>
      </c>
      <c r="D58" s="98">
        <f>COUNTIFS(DCR!$AB:$AB,$L$2,DCR!$B:$B,"*Bashab*")</f>
        <v>11</v>
      </c>
      <c r="E58" s="98" t="str">
        <f t="shared" si="14"/>
        <v>48%</v>
      </c>
      <c r="F58" s="16"/>
      <c r="G58" s="87" t="s">
        <v>1914</v>
      </c>
      <c r="H58" s="85">
        <f ca="1">COUNTIFS(DCR!$R:$R,"Yes",DCR!$B:$B,"*Bashab*",DCR!$N:$N,"*Follow*",DCR!$AB:$AB,Dashboard!$L$2)</f>
        <v>0</v>
      </c>
      <c r="I58" s="91" t="e">
        <f ca="1">H58/COUNTIFS(DCR!$N:$N,"*Follow*",DCR!$B:$B,"*Bashab*",DCR!$AB:$AB,Dashboard!$L$2)</f>
        <v>#DIV/0!</v>
      </c>
      <c r="K58" s="133" t="s">
        <v>1951</v>
      </c>
      <c r="L58" s="103">
        <f>COUNTIFS(DCR!$AB:$AB,$L$2,DCR!$N:$N,"*Nego*")</f>
        <v>12</v>
      </c>
      <c r="M58" s="16"/>
    </row>
    <row r="59" spans="1:13" ht="16.5" x14ac:dyDescent="0.45">
      <c r="A59" s="93" t="s">
        <v>1915</v>
      </c>
      <c r="B59" s="94">
        <f>SUMIFS(DCR!$T:$T,DCR!$AB:$AB,$L$2,DCR!$B:$B,"*Vishwanath*")</f>
        <v>500000</v>
      </c>
      <c r="C59" s="94">
        <f>SUMIFS(DCR!$U:$U,DCR!$AB:$AB,$L$2,DCR!$B:$B,"*Vishwanath*")</f>
        <v>0</v>
      </c>
      <c r="D59" s="95">
        <f>COUNTIFS(DCR!$AB:$AB,$L$2,DCR!$B:$B,"*Vishwanath*")</f>
        <v>5</v>
      </c>
      <c r="E59" s="95" t="str">
        <f t="shared" si="14"/>
        <v>0%</v>
      </c>
      <c r="F59" s="16"/>
      <c r="G59" s="85" t="s">
        <v>1915</v>
      </c>
      <c r="H59" s="85">
        <f ca="1">COUNTIFS(DCR!$R:$R,"Yes",DCR!$B:$B,"*Vishwanath*",DCR!$N:$N,"*Follow*",DCR!$AB:$AB,Dashboard!$L$2)</f>
        <v>0</v>
      </c>
      <c r="I59" s="90">
        <f ca="1">IFERROR(H59/COUNTIFS(DCR!$N:$N,"*Follow*",DCR!$B:$B,"*Vishwanath*",DCR!$AB:$AB,Dashboard!$L$2),0)</f>
        <v>0</v>
      </c>
      <c r="K59" s="134" t="s">
        <v>1953</v>
      </c>
      <c r="L59" s="104">
        <f>COUNTIFS(DCR!$AB:$AB,$L$2,DCR!$N:$N,"*Confirm*")</f>
        <v>24</v>
      </c>
      <c r="M59" s="16"/>
    </row>
    <row r="60" spans="1:13" ht="16.5" x14ac:dyDescent="0.45">
      <c r="A60" s="96" t="s">
        <v>1916</v>
      </c>
      <c r="B60" s="97">
        <f>SUMIFS(DCR!$T:$T,DCR!$AB:$AB,$L$2,DCR!$B:$B,"*Pradeep*")</f>
        <v>1515000</v>
      </c>
      <c r="C60" s="97">
        <f>SUMIFS(DCR!$U:$U,DCR!$AB:$AB,$L$2,DCR!$B:$B,"*Pradeep*")</f>
        <v>735535</v>
      </c>
      <c r="D60" s="98">
        <f>COUNTIFS(DCR!$AB:$AB,$L$2,DCR!$B:$B,"*Pradeep*")</f>
        <v>43</v>
      </c>
      <c r="E60" s="98" t="str">
        <f t="shared" si="14"/>
        <v>49%</v>
      </c>
      <c r="F60" s="16"/>
      <c r="G60" s="87" t="s">
        <v>1916</v>
      </c>
      <c r="H60" s="85">
        <f ca="1">COUNTIFS(DCR!$R:$R,"Yes",DCR!$B:$B,"*Pradeep*",DCR!$N:$N,"*Follow*",DCR!$AB:$AB,Dashboard!$L$2)</f>
        <v>0</v>
      </c>
      <c r="I60" s="91">
        <f ca="1">H60/COUNTIFS(DCR!$N:$N,"*Follow*",DCR!$B:$B,"*Pradeep*",DCR!$AB:$AB,Dashboard!$L$2)</f>
        <v>0</v>
      </c>
      <c r="K60" s="135" t="s">
        <v>1968</v>
      </c>
      <c r="L60" s="105">
        <f>COUNTIFS(DCR!$AB:$AB,$L$2,DCR!$N:$N,"*Close*")</f>
        <v>27</v>
      </c>
      <c r="M60" s="16"/>
    </row>
    <row r="61" spans="1:13" ht="16.5" x14ac:dyDescent="0.45">
      <c r="A61" s="93" t="s">
        <v>1917</v>
      </c>
      <c r="B61" s="94">
        <f>SUMIFS(DCR!$T:$T,DCR!$AB:$AB,$L$2,DCR!$B:$B,"*Anushikha*")</f>
        <v>295000</v>
      </c>
      <c r="C61" s="94">
        <f>SUMIFS(DCR!$U:$U,DCR!$AB:$AB,$L$2,DCR!$B:$B,"*Anushikha*")</f>
        <v>349870</v>
      </c>
      <c r="D61" s="95">
        <f>COUNTIFS(DCR!$AB:$AB,$L$2,DCR!$B:$B,"*Anushikha*")</f>
        <v>6</v>
      </c>
      <c r="E61" s="95" t="str">
        <f t="shared" si="14"/>
        <v>119%</v>
      </c>
      <c r="F61" s="16"/>
      <c r="G61" s="85" t="s">
        <v>1917</v>
      </c>
      <c r="H61" s="85">
        <f ca="1">COUNTIFS(DCR!$R:$R,"Yes",DCR!$B:$B,"*Anushikha*",DCR!$N:$N,"*Follow*",DCR!$AB:$AB,Dashboard!$L$2)</f>
        <v>0</v>
      </c>
      <c r="I61" s="90">
        <f ca="1">IFERROR(H61/COUNTIFS(DCR!$N:$N,"*Follow*",DCR!$B:$B,"*Anushikha*",DCR!$AB:$AB,Dashboard!$L$2),0)</f>
        <v>0</v>
      </c>
      <c r="K61" s="136" t="s">
        <v>1969</v>
      </c>
      <c r="L61" s="106">
        <f>COUNTIFS(DCR!$AB:$AB,$L$2,DCR!$N:$N,"*Cancel*")</f>
        <v>6</v>
      </c>
      <c r="M61" s="16"/>
    </row>
    <row r="62" spans="1:13" ht="16.5" x14ac:dyDescent="0.45">
      <c r="A62" s="137" t="s">
        <v>1937</v>
      </c>
      <c r="B62" s="138">
        <f>SUM(B57:B61)</f>
        <v>7192000</v>
      </c>
      <c r="C62" s="138">
        <f>SUM(C57:C61)</f>
        <v>4669357</v>
      </c>
      <c r="D62" s="139">
        <f>SUM(D57:D61)</f>
        <v>80</v>
      </c>
      <c r="E62" s="139" t="str">
        <f t="shared" si="14"/>
        <v>65%</v>
      </c>
      <c r="F62" s="16"/>
      <c r="G62" s="137" t="s">
        <v>1937</v>
      </c>
      <c r="H62" s="128">
        <f ca="1">SUM(H57:H61)</f>
        <v>0</v>
      </c>
      <c r="I62" s="127">
        <f ca="1">H62/COUNTIFS(DCR!$N:$N,"*Follow*",DCR!$AB:$AB,Dashboard!$L$2)</f>
        <v>0</v>
      </c>
      <c r="M62" s="16"/>
    </row>
    <row r="63" spans="1:13" ht="16.5" x14ac:dyDescent="0.45">
      <c r="F63" s="16"/>
      <c r="I63" s="16"/>
      <c r="M63" s="16"/>
    </row>
    <row r="64" spans="1:13" ht="16.5" x14ac:dyDescent="0.45">
      <c r="F64" s="16"/>
      <c r="G64" s="16"/>
      <c r="H64" s="16"/>
      <c r="I64" s="16"/>
      <c r="M64" s="16"/>
    </row>
    <row r="65" spans="1:13" ht="16.5" x14ac:dyDescent="0.45">
      <c r="A65" s="16"/>
      <c r="B65" s="16"/>
      <c r="C65" s="16"/>
      <c r="D65" s="16"/>
      <c r="E65" s="16"/>
      <c r="F65" s="16"/>
      <c r="G65" s="16"/>
      <c r="H65" s="16"/>
      <c r="I65" s="16"/>
      <c r="L65" s="16"/>
      <c r="M65" s="16"/>
    </row>
    <row r="66" spans="1:13" ht="16.5" x14ac:dyDescent="0.45">
      <c r="G66" s="16"/>
      <c r="M66" s="16"/>
    </row>
    <row r="67" spans="1:13" ht="16.5" x14ac:dyDescent="0.45">
      <c r="G67" s="16"/>
      <c r="M67" s="16"/>
    </row>
    <row r="68" spans="1:13" ht="16.5" x14ac:dyDescent="0.45">
      <c r="G68" s="16"/>
      <c r="M68" s="16"/>
    </row>
    <row r="69" spans="1:13" ht="16.5" x14ac:dyDescent="0.45">
      <c r="G69" s="16"/>
      <c r="M69" s="16"/>
    </row>
    <row r="70" spans="1:13" ht="16.5" x14ac:dyDescent="0.45">
      <c r="G70" s="16"/>
      <c r="M70" s="16"/>
    </row>
    <row r="71" spans="1:13" ht="16.5" x14ac:dyDescent="0.45">
      <c r="A71" s="16"/>
      <c r="B71" s="16"/>
      <c r="C71" s="16"/>
      <c r="M71" s="16"/>
    </row>
    <row r="72" spans="1:13" ht="16.5" x14ac:dyDescent="0.45">
      <c r="L72" s="16"/>
      <c r="M72" s="16"/>
    </row>
    <row r="73" spans="1:13" ht="16.5" x14ac:dyDescent="0.45">
      <c r="L73" s="16"/>
      <c r="M73" s="16"/>
    </row>
    <row r="74" spans="1:13" ht="16.5" x14ac:dyDescent="0.45">
      <c r="L74" s="16"/>
      <c r="M74" s="16"/>
    </row>
    <row r="75" spans="1:13" ht="16.5" x14ac:dyDescent="0.45">
      <c r="L75" s="16"/>
      <c r="M75" s="16"/>
    </row>
    <row r="76" spans="1:13" ht="16.5" x14ac:dyDescent="0.45">
      <c r="L76" s="16"/>
      <c r="M76" s="16"/>
    </row>
    <row r="77" spans="1:13" ht="16.5" x14ac:dyDescent="0.45">
      <c r="L77" s="16"/>
      <c r="M77" s="16"/>
    </row>
    <row r="78" spans="1:13" ht="16.5" x14ac:dyDescent="0.45">
      <c r="L78" s="16"/>
      <c r="M78" s="16"/>
    </row>
    <row r="79" spans="1:13" ht="16.5" x14ac:dyDescent="0.45">
      <c r="H79" s="17"/>
      <c r="I79" s="17"/>
      <c r="J79" s="17"/>
      <c r="K79" s="17"/>
      <c r="L79" s="16"/>
      <c r="M79" s="16"/>
    </row>
    <row r="80" spans="1:13" ht="16.5" x14ac:dyDescent="0.45">
      <c r="J80" s="17"/>
      <c r="K80" s="17"/>
      <c r="L80" s="16"/>
      <c r="M80" s="16"/>
    </row>
    <row r="81" spans="8:13" ht="16.5" x14ac:dyDescent="0.45">
      <c r="J81" s="16"/>
      <c r="K81" s="16"/>
      <c r="L81" s="16"/>
      <c r="M81" s="16"/>
    </row>
    <row r="82" spans="8:13" ht="16.5" x14ac:dyDescent="0.45">
      <c r="J82" s="17"/>
      <c r="K82" s="17"/>
      <c r="L82" s="16"/>
      <c r="M82" s="16"/>
    </row>
    <row r="83" spans="8:13" ht="16.5" x14ac:dyDescent="0.45">
      <c r="J83" s="17"/>
      <c r="K83" s="17"/>
      <c r="L83" s="16"/>
      <c r="M83" s="16"/>
    </row>
    <row r="84" spans="8:13" ht="16.5" x14ac:dyDescent="0.45">
      <c r="J84" s="17"/>
      <c r="K84" s="17"/>
      <c r="L84" s="16"/>
      <c r="M84" s="16"/>
    </row>
    <row r="85" spans="8:13" ht="16.5" x14ac:dyDescent="0.45">
      <c r="J85" s="17"/>
      <c r="K85" s="17"/>
      <c r="L85" s="16"/>
      <c r="M85" s="16"/>
    </row>
    <row r="86" spans="8:13" ht="16.5" x14ac:dyDescent="0.45">
      <c r="J86" s="16"/>
      <c r="K86" s="16"/>
      <c r="L86" s="16"/>
      <c r="M86" s="16"/>
    </row>
    <row r="87" spans="8:13" ht="16.5" x14ac:dyDescent="0.45">
      <c r="J87" s="26"/>
      <c r="K87" s="26"/>
      <c r="L87" s="16"/>
      <c r="M87" s="16"/>
    </row>
    <row r="88" spans="8:13" ht="16.5" x14ac:dyDescent="0.45">
      <c r="I88" s="17"/>
      <c r="J88" s="17"/>
      <c r="K88" s="16"/>
      <c r="L88" s="16"/>
      <c r="M88" s="16"/>
    </row>
    <row r="89" spans="8:13" ht="16.5" x14ac:dyDescent="0.45">
      <c r="I89" s="17"/>
      <c r="J89" s="17"/>
      <c r="K89" s="17"/>
      <c r="L89" s="16"/>
      <c r="M89" s="16"/>
    </row>
    <row r="90" spans="8:13" ht="16.5" x14ac:dyDescent="0.45">
      <c r="H90" s="17"/>
      <c r="I90" s="17"/>
      <c r="J90" s="17"/>
      <c r="K90" s="17"/>
      <c r="L90" s="16"/>
      <c r="M90" s="16"/>
    </row>
    <row r="91" spans="8:13" ht="16.5" x14ac:dyDescent="0.45">
      <c r="H91" s="17"/>
      <c r="I91" s="17"/>
      <c r="J91" s="17"/>
      <c r="K91" s="17"/>
      <c r="L91" s="16"/>
      <c r="M91" s="16"/>
    </row>
    <row r="92" spans="8:13" ht="16.5" x14ac:dyDescent="0.45">
      <c r="H92" s="17"/>
      <c r="I92" s="17"/>
      <c r="J92" s="17"/>
      <c r="K92" s="17"/>
      <c r="L92" s="16"/>
      <c r="M92" s="16"/>
    </row>
    <row r="93" spans="8:13" ht="16.5" x14ac:dyDescent="0.45">
      <c r="H93" s="17"/>
      <c r="I93" s="17"/>
      <c r="J93" s="17"/>
      <c r="K93" s="17"/>
      <c r="L93" s="16"/>
      <c r="M93" s="16"/>
    </row>
    <row r="94" spans="8:13" ht="16.5" x14ac:dyDescent="0.45">
      <c r="H94" s="17"/>
      <c r="I94" s="17"/>
      <c r="J94" s="26"/>
      <c r="K94" s="26"/>
      <c r="L94" s="16"/>
      <c r="M94" s="16"/>
    </row>
    <row r="95" spans="8:13" x14ac:dyDescent="0.35">
      <c r="H95" s="17"/>
      <c r="I95" s="17"/>
      <c r="J95" s="17"/>
      <c r="K95" s="17"/>
      <c r="L95" s="17"/>
      <c r="M95" s="17"/>
    </row>
    <row r="96" spans="8:13" x14ac:dyDescent="0.35">
      <c r="H96" s="17"/>
      <c r="I96" s="17"/>
      <c r="J96" s="17"/>
      <c r="K96" s="17"/>
      <c r="L96" s="17"/>
      <c r="M96" s="17"/>
    </row>
    <row r="97" spans="8:13" x14ac:dyDescent="0.35">
      <c r="H97" s="17"/>
      <c r="I97" s="17"/>
      <c r="J97" s="17"/>
      <c r="K97" s="17"/>
      <c r="L97" s="17"/>
      <c r="M97" s="17"/>
    </row>
  </sheetData>
  <mergeCells count="5">
    <mergeCell ref="A2:K2"/>
    <mergeCell ref="A3:K3"/>
    <mergeCell ref="A4:K4"/>
    <mergeCell ref="J7:K7"/>
    <mergeCell ref="J8:K8"/>
  </mergeCells>
  <conditionalFormatting sqref="B38:D43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{A67EA529-FD0B-4F48-8D34-6F6514BD75EA}</x14:id>
        </ext>
      </extLst>
    </cfRule>
  </conditionalFormatting>
  <conditionalFormatting sqref="C22:C2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{725C0C07-59B2-49C9-83C5-4407CF434EAC}</x14:id>
        </ext>
      </extLst>
    </cfRule>
  </conditionalFormatting>
  <conditionalFormatting sqref="C57:C61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{1422E1EB-A77C-4CF8-8028-73C4902E7919}</x14:id>
        </ext>
      </extLst>
    </cfRule>
  </conditionalFormatting>
  <conditionalFormatting sqref="D13:D17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{5FBF665C-AECA-4B34-893D-B4F7BCC2C3E3}</x14:id>
        </ext>
      </extLst>
    </cfRule>
  </conditionalFormatting>
  <conditionalFormatting sqref="D22:D2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{C895FCCE-E34D-4138-8CC8-F02133E52E13}</x14:id>
        </ext>
      </extLst>
    </cfRule>
  </conditionalFormatting>
  <conditionalFormatting sqref="H13:J18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{665F7106-82BE-448B-87CB-49EF22134682}</x14:id>
        </ext>
      </extLst>
    </cfRule>
  </conditionalFormatting>
  <dataValidations count="1">
    <dataValidation type="list" allowBlank="1" showInputMessage="1" showErrorMessage="1" sqref="L2" xr:uid="{452A2DDB-0625-4A01-A06B-F2CFB4CD6EF3}">
      <formula1>$X$2:$X$19</formula1>
    </dataValidation>
  </dataValidations>
  <pageMargins left="0.7" right="0.7" top="0.75" bottom="0.75" header="0.3" footer="0.3"/>
  <pageSetup scale="47" orientation="portrait" r:id="rId1"/>
  <colBreaks count="1" manualBreakCount="1">
    <brk id="13" max="1048575" man="1"/>
  </col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67EA529-FD0B-4F48-8D34-6F6514BD75E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B38:D43</xm:sqref>
        </x14:conditionalFormatting>
        <x14:conditionalFormatting xmlns:xm="http://schemas.microsoft.com/office/excel/2006/main">
          <x14:cfRule type="dataBar" id="{725C0C07-59B2-49C9-83C5-4407CF434EA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C22:C26</xm:sqref>
        </x14:conditionalFormatting>
        <x14:conditionalFormatting xmlns:xm="http://schemas.microsoft.com/office/excel/2006/main">
          <x14:cfRule type="dataBar" id="{1422E1EB-A77C-4CF8-8028-73C4902E791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C57:C61</xm:sqref>
        </x14:conditionalFormatting>
        <x14:conditionalFormatting xmlns:xm="http://schemas.microsoft.com/office/excel/2006/main">
          <x14:cfRule type="dataBar" id="{5FBF665C-AECA-4B34-893D-B4F7BCC2C3E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D13:D17</xm:sqref>
        </x14:conditionalFormatting>
        <x14:conditionalFormatting xmlns:xm="http://schemas.microsoft.com/office/excel/2006/main">
          <x14:cfRule type="dataBar" id="{C895FCCE-E34D-4138-8CC8-F02133E52E1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D22:D26</xm:sqref>
        </x14:conditionalFormatting>
        <x14:conditionalFormatting xmlns:xm="http://schemas.microsoft.com/office/excel/2006/main">
          <x14:cfRule type="dataBar" id="{665F7106-82BE-448B-87CB-49EF2213468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H13:J18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55A0E-E873-4F50-B132-FFB08D2D1B33}">
  <sheetPr codeName="Sheet3"/>
  <dimension ref="A1:M60"/>
  <sheetViews>
    <sheetView workbookViewId="0">
      <selection activeCell="AD1" sqref="AD1"/>
    </sheetView>
  </sheetViews>
  <sheetFormatPr defaultColWidth="8.81640625" defaultRowHeight="14.5" x14ac:dyDescent="0.35"/>
  <cols>
    <col min="5" max="5" width="40.54296875" customWidth="1"/>
    <col min="7" max="7" width="12.453125" bestFit="1" customWidth="1"/>
    <col min="8" max="8" width="26.81640625" bestFit="1" customWidth="1"/>
    <col min="9" max="9" width="13.6328125" bestFit="1" customWidth="1"/>
    <col min="10" max="10" width="11.453125" bestFit="1" customWidth="1"/>
    <col min="11" max="11" width="21.81640625" bestFit="1" customWidth="1"/>
    <col min="12" max="12" width="15.453125" bestFit="1" customWidth="1"/>
    <col min="13" max="13" width="14.453125" bestFit="1" customWidth="1"/>
    <col min="14" max="35" width="16.81640625" bestFit="1" customWidth="1"/>
    <col min="36" max="36" width="11.453125" bestFit="1" customWidth="1"/>
  </cols>
  <sheetData>
    <row r="1" spans="1:13" x14ac:dyDescent="0.35">
      <c r="A1" s="7" t="s">
        <v>88</v>
      </c>
      <c r="B1" s="7" t="s">
        <v>1970</v>
      </c>
      <c r="G1" s="81" t="s">
        <v>88</v>
      </c>
      <c r="H1" t="s" vm="1">
        <v>6</v>
      </c>
      <c r="K1" t="str">
        <f>Dashboard!L2</f>
        <v>Oct-26</v>
      </c>
    </row>
    <row r="2" spans="1:13" x14ac:dyDescent="0.35">
      <c r="A2" s="8">
        <v>46138</v>
      </c>
      <c r="B2" s="9">
        <v>0</v>
      </c>
    </row>
    <row r="3" spans="1:13" x14ac:dyDescent="0.35">
      <c r="A3" s="8">
        <v>46168</v>
      </c>
      <c r="B3" s="9">
        <v>0</v>
      </c>
      <c r="G3" s="81" t="s">
        <v>4</v>
      </c>
      <c r="H3" t="s">
        <v>2</v>
      </c>
      <c r="I3" t="s">
        <v>1971</v>
      </c>
      <c r="K3" s="13" t="s">
        <v>4</v>
      </c>
      <c r="L3" s="13" t="s">
        <v>1972</v>
      </c>
      <c r="M3" s="13" t="s">
        <v>1973</v>
      </c>
    </row>
    <row r="4" spans="1:13" x14ac:dyDescent="0.35">
      <c r="A4" s="8">
        <v>46199</v>
      </c>
      <c r="B4" s="9">
        <v>0</v>
      </c>
      <c r="C4" s="5" t="s">
        <v>56</v>
      </c>
      <c r="E4" s="1" t="s">
        <v>1974</v>
      </c>
      <c r="G4" s="82" t="s">
        <v>30</v>
      </c>
      <c r="H4" s="230">
        <v>1108376</v>
      </c>
      <c r="I4" s="230">
        <v>21</v>
      </c>
      <c r="K4" s="15" t="s">
        <v>30</v>
      </c>
      <c r="L4" s="3">
        <f>SUMIFS(DCR!$U:$U,DCR!$X:$X,Sheet2!$K4,DCR!$AB:$AB,Sheet2!$K$1)</f>
        <v>68854</v>
      </c>
      <c r="M4" s="3">
        <f>COUNTIFS(DCR!$X:$X,Sheet2!$K4,DCR!$AB:$AB,Sheet2!$K$1)</f>
        <v>2</v>
      </c>
    </row>
    <row r="5" spans="1:13" x14ac:dyDescent="0.35">
      <c r="A5" s="8">
        <v>46229</v>
      </c>
      <c r="B5" s="9">
        <v>0</v>
      </c>
      <c r="C5" s="6" t="s">
        <v>26</v>
      </c>
      <c r="E5" t="s">
        <v>563</v>
      </c>
      <c r="G5" s="82" t="s">
        <v>39</v>
      </c>
      <c r="H5" s="230">
        <v>149477</v>
      </c>
      <c r="I5" s="230">
        <v>18</v>
      </c>
      <c r="K5" s="15" t="s">
        <v>27</v>
      </c>
      <c r="L5" s="3">
        <f>SUMIFS(DCR!$U:$U,DCR!$X:$X,Sheet2!$K5,DCR!$AB:$AB,Sheet2!$K$1)</f>
        <v>975670</v>
      </c>
      <c r="M5" s="3">
        <f>COUNTIFS(DCR!$X:$X,Sheet2!$K5,DCR!$AB:$AB,Sheet2!$K$1)</f>
        <v>12</v>
      </c>
    </row>
    <row r="6" spans="1:13" x14ac:dyDescent="0.35">
      <c r="A6" s="8">
        <v>46260</v>
      </c>
      <c r="B6" s="9">
        <v>0</v>
      </c>
      <c r="C6" s="5" t="s">
        <v>52</v>
      </c>
      <c r="E6" t="s">
        <v>178</v>
      </c>
      <c r="G6" s="82" t="s">
        <v>37</v>
      </c>
      <c r="H6" s="230">
        <v>500385</v>
      </c>
      <c r="I6" s="230">
        <v>14</v>
      </c>
      <c r="K6" s="15" t="s">
        <v>62</v>
      </c>
      <c r="L6" s="3">
        <f>SUMIFS(DCR!$U:$U,DCR!$X:$X,Sheet2!$K6,DCR!$AB:$AB,Sheet2!$K$1)</f>
        <v>0</v>
      </c>
      <c r="M6" s="3">
        <f>COUNTIFS(DCR!$X:$X,Sheet2!$K6,DCR!$AB:$AB,Sheet2!$K$1)</f>
        <v>0</v>
      </c>
    </row>
    <row r="7" spans="1:13" x14ac:dyDescent="0.35">
      <c r="A7" s="8">
        <v>46291</v>
      </c>
      <c r="B7" s="9">
        <v>0</v>
      </c>
      <c r="C7" s="5" t="s">
        <v>33</v>
      </c>
      <c r="E7" t="s">
        <v>136</v>
      </c>
      <c r="G7" s="82" t="s">
        <v>62</v>
      </c>
      <c r="H7" s="230">
        <v>109559</v>
      </c>
      <c r="I7" s="230">
        <v>14</v>
      </c>
      <c r="K7" s="15" t="s">
        <v>44</v>
      </c>
      <c r="L7" s="3">
        <f>SUMIFS(DCR!$U:$U,DCR!$X:$X,Sheet2!$K7,DCR!$AB:$AB,Sheet2!$K$1)</f>
        <v>0</v>
      </c>
      <c r="M7" s="3">
        <f>COUNTIFS(DCR!$X:$X,Sheet2!$K7,DCR!$AB:$AB,Sheet2!$K$1)</f>
        <v>0</v>
      </c>
    </row>
    <row r="8" spans="1:13" x14ac:dyDescent="0.35">
      <c r="A8" s="8">
        <v>46321</v>
      </c>
      <c r="B8" s="9">
        <v>0</v>
      </c>
      <c r="C8" s="5" t="s">
        <v>45</v>
      </c>
      <c r="E8" t="s">
        <v>897</v>
      </c>
      <c r="G8" s="82" t="s">
        <v>35</v>
      </c>
      <c r="H8" s="230">
        <v>284946</v>
      </c>
      <c r="I8" s="230">
        <v>12</v>
      </c>
      <c r="K8" s="15" t="s">
        <v>35</v>
      </c>
      <c r="L8" s="3">
        <f>SUMIFS(DCR!$U:$U,DCR!$X:$X,Sheet2!$K8,DCR!$AB:$AB,Sheet2!$K$1)</f>
        <v>0</v>
      </c>
      <c r="M8" s="3">
        <f>COUNTIFS(DCR!$X:$X,Sheet2!$K8,DCR!$AB:$AB,Sheet2!$K$1)</f>
        <v>0</v>
      </c>
    </row>
    <row r="9" spans="1:13" x14ac:dyDescent="0.35">
      <c r="A9" s="8">
        <v>46352</v>
      </c>
      <c r="B9" s="9">
        <v>0</v>
      </c>
      <c r="C9" s="5" t="s">
        <v>28</v>
      </c>
      <c r="E9" t="s">
        <v>1495</v>
      </c>
      <c r="G9" s="82" t="s">
        <v>47</v>
      </c>
      <c r="H9" s="230">
        <v>198708</v>
      </c>
      <c r="I9" s="230">
        <v>11</v>
      </c>
      <c r="K9" s="15" t="s">
        <v>55</v>
      </c>
      <c r="L9" s="3">
        <f>SUMIFS(DCR!$U:$U,DCR!$X:$X,Sheet2!$K9,DCR!$AB:$AB,Sheet2!$K$1)</f>
        <v>0</v>
      </c>
      <c r="M9" s="3">
        <f>COUNTIFS(DCR!$X:$X,Sheet2!$K9,DCR!$AB:$AB,Sheet2!$K$1)</f>
        <v>0</v>
      </c>
    </row>
    <row r="10" spans="1:13" x14ac:dyDescent="0.35">
      <c r="A10" s="8">
        <v>46382</v>
      </c>
      <c r="B10" s="9">
        <v>0</v>
      </c>
      <c r="C10" s="5" t="s">
        <v>61</v>
      </c>
      <c r="E10" t="s">
        <v>746</v>
      </c>
      <c r="G10" s="82" t="s">
        <v>27</v>
      </c>
      <c r="H10" s="230">
        <v>286497</v>
      </c>
      <c r="I10" s="230">
        <v>5</v>
      </c>
      <c r="K10" s="15" t="s">
        <v>39</v>
      </c>
      <c r="L10" s="3">
        <f>SUMIFS(DCR!$U:$U,DCR!$X:$X,Sheet2!$K10,DCR!$AB:$AB,Sheet2!$K$1)</f>
        <v>0</v>
      </c>
      <c r="M10" s="3">
        <f>COUNTIFS(DCR!$X:$X,Sheet2!$K10,DCR!$AB:$AB,Sheet2!$K$1)</f>
        <v>0</v>
      </c>
    </row>
    <row r="11" spans="1:13" x14ac:dyDescent="0.35">
      <c r="A11" s="8">
        <v>46049</v>
      </c>
      <c r="B11" s="9">
        <v>0</v>
      </c>
      <c r="C11" s="5" t="s">
        <v>31</v>
      </c>
      <c r="E11" t="s">
        <v>1560</v>
      </c>
      <c r="G11" s="82" t="s">
        <v>56</v>
      </c>
      <c r="H11" s="230">
        <v>24283</v>
      </c>
      <c r="I11" s="230">
        <v>3</v>
      </c>
      <c r="K11" s="15" t="s">
        <v>37</v>
      </c>
      <c r="L11" s="3">
        <f>SUMIFS(DCR!$U:$U,DCR!$X:$X,Sheet2!$K11,DCR!$AB:$AB,Sheet2!$K$1)</f>
        <v>0</v>
      </c>
      <c r="M11" s="3">
        <f>COUNTIFS(DCR!$X:$X,Sheet2!$K11,DCR!$AB:$AB,Sheet2!$K$1)</f>
        <v>0</v>
      </c>
    </row>
    <row r="12" spans="1:13" x14ac:dyDescent="0.35">
      <c r="A12" s="8">
        <v>46080</v>
      </c>
      <c r="B12" s="9">
        <v>0</v>
      </c>
      <c r="C12" s="5" t="s">
        <v>60</v>
      </c>
      <c r="E12" t="s">
        <v>923</v>
      </c>
      <c r="G12" s="82" t="s">
        <v>44</v>
      </c>
      <c r="H12" s="230">
        <v>47810</v>
      </c>
      <c r="I12" s="230">
        <v>2</v>
      </c>
      <c r="K12" s="15" t="s">
        <v>34</v>
      </c>
      <c r="L12" s="3">
        <f>SUMIFS(DCR!$U:$U,DCR!$X:$X,Sheet2!$K12,DCR!$AB:$AB,Sheet2!$K$1)</f>
        <v>0</v>
      </c>
      <c r="M12" s="3">
        <f>COUNTIFS(DCR!$X:$X,Sheet2!$K12,DCR!$AB:$AB,Sheet2!$K$1)</f>
        <v>0</v>
      </c>
    </row>
    <row r="13" spans="1:13" x14ac:dyDescent="0.35">
      <c r="A13" s="8">
        <v>46108</v>
      </c>
      <c r="B13" s="9">
        <v>0</v>
      </c>
      <c r="C13" s="5" t="s">
        <v>1975</v>
      </c>
      <c r="E13" t="s">
        <v>1487</v>
      </c>
      <c r="G13" s="82" t="s">
        <v>45</v>
      </c>
      <c r="H13" s="230">
        <v>9808</v>
      </c>
      <c r="I13" s="230">
        <v>1</v>
      </c>
      <c r="K13" s="15" t="s">
        <v>50</v>
      </c>
      <c r="L13" s="3">
        <f>SUMIFS(DCR!$U:$U,DCR!$X:$X,Sheet2!$K13,DCR!$AB:$AB,Sheet2!$K$1)</f>
        <v>75000</v>
      </c>
      <c r="M13" s="3">
        <f>COUNTIFS(DCR!$X:$X,Sheet2!$K13,DCR!$AB:$AB,Sheet2!$K$1)</f>
        <v>2</v>
      </c>
    </row>
    <row r="14" spans="1:13" x14ac:dyDescent="0.35">
      <c r="C14" s="2" t="s">
        <v>30</v>
      </c>
      <c r="E14" t="s">
        <v>438</v>
      </c>
      <c r="G14" s="82" t="s">
        <v>34</v>
      </c>
      <c r="H14" s="230">
        <v>2790</v>
      </c>
      <c r="I14" s="230">
        <v>1</v>
      </c>
      <c r="K14" s="15" t="s">
        <v>29</v>
      </c>
      <c r="L14" s="3">
        <f>SUMIFS(DCR!$U:$U,DCR!$X:$X,Sheet2!$K14,DCR!$AB:$AB,Sheet2!$K$1)</f>
        <v>0</v>
      </c>
      <c r="M14" s="3">
        <f>COUNTIFS(DCR!$X:$X,Sheet2!$K14,DCR!$AB:$AB,Sheet2!$K$1)</f>
        <v>0</v>
      </c>
    </row>
    <row r="15" spans="1:13" x14ac:dyDescent="0.35">
      <c r="C15" s="2" t="s">
        <v>1976</v>
      </c>
      <c r="E15" t="s">
        <v>754</v>
      </c>
      <c r="G15" s="82" t="s">
        <v>42</v>
      </c>
      <c r="H15" s="230">
        <v>12780</v>
      </c>
      <c r="I15" s="230">
        <v>1</v>
      </c>
      <c r="K15" s="15" t="s">
        <v>47</v>
      </c>
      <c r="L15" s="3">
        <f>SUMIFS(DCR!$U:$U,DCR!$X:$X,Sheet2!$K15,DCR!$AB:$AB,Sheet2!$K$1)</f>
        <v>0</v>
      </c>
      <c r="M15" s="3">
        <f>COUNTIFS(DCR!$X:$X,Sheet2!$K15,DCR!$AB:$AB,Sheet2!$K$1)</f>
        <v>0</v>
      </c>
    </row>
    <row r="16" spans="1:13" x14ac:dyDescent="0.35">
      <c r="C16" s="2" t="s">
        <v>50</v>
      </c>
      <c r="E16" t="s">
        <v>153</v>
      </c>
      <c r="G16" s="82" t="s">
        <v>9</v>
      </c>
      <c r="H16" s="230">
        <v>2735419</v>
      </c>
      <c r="I16" s="230">
        <v>103</v>
      </c>
      <c r="K16" s="15" t="s">
        <v>31</v>
      </c>
      <c r="L16" s="3">
        <f>SUMIFS(DCR!$U:$U,DCR!$X:$X,Sheet2!$K16,DCR!$AB:$AB,Sheet2!$K$1)</f>
        <v>8296</v>
      </c>
      <c r="M16" s="3">
        <f>COUNTIFS(DCR!$X:$X,Sheet2!$K16,DCR!$AB:$AB,Sheet2!$K$1)</f>
        <v>1</v>
      </c>
    </row>
    <row r="17" spans="3:13" x14ac:dyDescent="0.35">
      <c r="C17" s="2" t="s">
        <v>27</v>
      </c>
      <c r="E17" t="s">
        <v>388</v>
      </c>
      <c r="K17" s="15" t="s">
        <v>26</v>
      </c>
      <c r="L17" s="3">
        <f>SUMIFS(DCR!$U:$U,DCR!$X:$X,Sheet2!$K17,DCR!$AB:$AB,Sheet2!$K$1)</f>
        <v>6165</v>
      </c>
      <c r="M17" s="3">
        <f>COUNTIFS(DCR!$X:$X,Sheet2!$K17,DCR!$AB:$AB,Sheet2!$K$1)</f>
        <v>2</v>
      </c>
    </row>
    <row r="18" spans="3:13" x14ac:dyDescent="0.35">
      <c r="C18" s="2" t="s">
        <v>1977</v>
      </c>
      <c r="E18" t="s">
        <v>99</v>
      </c>
      <c r="K18" s="15" t="s">
        <v>56</v>
      </c>
      <c r="L18" s="3">
        <f>SUMIFS(DCR!$U:$U,DCR!$X:$X,Sheet2!$K18,DCR!$AB:$AB,Sheet2!$K$1)</f>
        <v>3048848</v>
      </c>
      <c r="M18" s="3">
        <f>COUNTIFS(DCR!$X:$X,Sheet2!$K18,DCR!$AB:$AB,Sheet2!$K$1)</f>
        <v>5</v>
      </c>
    </row>
    <row r="19" spans="3:13" x14ac:dyDescent="0.35">
      <c r="C19" s="2" t="s">
        <v>55</v>
      </c>
      <c r="E19" t="s">
        <v>262</v>
      </c>
      <c r="K19" s="15" t="s">
        <v>42</v>
      </c>
      <c r="L19" s="3">
        <f>SUMIFS(DCR!$U:$U,DCR!$X:$X,Sheet2!$K19,DCR!$AB:$AB,Sheet2!$K$1)</f>
        <v>0</v>
      </c>
      <c r="M19" s="3">
        <f>COUNTIFS(DCR!$X:$X,Sheet2!$K19,DCR!$AB:$AB,Sheet2!$K$1)</f>
        <v>0</v>
      </c>
    </row>
    <row r="20" spans="3:13" x14ac:dyDescent="0.35">
      <c r="C20" s="2" t="s">
        <v>44</v>
      </c>
      <c r="E20" t="s">
        <v>960</v>
      </c>
      <c r="K20" s="15" t="s">
        <v>51</v>
      </c>
      <c r="L20" s="3">
        <f>SUMIFS(DCR!$U:$U,DCR!$X:$X,Sheet2!$K20,DCR!$AB:$AB,Sheet2!$K$1)</f>
        <v>0</v>
      </c>
      <c r="M20" s="3">
        <f>COUNTIFS(DCR!$X:$X,Sheet2!$K20,DCR!$AB:$AB,Sheet2!$K$1)</f>
        <v>0</v>
      </c>
    </row>
    <row r="21" spans="3:13" x14ac:dyDescent="0.35">
      <c r="C21" s="2" t="s">
        <v>36</v>
      </c>
      <c r="E21" t="s">
        <v>422</v>
      </c>
      <c r="K21" s="15" t="s">
        <v>32</v>
      </c>
      <c r="L21" s="3">
        <f>SUMIFS(DCR!$U:$U,DCR!$X:$X,Sheet2!$K21,DCR!$AB:$AB,Sheet2!$K$1)</f>
        <v>0</v>
      </c>
      <c r="M21" s="3">
        <f>COUNTIFS(DCR!$X:$X,Sheet2!$K21,DCR!$AB:$AB,Sheet2!$K$1)</f>
        <v>0</v>
      </c>
    </row>
    <row r="22" spans="3:13" x14ac:dyDescent="0.35">
      <c r="C22" s="2" t="s">
        <v>49</v>
      </c>
      <c r="E22" t="s">
        <v>638</v>
      </c>
      <c r="K22" s="15" t="s">
        <v>40</v>
      </c>
      <c r="L22" s="3">
        <f>SUMIFS(DCR!$U:$U,DCR!$X:$X,Sheet2!$K22,DCR!$AB:$AB,Sheet2!$K$1)</f>
        <v>0</v>
      </c>
      <c r="M22" s="3">
        <f>COUNTIFS(DCR!$X:$X,Sheet2!$K22,DCR!$AB:$AB,Sheet2!$K$1)</f>
        <v>0</v>
      </c>
    </row>
    <row r="23" spans="3:13" x14ac:dyDescent="0.35">
      <c r="C23" s="2" t="s">
        <v>48</v>
      </c>
      <c r="E23" t="s">
        <v>356</v>
      </c>
      <c r="K23" s="114" t="s">
        <v>9</v>
      </c>
      <c r="L23" s="13">
        <f>SUM(L4:L22)</f>
        <v>4182833</v>
      </c>
      <c r="M23" s="13">
        <f>SUM(M4:M22)</f>
        <v>24</v>
      </c>
    </row>
    <row r="24" spans="3:13" ht="15" thickBot="1" x14ac:dyDescent="0.4">
      <c r="C24" s="2" t="s">
        <v>57</v>
      </c>
      <c r="E24" t="s">
        <v>374</v>
      </c>
      <c r="G24" s="146" t="s">
        <v>1978</v>
      </c>
      <c r="H24" s="147" t="s">
        <v>1979</v>
      </c>
    </row>
    <row r="25" spans="3:13" x14ac:dyDescent="0.35">
      <c r="C25" s="2" t="s">
        <v>41</v>
      </c>
      <c r="E25" t="s">
        <v>147</v>
      </c>
      <c r="G25" s="148">
        <v>46174</v>
      </c>
      <c r="H25" s="149">
        <v>4.0231829539504514E-2</v>
      </c>
    </row>
    <row r="26" spans="3:13" x14ac:dyDescent="0.35">
      <c r="C26" s="2" t="s">
        <v>58</v>
      </c>
      <c r="E26" t="s">
        <v>432</v>
      </c>
      <c r="G26" s="148">
        <v>46175</v>
      </c>
      <c r="H26" s="150">
        <v>1.5640722304604799E-2</v>
      </c>
    </row>
    <row r="27" spans="3:13" x14ac:dyDescent="0.35">
      <c r="C27" s="2" t="s">
        <v>42</v>
      </c>
      <c r="E27" t="s">
        <v>1980</v>
      </c>
      <c r="G27" s="148">
        <v>46176</v>
      </c>
      <c r="H27" s="150">
        <v>1.5511823447816766E-2</v>
      </c>
    </row>
    <row r="28" spans="3:13" x14ac:dyDescent="0.35">
      <c r="C28" s="2" t="s">
        <v>53</v>
      </c>
      <c r="E28" t="s">
        <v>1117</v>
      </c>
      <c r="G28" s="148">
        <v>46177</v>
      </c>
      <c r="H28" s="150">
        <v>2.0978014188294383E-2</v>
      </c>
    </row>
    <row r="29" spans="3:13" x14ac:dyDescent="0.35">
      <c r="C29" s="2" t="s">
        <v>1865</v>
      </c>
      <c r="E29" t="s">
        <v>197</v>
      </c>
      <c r="G29" s="148">
        <v>46178</v>
      </c>
      <c r="H29" s="150">
        <v>2.3614396165376764E-2</v>
      </c>
    </row>
    <row r="30" spans="3:13" x14ac:dyDescent="0.35">
      <c r="C30" s="2" t="s">
        <v>34</v>
      </c>
      <c r="E30" t="s">
        <v>698</v>
      </c>
      <c r="G30" s="148">
        <v>46179</v>
      </c>
      <c r="H30" s="150">
        <v>1.6434054732558424E-2</v>
      </c>
    </row>
    <row r="31" spans="3:13" x14ac:dyDescent="0.35">
      <c r="C31" s="2" t="s">
        <v>38</v>
      </c>
      <c r="E31" t="s">
        <v>166</v>
      </c>
      <c r="G31" s="148">
        <v>46180</v>
      </c>
      <c r="H31" s="150">
        <v>1.8076769395863147E-2</v>
      </c>
    </row>
    <row r="32" spans="3:13" x14ac:dyDescent="0.35">
      <c r="C32" s="2" t="s">
        <v>1981</v>
      </c>
      <c r="E32" t="s">
        <v>1352</v>
      </c>
      <c r="G32" s="148">
        <v>46181</v>
      </c>
      <c r="H32" s="150">
        <v>7.6146096884525619E-3</v>
      </c>
    </row>
    <row r="33" spans="3:8" x14ac:dyDescent="0.35">
      <c r="C33" s="2" t="s">
        <v>1982</v>
      </c>
      <c r="E33" t="s">
        <v>266</v>
      </c>
      <c r="G33" s="148">
        <v>46182</v>
      </c>
      <c r="H33" s="150">
        <v>2.6454881082561995E-2</v>
      </c>
    </row>
    <row r="34" spans="3:8" x14ac:dyDescent="0.35">
      <c r="C34" s="2" t="s">
        <v>1983</v>
      </c>
      <c r="E34" t="s">
        <v>378</v>
      </c>
      <c r="G34" s="148">
        <v>46183</v>
      </c>
      <c r="H34" s="150">
        <v>5.4728476363702018E-2</v>
      </c>
    </row>
    <row r="35" spans="3:8" x14ac:dyDescent="0.35">
      <c r="C35" s="2" t="s">
        <v>25</v>
      </c>
      <c r="E35" t="s">
        <v>416</v>
      </c>
      <c r="G35" s="148">
        <v>46184</v>
      </c>
      <c r="H35" s="150">
        <v>5.0100206693477423E-2</v>
      </c>
    </row>
    <row r="36" spans="3:8" x14ac:dyDescent="0.35">
      <c r="C36" s="2" t="s">
        <v>1984</v>
      </c>
      <c r="G36" s="148">
        <v>46185</v>
      </c>
      <c r="H36" s="150">
        <v>5.8217066616844615E-2</v>
      </c>
    </row>
    <row r="37" spans="3:8" x14ac:dyDescent="0.35">
      <c r="C37" s="2" t="s">
        <v>29</v>
      </c>
      <c r="G37" s="148">
        <v>46186</v>
      </c>
      <c r="H37" s="150">
        <v>4.4271497730924814E-2</v>
      </c>
    </row>
    <row r="38" spans="3:8" x14ac:dyDescent="0.35">
      <c r="C38" s="2" t="s">
        <v>32</v>
      </c>
      <c r="G38" s="148">
        <v>46187</v>
      </c>
      <c r="H38" s="150">
        <v>9.3730350185694429E-3</v>
      </c>
    </row>
    <row r="39" spans="3:8" x14ac:dyDescent="0.35">
      <c r="C39" s="2" t="s">
        <v>35</v>
      </c>
      <c r="G39" s="148">
        <v>46188</v>
      </c>
      <c r="H39" s="150">
        <v>1.2552330816325409E-2</v>
      </c>
    </row>
    <row r="40" spans="3:8" x14ac:dyDescent="0.35">
      <c r="C40" s="2" t="s">
        <v>37</v>
      </c>
      <c r="G40" s="148">
        <v>46189</v>
      </c>
      <c r="H40" s="150">
        <v>3.8734969977242524E-2</v>
      </c>
    </row>
    <row r="41" spans="3:8" x14ac:dyDescent="0.35">
      <c r="C41" s="2" t="s">
        <v>39</v>
      </c>
      <c r="G41" s="148">
        <v>46190</v>
      </c>
      <c r="H41" s="150">
        <v>0.13150540833540708</v>
      </c>
    </row>
    <row r="42" spans="3:8" x14ac:dyDescent="0.35">
      <c r="C42" s="2" t="s">
        <v>47</v>
      </c>
      <c r="G42" s="148">
        <v>46191</v>
      </c>
      <c r="H42" s="150">
        <v>7.2705706325699615E-2</v>
      </c>
    </row>
    <row r="43" spans="3:8" x14ac:dyDescent="0.35">
      <c r="C43" s="2" t="s">
        <v>62</v>
      </c>
      <c r="G43" s="148">
        <v>46192</v>
      </c>
      <c r="H43" s="150">
        <v>1.6308609925525977E-2</v>
      </c>
    </row>
    <row r="44" spans="3:8" x14ac:dyDescent="0.35">
      <c r="C44" s="2" t="s">
        <v>1985</v>
      </c>
      <c r="G44" s="148">
        <v>46193</v>
      </c>
      <c r="H44" s="150">
        <v>2.103594802283127E-2</v>
      </c>
    </row>
    <row r="45" spans="3:8" x14ac:dyDescent="0.35">
      <c r="C45" s="2" t="s">
        <v>1986</v>
      </c>
      <c r="G45" s="148">
        <v>46194</v>
      </c>
      <c r="H45" s="150">
        <v>2.9571375975670929E-3</v>
      </c>
    </row>
    <row r="46" spans="3:8" x14ac:dyDescent="0.35">
      <c r="C46" s="2" t="s">
        <v>1987</v>
      </c>
      <c r="G46" s="148">
        <v>46195</v>
      </c>
      <c r="H46" s="150">
        <v>5.471371815110997E-3</v>
      </c>
    </row>
    <row r="47" spans="3:8" x14ac:dyDescent="0.35">
      <c r="C47" s="2" t="s">
        <v>1988</v>
      </c>
      <c r="G47" s="148">
        <v>46196</v>
      </c>
      <c r="H47" s="150">
        <v>2.4127636558604625E-2</v>
      </c>
    </row>
    <row r="48" spans="3:8" x14ac:dyDescent="0.35">
      <c r="C48" s="2" t="s">
        <v>54</v>
      </c>
      <c r="G48" s="148">
        <v>46197</v>
      </c>
      <c r="H48" s="150">
        <v>3.2808291603440551E-2</v>
      </c>
    </row>
    <row r="49" spans="3:8" x14ac:dyDescent="0.35">
      <c r="C49" s="2" t="s">
        <v>1989</v>
      </c>
      <c r="G49" s="148">
        <v>46198</v>
      </c>
      <c r="H49" s="150">
        <v>9.8780484932885465E-2</v>
      </c>
    </row>
    <row r="50" spans="3:8" x14ac:dyDescent="0.35">
      <c r="C50" s="2" t="s">
        <v>1990</v>
      </c>
      <c r="G50" s="148">
        <v>46199</v>
      </c>
      <c r="H50" s="150">
        <v>5.768451494543779E-2</v>
      </c>
    </row>
    <row r="51" spans="3:8" x14ac:dyDescent="0.35">
      <c r="C51" s="2" t="s">
        <v>1991</v>
      </c>
      <c r="G51" s="148">
        <v>46200</v>
      </c>
      <c r="H51" s="150">
        <v>2.431415524540631E-2</v>
      </c>
    </row>
    <row r="52" spans="3:8" x14ac:dyDescent="0.35">
      <c r="C52" s="2" t="s">
        <v>1992</v>
      </c>
      <c r="G52" s="148">
        <v>46201</v>
      </c>
      <c r="H52" s="150">
        <v>3.1871459108368458E-3</v>
      </c>
    </row>
    <row r="53" spans="3:8" x14ac:dyDescent="0.35">
      <c r="C53" s="2" t="s">
        <v>43</v>
      </c>
      <c r="G53" s="148">
        <v>46202</v>
      </c>
      <c r="H53" s="150">
        <v>2.9045418399252041E-3</v>
      </c>
    </row>
    <row r="54" spans="3:8" x14ac:dyDescent="0.35">
      <c r="C54" s="2" t="s">
        <v>40</v>
      </c>
      <c r="G54" s="148">
        <v>46203</v>
      </c>
      <c r="H54" s="150">
        <v>8.0824764280729468E-3</v>
      </c>
    </row>
    <row r="55" spans="3:8" ht="15" thickBot="1" x14ac:dyDescent="0.4">
      <c r="C55" s="2" t="s">
        <v>1993</v>
      </c>
      <c r="G55" s="148">
        <v>46204</v>
      </c>
      <c r="H55" s="151">
        <v>4.559188675112865E-2</v>
      </c>
    </row>
    <row r="56" spans="3:8" x14ac:dyDescent="0.35">
      <c r="C56" s="2" t="s">
        <v>1994</v>
      </c>
    </row>
    <row r="57" spans="3:8" x14ac:dyDescent="0.35">
      <c r="C57" s="2" t="s">
        <v>59</v>
      </c>
    </row>
    <row r="58" spans="3:8" x14ac:dyDescent="0.35">
      <c r="C58" s="2" t="s">
        <v>51</v>
      </c>
    </row>
    <row r="59" spans="3:8" x14ac:dyDescent="0.35">
      <c r="C59" s="2" t="s">
        <v>1995</v>
      </c>
    </row>
    <row r="60" spans="3:8" x14ac:dyDescent="0.35">
      <c r="C60" s="2" t="s">
        <v>46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43786-8910-47B2-88E7-81B2D95346D8}">
  <dimension ref="A1:R96"/>
  <sheetViews>
    <sheetView topLeftCell="A76" workbookViewId="0">
      <selection activeCell="J94" sqref="J94"/>
    </sheetView>
  </sheetViews>
  <sheetFormatPr defaultColWidth="11.453125" defaultRowHeight="14.5" x14ac:dyDescent="0.35"/>
  <cols>
    <col min="1" max="1" width="13.453125" bestFit="1" customWidth="1"/>
  </cols>
  <sheetData>
    <row r="1" spans="1:14" hidden="1" x14ac:dyDescent="0.35">
      <c r="A1" s="152" t="s">
        <v>1996</v>
      </c>
      <c r="B1" s="13" t="s">
        <v>1997</v>
      </c>
      <c r="C1" s="13" t="s">
        <v>1998</v>
      </c>
      <c r="D1" s="13" t="s">
        <v>1999</v>
      </c>
      <c r="E1" s="13" t="s">
        <v>2000</v>
      </c>
      <c r="F1" s="13" t="s">
        <v>2001</v>
      </c>
      <c r="G1" s="13" t="s">
        <v>2002</v>
      </c>
      <c r="H1" s="13" t="s">
        <v>2003</v>
      </c>
      <c r="I1" s="13" t="s">
        <v>2004</v>
      </c>
      <c r="J1" s="13" t="s">
        <v>2005</v>
      </c>
      <c r="K1" s="13" t="s">
        <v>2006</v>
      </c>
      <c r="L1" s="13" t="s">
        <v>2007</v>
      </c>
      <c r="M1" s="13" t="s">
        <v>2008</v>
      </c>
      <c r="N1" s="153" t="s">
        <v>1931</v>
      </c>
    </row>
    <row r="2" spans="1:14" hidden="1" x14ac:dyDescent="0.35">
      <c r="A2" s="3" t="s">
        <v>2009</v>
      </c>
      <c r="B2" s="154">
        <v>906264</v>
      </c>
      <c r="C2" s="154">
        <v>1135224</v>
      </c>
      <c r="D2" s="154">
        <v>629957.8125</v>
      </c>
      <c r="E2" s="154">
        <v>732935.8125</v>
      </c>
      <c r="F2" s="154">
        <v>969898.5</v>
      </c>
      <c r="G2" s="154">
        <v>2138145.1875</v>
      </c>
      <c r="H2" s="154">
        <v>1129401</v>
      </c>
      <c r="I2" s="154">
        <v>2008124.4375</v>
      </c>
      <c r="J2" s="154">
        <v>2076280.875</v>
      </c>
      <c r="K2" s="154">
        <v>1185909.1875</v>
      </c>
      <c r="L2" s="154">
        <v>2189588.0625</v>
      </c>
      <c r="M2" s="154">
        <v>2065803.1875</v>
      </c>
      <c r="N2" s="4">
        <v>17167532.0625</v>
      </c>
    </row>
    <row r="3" spans="1:14" hidden="1" x14ac:dyDescent="0.35">
      <c r="A3" s="3" t="s">
        <v>92</v>
      </c>
      <c r="B3" s="154">
        <v>1107656</v>
      </c>
      <c r="C3" s="154">
        <v>1387496</v>
      </c>
      <c r="D3" s="154">
        <v>769948.43750000012</v>
      </c>
      <c r="E3" s="154">
        <v>895810.43750000012</v>
      </c>
      <c r="F3" s="154">
        <v>1185431.5</v>
      </c>
      <c r="G3" s="154">
        <v>2613288.5625</v>
      </c>
      <c r="H3" s="154">
        <v>1380379</v>
      </c>
      <c r="I3" s="154">
        <v>2454374.3125</v>
      </c>
      <c r="J3" s="154">
        <v>2537676.625</v>
      </c>
      <c r="K3" s="154">
        <v>1449444.5625000002</v>
      </c>
      <c r="L3" s="154">
        <v>2676163.1875</v>
      </c>
      <c r="M3" s="154">
        <v>2524870.5625</v>
      </c>
      <c r="N3" s="4">
        <v>20982539.1875</v>
      </c>
    </row>
    <row r="4" spans="1:14" hidden="1" x14ac:dyDescent="0.35">
      <c r="A4" s="3" t="s">
        <v>2010</v>
      </c>
      <c r="B4" s="4">
        <v>355642.29305555555</v>
      </c>
      <c r="C4" s="155">
        <v>355642.29305555555</v>
      </c>
      <c r="D4" s="155">
        <v>474189.72407407407</v>
      </c>
      <c r="E4" s="155">
        <v>533463.43958333333</v>
      </c>
      <c r="F4" s="155">
        <v>622374.01284722215</v>
      </c>
      <c r="G4" s="155">
        <v>711284.5861111111</v>
      </c>
      <c r="H4" s="155">
        <v>711284.5861111111</v>
      </c>
      <c r="I4" s="155">
        <v>711284.5861111111</v>
      </c>
      <c r="J4" s="155">
        <v>711284.5861111111</v>
      </c>
      <c r="K4" s="155">
        <v>711284.5861111111</v>
      </c>
      <c r="L4" s="155">
        <v>711284.5861111111</v>
      </c>
      <c r="M4" s="155">
        <v>711284.5861111111</v>
      </c>
      <c r="N4" s="4">
        <v>7320303.8653935194</v>
      </c>
    </row>
    <row r="5" spans="1:14" hidden="1" x14ac:dyDescent="0.35">
      <c r="A5" s="3" t="s">
        <v>2011</v>
      </c>
      <c r="B5" s="3"/>
      <c r="C5" s="155">
        <v>355642.29305555555</v>
      </c>
      <c r="D5" s="155">
        <v>474189.72407407407</v>
      </c>
      <c r="E5" s="155">
        <v>533463.43958333333</v>
      </c>
      <c r="F5" s="155">
        <v>622374.01284722215</v>
      </c>
      <c r="G5" s="155">
        <v>711284.5861111111</v>
      </c>
      <c r="H5" s="155">
        <v>711284.5861111111</v>
      </c>
      <c r="I5" s="155">
        <v>711284.5861111111</v>
      </c>
      <c r="J5" s="155">
        <v>711284.5861111111</v>
      </c>
      <c r="K5" s="155">
        <v>711284.5861111111</v>
      </c>
      <c r="L5" s="155">
        <v>711284.5861111111</v>
      </c>
      <c r="M5" s="155">
        <v>711284.5861111111</v>
      </c>
      <c r="N5" s="4">
        <v>6964661.5723379645</v>
      </c>
    </row>
    <row r="6" spans="1:14" hidden="1" x14ac:dyDescent="0.35">
      <c r="A6" s="3" t="s">
        <v>2012</v>
      </c>
      <c r="B6" s="3"/>
      <c r="C6" s="155"/>
      <c r="D6" s="155">
        <v>355642.29305555555</v>
      </c>
      <c r="E6" s="155">
        <v>533463.43958333333</v>
      </c>
      <c r="F6" s="155">
        <v>622374.01284722215</v>
      </c>
      <c r="G6" s="155">
        <v>711284.5861111111</v>
      </c>
      <c r="H6" s="155">
        <v>711284.5861111111</v>
      </c>
      <c r="I6" s="155">
        <v>711284.5861111111</v>
      </c>
      <c r="J6" s="155">
        <v>711284.5861111111</v>
      </c>
      <c r="K6" s="155">
        <v>711284.5861111111</v>
      </c>
      <c r="L6" s="155">
        <v>711284.5861111111</v>
      </c>
      <c r="M6" s="155">
        <v>711284.5861111111</v>
      </c>
      <c r="N6" s="4">
        <v>6490471.8482638896</v>
      </c>
    </row>
    <row r="7" spans="1:14" hidden="1" x14ac:dyDescent="0.35">
      <c r="A7" s="3" t="s">
        <v>2013</v>
      </c>
      <c r="B7" s="3"/>
      <c r="C7" s="155"/>
      <c r="D7" s="155"/>
      <c r="E7" s="155">
        <v>355642.29305555555</v>
      </c>
      <c r="F7" s="155">
        <v>622374.01284722215</v>
      </c>
      <c r="G7" s="155">
        <v>711284.5861111111</v>
      </c>
      <c r="H7" s="155">
        <v>711284.5861111111</v>
      </c>
      <c r="I7" s="155">
        <v>711284.5861111111</v>
      </c>
      <c r="J7" s="155">
        <v>711284.5861111111</v>
      </c>
      <c r="K7" s="155">
        <v>711284.5861111111</v>
      </c>
      <c r="L7" s="155">
        <v>711284.5861111111</v>
      </c>
      <c r="M7" s="155">
        <v>711284.5861111111</v>
      </c>
      <c r="N7" s="4">
        <v>5957008.4086805563</v>
      </c>
    </row>
    <row r="8" spans="1:14" hidden="1" x14ac:dyDescent="0.3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4">
        <v>0</v>
      </c>
    </row>
    <row r="9" spans="1:14" hidden="1" x14ac:dyDescent="0.35">
      <c r="A9" s="3" t="s">
        <v>1970</v>
      </c>
      <c r="B9" s="156">
        <v>2369562.2930555558</v>
      </c>
      <c r="C9" s="156">
        <v>3234004.5861111116</v>
      </c>
      <c r="D9" s="156">
        <v>2703927.9912037039</v>
      </c>
      <c r="E9" s="156">
        <v>3584778.8618055554</v>
      </c>
      <c r="F9" s="156">
        <v>4644826.0513888896</v>
      </c>
      <c r="G9" s="156">
        <v>7596572.0944444463</v>
      </c>
      <c r="H9" s="156">
        <v>5354918.3444444444</v>
      </c>
      <c r="I9" s="156">
        <v>7307637.0944444463</v>
      </c>
      <c r="J9" s="156">
        <v>7459095.8444444463</v>
      </c>
      <c r="K9" s="156">
        <v>5480492.0944444444</v>
      </c>
      <c r="L9" s="156">
        <v>7710889.5944444463</v>
      </c>
      <c r="M9" s="156">
        <v>7435812.0944444463</v>
      </c>
      <c r="N9" s="145">
        <v>64882516.944675937</v>
      </c>
    </row>
    <row r="10" spans="1:14" hidden="1" x14ac:dyDescent="0.35">
      <c r="A10" s="3" t="s">
        <v>2014</v>
      </c>
      <c r="B10" s="3"/>
      <c r="C10" s="3"/>
      <c r="D10" s="3"/>
      <c r="E10" s="3"/>
      <c r="F10" s="3"/>
      <c r="G10" s="3"/>
      <c r="H10" s="3"/>
      <c r="I10" s="3"/>
      <c r="J10" s="157">
        <v>4500000</v>
      </c>
      <c r="K10" s="3"/>
      <c r="L10" s="3"/>
      <c r="M10" s="3"/>
      <c r="N10" s="4">
        <v>4500000</v>
      </c>
    </row>
    <row r="11" spans="1:14" hidden="1" x14ac:dyDescent="0.35">
      <c r="A11" s="3" t="s">
        <v>2015</v>
      </c>
      <c r="B11" s="3"/>
      <c r="C11" s="3"/>
      <c r="D11" s="3"/>
      <c r="E11" s="3"/>
      <c r="F11" s="3"/>
      <c r="G11" s="3"/>
      <c r="H11" s="157">
        <v>3000000</v>
      </c>
      <c r="I11" s="3"/>
      <c r="J11" s="3"/>
      <c r="K11" s="3"/>
      <c r="L11" s="3"/>
      <c r="M11" s="3"/>
      <c r="N11" s="4">
        <v>3000000</v>
      </c>
    </row>
    <row r="12" spans="1:14" hidden="1" x14ac:dyDescent="0.35">
      <c r="A12" s="3" t="s">
        <v>21</v>
      </c>
      <c r="B12" s="3"/>
      <c r="C12" s="3"/>
      <c r="D12" s="3"/>
      <c r="E12" s="3"/>
      <c r="F12" s="3"/>
      <c r="G12" s="3"/>
      <c r="H12" s="3"/>
      <c r="I12" s="157">
        <v>18000000</v>
      </c>
      <c r="J12" s="3"/>
      <c r="K12" s="3"/>
      <c r="L12" s="3"/>
      <c r="M12" s="3"/>
      <c r="N12" s="4">
        <v>18000000</v>
      </c>
    </row>
    <row r="13" spans="1:14" hidden="1" x14ac:dyDescent="0.3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4">
        <v>0</v>
      </c>
    </row>
    <row r="14" spans="1:14" hidden="1" x14ac:dyDescent="0.35">
      <c r="A14" s="3" t="s">
        <v>2016</v>
      </c>
      <c r="B14" s="156">
        <v>2369562.2930555558</v>
      </c>
      <c r="C14" s="156">
        <v>3234004.5861111116</v>
      </c>
      <c r="D14" s="156">
        <v>2703927.9912037039</v>
      </c>
      <c r="E14" s="156">
        <v>3584778.8618055554</v>
      </c>
      <c r="F14" s="156">
        <v>4644826.0513888896</v>
      </c>
      <c r="G14" s="156">
        <v>7596572.0944444463</v>
      </c>
      <c r="H14" s="156">
        <v>8354918.3444444444</v>
      </c>
      <c r="I14" s="156">
        <v>25307637.094444446</v>
      </c>
      <c r="J14" s="156">
        <v>11959095.844444446</v>
      </c>
      <c r="K14" s="156">
        <v>5480492.0944444444</v>
      </c>
      <c r="L14" s="156">
        <v>7710889.5944444463</v>
      </c>
      <c r="M14" s="156">
        <v>7435812.0944444463</v>
      </c>
      <c r="N14" s="145">
        <v>90382516.944675922</v>
      </c>
    </row>
    <row r="15" spans="1:14" hidden="1" x14ac:dyDescent="0.35"/>
    <row r="16" spans="1:14" hidden="1" x14ac:dyDescent="0.35">
      <c r="A16" s="152" t="s">
        <v>2017</v>
      </c>
      <c r="B16" s="13" t="s">
        <v>1997</v>
      </c>
      <c r="C16" s="13" t="s">
        <v>1998</v>
      </c>
      <c r="D16" s="13" t="s">
        <v>1999</v>
      </c>
      <c r="E16" s="13" t="s">
        <v>2000</v>
      </c>
      <c r="F16" s="13" t="s">
        <v>2001</v>
      </c>
      <c r="G16" s="13" t="s">
        <v>2002</v>
      </c>
      <c r="H16" s="13" t="s">
        <v>2003</v>
      </c>
      <c r="I16" s="13" t="s">
        <v>2004</v>
      </c>
      <c r="J16" s="13" t="s">
        <v>2005</v>
      </c>
      <c r="K16" s="13" t="s">
        <v>2006</v>
      </c>
      <c r="L16" s="13" t="s">
        <v>2007</v>
      </c>
      <c r="M16" s="13" t="s">
        <v>2008</v>
      </c>
      <c r="N16" s="13" t="s">
        <v>1931</v>
      </c>
    </row>
    <row r="17" spans="1:14" hidden="1" x14ac:dyDescent="0.35">
      <c r="A17" s="3" t="s">
        <v>2009</v>
      </c>
      <c r="B17" s="154">
        <v>407818.8</v>
      </c>
      <c r="C17" s="154">
        <v>510850.8</v>
      </c>
      <c r="D17" s="154">
        <v>283481.015625</v>
      </c>
      <c r="E17" s="154">
        <v>329821.11562500003</v>
      </c>
      <c r="F17" s="154">
        <v>436454.32500000001</v>
      </c>
      <c r="G17" s="154">
        <v>962165.33437499998</v>
      </c>
      <c r="H17" s="154">
        <v>508230.45</v>
      </c>
      <c r="I17" s="154">
        <v>903655.99687500007</v>
      </c>
      <c r="J17" s="154">
        <v>934326.39375000005</v>
      </c>
      <c r="K17" s="154">
        <v>533659.13437500002</v>
      </c>
      <c r="L17" s="154">
        <v>985314.62812500005</v>
      </c>
      <c r="M17" s="154">
        <v>929611.43437500007</v>
      </c>
      <c r="N17" s="4">
        <v>7725389.4281250006</v>
      </c>
    </row>
    <row r="18" spans="1:14" hidden="1" x14ac:dyDescent="0.35">
      <c r="A18" s="3" t="s">
        <v>92</v>
      </c>
      <c r="B18" s="154">
        <v>498445.2</v>
      </c>
      <c r="C18" s="154">
        <v>624373.20000000007</v>
      </c>
      <c r="D18" s="154">
        <v>346476.79687500006</v>
      </c>
      <c r="E18" s="154">
        <v>403114.69687500008</v>
      </c>
      <c r="F18" s="154">
        <v>533444.17500000005</v>
      </c>
      <c r="G18" s="154">
        <v>1175979.8531250001</v>
      </c>
      <c r="H18" s="154">
        <v>621170.55000000005</v>
      </c>
      <c r="I18" s="154">
        <v>1104468.440625</v>
      </c>
      <c r="J18" s="154">
        <v>1141954.48125</v>
      </c>
      <c r="K18" s="154">
        <v>652250.05312500009</v>
      </c>
      <c r="L18" s="154">
        <v>1204273.434375</v>
      </c>
      <c r="M18" s="154">
        <v>1136191.753125</v>
      </c>
      <c r="N18" s="4">
        <v>9442142.6343750004</v>
      </c>
    </row>
    <row r="19" spans="1:14" hidden="1" x14ac:dyDescent="0.35">
      <c r="A19" s="3" t="s">
        <v>2010</v>
      </c>
      <c r="B19" s="4">
        <v>160039.03187500002</v>
      </c>
      <c r="C19" s="155">
        <v>160039.03187500002</v>
      </c>
      <c r="D19" s="155">
        <v>213385.37583333332</v>
      </c>
      <c r="E19" s="155">
        <v>240058.54781250001</v>
      </c>
      <c r="F19" s="155">
        <v>280068.30578125</v>
      </c>
      <c r="G19" s="155">
        <v>320078.06375000003</v>
      </c>
      <c r="H19" s="155">
        <v>320078.06375000003</v>
      </c>
      <c r="I19" s="155">
        <v>320078.06375000003</v>
      </c>
      <c r="J19" s="155">
        <v>320078.06375000003</v>
      </c>
      <c r="K19" s="155">
        <v>320078.06375000003</v>
      </c>
      <c r="L19" s="155">
        <v>320078.06375000003</v>
      </c>
      <c r="M19" s="155">
        <v>320078.06375000003</v>
      </c>
      <c r="N19" s="4">
        <v>3294136.7394270841</v>
      </c>
    </row>
    <row r="20" spans="1:14" hidden="1" x14ac:dyDescent="0.35">
      <c r="A20" s="3" t="s">
        <v>2011</v>
      </c>
      <c r="B20" s="3">
        <v>0</v>
      </c>
      <c r="C20" s="155">
        <v>160039.03187500002</v>
      </c>
      <c r="D20" s="155">
        <v>213385.37583333332</v>
      </c>
      <c r="E20" s="155">
        <v>240058.54781250001</v>
      </c>
      <c r="F20" s="155">
        <v>280068.30578125</v>
      </c>
      <c r="G20" s="155">
        <v>320078.06375000003</v>
      </c>
      <c r="H20" s="155">
        <v>320078.06375000003</v>
      </c>
      <c r="I20" s="155">
        <v>320078.06375000003</v>
      </c>
      <c r="J20" s="155">
        <v>320078.06375000003</v>
      </c>
      <c r="K20" s="155">
        <v>320078.06375000003</v>
      </c>
      <c r="L20" s="155">
        <v>320078.06375000003</v>
      </c>
      <c r="M20" s="155">
        <v>320078.06375000003</v>
      </c>
      <c r="N20" s="4">
        <v>3134097.7075520842</v>
      </c>
    </row>
    <row r="21" spans="1:14" hidden="1" x14ac:dyDescent="0.35">
      <c r="A21" s="3" t="s">
        <v>2012</v>
      </c>
      <c r="B21" s="3">
        <v>0</v>
      </c>
      <c r="C21" s="155">
        <v>0</v>
      </c>
      <c r="D21" s="155">
        <v>160039.03187500002</v>
      </c>
      <c r="E21" s="155">
        <v>240058.54781250001</v>
      </c>
      <c r="F21" s="155">
        <v>280068.30578125</v>
      </c>
      <c r="G21" s="155">
        <v>320078.06375000003</v>
      </c>
      <c r="H21" s="155">
        <v>320078.06375000003</v>
      </c>
      <c r="I21" s="155">
        <v>320078.06375000003</v>
      </c>
      <c r="J21" s="155">
        <v>320078.06375000003</v>
      </c>
      <c r="K21" s="155">
        <v>320078.06375000003</v>
      </c>
      <c r="L21" s="155">
        <v>320078.06375000003</v>
      </c>
      <c r="M21" s="155">
        <v>320078.06375000003</v>
      </c>
      <c r="N21" s="4">
        <v>2920712.3317187503</v>
      </c>
    </row>
    <row r="22" spans="1:14" hidden="1" x14ac:dyDescent="0.35">
      <c r="A22" s="3" t="s">
        <v>2013</v>
      </c>
      <c r="B22" s="3">
        <v>0</v>
      </c>
      <c r="C22" s="155">
        <v>0</v>
      </c>
      <c r="D22" s="155">
        <v>0</v>
      </c>
      <c r="E22" s="155">
        <v>160039.03187500002</v>
      </c>
      <c r="F22" s="155">
        <v>280068.30578125</v>
      </c>
      <c r="G22" s="155">
        <v>320078.06375000003</v>
      </c>
      <c r="H22" s="155">
        <v>320078.06375000003</v>
      </c>
      <c r="I22" s="155">
        <v>320078.06375000003</v>
      </c>
      <c r="J22" s="155">
        <v>320078.06375000003</v>
      </c>
      <c r="K22" s="155">
        <v>320078.06375000003</v>
      </c>
      <c r="L22" s="155">
        <v>320078.06375000003</v>
      </c>
      <c r="M22" s="155">
        <v>320078.06375000003</v>
      </c>
      <c r="N22" s="4">
        <v>2680653.7839062503</v>
      </c>
    </row>
    <row r="23" spans="1:14" hidden="1" x14ac:dyDescent="0.3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4">
        <v>0</v>
      </c>
    </row>
    <row r="24" spans="1:14" hidden="1" x14ac:dyDescent="0.35">
      <c r="A24" s="3" t="s">
        <v>1970</v>
      </c>
      <c r="B24" s="156">
        <v>1066303.0318750001</v>
      </c>
      <c r="C24" s="156">
        <v>1455302.0637500002</v>
      </c>
      <c r="D24" s="156">
        <v>1216767.5960416668</v>
      </c>
      <c r="E24" s="156">
        <v>1613150.4878125002</v>
      </c>
      <c r="F24" s="156">
        <v>2090171.7231249996</v>
      </c>
      <c r="G24" s="156">
        <v>3418457.4425000008</v>
      </c>
      <c r="H24" s="156">
        <v>2409713.2549999999</v>
      </c>
      <c r="I24" s="156">
        <v>3288436.6925000008</v>
      </c>
      <c r="J24" s="156">
        <v>3356593.1300000008</v>
      </c>
      <c r="K24" s="156">
        <v>2466221.4425000004</v>
      </c>
      <c r="L24" s="156">
        <v>3469900.3175000008</v>
      </c>
      <c r="M24" s="156">
        <v>3346115.4425000008</v>
      </c>
      <c r="N24" s="145">
        <v>29197132.625104174</v>
      </c>
    </row>
    <row r="25" spans="1:14" hidden="1" x14ac:dyDescent="0.35">
      <c r="A25" s="3" t="s">
        <v>2014</v>
      </c>
      <c r="B25" s="3"/>
      <c r="C25" s="3"/>
      <c r="D25" s="3"/>
      <c r="E25" s="3"/>
      <c r="F25" s="3"/>
      <c r="G25" s="3"/>
      <c r="H25" s="3"/>
      <c r="I25" s="3"/>
      <c r="J25" s="157"/>
      <c r="K25" s="3"/>
      <c r="L25" s="3"/>
      <c r="M25" s="3"/>
      <c r="N25" s="4">
        <v>0</v>
      </c>
    </row>
    <row r="26" spans="1:14" hidden="1" x14ac:dyDescent="0.35">
      <c r="A26" s="3" t="s">
        <v>2015</v>
      </c>
      <c r="B26" s="3"/>
      <c r="C26" s="3"/>
      <c r="D26" s="3"/>
      <c r="E26" s="3"/>
      <c r="F26" s="3"/>
      <c r="G26" s="3"/>
      <c r="H26" s="157"/>
      <c r="I26" s="3"/>
      <c r="J26" s="3"/>
      <c r="K26" s="3"/>
      <c r="L26" s="3"/>
      <c r="M26" s="3"/>
      <c r="N26" s="4">
        <v>0</v>
      </c>
    </row>
    <row r="27" spans="1:14" hidden="1" x14ac:dyDescent="0.35">
      <c r="A27" s="3" t="s">
        <v>21</v>
      </c>
      <c r="B27" s="3"/>
      <c r="C27" s="3"/>
      <c r="D27" s="3"/>
      <c r="E27" s="3"/>
      <c r="F27" s="3"/>
      <c r="G27" s="3"/>
      <c r="H27" s="3"/>
      <c r="I27" s="157"/>
      <c r="J27" s="3"/>
      <c r="K27" s="3"/>
      <c r="L27" s="3"/>
      <c r="M27" s="3"/>
      <c r="N27" s="4">
        <v>0</v>
      </c>
    </row>
    <row r="28" spans="1:14" hidden="1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4">
        <v>0</v>
      </c>
    </row>
    <row r="29" spans="1:14" hidden="1" x14ac:dyDescent="0.35">
      <c r="A29" s="3" t="s">
        <v>2016</v>
      </c>
      <c r="B29" s="156">
        <v>1066303.0318750001</v>
      </c>
      <c r="C29" s="156">
        <v>1455302.0637500002</v>
      </c>
      <c r="D29" s="156">
        <v>1216767.5960416668</v>
      </c>
      <c r="E29" s="156">
        <v>1613150.4878125002</v>
      </c>
      <c r="F29" s="156">
        <v>2090171.7231249996</v>
      </c>
      <c r="G29" s="156">
        <v>3418457.4425000008</v>
      </c>
      <c r="H29" s="156">
        <v>2409713.2549999999</v>
      </c>
      <c r="I29" s="156">
        <v>3288436.6925000008</v>
      </c>
      <c r="J29" s="156">
        <v>3356593.1300000008</v>
      </c>
      <c r="K29" s="156">
        <v>2466221.4425000004</v>
      </c>
      <c r="L29" s="156">
        <v>3469900.3175000008</v>
      </c>
      <c r="M29" s="156">
        <v>3346115.4425000008</v>
      </c>
      <c r="N29" s="145">
        <v>29197132.625104174</v>
      </c>
    </row>
    <row r="30" spans="1:14" hidden="1" x14ac:dyDescent="0.35"/>
    <row r="31" spans="1:14" hidden="1" x14ac:dyDescent="0.35">
      <c r="A31" s="152" t="s">
        <v>2018</v>
      </c>
      <c r="B31" s="13" t="s">
        <v>1997</v>
      </c>
      <c r="C31" s="13" t="s">
        <v>1998</v>
      </c>
      <c r="D31" s="13" t="s">
        <v>1999</v>
      </c>
      <c r="E31" s="13" t="s">
        <v>2000</v>
      </c>
      <c r="F31" s="13" t="s">
        <v>2001</v>
      </c>
      <c r="G31" s="13" t="s">
        <v>2002</v>
      </c>
      <c r="H31" s="13" t="s">
        <v>2003</v>
      </c>
      <c r="I31" s="13" t="s">
        <v>2004</v>
      </c>
      <c r="J31" s="13" t="s">
        <v>2005</v>
      </c>
      <c r="K31" s="13" t="s">
        <v>2006</v>
      </c>
      <c r="L31" s="13" t="s">
        <v>2007</v>
      </c>
      <c r="M31" s="13" t="s">
        <v>2008</v>
      </c>
      <c r="N31" s="13" t="s">
        <v>1931</v>
      </c>
    </row>
    <row r="32" spans="1:14" hidden="1" x14ac:dyDescent="0.35">
      <c r="A32" s="3" t="s">
        <v>2009</v>
      </c>
      <c r="B32" s="154">
        <v>498445.2</v>
      </c>
      <c r="C32" s="154">
        <v>624373.20000000007</v>
      </c>
      <c r="D32" s="154">
        <v>346476.796875</v>
      </c>
      <c r="E32" s="154">
        <v>403114.69687500002</v>
      </c>
      <c r="F32" s="154">
        <v>533444.17500000005</v>
      </c>
      <c r="G32" s="154">
        <v>1175979.8531250001</v>
      </c>
      <c r="H32" s="154">
        <v>621170.55000000005</v>
      </c>
      <c r="I32" s="154">
        <v>1104468.440625</v>
      </c>
      <c r="J32" s="154">
        <v>1141954.4812500002</v>
      </c>
      <c r="K32" s="154">
        <v>652250.05312500009</v>
      </c>
      <c r="L32" s="154">
        <v>1204273.4343750002</v>
      </c>
      <c r="M32" s="154">
        <v>1136191.753125</v>
      </c>
      <c r="N32" s="4">
        <v>9442142.6343750004</v>
      </c>
    </row>
    <row r="33" spans="1:14" hidden="1" x14ac:dyDescent="0.35">
      <c r="A33" s="3" t="s">
        <v>92</v>
      </c>
      <c r="B33" s="154">
        <v>609210.80000000005</v>
      </c>
      <c r="C33" s="154">
        <v>763122.8</v>
      </c>
      <c r="D33" s="154">
        <v>423471.64062500012</v>
      </c>
      <c r="E33" s="154">
        <v>492695.74062500009</v>
      </c>
      <c r="F33" s="154">
        <v>651987.32500000007</v>
      </c>
      <c r="G33" s="154">
        <v>1437308.7093750001</v>
      </c>
      <c r="H33" s="154">
        <v>759208.45000000007</v>
      </c>
      <c r="I33" s="154">
        <v>1349905.8718750002</v>
      </c>
      <c r="J33" s="154">
        <v>1395722.14375</v>
      </c>
      <c r="K33" s="154">
        <v>797194.50937500014</v>
      </c>
      <c r="L33" s="154">
        <v>1471889.753125</v>
      </c>
      <c r="M33" s="154">
        <v>1388678.8093750002</v>
      </c>
      <c r="N33" s="4">
        <v>11540396.553125001</v>
      </c>
    </row>
    <row r="34" spans="1:14" hidden="1" x14ac:dyDescent="0.35">
      <c r="A34" s="3" t="s">
        <v>2010</v>
      </c>
      <c r="B34" s="4">
        <v>195603.26118055556</v>
      </c>
      <c r="C34" s="155">
        <v>195603.26118055556</v>
      </c>
      <c r="D34" s="155">
        <v>260804.34824074077</v>
      </c>
      <c r="E34" s="155">
        <v>293404.89177083335</v>
      </c>
      <c r="F34" s="155">
        <v>342305.70706597221</v>
      </c>
      <c r="G34" s="155">
        <v>391206.52236111113</v>
      </c>
      <c r="H34" s="155">
        <v>391206.52236111113</v>
      </c>
      <c r="I34" s="155">
        <v>391206.52236111113</v>
      </c>
      <c r="J34" s="155">
        <v>391206.52236111113</v>
      </c>
      <c r="K34" s="155">
        <v>391206.52236111113</v>
      </c>
      <c r="L34" s="155">
        <v>391206.52236111113</v>
      </c>
      <c r="M34" s="155">
        <v>391206.52236111113</v>
      </c>
      <c r="N34" s="4">
        <v>4026167.1259664358</v>
      </c>
    </row>
    <row r="35" spans="1:14" hidden="1" x14ac:dyDescent="0.35">
      <c r="A35" s="3" t="s">
        <v>2011</v>
      </c>
      <c r="B35" s="3">
        <v>0</v>
      </c>
      <c r="C35" s="155">
        <v>195603.26118055556</v>
      </c>
      <c r="D35" s="155">
        <v>260804.34824074077</v>
      </c>
      <c r="E35" s="155">
        <v>293404.89177083335</v>
      </c>
      <c r="F35" s="155">
        <v>342305.70706597221</v>
      </c>
      <c r="G35" s="155">
        <v>391206.52236111113</v>
      </c>
      <c r="H35" s="155">
        <v>391206.52236111113</v>
      </c>
      <c r="I35" s="155">
        <v>391206.52236111113</v>
      </c>
      <c r="J35" s="155">
        <v>391206.52236111113</v>
      </c>
      <c r="K35" s="155">
        <v>391206.52236111113</v>
      </c>
      <c r="L35" s="155">
        <v>391206.52236111113</v>
      </c>
      <c r="M35" s="155">
        <v>391206.52236111113</v>
      </c>
      <c r="N35" s="4">
        <v>3830563.8647858808</v>
      </c>
    </row>
    <row r="36" spans="1:14" hidden="1" x14ac:dyDescent="0.35">
      <c r="A36" s="3" t="s">
        <v>2012</v>
      </c>
      <c r="B36" s="3">
        <v>0</v>
      </c>
      <c r="C36" s="155">
        <v>0</v>
      </c>
      <c r="D36" s="155">
        <v>195603.26118055556</v>
      </c>
      <c r="E36" s="155">
        <v>293404.89177083335</v>
      </c>
      <c r="F36" s="155">
        <v>342305.70706597221</v>
      </c>
      <c r="G36" s="155">
        <v>391206.52236111113</v>
      </c>
      <c r="H36" s="155">
        <v>391206.52236111113</v>
      </c>
      <c r="I36" s="155">
        <v>391206.52236111113</v>
      </c>
      <c r="J36" s="155">
        <v>391206.52236111113</v>
      </c>
      <c r="K36" s="155">
        <v>391206.52236111113</v>
      </c>
      <c r="L36" s="155">
        <v>391206.52236111113</v>
      </c>
      <c r="M36" s="155">
        <v>391206.52236111113</v>
      </c>
      <c r="N36" s="4">
        <v>3569759.5165451397</v>
      </c>
    </row>
    <row r="37" spans="1:14" hidden="1" x14ac:dyDescent="0.35">
      <c r="A37" s="3" t="s">
        <v>2013</v>
      </c>
      <c r="B37" s="3">
        <v>0</v>
      </c>
      <c r="C37" s="155">
        <v>0</v>
      </c>
      <c r="D37" s="155">
        <v>0</v>
      </c>
      <c r="E37" s="155">
        <v>195603.26118055556</v>
      </c>
      <c r="F37" s="155">
        <v>342305.70706597221</v>
      </c>
      <c r="G37" s="155">
        <v>391206.52236111113</v>
      </c>
      <c r="H37" s="155">
        <v>391206.52236111113</v>
      </c>
      <c r="I37" s="155">
        <v>391206.52236111113</v>
      </c>
      <c r="J37" s="155">
        <v>391206.52236111113</v>
      </c>
      <c r="K37" s="155">
        <v>391206.52236111113</v>
      </c>
      <c r="L37" s="155">
        <v>391206.52236111113</v>
      </c>
      <c r="M37" s="155">
        <v>391206.52236111113</v>
      </c>
      <c r="N37" s="4">
        <v>3276354.6247743061</v>
      </c>
    </row>
    <row r="38" spans="1:14" hidden="1" x14ac:dyDescent="0.3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4"/>
    </row>
    <row r="39" spans="1:14" hidden="1" x14ac:dyDescent="0.35">
      <c r="A39" s="3" t="s">
        <v>1970</v>
      </c>
      <c r="B39" s="156">
        <v>1303259.2611805554</v>
      </c>
      <c r="C39" s="156">
        <v>1778702.5223611109</v>
      </c>
      <c r="D39" s="156">
        <v>1487160.3951620371</v>
      </c>
      <c r="E39" s="156">
        <v>1971628.3739930559</v>
      </c>
      <c r="F39" s="156">
        <v>2554654.3282638886</v>
      </c>
      <c r="G39" s="156">
        <v>4178114.6519444436</v>
      </c>
      <c r="H39" s="156">
        <v>2945205.0894444445</v>
      </c>
      <c r="I39" s="156">
        <v>4019200.4019444436</v>
      </c>
      <c r="J39" s="156">
        <v>4102502.7144444436</v>
      </c>
      <c r="K39" s="156">
        <v>3014270.6519444445</v>
      </c>
      <c r="L39" s="156">
        <v>4240989.2769444436</v>
      </c>
      <c r="M39" s="156">
        <v>4089696.6519444436</v>
      </c>
      <c r="N39" s="145">
        <v>35685384.319571748</v>
      </c>
    </row>
    <row r="40" spans="1:14" hidden="1" x14ac:dyDescent="0.35">
      <c r="A40" s="3" t="s">
        <v>2014</v>
      </c>
      <c r="B40" s="3"/>
      <c r="C40" s="3"/>
      <c r="D40" s="3"/>
      <c r="E40" s="3"/>
      <c r="F40" s="3"/>
      <c r="G40" s="3"/>
      <c r="H40" s="3"/>
      <c r="I40" s="3"/>
      <c r="J40" s="157">
        <v>4500000</v>
      </c>
      <c r="K40" s="3"/>
      <c r="L40" s="3"/>
      <c r="M40" s="3"/>
      <c r="N40" s="4">
        <v>4500000</v>
      </c>
    </row>
    <row r="41" spans="1:14" hidden="1" x14ac:dyDescent="0.35">
      <c r="A41" s="3" t="s">
        <v>2015</v>
      </c>
      <c r="B41" s="3"/>
      <c r="C41" s="3"/>
      <c r="D41" s="3"/>
      <c r="E41" s="3"/>
      <c r="F41" s="3"/>
      <c r="G41" s="3"/>
      <c r="H41" s="157">
        <v>3000000</v>
      </c>
      <c r="I41" s="3"/>
      <c r="J41" s="3"/>
      <c r="K41" s="3"/>
      <c r="L41" s="3"/>
      <c r="M41" s="3"/>
      <c r="N41" s="4">
        <v>3000000</v>
      </c>
    </row>
    <row r="42" spans="1:14" hidden="1" x14ac:dyDescent="0.35">
      <c r="A42" s="3" t="s">
        <v>21</v>
      </c>
      <c r="B42" s="3"/>
      <c r="C42" s="3"/>
      <c r="D42" s="3"/>
      <c r="E42" s="3"/>
      <c r="F42" s="3"/>
      <c r="G42" s="3"/>
      <c r="H42" s="3"/>
      <c r="I42" s="157">
        <v>18000000</v>
      </c>
      <c r="J42" s="3"/>
      <c r="K42" s="3"/>
      <c r="L42" s="3"/>
      <c r="M42" s="3"/>
      <c r="N42" s="4">
        <v>18000000</v>
      </c>
    </row>
    <row r="43" spans="1:14" hidden="1" x14ac:dyDescent="0.3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4">
        <v>0</v>
      </c>
    </row>
    <row r="44" spans="1:14" hidden="1" x14ac:dyDescent="0.35">
      <c r="A44" s="3" t="s">
        <v>2016</v>
      </c>
      <c r="B44" s="156">
        <v>1303259.2611805554</v>
      </c>
      <c r="C44" s="156">
        <v>1778702.5223611109</v>
      </c>
      <c r="D44" s="156">
        <v>1487160.3951620371</v>
      </c>
      <c r="E44" s="156">
        <v>1971628.3739930559</v>
      </c>
      <c r="F44" s="156">
        <v>2554654.3282638886</v>
      </c>
      <c r="G44" s="156">
        <v>4178114.6519444436</v>
      </c>
      <c r="H44" s="156">
        <v>5945205.0894444445</v>
      </c>
      <c r="I44" s="156">
        <v>22019200.401944444</v>
      </c>
      <c r="J44" s="156">
        <v>8602502.7144444436</v>
      </c>
      <c r="K44" s="156">
        <v>3014270.6519444445</v>
      </c>
      <c r="L44" s="156">
        <v>4240989.2769444436</v>
      </c>
      <c r="M44" s="156">
        <v>4089696.6519444436</v>
      </c>
      <c r="N44" s="145">
        <v>61185384.319571748</v>
      </c>
    </row>
    <row r="45" spans="1:14" hidden="1" x14ac:dyDescent="0.35"/>
    <row r="46" spans="1:14" hidden="1" x14ac:dyDescent="0.35"/>
    <row r="47" spans="1:14" hidden="1" x14ac:dyDescent="0.35">
      <c r="A47" t="s">
        <v>2019</v>
      </c>
    </row>
    <row r="48" spans="1:14" s="142" customFormat="1" hidden="1" x14ac:dyDescent="0.35">
      <c r="B48" s="142" t="s">
        <v>1970</v>
      </c>
      <c r="C48" s="142" t="s">
        <v>1962</v>
      </c>
      <c r="E48" s="142" t="s">
        <v>90</v>
      </c>
    </row>
    <row r="49" spans="1:8" hidden="1" x14ac:dyDescent="0.35">
      <c r="A49" t="s">
        <v>1996</v>
      </c>
      <c r="B49" s="12">
        <v>906264</v>
      </c>
      <c r="C49">
        <v>906264</v>
      </c>
      <c r="D49" s="158">
        <v>1</v>
      </c>
      <c r="E49" t="s">
        <v>2020</v>
      </c>
    </row>
    <row r="50" spans="1:8" hidden="1" x14ac:dyDescent="0.35">
      <c r="A50" t="s">
        <v>2017</v>
      </c>
      <c r="B50" s="12">
        <v>407818.8</v>
      </c>
      <c r="C50">
        <v>200000</v>
      </c>
      <c r="D50" s="158">
        <v>0.49041387988979418</v>
      </c>
      <c r="E50">
        <v>0</v>
      </c>
      <c r="H50" s="159"/>
    </row>
    <row r="51" spans="1:8" hidden="1" x14ac:dyDescent="0.35">
      <c r="A51" t="s">
        <v>2018</v>
      </c>
      <c r="B51" s="12">
        <v>498445.2</v>
      </c>
      <c r="C51">
        <v>706264</v>
      </c>
      <c r="D51" s="158">
        <v>1.4169340982719865</v>
      </c>
      <c r="E51" s="160">
        <v>7062.64</v>
      </c>
      <c r="H51" s="159"/>
    </row>
    <row r="52" spans="1:8" hidden="1" x14ac:dyDescent="0.35"/>
    <row r="53" spans="1:8" hidden="1" x14ac:dyDescent="0.35"/>
    <row r="54" spans="1:8" hidden="1" x14ac:dyDescent="0.35">
      <c r="A54" t="s">
        <v>2021</v>
      </c>
    </row>
    <row r="55" spans="1:8" hidden="1" x14ac:dyDescent="0.35">
      <c r="B55" s="142" t="s">
        <v>1970</v>
      </c>
      <c r="C55" s="142" t="s">
        <v>1962</v>
      </c>
      <c r="D55" s="142"/>
      <c r="E55" s="142" t="s">
        <v>90</v>
      </c>
    </row>
    <row r="56" spans="1:8" hidden="1" x14ac:dyDescent="0.35">
      <c r="A56" t="s">
        <v>1996</v>
      </c>
      <c r="B56" s="12">
        <v>906264</v>
      </c>
      <c r="C56">
        <v>590000</v>
      </c>
      <c r="D56" s="158">
        <v>0.65102442555370177</v>
      </c>
      <c r="E56" t="s">
        <v>2022</v>
      </c>
    </row>
    <row r="57" spans="1:8" hidden="1" x14ac:dyDescent="0.35">
      <c r="A57" t="s">
        <v>2017</v>
      </c>
      <c r="B57" s="12">
        <v>407818.8</v>
      </c>
      <c r="C57">
        <v>200000</v>
      </c>
      <c r="D57" s="158">
        <v>0.49041387988979418</v>
      </c>
      <c r="E57">
        <v>0</v>
      </c>
    </row>
    <row r="58" spans="1:8" hidden="1" x14ac:dyDescent="0.35">
      <c r="A58" t="s">
        <v>2018</v>
      </c>
      <c r="B58" s="12">
        <v>498445.2</v>
      </c>
      <c r="C58">
        <v>390000</v>
      </c>
      <c r="D58" s="158">
        <v>0.78243305382417161</v>
      </c>
      <c r="E58" s="160">
        <v>0</v>
      </c>
    </row>
    <row r="59" spans="1:8" hidden="1" x14ac:dyDescent="0.35"/>
    <row r="60" spans="1:8" hidden="1" x14ac:dyDescent="0.35"/>
    <row r="61" spans="1:8" hidden="1" x14ac:dyDescent="0.35">
      <c r="A61" t="s">
        <v>2023</v>
      </c>
    </row>
    <row r="62" spans="1:8" hidden="1" x14ac:dyDescent="0.35">
      <c r="B62" s="142" t="s">
        <v>1970</v>
      </c>
      <c r="C62" s="142" t="s">
        <v>1962</v>
      </c>
      <c r="D62" s="142"/>
      <c r="E62" s="142" t="s">
        <v>90</v>
      </c>
    </row>
    <row r="63" spans="1:8" hidden="1" x14ac:dyDescent="0.35">
      <c r="A63" t="s">
        <v>1996</v>
      </c>
      <c r="B63" s="12">
        <v>906264</v>
      </c>
      <c r="C63">
        <v>790000</v>
      </c>
      <c r="D63" s="158">
        <v>0.87171067150410919</v>
      </c>
      <c r="E63" t="s">
        <v>2022</v>
      </c>
    </row>
    <row r="64" spans="1:8" hidden="1" x14ac:dyDescent="0.35">
      <c r="A64" t="s">
        <v>2017</v>
      </c>
      <c r="B64" s="12">
        <v>407818.8</v>
      </c>
      <c r="C64">
        <v>400000</v>
      </c>
      <c r="D64" s="158">
        <v>0.98082775977958836</v>
      </c>
      <c r="E64">
        <v>0</v>
      </c>
    </row>
    <row r="65" spans="1:18" hidden="1" x14ac:dyDescent="0.35">
      <c r="A65" t="s">
        <v>2018</v>
      </c>
      <c r="B65" s="12">
        <v>498445.2</v>
      </c>
      <c r="C65">
        <v>390000</v>
      </c>
      <c r="D65" s="158">
        <v>0.78243305382417161</v>
      </c>
      <c r="E65" s="160">
        <v>0</v>
      </c>
    </row>
    <row r="67" spans="1:18" x14ac:dyDescent="0.35">
      <c r="A67" s="142" t="s">
        <v>1996</v>
      </c>
      <c r="B67" t="s">
        <v>1970</v>
      </c>
      <c r="C67" t="s">
        <v>1970</v>
      </c>
      <c r="D67" t="s">
        <v>1970</v>
      </c>
      <c r="E67" t="s">
        <v>1970</v>
      </c>
      <c r="F67" t="s">
        <v>1970</v>
      </c>
      <c r="G67" t="s">
        <v>1970</v>
      </c>
      <c r="H67" t="s">
        <v>1970</v>
      </c>
      <c r="I67" t="s">
        <v>1970</v>
      </c>
      <c r="J67" t="s">
        <v>1970</v>
      </c>
      <c r="K67" t="s">
        <v>1970</v>
      </c>
      <c r="L67" t="s">
        <v>1970</v>
      </c>
      <c r="M67" t="s">
        <v>1970</v>
      </c>
      <c r="N67" t="s">
        <v>1970</v>
      </c>
      <c r="O67" t="s">
        <v>1970</v>
      </c>
      <c r="P67" t="s">
        <v>1970</v>
      </c>
      <c r="Q67" t="s">
        <v>1970</v>
      </c>
      <c r="R67" t="s">
        <v>1970</v>
      </c>
    </row>
    <row r="68" spans="1:18" x14ac:dyDescent="0.35">
      <c r="A68" s="179" t="s">
        <v>2024</v>
      </c>
      <c r="B68" s="10">
        <v>45962</v>
      </c>
      <c r="C68" s="10">
        <v>45992</v>
      </c>
      <c r="D68" s="10" t="s">
        <v>2025</v>
      </c>
      <c r="E68" s="10" t="s">
        <v>2026</v>
      </c>
      <c r="F68" s="10" t="s">
        <v>2027</v>
      </c>
      <c r="G68" s="10" t="s">
        <v>5</v>
      </c>
      <c r="H68" s="10" t="s">
        <v>6</v>
      </c>
      <c r="I68" s="10" t="s">
        <v>7</v>
      </c>
      <c r="J68" s="10" t="s">
        <v>8</v>
      </c>
      <c r="K68" s="10" t="s">
        <v>22</v>
      </c>
      <c r="L68" s="10" t="s">
        <v>23</v>
      </c>
      <c r="M68" s="10" t="s">
        <v>24</v>
      </c>
      <c r="N68" s="10" t="s">
        <v>2028</v>
      </c>
      <c r="O68" s="10" t="s">
        <v>2029</v>
      </c>
      <c r="P68" s="10" t="s">
        <v>2030</v>
      </c>
      <c r="Q68" s="10" t="s">
        <v>2031</v>
      </c>
      <c r="R68" s="10" t="s">
        <v>2032</v>
      </c>
    </row>
    <row r="69" spans="1:18" ht="18.5" x14ac:dyDescent="0.45">
      <c r="A69" s="11" t="s">
        <v>125</v>
      </c>
      <c r="B69" s="4">
        <v>1227286.4031168935</v>
      </c>
      <c r="C69" s="4">
        <v>1505231.0169571128</v>
      </c>
      <c r="D69" s="4">
        <v>1334974.2026699486</v>
      </c>
      <c r="E69" s="4">
        <v>1524148.302118012</v>
      </c>
      <c r="F69" s="4">
        <v>1360222.5027204449</v>
      </c>
      <c r="G69" s="4">
        <v>906264</v>
      </c>
      <c r="H69" s="4">
        <v>1135224</v>
      </c>
      <c r="I69" s="4">
        <v>629957.8125</v>
      </c>
      <c r="J69" s="4">
        <v>732935.8125</v>
      </c>
      <c r="K69" s="4">
        <v>969898.5</v>
      </c>
      <c r="L69" s="4">
        <v>2138145.1875</v>
      </c>
      <c r="M69" s="4">
        <v>1651750.6179253473</v>
      </c>
      <c r="N69" s="4">
        <v>2530474.0554253473</v>
      </c>
      <c r="O69" s="4">
        <v>2598630.4929253473</v>
      </c>
      <c r="P69" s="4">
        <v>1708258.8054253473</v>
      </c>
      <c r="Q69" s="4">
        <v>2711937.6804253473</v>
      </c>
      <c r="R69" s="4">
        <v>2588152.8054253473</v>
      </c>
    </row>
    <row r="70" spans="1:18" ht="18.5" x14ac:dyDescent="0.45">
      <c r="A70" s="11" t="s">
        <v>92</v>
      </c>
      <c r="B70" s="4">
        <v>1722229.3034444589</v>
      </c>
      <c r="C70" s="4">
        <v>1762906.904569546</v>
      </c>
      <c r="D70" s="4">
        <v>1655248.3533104965</v>
      </c>
      <c r="E70" s="4">
        <v>1641073.0032790804</v>
      </c>
      <c r="F70" s="4">
        <v>1547631.8580952641</v>
      </c>
      <c r="G70" s="4">
        <v>1107656</v>
      </c>
      <c r="H70" s="4">
        <v>1387496</v>
      </c>
      <c r="I70" s="4">
        <v>769948.43750000012</v>
      </c>
      <c r="J70" s="4">
        <v>895810.43750000012</v>
      </c>
      <c r="K70" s="4">
        <v>1185431.5</v>
      </c>
      <c r="L70" s="4">
        <v>2613288.5625</v>
      </c>
      <c r="M70" s="4">
        <v>1939774.6901186341</v>
      </c>
      <c r="N70" s="4">
        <v>3013770.0026186346</v>
      </c>
      <c r="O70" s="4">
        <v>3097072.3151186346</v>
      </c>
      <c r="P70" s="4">
        <v>2008840.2526186346</v>
      </c>
      <c r="Q70" s="4">
        <v>3235558.8776186346</v>
      </c>
      <c r="R70" s="4">
        <v>3084266.2526186346</v>
      </c>
    </row>
    <row r="71" spans="1:18" ht="18.5" x14ac:dyDescent="0.45">
      <c r="A71" s="11" t="s">
        <v>148</v>
      </c>
      <c r="B71" s="4">
        <v>0</v>
      </c>
      <c r="C71" s="4">
        <v>0</v>
      </c>
      <c r="D71" s="4">
        <v>0</v>
      </c>
      <c r="E71" s="4">
        <v>0</v>
      </c>
      <c r="F71" s="4">
        <v>0</v>
      </c>
      <c r="G71" s="4">
        <v>355642.29305555555</v>
      </c>
      <c r="H71" s="4">
        <v>355642.29305555555</v>
      </c>
      <c r="I71" s="4">
        <v>474189.72407407407</v>
      </c>
      <c r="J71" s="4">
        <v>533463.43958333333</v>
      </c>
      <c r="K71" s="4">
        <v>622374.01284722215</v>
      </c>
      <c r="L71" s="4">
        <v>711284.5861111111</v>
      </c>
      <c r="M71" s="4">
        <v>711284.5861111111</v>
      </c>
      <c r="N71" s="4">
        <v>711284.5861111111</v>
      </c>
      <c r="O71" s="4">
        <v>711284.5861111111</v>
      </c>
      <c r="P71" s="4">
        <v>711284.5861111111</v>
      </c>
      <c r="Q71" s="4">
        <v>711284.5861111111</v>
      </c>
      <c r="R71" s="4">
        <v>711284.5861111111</v>
      </c>
    </row>
    <row r="72" spans="1:18" ht="18.5" x14ac:dyDescent="0.45">
      <c r="A72" s="11" t="s">
        <v>370</v>
      </c>
      <c r="B72" s="4">
        <v>0</v>
      </c>
      <c r="C72" s="4">
        <v>0</v>
      </c>
      <c r="D72" s="4">
        <v>0</v>
      </c>
      <c r="E72" s="4">
        <v>0</v>
      </c>
      <c r="F72" s="4">
        <v>0</v>
      </c>
      <c r="G72" s="4"/>
      <c r="H72" s="4">
        <v>355642.29305555555</v>
      </c>
      <c r="I72" s="4">
        <v>474189.72407407407</v>
      </c>
      <c r="J72" s="4">
        <v>533463.43958333333</v>
      </c>
      <c r="K72" s="4">
        <v>622374.01284722215</v>
      </c>
      <c r="L72" s="4">
        <v>711284.5861111111</v>
      </c>
      <c r="M72" s="4">
        <v>711284.5861111111</v>
      </c>
      <c r="N72" s="4">
        <v>711284.5861111111</v>
      </c>
      <c r="O72" s="4">
        <v>711284.5861111111</v>
      </c>
      <c r="P72" s="4">
        <v>711284.5861111111</v>
      </c>
      <c r="Q72" s="4">
        <v>711284.5861111111</v>
      </c>
      <c r="R72" s="4">
        <v>711284.5861111111</v>
      </c>
    </row>
    <row r="73" spans="1:18" ht="18.5" x14ac:dyDescent="0.45">
      <c r="A73" s="11" t="s">
        <v>1331</v>
      </c>
      <c r="B73" s="4"/>
      <c r="C73" s="4"/>
      <c r="D73" s="4"/>
      <c r="E73" s="4"/>
      <c r="F73" s="4"/>
      <c r="G73" s="4"/>
      <c r="H73" s="4"/>
      <c r="I73" s="4">
        <v>355642.29305555555</v>
      </c>
      <c r="J73" s="210">
        <v>533463.43958333333</v>
      </c>
      <c r="K73" s="4">
        <v>622374.01284722215</v>
      </c>
      <c r="L73" s="4">
        <v>711284.5861111111</v>
      </c>
      <c r="M73" s="4">
        <v>711284.5861111111</v>
      </c>
      <c r="N73" s="4">
        <v>711284.5861111111</v>
      </c>
      <c r="O73" s="4">
        <v>711284.5861111111</v>
      </c>
      <c r="P73" s="4">
        <v>711284.5861111111</v>
      </c>
      <c r="Q73" s="4">
        <v>711284.5861111111</v>
      </c>
      <c r="R73" s="4">
        <v>711284.5861111111</v>
      </c>
    </row>
    <row r="74" spans="1:18" ht="18.5" x14ac:dyDescent="0.45">
      <c r="A74" s="11" t="s">
        <v>2033</v>
      </c>
      <c r="B74" s="4">
        <f>SUM(B69:B73)</f>
        <v>2949515.7065613521</v>
      </c>
      <c r="C74" s="4">
        <f t="shared" ref="C74:R74" si="0">SUM(C69:C73)</f>
        <v>3268137.9215266588</v>
      </c>
      <c r="D74" s="4">
        <f t="shared" si="0"/>
        <v>2990222.5559804449</v>
      </c>
      <c r="E74" s="4">
        <f t="shared" si="0"/>
        <v>3165221.3053970924</v>
      </c>
      <c r="F74" s="4">
        <f t="shared" si="0"/>
        <v>2907854.360815709</v>
      </c>
      <c r="G74" s="4">
        <f t="shared" si="0"/>
        <v>2369562.2930555558</v>
      </c>
      <c r="H74" s="4">
        <f t="shared" si="0"/>
        <v>3234004.5861111116</v>
      </c>
      <c r="I74" s="4">
        <f t="shared" si="0"/>
        <v>2703927.9912037039</v>
      </c>
      <c r="J74" s="4">
        <f t="shared" si="0"/>
        <v>3229136.5687499996</v>
      </c>
      <c r="K74" s="4">
        <f t="shared" si="0"/>
        <v>4022452.0385416672</v>
      </c>
      <c r="L74" s="4">
        <f t="shared" si="0"/>
        <v>6885287.5083333347</v>
      </c>
      <c r="M74" s="4">
        <f t="shared" si="0"/>
        <v>5725379.0663773157</v>
      </c>
      <c r="N74" s="4">
        <f t="shared" si="0"/>
        <v>7678097.8163773157</v>
      </c>
      <c r="O74" s="4">
        <f t="shared" si="0"/>
        <v>7829556.5663773157</v>
      </c>
      <c r="P74" s="4">
        <f t="shared" si="0"/>
        <v>5850952.8163773157</v>
      </c>
      <c r="Q74" s="4">
        <f t="shared" si="0"/>
        <v>8081350.3163773157</v>
      </c>
      <c r="R74" s="4">
        <f t="shared" si="0"/>
        <v>7806272.8163773157</v>
      </c>
    </row>
    <row r="75" spans="1:18" ht="18.5" x14ac:dyDescent="0.45">
      <c r="A75" s="211" t="s">
        <v>1931</v>
      </c>
      <c r="B75" s="12">
        <f>SUM(B76:B78,B69:B73)</f>
        <v>2949515.7065613521</v>
      </c>
      <c r="C75" s="12">
        <f t="shared" ref="C75:R75" si="1">SUM(C76:C78,C69:C73)</f>
        <v>3268137.9215266588</v>
      </c>
      <c r="D75" s="12">
        <f t="shared" si="1"/>
        <v>2990222.5559804449</v>
      </c>
      <c r="E75" s="12">
        <f t="shared" si="1"/>
        <v>3165221.3053970924</v>
      </c>
      <c r="F75" s="12">
        <f t="shared" si="1"/>
        <v>2907854.360815709</v>
      </c>
      <c r="G75" s="12">
        <f t="shared" si="1"/>
        <v>2369562.2930555558</v>
      </c>
      <c r="H75" s="12">
        <f t="shared" si="1"/>
        <v>3234004.5861111116</v>
      </c>
      <c r="I75" s="12">
        <f t="shared" si="1"/>
        <v>2703927.9912037039</v>
      </c>
      <c r="J75" s="12">
        <f t="shared" si="1"/>
        <v>11929136.56875</v>
      </c>
      <c r="K75" s="12">
        <f t="shared" si="1"/>
        <v>4022452.0385416672</v>
      </c>
      <c r="L75" s="12">
        <f t="shared" si="1"/>
        <v>6885287.5083333347</v>
      </c>
      <c r="M75" s="12">
        <f t="shared" si="1"/>
        <v>5725379.0663773157</v>
      </c>
      <c r="N75" s="12">
        <f t="shared" si="1"/>
        <v>10678097.816377318</v>
      </c>
      <c r="O75" s="12">
        <f t="shared" si="1"/>
        <v>20329556.566377312</v>
      </c>
      <c r="P75" s="12">
        <f t="shared" si="1"/>
        <v>5850952.8163773157</v>
      </c>
      <c r="Q75" s="12">
        <f t="shared" si="1"/>
        <v>8081350.3163773157</v>
      </c>
      <c r="R75" s="12">
        <f t="shared" si="1"/>
        <v>7806272.8163773157</v>
      </c>
    </row>
    <row r="76" spans="1:18" x14ac:dyDescent="0.35">
      <c r="A76" s="3" t="s">
        <v>2014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157">
        <v>4500000</v>
      </c>
      <c r="P76" s="3"/>
      <c r="Q76" s="3"/>
      <c r="R76" s="3"/>
    </row>
    <row r="77" spans="1:18" x14ac:dyDescent="0.35">
      <c r="A77" s="3" t="s">
        <v>2015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157">
        <v>3000000</v>
      </c>
      <c r="O77" s="3"/>
      <c r="P77" s="3"/>
      <c r="Q77" s="3"/>
      <c r="R77" s="3"/>
    </row>
    <row r="78" spans="1:18" x14ac:dyDescent="0.35">
      <c r="A78" s="3" t="s">
        <v>21</v>
      </c>
      <c r="B78" s="3"/>
      <c r="C78" s="3"/>
      <c r="D78" s="3"/>
      <c r="E78" s="3"/>
      <c r="F78" s="3"/>
      <c r="G78" s="3"/>
      <c r="H78" s="3"/>
      <c r="I78" s="3"/>
      <c r="J78" s="212">
        <v>8700000</v>
      </c>
      <c r="K78" s="3"/>
      <c r="L78" s="3"/>
      <c r="M78" s="3"/>
      <c r="N78" s="3"/>
      <c r="O78" s="212">
        <v>8000000</v>
      </c>
      <c r="P78" s="3"/>
      <c r="Q78" s="3"/>
      <c r="R78" s="3"/>
    </row>
    <row r="80" spans="1:18" x14ac:dyDescent="0.35">
      <c r="A80" s="142" t="s">
        <v>2034</v>
      </c>
      <c r="B80" t="s">
        <v>1970</v>
      </c>
      <c r="C80" t="s">
        <v>1970</v>
      </c>
      <c r="D80" t="s">
        <v>1970</v>
      </c>
      <c r="E80" t="s">
        <v>1970</v>
      </c>
      <c r="F80" t="s">
        <v>1970</v>
      </c>
      <c r="G80" t="s">
        <v>1970</v>
      </c>
      <c r="H80" t="s">
        <v>1970</v>
      </c>
      <c r="I80" t="s">
        <v>1970</v>
      </c>
      <c r="J80" t="s">
        <v>1970</v>
      </c>
      <c r="K80" t="s">
        <v>1970</v>
      </c>
      <c r="L80" t="s">
        <v>1970</v>
      </c>
      <c r="M80" t="s">
        <v>1970</v>
      </c>
      <c r="N80" t="s">
        <v>1970</v>
      </c>
      <c r="O80" t="s">
        <v>1970</v>
      </c>
      <c r="P80" t="s">
        <v>1970</v>
      </c>
      <c r="Q80" t="s">
        <v>1970</v>
      </c>
      <c r="R80" t="s">
        <v>1970</v>
      </c>
    </row>
    <row r="81" spans="1:18" x14ac:dyDescent="0.35">
      <c r="A81" s="179" t="s">
        <v>2024</v>
      </c>
      <c r="B81" s="10">
        <v>45962</v>
      </c>
      <c r="C81" s="10">
        <v>45992</v>
      </c>
      <c r="D81" s="10" t="s">
        <v>2025</v>
      </c>
      <c r="E81" s="10" t="s">
        <v>2026</v>
      </c>
      <c r="F81" s="10" t="s">
        <v>2027</v>
      </c>
      <c r="G81" s="10" t="s">
        <v>5</v>
      </c>
      <c r="H81" s="10" t="s">
        <v>6</v>
      </c>
      <c r="I81" s="10" t="s">
        <v>7</v>
      </c>
      <c r="J81" s="10" t="s">
        <v>8</v>
      </c>
      <c r="K81" s="10" t="s">
        <v>22</v>
      </c>
      <c r="L81" s="10" t="s">
        <v>23</v>
      </c>
      <c r="M81" s="10" t="s">
        <v>24</v>
      </c>
      <c r="N81" s="10" t="s">
        <v>2028</v>
      </c>
      <c r="O81" s="10" t="s">
        <v>2029</v>
      </c>
      <c r="P81" s="10" t="s">
        <v>2030</v>
      </c>
      <c r="Q81" s="10" t="s">
        <v>2031</v>
      </c>
      <c r="R81" s="10" t="s">
        <v>2032</v>
      </c>
    </row>
    <row r="82" spans="1:18" ht="18.5" x14ac:dyDescent="0.45">
      <c r="A82" s="11" t="s">
        <v>125</v>
      </c>
      <c r="B82" s="4">
        <f>B69*45%</f>
        <v>552278.88140260207</v>
      </c>
      <c r="C82" s="4">
        <f t="shared" ref="C82:R82" si="2">C69*45%</f>
        <v>677353.95763070078</v>
      </c>
      <c r="D82" s="4">
        <f t="shared" si="2"/>
        <v>600738.39120147692</v>
      </c>
      <c r="E82" s="4">
        <f t="shared" si="2"/>
        <v>685866.73595310538</v>
      </c>
      <c r="F82" s="4">
        <f t="shared" si="2"/>
        <v>612100.12622420024</v>
      </c>
      <c r="G82" s="4">
        <f t="shared" si="2"/>
        <v>407818.8</v>
      </c>
      <c r="H82" s="4">
        <f t="shared" si="2"/>
        <v>510850.8</v>
      </c>
      <c r="I82" s="4">
        <f t="shared" si="2"/>
        <v>283481.015625</v>
      </c>
      <c r="J82" s="4">
        <f t="shared" si="2"/>
        <v>329821.11562500003</v>
      </c>
      <c r="K82" s="4">
        <f t="shared" si="2"/>
        <v>436454.32500000001</v>
      </c>
      <c r="L82" s="4">
        <f t="shared" si="2"/>
        <v>962165.33437499998</v>
      </c>
      <c r="M82" s="4">
        <f t="shared" si="2"/>
        <v>743287.77806640626</v>
      </c>
      <c r="N82" s="4">
        <f t="shared" si="2"/>
        <v>1138713.3249414063</v>
      </c>
      <c r="O82" s="4">
        <f t="shared" si="2"/>
        <v>1169383.7218164064</v>
      </c>
      <c r="P82" s="4">
        <f t="shared" si="2"/>
        <v>768716.46244140633</v>
      </c>
      <c r="Q82" s="4">
        <f t="shared" si="2"/>
        <v>1220371.9561914064</v>
      </c>
      <c r="R82" s="4">
        <f t="shared" si="2"/>
        <v>1164668.7624414063</v>
      </c>
    </row>
    <row r="83" spans="1:18" ht="18.5" x14ac:dyDescent="0.45">
      <c r="A83" s="11" t="s">
        <v>92</v>
      </c>
      <c r="B83" s="4">
        <f t="shared" ref="B83:R87" si="3">B70*45%</f>
        <v>775003.1865500065</v>
      </c>
      <c r="C83" s="4">
        <f t="shared" si="3"/>
        <v>793308.10705629573</v>
      </c>
      <c r="D83" s="4">
        <f t="shared" si="3"/>
        <v>744861.75898972352</v>
      </c>
      <c r="E83" s="4">
        <f t="shared" si="3"/>
        <v>738482.85147558618</v>
      </c>
      <c r="F83" s="4">
        <f t="shared" si="3"/>
        <v>696434.33614286885</v>
      </c>
      <c r="G83" s="4">
        <f t="shared" si="3"/>
        <v>498445.2</v>
      </c>
      <c r="H83" s="4">
        <f t="shared" si="3"/>
        <v>624373.20000000007</v>
      </c>
      <c r="I83" s="4">
        <f t="shared" si="3"/>
        <v>346476.79687500006</v>
      </c>
      <c r="J83" s="4">
        <f t="shared" si="3"/>
        <v>403114.69687500008</v>
      </c>
      <c r="K83" s="4">
        <f t="shared" si="3"/>
        <v>533444.17500000005</v>
      </c>
      <c r="L83" s="4">
        <f t="shared" si="3"/>
        <v>1175979.8531250001</v>
      </c>
      <c r="M83" s="4">
        <f t="shared" si="3"/>
        <v>872898.61055338534</v>
      </c>
      <c r="N83" s="4">
        <f t="shared" si="3"/>
        <v>1356196.5011783857</v>
      </c>
      <c r="O83" s="4">
        <f t="shared" si="3"/>
        <v>1393682.5418033856</v>
      </c>
      <c r="P83" s="4">
        <f t="shared" si="3"/>
        <v>903978.11367838562</v>
      </c>
      <c r="Q83" s="4">
        <f t="shared" si="3"/>
        <v>1456001.4949283856</v>
      </c>
      <c r="R83" s="4">
        <f t="shared" si="3"/>
        <v>1387919.8136783857</v>
      </c>
    </row>
    <row r="84" spans="1:18" ht="18.5" x14ac:dyDescent="0.45">
      <c r="A84" s="11" t="s">
        <v>148</v>
      </c>
      <c r="B84" s="4">
        <f t="shared" si="3"/>
        <v>0</v>
      </c>
      <c r="C84" s="4">
        <f t="shared" si="3"/>
        <v>0</v>
      </c>
      <c r="D84" s="4">
        <f t="shared" si="3"/>
        <v>0</v>
      </c>
      <c r="E84" s="4">
        <f t="shared" si="3"/>
        <v>0</v>
      </c>
      <c r="F84" s="4">
        <f t="shared" si="3"/>
        <v>0</v>
      </c>
      <c r="G84" s="4">
        <f t="shared" si="3"/>
        <v>160039.03187500002</v>
      </c>
      <c r="H84" s="4">
        <f t="shared" si="3"/>
        <v>160039.03187500002</v>
      </c>
      <c r="I84" s="4">
        <f t="shared" si="3"/>
        <v>213385.37583333332</v>
      </c>
      <c r="J84" s="4">
        <f t="shared" si="3"/>
        <v>240058.54781250001</v>
      </c>
      <c r="K84" s="4">
        <f t="shared" si="3"/>
        <v>280068.30578125</v>
      </c>
      <c r="L84" s="4">
        <f t="shared" si="3"/>
        <v>320078.06375000003</v>
      </c>
      <c r="M84" s="4">
        <f t="shared" si="3"/>
        <v>320078.06375000003</v>
      </c>
      <c r="N84" s="4">
        <f t="shared" si="3"/>
        <v>320078.06375000003</v>
      </c>
      <c r="O84" s="4">
        <f t="shared" si="3"/>
        <v>320078.06375000003</v>
      </c>
      <c r="P84" s="4">
        <f t="shared" si="3"/>
        <v>320078.06375000003</v>
      </c>
      <c r="Q84" s="4">
        <f t="shared" si="3"/>
        <v>320078.06375000003</v>
      </c>
      <c r="R84" s="4">
        <f t="shared" si="3"/>
        <v>320078.06375000003</v>
      </c>
    </row>
    <row r="85" spans="1:18" ht="18.5" x14ac:dyDescent="0.45">
      <c r="A85" s="11" t="s">
        <v>370</v>
      </c>
      <c r="B85" s="4">
        <f t="shared" si="3"/>
        <v>0</v>
      </c>
      <c r="C85" s="4">
        <f t="shared" si="3"/>
        <v>0</v>
      </c>
      <c r="D85" s="4">
        <f t="shared" si="3"/>
        <v>0</v>
      </c>
      <c r="E85" s="4">
        <f t="shared" si="3"/>
        <v>0</v>
      </c>
      <c r="F85" s="4">
        <f t="shared" si="3"/>
        <v>0</v>
      </c>
      <c r="G85" s="4">
        <f t="shared" si="3"/>
        <v>0</v>
      </c>
      <c r="H85" s="4">
        <f t="shared" si="3"/>
        <v>160039.03187500002</v>
      </c>
      <c r="I85" s="4">
        <f t="shared" si="3"/>
        <v>213385.37583333332</v>
      </c>
      <c r="J85" s="4">
        <f t="shared" si="3"/>
        <v>240058.54781250001</v>
      </c>
      <c r="K85" s="4">
        <f t="shared" si="3"/>
        <v>280068.30578125</v>
      </c>
      <c r="L85" s="4">
        <f t="shared" si="3"/>
        <v>320078.06375000003</v>
      </c>
      <c r="M85" s="4">
        <f t="shared" si="3"/>
        <v>320078.06375000003</v>
      </c>
      <c r="N85" s="4">
        <f t="shared" si="3"/>
        <v>320078.06375000003</v>
      </c>
      <c r="O85" s="4">
        <f t="shared" si="3"/>
        <v>320078.06375000003</v>
      </c>
      <c r="P85" s="4">
        <f t="shared" si="3"/>
        <v>320078.06375000003</v>
      </c>
      <c r="Q85" s="4">
        <f t="shared" si="3"/>
        <v>320078.06375000003</v>
      </c>
      <c r="R85" s="4">
        <f t="shared" si="3"/>
        <v>320078.06375000003</v>
      </c>
    </row>
    <row r="86" spans="1:18" ht="18.5" x14ac:dyDescent="0.45">
      <c r="A86" s="11" t="s">
        <v>1331</v>
      </c>
      <c r="B86" s="4">
        <f t="shared" si="3"/>
        <v>0</v>
      </c>
      <c r="C86" s="4">
        <f t="shared" si="3"/>
        <v>0</v>
      </c>
      <c r="D86" s="4">
        <f t="shared" si="3"/>
        <v>0</v>
      </c>
      <c r="E86" s="4">
        <f t="shared" si="3"/>
        <v>0</v>
      </c>
      <c r="F86" s="4">
        <f t="shared" si="3"/>
        <v>0</v>
      </c>
      <c r="G86" s="4">
        <f t="shared" si="3"/>
        <v>0</v>
      </c>
      <c r="H86" s="4">
        <f t="shared" si="3"/>
        <v>0</v>
      </c>
      <c r="I86" s="4">
        <f t="shared" si="3"/>
        <v>160039.03187500002</v>
      </c>
      <c r="J86" s="217">
        <f t="shared" si="3"/>
        <v>240058.54781250001</v>
      </c>
      <c r="K86" s="4">
        <f t="shared" si="3"/>
        <v>280068.30578125</v>
      </c>
      <c r="L86" s="4">
        <f t="shared" si="3"/>
        <v>320078.06375000003</v>
      </c>
      <c r="M86" s="4">
        <f t="shared" si="3"/>
        <v>320078.06375000003</v>
      </c>
      <c r="N86" s="4">
        <f t="shared" si="3"/>
        <v>320078.06375000003</v>
      </c>
      <c r="O86" s="4">
        <f t="shared" si="3"/>
        <v>320078.06375000003</v>
      </c>
      <c r="P86" s="4">
        <f t="shared" si="3"/>
        <v>320078.06375000003</v>
      </c>
      <c r="Q86" s="4">
        <f t="shared" si="3"/>
        <v>320078.06375000003</v>
      </c>
      <c r="R86" s="4">
        <f t="shared" si="3"/>
        <v>320078.06375000003</v>
      </c>
    </row>
    <row r="87" spans="1:18" ht="18.5" x14ac:dyDescent="0.45">
      <c r="A87" s="11" t="s">
        <v>2033</v>
      </c>
      <c r="B87" s="4">
        <f t="shared" si="3"/>
        <v>1327282.0679526085</v>
      </c>
      <c r="C87" s="4">
        <f t="shared" si="3"/>
        <v>1470662.0646869964</v>
      </c>
      <c r="D87" s="4">
        <f t="shared" si="3"/>
        <v>1345600.1501912002</v>
      </c>
      <c r="E87" s="4">
        <f t="shared" si="3"/>
        <v>1424349.5874286916</v>
      </c>
      <c r="F87" s="4">
        <f t="shared" si="3"/>
        <v>1308534.462367069</v>
      </c>
      <c r="G87" s="4">
        <f t="shared" si="3"/>
        <v>1066303.0318750001</v>
      </c>
      <c r="H87" s="4">
        <f t="shared" si="3"/>
        <v>1455302.0637500002</v>
      </c>
      <c r="I87" s="4">
        <f t="shared" si="3"/>
        <v>1216767.5960416668</v>
      </c>
      <c r="J87" s="4">
        <f t="shared" si="3"/>
        <v>1453111.4559374999</v>
      </c>
      <c r="K87" s="4">
        <f t="shared" si="3"/>
        <v>1810103.4173437504</v>
      </c>
      <c r="L87" s="4">
        <f t="shared" si="3"/>
        <v>3098379.3787500006</v>
      </c>
      <c r="M87" s="4">
        <f t="shared" si="3"/>
        <v>2576420.5798697923</v>
      </c>
      <c r="N87" s="4">
        <f t="shared" si="3"/>
        <v>3455144.0173697923</v>
      </c>
      <c r="O87" s="4">
        <f t="shared" si="3"/>
        <v>3523300.4548697923</v>
      </c>
      <c r="P87" s="4">
        <f t="shared" si="3"/>
        <v>2632928.7673697923</v>
      </c>
      <c r="Q87" s="4">
        <f t="shared" si="3"/>
        <v>3636607.6423697923</v>
      </c>
      <c r="R87" s="4">
        <f t="shared" si="3"/>
        <v>3512822.7673697923</v>
      </c>
    </row>
    <row r="89" spans="1:18" x14ac:dyDescent="0.35">
      <c r="A89" s="142" t="s">
        <v>2035</v>
      </c>
      <c r="B89" t="s">
        <v>1970</v>
      </c>
      <c r="C89" t="s">
        <v>1970</v>
      </c>
      <c r="D89" t="s">
        <v>1970</v>
      </c>
      <c r="E89" t="s">
        <v>1970</v>
      </c>
      <c r="F89" t="s">
        <v>1970</v>
      </c>
      <c r="G89" t="s">
        <v>1970</v>
      </c>
      <c r="H89" t="s">
        <v>1970</v>
      </c>
      <c r="I89" t="s">
        <v>1970</v>
      </c>
      <c r="J89" t="s">
        <v>1970</v>
      </c>
      <c r="K89" t="s">
        <v>1970</v>
      </c>
      <c r="L89" t="s">
        <v>1970</v>
      </c>
      <c r="M89" t="s">
        <v>1970</v>
      </c>
      <c r="N89" t="s">
        <v>1970</v>
      </c>
      <c r="O89" t="s">
        <v>1970</v>
      </c>
      <c r="P89" t="s">
        <v>1970</v>
      </c>
      <c r="Q89" t="s">
        <v>1970</v>
      </c>
      <c r="R89" t="s">
        <v>1970</v>
      </c>
    </row>
    <row r="90" spans="1:18" x14ac:dyDescent="0.35">
      <c r="A90" s="179" t="s">
        <v>2024</v>
      </c>
      <c r="B90" s="10">
        <v>45962</v>
      </c>
      <c r="C90" s="10">
        <v>45992</v>
      </c>
      <c r="D90" s="10" t="s">
        <v>2025</v>
      </c>
      <c r="E90" s="10" t="s">
        <v>2026</v>
      </c>
      <c r="F90" s="10" t="s">
        <v>2027</v>
      </c>
      <c r="G90" s="10" t="s">
        <v>5</v>
      </c>
      <c r="H90" s="10" t="s">
        <v>6</v>
      </c>
      <c r="I90" s="10" t="s">
        <v>7</v>
      </c>
      <c r="J90" s="10" t="s">
        <v>8</v>
      </c>
      <c r="K90" s="10" t="s">
        <v>22</v>
      </c>
      <c r="L90" s="10" t="s">
        <v>23</v>
      </c>
      <c r="M90" s="10" t="s">
        <v>24</v>
      </c>
      <c r="N90" s="10" t="s">
        <v>2028</v>
      </c>
      <c r="O90" s="10" t="s">
        <v>2029</v>
      </c>
      <c r="P90" s="10" t="s">
        <v>2030</v>
      </c>
      <c r="Q90" s="10" t="s">
        <v>2031</v>
      </c>
      <c r="R90" s="10" t="s">
        <v>2032</v>
      </c>
    </row>
    <row r="91" spans="1:18" ht="18.5" x14ac:dyDescent="0.45">
      <c r="A91" s="11" t="s">
        <v>125</v>
      </c>
      <c r="B91" s="4">
        <f>B69*55%</f>
        <v>675007.52171429142</v>
      </c>
      <c r="C91" s="4">
        <f t="shared" ref="C91:R91" si="4">C69*55%</f>
        <v>827877.05932641216</v>
      </c>
      <c r="D91" s="4">
        <f t="shared" si="4"/>
        <v>734235.81146847177</v>
      </c>
      <c r="E91" s="4">
        <f t="shared" si="4"/>
        <v>838281.5661649066</v>
      </c>
      <c r="F91" s="4">
        <f t="shared" si="4"/>
        <v>748122.3764962448</v>
      </c>
      <c r="G91" s="4">
        <f t="shared" si="4"/>
        <v>498445.2</v>
      </c>
      <c r="H91" s="4">
        <f t="shared" si="4"/>
        <v>624373.20000000007</v>
      </c>
      <c r="I91" s="4">
        <f t="shared" si="4"/>
        <v>346476.796875</v>
      </c>
      <c r="J91" s="4">
        <f t="shared" si="4"/>
        <v>403114.69687500002</v>
      </c>
      <c r="K91" s="4">
        <f t="shared" si="4"/>
        <v>533444.17500000005</v>
      </c>
      <c r="L91" s="4">
        <f t="shared" si="4"/>
        <v>1175979.8531250001</v>
      </c>
      <c r="M91" s="4">
        <f t="shared" si="4"/>
        <v>908462.83985894104</v>
      </c>
      <c r="N91" s="4">
        <f t="shared" si="4"/>
        <v>1391760.730483941</v>
      </c>
      <c r="O91" s="4">
        <f t="shared" si="4"/>
        <v>1429246.7711089412</v>
      </c>
      <c r="P91" s="4">
        <f t="shared" si="4"/>
        <v>939542.34298394108</v>
      </c>
      <c r="Q91" s="4">
        <f t="shared" si="4"/>
        <v>1491565.7242339412</v>
      </c>
      <c r="R91" s="4">
        <f t="shared" si="4"/>
        <v>1423484.042983941</v>
      </c>
    </row>
    <row r="92" spans="1:18" ht="18.5" x14ac:dyDescent="0.45">
      <c r="A92" s="11" t="s">
        <v>92</v>
      </c>
      <c r="B92" s="4">
        <f t="shared" ref="B92:R96" si="5">B70*55%</f>
        <v>947226.11689445248</v>
      </c>
      <c r="C92" s="4">
        <f t="shared" si="5"/>
        <v>969598.79751325038</v>
      </c>
      <c r="D92" s="4">
        <f t="shared" si="5"/>
        <v>910386.59432077315</v>
      </c>
      <c r="E92" s="4">
        <f t="shared" si="5"/>
        <v>902590.15180349431</v>
      </c>
      <c r="F92" s="4">
        <f t="shared" si="5"/>
        <v>851197.52195239533</v>
      </c>
      <c r="G92" s="4">
        <f t="shared" si="5"/>
        <v>609210.80000000005</v>
      </c>
      <c r="H92" s="4">
        <f t="shared" si="5"/>
        <v>763122.8</v>
      </c>
      <c r="I92" s="4">
        <f t="shared" si="5"/>
        <v>423471.64062500012</v>
      </c>
      <c r="J92" s="4">
        <f t="shared" si="5"/>
        <v>492695.74062500009</v>
      </c>
      <c r="K92" s="4">
        <f t="shared" si="5"/>
        <v>651987.32500000007</v>
      </c>
      <c r="L92" s="4">
        <f t="shared" si="5"/>
        <v>1437308.7093750001</v>
      </c>
      <c r="M92" s="4">
        <f t="shared" si="5"/>
        <v>1066876.0795652489</v>
      </c>
      <c r="N92" s="4">
        <f t="shared" si="5"/>
        <v>1657573.5014402492</v>
      </c>
      <c r="O92" s="4">
        <f t="shared" si="5"/>
        <v>1703389.7733152492</v>
      </c>
      <c r="P92" s="4">
        <f t="shared" si="5"/>
        <v>1104862.1389402491</v>
      </c>
      <c r="Q92" s="4">
        <f t="shared" si="5"/>
        <v>1779557.3826902492</v>
      </c>
      <c r="R92" s="4">
        <f t="shared" si="5"/>
        <v>1696346.4389402492</v>
      </c>
    </row>
    <row r="93" spans="1:18" ht="18.5" x14ac:dyDescent="0.45">
      <c r="A93" s="11" t="s">
        <v>148</v>
      </c>
      <c r="B93" s="4">
        <f t="shared" si="5"/>
        <v>0</v>
      </c>
      <c r="C93" s="4">
        <f t="shared" si="5"/>
        <v>0</v>
      </c>
      <c r="D93" s="4">
        <f t="shared" si="5"/>
        <v>0</v>
      </c>
      <c r="E93" s="4">
        <f t="shared" si="5"/>
        <v>0</v>
      </c>
      <c r="F93" s="4">
        <f t="shared" si="5"/>
        <v>0</v>
      </c>
      <c r="G93" s="4">
        <f t="shared" si="5"/>
        <v>195603.26118055556</v>
      </c>
      <c r="H93" s="4">
        <f t="shared" si="5"/>
        <v>195603.26118055556</v>
      </c>
      <c r="I93" s="4">
        <f t="shared" si="5"/>
        <v>260804.34824074077</v>
      </c>
      <c r="J93" s="4">
        <f t="shared" si="5"/>
        <v>293404.89177083335</v>
      </c>
      <c r="K93" s="4">
        <f t="shared" si="5"/>
        <v>342305.70706597221</v>
      </c>
      <c r="L93" s="4">
        <f t="shared" si="5"/>
        <v>391206.52236111113</v>
      </c>
      <c r="M93" s="4">
        <f t="shared" si="5"/>
        <v>391206.52236111113</v>
      </c>
      <c r="N93" s="4">
        <f t="shared" si="5"/>
        <v>391206.52236111113</v>
      </c>
      <c r="O93" s="4">
        <f t="shared" si="5"/>
        <v>391206.52236111113</v>
      </c>
      <c r="P93" s="4">
        <f t="shared" si="5"/>
        <v>391206.52236111113</v>
      </c>
      <c r="Q93" s="4">
        <f t="shared" si="5"/>
        <v>391206.52236111113</v>
      </c>
      <c r="R93" s="4">
        <f t="shared" si="5"/>
        <v>391206.52236111113</v>
      </c>
    </row>
    <row r="94" spans="1:18" ht="18.5" x14ac:dyDescent="0.45">
      <c r="A94" s="11" t="s">
        <v>370</v>
      </c>
      <c r="B94" s="4">
        <f t="shared" si="5"/>
        <v>0</v>
      </c>
      <c r="C94" s="4">
        <f t="shared" si="5"/>
        <v>0</v>
      </c>
      <c r="D94" s="4">
        <f t="shared" si="5"/>
        <v>0</v>
      </c>
      <c r="E94" s="4">
        <f t="shared" si="5"/>
        <v>0</v>
      </c>
      <c r="F94" s="4">
        <f t="shared" si="5"/>
        <v>0</v>
      </c>
      <c r="G94" s="4">
        <f t="shared" si="5"/>
        <v>0</v>
      </c>
      <c r="H94" s="4">
        <f t="shared" si="5"/>
        <v>195603.26118055556</v>
      </c>
      <c r="I94" s="4">
        <f t="shared" si="5"/>
        <v>260804.34824074077</v>
      </c>
      <c r="J94" s="4">
        <f t="shared" si="5"/>
        <v>293404.89177083335</v>
      </c>
      <c r="K94" s="4">
        <f t="shared" si="5"/>
        <v>342305.70706597221</v>
      </c>
      <c r="L94" s="4">
        <f t="shared" si="5"/>
        <v>391206.52236111113</v>
      </c>
      <c r="M94" s="4">
        <f t="shared" si="5"/>
        <v>391206.52236111113</v>
      </c>
      <c r="N94" s="4">
        <f t="shared" si="5"/>
        <v>391206.52236111113</v>
      </c>
      <c r="O94" s="4">
        <f t="shared" si="5"/>
        <v>391206.52236111113</v>
      </c>
      <c r="P94" s="4">
        <f t="shared" si="5"/>
        <v>391206.52236111113</v>
      </c>
      <c r="Q94" s="4">
        <f t="shared" si="5"/>
        <v>391206.52236111113</v>
      </c>
      <c r="R94" s="4">
        <f t="shared" si="5"/>
        <v>391206.52236111113</v>
      </c>
    </row>
    <row r="95" spans="1:18" ht="18.5" x14ac:dyDescent="0.45">
      <c r="A95" s="11" t="s">
        <v>1331</v>
      </c>
      <c r="B95" s="4">
        <f t="shared" si="5"/>
        <v>0</v>
      </c>
      <c r="C95" s="4">
        <f t="shared" si="5"/>
        <v>0</v>
      </c>
      <c r="D95" s="4">
        <f t="shared" si="5"/>
        <v>0</v>
      </c>
      <c r="E95" s="4">
        <f t="shared" si="5"/>
        <v>0</v>
      </c>
      <c r="F95" s="4">
        <f t="shared" si="5"/>
        <v>0</v>
      </c>
      <c r="G95" s="4">
        <f t="shared" si="5"/>
        <v>0</v>
      </c>
      <c r="H95" s="4">
        <f t="shared" si="5"/>
        <v>0</v>
      </c>
      <c r="I95" s="4">
        <f t="shared" si="5"/>
        <v>195603.26118055556</v>
      </c>
      <c r="J95">
        <f t="shared" si="5"/>
        <v>293404.89177083335</v>
      </c>
      <c r="K95" s="4">
        <f t="shared" si="5"/>
        <v>342305.70706597221</v>
      </c>
      <c r="L95" s="4">
        <f t="shared" si="5"/>
        <v>391206.52236111113</v>
      </c>
      <c r="M95" s="4">
        <f t="shared" si="5"/>
        <v>391206.52236111113</v>
      </c>
      <c r="N95" s="4">
        <f t="shared" si="5"/>
        <v>391206.52236111113</v>
      </c>
      <c r="O95" s="4">
        <f t="shared" si="5"/>
        <v>391206.52236111113</v>
      </c>
      <c r="P95" s="4">
        <f t="shared" si="5"/>
        <v>391206.52236111113</v>
      </c>
      <c r="Q95" s="4">
        <f t="shared" si="5"/>
        <v>391206.52236111113</v>
      </c>
      <c r="R95" s="4">
        <f t="shared" si="5"/>
        <v>391206.52236111113</v>
      </c>
    </row>
    <row r="96" spans="1:18" ht="18.5" x14ac:dyDescent="0.45">
      <c r="A96" s="11" t="s">
        <v>2033</v>
      </c>
      <c r="B96" s="4">
        <f t="shared" si="5"/>
        <v>1622233.6386087439</v>
      </c>
      <c r="C96" s="4">
        <f t="shared" si="5"/>
        <v>1797475.8568396624</v>
      </c>
      <c r="D96" s="4">
        <f t="shared" si="5"/>
        <v>1644622.4057892449</v>
      </c>
      <c r="E96" s="4">
        <f t="shared" si="5"/>
        <v>1740871.717968401</v>
      </c>
      <c r="F96" s="4">
        <f t="shared" si="5"/>
        <v>1599319.89844864</v>
      </c>
      <c r="G96" s="4">
        <f t="shared" si="5"/>
        <v>1303259.2611805557</v>
      </c>
      <c r="H96" s="4">
        <f t="shared" si="5"/>
        <v>1778702.5223611116</v>
      </c>
      <c r="I96" s="4">
        <f t="shared" si="5"/>
        <v>1487160.3951620373</v>
      </c>
      <c r="J96" s="4">
        <f t="shared" si="5"/>
        <v>1776025.1128125</v>
      </c>
      <c r="K96" s="4">
        <f t="shared" si="5"/>
        <v>2212348.621197917</v>
      </c>
      <c r="L96" s="4">
        <f t="shared" si="5"/>
        <v>3786908.1295833346</v>
      </c>
      <c r="M96" s="4">
        <f t="shared" si="5"/>
        <v>3148958.4865075238</v>
      </c>
      <c r="N96" s="4">
        <f t="shared" si="5"/>
        <v>4222953.7990075238</v>
      </c>
      <c r="O96" s="4">
        <f t="shared" si="5"/>
        <v>4306256.1115075238</v>
      </c>
      <c r="P96" s="4">
        <f t="shared" si="5"/>
        <v>3218024.0490075238</v>
      </c>
      <c r="Q96" s="4">
        <f t="shared" si="5"/>
        <v>4444742.6740075238</v>
      </c>
      <c r="R96" s="4">
        <f t="shared" si="5"/>
        <v>4293450.0490075238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4BF3D-1672-42D6-A2CA-891011CD1416}">
  <sheetPr codeName="Sheet4"/>
  <dimension ref="A1:BD36"/>
  <sheetViews>
    <sheetView zoomScale="90" workbookViewId="0">
      <pane xSplit="1" ySplit="2" topLeftCell="C3" activePane="bottomRight" state="frozen"/>
      <selection pane="topRight" activeCell="B1" sqref="B1"/>
      <selection pane="bottomLeft" activeCell="A3" sqref="A3"/>
      <selection pane="bottomRight" activeCell="A61" sqref="A61"/>
    </sheetView>
  </sheetViews>
  <sheetFormatPr defaultColWidth="8.81640625" defaultRowHeight="14.5" x14ac:dyDescent="0.35"/>
  <cols>
    <col min="1" max="1" width="18.453125" bestFit="1" customWidth="1"/>
    <col min="2" max="2" width="12.54296875" bestFit="1" customWidth="1"/>
    <col min="3" max="3" width="11.54296875" customWidth="1"/>
    <col min="4" max="6" width="12.54296875" customWidth="1"/>
    <col min="7" max="7" width="12.54296875" bestFit="1" customWidth="1"/>
    <col min="8" max="8" width="10.54296875" bestFit="1" customWidth="1"/>
    <col min="9" max="9" width="9.81640625" bestFit="1" customWidth="1"/>
    <col min="10" max="10" width="13.1796875" customWidth="1"/>
    <col min="11" max="11" width="11.54296875" bestFit="1" customWidth="1"/>
    <col min="12" max="14" width="10.26953125" bestFit="1" customWidth="1"/>
    <col min="15" max="15" width="10.81640625" bestFit="1" customWidth="1"/>
    <col min="16" max="17" width="10.26953125" bestFit="1" customWidth="1"/>
    <col min="18" max="18" width="10.81640625" bestFit="1" customWidth="1"/>
    <col min="19" max="19" width="13.453125" customWidth="1"/>
    <col min="20" max="20" width="18.453125" bestFit="1" customWidth="1"/>
    <col min="26" max="26" width="9" bestFit="1" customWidth="1"/>
    <col min="27" max="27" width="12.54296875" customWidth="1"/>
    <col min="28" max="28" width="12" bestFit="1" customWidth="1"/>
    <col min="29" max="30" width="10" bestFit="1" customWidth="1"/>
    <col min="31" max="31" width="12" customWidth="1"/>
    <col min="32" max="32" width="12.453125" customWidth="1"/>
    <col min="33" max="33" width="10" bestFit="1" customWidth="1"/>
    <col min="34" max="34" width="14" customWidth="1"/>
    <col min="35" max="37" width="10" bestFit="1" customWidth="1"/>
    <col min="45" max="55" width="10" bestFit="1" customWidth="1"/>
    <col min="56" max="56" width="10.26953125" bestFit="1" customWidth="1"/>
  </cols>
  <sheetData>
    <row r="1" spans="1:56" x14ac:dyDescent="0.35">
      <c r="A1" s="142" t="s">
        <v>1996</v>
      </c>
      <c r="B1" t="s">
        <v>1970</v>
      </c>
      <c r="C1" t="s">
        <v>1970</v>
      </c>
      <c r="D1" t="s">
        <v>1970</v>
      </c>
      <c r="E1" t="s">
        <v>1970</v>
      </c>
      <c r="F1" t="s">
        <v>1970</v>
      </c>
      <c r="G1" t="s">
        <v>1970</v>
      </c>
      <c r="H1" t="s">
        <v>1970</v>
      </c>
      <c r="I1" t="s">
        <v>1970</v>
      </c>
      <c r="J1" t="s">
        <v>1970</v>
      </c>
      <c r="K1" t="s">
        <v>1970</v>
      </c>
      <c r="L1" t="s">
        <v>1970</v>
      </c>
      <c r="M1" t="s">
        <v>1970</v>
      </c>
      <c r="N1" t="s">
        <v>1970</v>
      </c>
      <c r="O1" t="s">
        <v>1970</v>
      </c>
      <c r="P1" t="s">
        <v>1970</v>
      </c>
      <c r="Q1" t="s">
        <v>1970</v>
      </c>
      <c r="R1" t="s">
        <v>1970</v>
      </c>
      <c r="T1" s="142" t="s">
        <v>2017</v>
      </c>
      <c r="U1" t="s">
        <v>1970</v>
      </c>
      <c r="V1" t="s">
        <v>1970</v>
      </c>
      <c r="W1" t="s">
        <v>1970</v>
      </c>
      <c r="X1" t="s">
        <v>1970</v>
      </c>
      <c r="Y1" t="s">
        <v>1970</v>
      </c>
      <c r="Z1" t="s">
        <v>1970</v>
      </c>
      <c r="AA1" t="s">
        <v>1970</v>
      </c>
      <c r="AB1" t="s">
        <v>1970</v>
      </c>
      <c r="AC1" t="s">
        <v>1970</v>
      </c>
      <c r="AD1" t="s">
        <v>1970</v>
      </c>
      <c r="AE1" t="s">
        <v>1970</v>
      </c>
      <c r="AF1" t="s">
        <v>1970</v>
      </c>
      <c r="AG1" t="s">
        <v>1970</v>
      </c>
      <c r="AH1" t="s">
        <v>1970</v>
      </c>
      <c r="AI1" t="s">
        <v>1970</v>
      </c>
      <c r="AJ1" t="s">
        <v>1970</v>
      </c>
      <c r="AK1" t="s">
        <v>1970</v>
      </c>
      <c r="AM1" t="s">
        <v>2018</v>
      </c>
      <c r="AN1" t="s">
        <v>1970</v>
      </c>
      <c r="AO1" t="s">
        <v>1970</v>
      </c>
      <c r="AP1" t="s">
        <v>1970</v>
      </c>
      <c r="AQ1" t="s">
        <v>1970</v>
      </c>
      <c r="AR1" t="s">
        <v>1970</v>
      </c>
      <c r="AS1" t="s">
        <v>1970</v>
      </c>
      <c r="AT1" t="s">
        <v>1970</v>
      </c>
      <c r="AU1" t="s">
        <v>1970</v>
      </c>
      <c r="AV1" t="s">
        <v>1970</v>
      </c>
      <c r="AW1" t="s">
        <v>1970</v>
      </c>
      <c r="AX1" t="s">
        <v>1970</v>
      </c>
      <c r="AY1" t="s">
        <v>1970</v>
      </c>
      <c r="AZ1" t="s">
        <v>1970</v>
      </c>
      <c r="BA1" t="s">
        <v>1970</v>
      </c>
      <c r="BB1" t="s">
        <v>1970</v>
      </c>
      <c r="BC1" t="s">
        <v>1970</v>
      </c>
      <c r="BD1" t="s">
        <v>1970</v>
      </c>
    </row>
    <row r="2" spans="1:56" x14ac:dyDescent="0.35">
      <c r="A2" s="179" t="s">
        <v>2024</v>
      </c>
      <c r="B2" s="10">
        <v>45962</v>
      </c>
      <c r="C2" s="10">
        <v>45992</v>
      </c>
      <c r="D2" s="10" t="s">
        <v>2025</v>
      </c>
      <c r="E2" s="10" t="s">
        <v>2026</v>
      </c>
      <c r="F2" s="10" t="s">
        <v>2027</v>
      </c>
      <c r="G2" s="10" t="s">
        <v>5</v>
      </c>
      <c r="H2" s="10" t="s">
        <v>6</v>
      </c>
      <c r="I2" s="10" t="s">
        <v>7</v>
      </c>
      <c r="J2" s="10" t="s">
        <v>8</v>
      </c>
      <c r="K2" s="10" t="s">
        <v>22</v>
      </c>
      <c r="L2" s="10" t="s">
        <v>23</v>
      </c>
      <c r="M2" s="10" t="s">
        <v>24</v>
      </c>
      <c r="N2" s="10" t="s">
        <v>2028</v>
      </c>
      <c r="O2" s="10" t="s">
        <v>2029</v>
      </c>
      <c r="P2" s="10" t="s">
        <v>2030</v>
      </c>
      <c r="Q2" s="10" t="s">
        <v>2031</v>
      </c>
      <c r="R2" s="10" t="s">
        <v>2032</v>
      </c>
      <c r="T2" s="3" t="s">
        <v>2024</v>
      </c>
      <c r="U2" s="10">
        <v>45962</v>
      </c>
      <c r="V2" s="10">
        <v>45992</v>
      </c>
      <c r="W2" s="10" t="s">
        <v>2025</v>
      </c>
      <c r="X2" s="10" t="s">
        <v>2026</v>
      </c>
      <c r="Y2" s="10" t="s">
        <v>2027</v>
      </c>
      <c r="Z2" s="10" t="s">
        <v>5</v>
      </c>
      <c r="AA2" s="10" t="s">
        <v>6</v>
      </c>
      <c r="AB2" s="10" t="s">
        <v>7</v>
      </c>
      <c r="AC2" s="10" t="s">
        <v>8</v>
      </c>
      <c r="AD2" s="10" t="s">
        <v>22</v>
      </c>
      <c r="AE2" s="10" t="s">
        <v>23</v>
      </c>
      <c r="AF2" s="10" t="s">
        <v>24</v>
      </c>
      <c r="AG2" s="10" t="s">
        <v>2028</v>
      </c>
      <c r="AH2" s="10" t="s">
        <v>2029</v>
      </c>
      <c r="AI2" s="10" t="s">
        <v>2030</v>
      </c>
      <c r="AJ2" s="10" t="s">
        <v>2031</v>
      </c>
      <c r="AK2" s="10" t="s">
        <v>2032</v>
      </c>
      <c r="AM2" s="3" t="s">
        <v>2024</v>
      </c>
      <c r="AN2" s="10">
        <v>45962</v>
      </c>
      <c r="AO2" s="10">
        <v>45992</v>
      </c>
      <c r="AP2" s="10" t="s">
        <v>2025</v>
      </c>
      <c r="AQ2" s="10" t="s">
        <v>2026</v>
      </c>
      <c r="AR2" s="10" t="s">
        <v>2027</v>
      </c>
      <c r="AS2" s="10" t="s">
        <v>5</v>
      </c>
      <c r="AT2" s="10" t="s">
        <v>6</v>
      </c>
      <c r="AU2" s="10" t="s">
        <v>7</v>
      </c>
      <c r="AV2" s="10" t="s">
        <v>8</v>
      </c>
      <c r="AW2" s="10" t="s">
        <v>22</v>
      </c>
      <c r="AX2" s="10" t="s">
        <v>23</v>
      </c>
      <c r="AY2" s="10" t="s">
        <v>24</v>
      </c>
      <c r="AZ2" s="10" t="s">
        <v>2028</v>
      </c>
      <c r="BA2" s="10" t="s">
        <v>2029</v>
      </c>
      <c r="BB2" s="10" t="s">
        <v>2030</v>
      </c>
      <c r="BC2" s="10" t="s">
        <v>2031</v>
      </c>
      <c r="BD2" s="10" t="s">
        <v>2032</v>
      </c>
    </row>
    <row r="3" spans="1:56" ht="18.5" x14ac:dyDescent="0.45">
      <c r="A3" s="11" t="s">
        <v>125</v>
      </c>
      <c r="B3" s="4">
        <v>1227286.4031168935</v>
      </c>
      <c r="C3" s="4">
        <v>1505231.0169571128</v>
      </c>
      <c r="D3" s="4">
        <v>1334974.2026699486</v>
      </c>
      <c r="E3" s="4">
        <v>1524148.302118012</v>
      </c>
      <c r="F3" s="4">
        <v>1360222.5027204449</v>
      </c>
      <c r="G3" s="4">
        <v>906264</v>
      </c>
      <c r="H3" s="4">
        <v>1135224</v>
      </c>
      <c r="I3" s="4">
        <v>629957.8125</v>
      </c>
      <c r="J3" s="4">
        <v>732935.8125</v>
      </c>
      <c r="K3" s="4">
        <v>969898.5</v>
      </c>
      <c r="L3" s="4">
        <v>2138145.1875</v>
      </c>
      <c r="M3" s="4">
        <v>1651750.6179253473</v>
      </c>
      <c r="N3" s="4">
        <v>2530474.0554253473</v>
      </c>
      <c r="O3" s="4">
        <v>2598630.4929253473</v>
      </c>
      <c r="P3" s="4">
        <v>1708258.8054253473</v>
      </c>
      <c r="Q3" s="4">
        <v>2711937.6804253473</v>
      </c>
      <c r="R3" s="4">
        <v>2588152.8054253473</v>
      </c>
      <c r="S3" s="12">
        <f t="shared" ref="S3:S8" si="0">SUM(G3:R3)</f>
        <v>20301629.770052083</v>
      </c>
      <c r="T3" s="11" t="s">
        <v>125</v>
      </c>
      <c r="U3" s="4"/>
      <c r="V3" s="4"/>
      <c r="W3" s="4"/>
      <c r="X3" s="4"/>
      <c r="Y3" s="4"/>
      <c r="Z3" s="4">
        <f>G3*45%</f>
        <v>407818.8</v>
      </c>
      <c r="AA3" s="4">
        <f t="shared" ref="AA3:AA7" si="1">H3*45%</f>
        <v>510850.8</v>
      </c>
      <c r="AB3" s="4">
        <f t="shared" ref="AB3:AB7" si="2">I3*45%</f>
        <v>283481.015625</v>
      </c>
      <c r="AC3" s="4">
        <f t="shared" ref="AC3:AC7" si="3">J3*45%</f>
        <v>329821.11562500003</v>
      </c>
      <c r="AD3" s="4">
        <f t="shared" ref="AD3:AD7" si="4">K3*45%</f>
        <v>436454.32500000001</v>
      </c>
      <c r="AE3" s="4">
        <f t="shared" ref="AE3:AE7" si="5">L3*45%</f>
        <v>962165.33437499998</v>
      </c>
      <c r="AF3" s="4">
        <f t="shared" ref="AF3:AF7" si="6">M3*45%</f>
        <v>743287.77806640626</v>
      </c>
      <c r="AG3" s="4">
        <f t="shared" ref="AG3:AG7" si="7">N3*45%</f>
        <v>1138713.3249414063</v>
      </c>
      <c r="AH3" s="4">
        <f t="shared" ref="AH3:AH7" si="8">O3*45%</f>
        <v>1169383.7218164064</v>
      </c>
      <c r="AI3" s="4">
        <f t="shared" ref="AI3:AI7" si="9">P3*45%</f>
        <v>768716.46244140633</v>
      </c>
      <c r="AJ3" s="4">
        <f t="shared" ref="AJ3:AJ7" si="10">Q3*45%</f>
        <v>1220371.9561914064</v>
      </c>
      <c r="AK3" s="4">
        <f t="shared" ref="AK3:AK7" si="11">R3*45%</f>
        <v>1164668.7624414063</v>
      </c>
      <c r="AM3" s="11" t="s">
        <v>125</v>
      </c>
      <c r="AN3" s="4"/>
      <c r="AO3" s="4"/>
      <c r="AP3" s="4"/>
      <c r="AQ3" s="4"/>
      <c r="AR3" s="4"/>
      <c r="AS3" s="4">
        <f>G3*55%</f>
        <v>498445.2</v>
      </c>
      <c r="AT3" s="4">
        <f t="shared" ref="AT3:AT7" si="12">H3*55%</f>
        <v>624373.20000000007</v>
      </c>
      <c r="AU3" s="4">
        <f t="shared" ref="AU3:AU7" si="13">I3*55%</f>
        <v>346476.796875</v>
      </c>
      <c r="AV3" s="4">
        <f t="shared" ref="AV3:AV7" si="14">J3*55%</f>
        <v>403114.69687500002</v>
      </c>
      <c r="AW3" s="4">
        <f t="shared" ref="AW3:AW7" si="15">K3*55%</f>
        <v>533444.17500000005</v>
      </c>
      <c r="AX3" s="4">
        <f t="shared" ref="AX3:AX7" si="16">L3*55%</f>
        <v>1175979.8531250001</v>
      </c>
      <c r="AY3" s="4">
        <f t="shared" ref="AY3:AY7" si="17">M3*55%</f>
        <v>908462.83985894104</v>
      </c>
      <c r="AZ3" s="4">
        <f t="shared" ref="AZ3:AZ7" si="18">N3*55%</f>
        <v>1391760.730483941</v>
      </c>
      <c r="BA3" s="4">
        <f t="shared" ref="BA3:BA7" si="19">O3*55%</f>
        <v>1429246.7711089412</v>
      </c>
      <c r="BB3" s="4">
        <f t="shared" ref="BB3:BB7" si="20">P3*55%</f>
        <v>939542.34298394108</v>
      </c>
      <c r="BC3" s="4">
        <f t="shared" ref="BC3:BC7" si="21">Q3*55%</f>
        <v>1491565.7242339412</v>
      </c>
      <c r="BD3" s="4">
        <f t="shared" ref="BD3:BD7" si="22">R3*55%</f>
        <v>1423484.042983941</v>
      </c>
    </row>
    <row r="4" spans="1:56" ht="18.5" x14ac:dyDescent="0.45">
      <c r="A4" s="11" t="s">
        <v>92</v>
      </c>
      <c r="B4" s="4">
        <v>1722229.3034444589</v>
      </c>
      <c r="C4" s="4">
        <v>1762906.904569546</v>
      </c>
      <c r="D4" s="4">
        <v>1655248.3533104965</v>
      </c>
      <c r="E4" s="4">
        <v>1641073.0032790804</v>
      </c>
      <c r="F4" s="4">
        <v>1547631.8580952641</v>
      </c>
      <c r="G4" s="4">
        <v>1107656</v>
      </c>
      <c r="H4" s="4">
        <v>1387496</v>
      </c>
      <c r="I4" s="4">
        <v>769948.43750000012</v>
      </c>
      <c r="J4" s="4">
        <v>895810.43750000012</v>
      </c>
      <c r="K4" s="4">
        <v>1185431.5</v>
      </c>
      <c r="L4" s="4">
        <v>2613288.5625</v>
      </c>
      <c r="M4" s="4">
        <v>1939774.6901186341</v>
      </c>
      <c r="N4" s="4">
        <v>3013770.0026186346</v>
      </c>
      <c r="O4" s="4">
        <v>3097072.3151186346</v>
      </c>
      <c r="P4" s="4">
        <v>2008840.2526186346</v>
      </c>
      <c r="Q4" s="4">
        <v>3235558.8776186346</v>
      </c>
      <c r="R4" s="4">
        <v>3084266.2526186346</v>
      </c>
      <c r="S4" s="12">
        <f t="shared" si="0"/>
        <v>24338913.328211803</v>
      </c>
      <c r="T4" s="11" t="s">
        <v>92</v>
      </c>
      <c r="U4" s="4"/>
      <c r="V4" s="4"/>
      <c r="W4" s="4"/>
      <c r="X4" s="4"/>
      <c r="Y4" s="4"/>
      <c r="Z4" s="4">
        <f t="shared" ref="Z4:Z7" si="23">G4*45%</f>
        <v>498445.2</v>
      </c>
      <c r="AA4" s="4">
        <f t="shared" si="1"/>
        <v>624373.20000000007</v>
      </c>
      <c r="AB4" s="4">
        <f t="shared" si="2"/>
        <v>346476.79687500006</v>
      </c>
      <c r="AC4" s="4">
        <f t="shared" si="3"/>
        <v>403114.69687500008</v>
      </c>
      <c r="AD4" s="4">
        <f t="shared" si="4"/>
        <v>533444.17500000005</v>
      </c>
      <c r="AE4" s="4">
        <f t="shared" si="5"/>
        <v>1175979.8531250001</v>
      </c>
      <c r="AF4" s="4">
        <f t="shared" si="6"/>
        <v>872898.61055338534</v>
      </c>
      <c r="AG4" s="4">
        <f t="shared" si="7"/>
        <v>1356196.5011783857</v>
      </c>
      <c r="AH4" s="4">
        <f t="shared" si="8"/>
        <v>1393682.5418033856</v>
      </c>
      <c r="AI4" s="4">
        <f t="shared" si="9"/>
        <v>903978.11367838562</v>
      </c>
      <c r="AJ4" s="4">
        <f t="shared" si="10"/>
        <v>1456001.4949283856</v>
      </c>
      <c r="AK4" s="4">
        <f t="shared" si="11"/>
        <v>1387919.8136783857</v>
      </c>
      <c r="AM4" s="11" t="s">
        <v>92</v>
      </c>
      <c r="AN4" s="4"/>
      <c r="AO4" s="4"/>
      <c r="AP4" s="4"/>
      <c r="AQ4" s="4"/>
      <c r="AR4" s="4"/>
      <c r="AS4" s="4">
        <f t="shared" ref="AS4:AS7" si="24">G4*55%</f>
        <v>609210.80000000005</v>
      </c>
      <c r="AT4" s="4">
        <f t="shared" si="12"/>
        <v>763122.8</v>
      </c>
      <c r="AU4" s="4">
        <f t="shared" si="13"/>
        <v>423471.64062500012</v>
      </c>
      <c r="AV4" s="4">
        <f t="shared" si="14"/>
        <v>492695.74062500009</v>
      </c>
      <c r="AW4" s="4">
        <f t="shared" si="15"/>
        <v>651987.32500000007</v>
      </c>
      <c r="AX4" s="4">
        <f t="shared" si="16"/>
        <v>1437308.7093750001</v>
      </c>
      <c r="AY4" s="4">
        <f t="shared" si="17"/>
        <v>1066876.0795652489</v>
      </c>
      <c r="AZ4" s="4">
        <f t="shared" si="18"/>
        <v>1657573.5014402492</v>
      </c>
      <c r="BA4" s="4">
        <f t="shared" si="19"/>
        <v>1703389.7733152492</v>
      </c>
      <c r="BB4" s="4">
        <f t="shared" si="20"/>
        <v>1104862.1389402491</v>
      </c>
      <c r="BC4" s="4">
        <f t="shared" si="21"/>
        <v>1779557.3826902492</v>
      </c>
      <c r="BD4" s="4">
        <f t="shared" si="22"/>
        <v>1696346.4389402492</v>
      </c>
    </row>
    <row r="5" spans="1:56" ht="18.5" x14ac:dyDescent="0.45">
      <c r="A5" s="11" t="s">
        <v>148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355642.29305555555</v>
      </c>
      <c r="K5" s="4">
        <v>533463.43958333333</v>
      </c>
      <c r="L5" s="4">
        <v>711284.5861111111</v>
      </c>
      <c r="M5" s="4">
        <v>711284.5861111111</v>
      </c>
      <c r="N5" s="4">
        <v>711284.5861111111</v>
      </c>
      <c r="O5" s="4">
        <v>711284.5861111111</v>
      </c>
      <c r="P5" s="4">
        <v>711284.5861111111</v>
      </c>
      <c r="Q5" s="4">
        <v>711284.5861111111</v>
      </c>
      <c r="R5" s="4">
        <v>711284.5861111111</v>
      </c>
      <c r="S5" s="12">
        <f t="shared" si="0"/>
        <v>5868097.8354166672</v>
      </c>
      <c r="T5" s="11" t="s">
        <v>148</v>
      </c>
      <c r="U5" s="4"/>
      <c r="V5" s="4"/>
      <c r="W5" s="4"/>
      <c r="X5" s="4"/>
      <c r="Y5" s="4"/>
      <c r="Z5" s="4">
        <f t="shared" si="23"/>
        <v>0</v>
      </c>
      <c r="AA5" s="4">
        <f t="shared" si="1"/>
        <v>0</v>
      </c>
      <c r="AB5" s="4">
        <f t="shared" si="2"/>
        <v>0</v>
      </c>
      <c r="AC5" s="4">
        <f t="shared" si="3"/>
        <v>160039.03187500002</v>
      </c>
      <c r="AD5" s="4">
        <f t="shared" si="4"/>
        <v>240058.54781250001</v>
      </c>
      <c r="AE5" s="4">
        <f t="shared" si="5"/>
        <v>320078.06375000003</v>
      </c>
      <c r="AF5" s="4">
        <f t="shared" si="6"/>
        <v>320078.06375000003</v>
      </c>
      <c r="AG5" s="4">
        <f t="shared" si="7"/>
        <v>320078.06375000003</v>
      </c>
      <c r="AH5" s="4">
        <f t="shared" si="8"/>
        <v>320078.06375000003</v>
      </c>
      <c r="AI5" s="4">
        <f t="shared" si="9"/>
        <v>320078.06375000003</v>
      </c>
      <c r="AJ5" s="4">
        <f t="shared" si="10"/>
        <v>320078.06375000003</v>
      </c>
      <c r="AK5" s="4">
        <f t="shared" si="11"/>
        <v>320078.06375000003</v>
      </c>
      <c r="AM5" s="11" t="s">
        <v>148</v>
      </c>
      <c r="AN5" s="4"/>
      <c r="AO5" s="4"/>
      <c r="AP5" s="4"/>
      <c r="AQ5" s="4"/>
      <c r="AR5" s="4"/>
      <c r="AS5" s="4">
        <f t="shared" si="24"/>
        <v>0</v>
      </c>
      <c r="AT5" s="4">
        <f t="shared" si="12"/>
        <v>0</v>
      </c>
      <c r="AU5" s="4">
        <f t="shared" si="13"/>
        <v>0</v>
      </c>
      <c r="AV5" s="4">
        <f t="shared" si="14"/>
        <v>195603.26118055556</v>
      </c>
      <c r="AW5" s="4">
        <f t="shared" si="15"/>
        <v>293404.89177083335</v>
      </c>
      <c r="AX5" s="4">
        <f t="shared" si="16"/>
        <v>391206.52236111113</v>
      </c>
      <c r="AY5" s="4">
        <f t="shared" si="17"/>
        <v>391206.52236111113</v>
      </c>
      <c r="AZ5" s="4">
        <f t="shared" si="18"/>
        <v>391206.52236111113</v>
      </c>
      <c r="BA5" s="4">
        <f t="shared" si="19"/>
        <v>391206.52236111113</v>
      </c>
      <c r="BB5" s="4">
        <f t="shared" si="20"/>
        <v>391206.52236111113</v>
      </c>
      <c r="BC5" s="4">
        <f t="shared" si="21"/>
        <v>391206.52236111113</v>
      </c>
      <c r="BD5" s="4">
        <f t="shared" si="22"/>
        <v>391206.52236111113</v>
      </c>
    </row>
    <row r="6" spans="1:56" ht="18.5" x14ac:dyDescent="0.45">
      <c r="A6" s="11" t="s">
        <v>370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355642.29305555555</v>
      </c>
      <c r="I6" s="4">
        <v>474189.72407407407</v>
      </c>
      <c r="J6" s="4">
        <v>533463.43958333333</v>
      </c>
      <c r="K6" s="4">
        <v>622374.01284722215</v>
      </c>
      <c r="L6" s="4">
        <v>711284.5861111111</v>
      </c>
      <c r="M6" s="4">
        <v>711284.5861111111</v>
      </c>
      <c r="N6" s="4">
        <v>711284.5861111111</v>
      </c>
      <c r="O6" s="4">
        <v>711284.5861111111</v>
      </c>
      <c r="P6" s="4">
        <v>711284.5861111111</v>
      </c>
      <c r="Q6" s="4">
        <v>711284.5861111111</v>
      </c>
      <c r="R6" s="4">
        <v>711284.5861111111</v>
      </c>
      <c r="S6" s="12">
        <f t="shared" si="0"/>
        <v>6964661.5723379645</v>
      </c>
      <c r="T6" s="11" t="s">
        <v>370</v>
      </c>
      <c r="U6" s="4"/>
      <c r="V6" s="4"/>
      <c r="W6" s="4"/>
      <c r="X6" s="4"/>
      <c r="Y6" s="4"/>
      <c r="Z6" s="4">
        <f t="shared" si="23"/>
        <v>0</v>
      </c>
      <c r="AA6" s="4">
        <f t="shared" si="1"/>
        <v>160039.03187500002</v>
      </c>
      <c r="AB6" s="4">
        <f t="shared" si="2"/>
        <v>213385.37583333332</v>
      </c>
      <c r="AC6" s="4">
        <f t="shared" si="3"/>
        <v>240058.54781250001</v>
      </c>
      <c r="AD6" s="4">
        <f t="shared" si="4"/>
        <v>280068.30578125</v>
      </c>
      <c r="AE6" s="4">
        <f t="shared" si="5"/>
        <v>320078.06375000003</v>
      </c>
      <c r="AF6" s="4">
        <f t="shared" si="6"/>
        <v>320078.06375000003</v>
      </c>
      <c r="AG6" s="4">
        <f t="shared" si="7"/>
        <v>320078.06375000003</v>
      </c>
      <c r="AH6" s="4">
        <f t="shared" si="8"/>
        <v>320078.06375000003</v>
      </c>
      <c r="AI6" s="4">
        <f t="shared" si="9"/>
        <v>320078.06375000003</v>
      </c>
      <c r="AJ6" s="4">
        <f t="shared" si="10"/>
        <v>320078.06375000003</v>
      </c>
      <c r="AK6" s="4">
        <f t="shared" si="11"/>
        <v>320078.06375000003</v>
      </c>
      <c r="AM6" s="11" t="s">
        <v>370</v>
      </c>
      <c r="AN6" s="4"/>
      <c r="AO6" s="4"/>
      <c r="AP6" s="4"/>
      <c r="AQ6" s="4"/>
      <c r="AR6" s="4"/>
      <c r="AS6" s="4">
        <f t="shared" si="24"/>
        <v>0</v>
      </c>
      <c r="AT6" s="4">
        <f t="shared" si="12"/>
        <v>195603.26118055556</v>
      </c>
      <c r="AU6" s="4">
        <f t="shared" si="13"/>
        <v>260804.34824074077</v>
      </c>
      <c r="AV6" s="4">
        <f t="shared" si="14"/>
        <v>293404.89177083335</v>
      </c>
      <c r="AW6" s="4">
        <f t="shared" si="15"/>
        <v>342305.70706597221</v>
      </c>
      <c r="AX6" s="4">
        <f t="shared" si="16"/>
        <v>391206.52236111113</v>
      </c>
      <c r="AY6" s="4">
        <f t="shared" si="17"/>
        <v>391206.52236111113</v>
      </c>
      <c r="AZ6" s="4">
        <f t="shared" si="18"/>
        <v>391206.52236111113</v>
      </c>
      <c r="BA6" s="4">
        <f t="shared" si="19"/>
        <v>391206.52236111113</v>
      </c>
      <c r="BB6" s="4">
        <f t="shared" si="20"/>
        <v>391206.52236111113</v>
      </c>
      <c r="BC6" s="4">
        <f t="shared" si="21"/>
        <v>391206.52236111113</v>
      </c>
      <c r="BD6" s="4">
        <f t="shared" si="22"/>
        <v>391206.52236111113</v>
      </c>
    </row>
    <row r="7" spans="1:56" ht="18.5" x14ac:dyDescent="0.45">
      <c r="A7" s="11" t="s">
        <v>1331</v>
      </c>
      <c r="B7" s="4"/>
      <c r="C7" s="4"/>
      <c r="D7" s="4"/>
      <c r="E7" s="4"/>
      <c r="F7" s="4"/>
      <c r="G7" s="4"/>
      <c r="H7" s="4"/>
      <c r="I7" s="4"/>
      <c r="K7" s="4">
        <v>355642.29305555555</v>
      </c>
      <c r="L7" s="4">
        <v>533463.43958333333</v>
      </c>
      <c r="M7" s="4">
        <v>711284.5861111111</v>
      </c>
      <c r="N7" s="4">
        <v>711284.5861111111</v>
      </c>
      <c r="O7" s="4">
        <v>711284.5861111111</v>
      </c>
      <c r="P7" s="4">
        <v>711284.5861111111</v>
      </c>
      <c r="Q7" s="4">
        <v>711284.5861111111</v>
      </c>
      <c r="R7" s="4">
        <v>711284.5861111111</v>
      </c>
      <c r="S7" s="12">
        <f t="shared" si="0"/>
        <v>5156813.2493055556</v>
      </c>
      <c r="T7" s="11" t="s">
        <v>1331</v>
      </c>
      <c r="U7" s="4"/>
      <c r="V7" s="4"/>
      <c r="W7" s="4"/>
      <c r="X7" s="4"/>
      <c r="Y7" s="4"/>
      <c r="Z7" s="4">
        <f t="shared" si="23"/>
        <v>0</v>
      </c>
      <c r="AA7" s="4">
        <f t="shared" si="1"/>
        <v>0</v>
      </c>
      <c r="AB7" s="4">
        <f t="shared" si="2"/>
        <v>0</v>
      </c>
      <c r="AC7" s="4">
        <f t="shared" si="3"/>
        <v>0</v>
      </c>
      <c r="AD7" s="4">
        <f t="shared" si="4"/>
        <v>160039.03187500002</v>
      </c>
      <c r="AE7" s="4">
        <f t="shared" si="5"/>
        <v>240058.54781250001</v>
      </c>
      <c r="AF7" s="4">
        <f t="shared" si="6"/>
        <v>320078.06375000003</v>
      </c>
      <c r="AG7" s="4">
        <f t="shared" si="7"/>
        <v>320078.06375000003</v>
      </c>
      <c r="AH7" s="4">
        <f t="shared" si="8"/>
        <v>320078.06375000003</v>
      </c>
      <c r="AI7" s="4">
        <f t="shared" si="9"/>
        <v>320078.06375000003</v>
      </c>
      <c r="AJ7" s="4">
        <f t="shared" si="10"/>
        <v>320078.06375000003</v>
      </c>
      <c r="AK7" s="4">
        <f t="shared" si="11"/>
        <v>320078.06375000003</v>
      </c>
      <c r="AM7" s="11" t="s">
        <v>1331</v>
      </c>
      <c r="AN7" s="4"/>
      <c r="AO7" s="4"/>
      <c r="AP7" s="4"/>
      <c r="AQ7" s="4"/>
      <c r="AR7" s="4"/>
      <c r="AS7" s="4">
        <f t="shared" si="24"/>
        <v>0</v>
      </c>
      <c r="AT7" s="4">
        <f t="shared" si="12"/>
        <v>0</v>
      </c>
      <c r="AU7" s="4">
        <f t="shared" si="13"/>
        <v>0</v>
      </c>
      <c r="AV7" s="4">
        <f t="shared" si="14"/>
        <v>0</v>
      </c>
      <c r="AW7" s="4">
        <f t="shared" si="15"/>
        <v>195603.26118055556</v>
      </c>
      <c r="AX7" s="4">
        <f t="shared" si="16"/>
        <v>293404.89177083335</v>
      </c>
      <c r="AY7" s="4">
        <f t="shared" si="17"/>
        <v>391206.52236111113</v>
      </c>
      <c r="AZ7" s="4">
        <f t="shared" si="18"/>
        <v>391206.52236111113</v>
      </c>
      <c r="BA7" s="4">
        <f t="shared" si="19"/>
        <v>391206.52236111113</v>
      </c>
      <c r="BB7" s="4">
        <f t="shared" si="20"/>
        <v>391206.52236111113</v>
      </c>
      <c r="BC7" s="4">
        <f t="shared" si="21"/>
        <v>391206.52236111113</v>
      </c>
      <c r="BD7" s="4">
        <f t="shared" si="22"/>
        <v>391206.52236111113</v>
      </c>
    </row>
    <row r="8" spans="1:56" ht="18.5" x14ac:dyDescent="0.45">
      <c r="A8" s="11" t="s">
        <v>2033</v>
      </c>
      <c r="B8" s="4">
        <f t="shared" ref="B8:Q8" si="25">SUM(B3:B7)</f>
        <v>2949515.7065613521</v>
      </c>
      <c r="C8" s="4">
        <f t="shared" si="25"/>
        <v>3268137.9215266588</v>
      </c>
      <c r="D8" s="4">
        <f t="shared" si="25"/>
        <v>2990222.5559804449</v>
      </c>
      <c r="E8" s="4">
        <f t="shared" si="25"/>
        <v>3165221.3053970924</v>
      </c>
      <c r="F8" s="4">
        <f t="shared" si="25"/>
        <v>2907854.360815709</v>
      </c>
      <c r="G8" s="4">
        <f t="shared" si="25"/>
        <v>2013920</v>
      </c>
      <c r="H8" s="4">
        <f t="shared" si="25"/>
        <v>2878362.2930555558</v>
      </c>
      <c r="I8" s="4">
        <f t="shared" si="25"/>
        <v>1874095.9740740741</v>
      </c>
      <c r="J8" s="4">
        <f t="shared" si="25"/>
        <v>2517851.982638889</v>
      </c>
      <c r="K8" s="4">
        <f t="shared" si="25"/>
        <v>3666809.7454861114</v>
      </c>
      <c r="L8" s="4">
        <f t="shared" si="25"/>
        <v>6707466.3618055563</v>
      </c>
      <c r="M8" s="4">
        <f t="shared" si="25"/>
        <v>5725379.0663773157</v>
      </c>
      <c r="N8" s="4">
        <f t="shared" si="25"/>
        <v>7678097.8163773157</v>
      </c>
      <c r="O8" s="4">
        <f t="shared" si="25"/>
        <v>7829556.5663773157</v>
      </c>
      <c r="P8" s="4">
        <f t="shared" si="25"/>
        <v>5850952.8163773157</v>
      </c>
      <c r="Q8" s="4">
        <f t="shared" si="25"/>
        <v>8081350.3163773157</v>
      </c>
      <c r="R8" s="4">
        <f>SUM(R3:R7)</f>
        <v>7806272.8163773157</v>
      </c>
      <c r="S8" s="12">
        <f t="shared" si="0"/>
        <v>62630115.755324066</v>
      </c>
      <c r="T8" s="11" t="s">
        <v>2033</v>
      </c>
      <c r="U8" s="4"/>
      <c r="V8" s="4"/>
      <c r="W8" s="4"/>
      <c r="X8" s="4"/>
      <c r="Y8" s="4"/>
      <c r="Z8" s="4">
        <f t="shared" ref="Z8:AK8" si="26">SUM(Z3:Z6)</f>
        <v>906264</v>
      </c>
      <c r="AA8" s="4">
        <f t="shared" si="26"/>
        <v>1295263.0318750001</v>
      </c>
      <c r="AB8" s="4">
        <f t="shared" si="26"/>
        <v>843343.18833333335</v>
      </c>
      <c r="AC8" s="4">
        <f t="shared" si="26"/>
        <v>1133033.3921875001</v>
      </c>
      <c r="AD8" s="4">
        <f t="shared" si="26"/>
        <v>1490025.3535937499</v>
      </c>
      <c r="AE8" s="4">
        <f t="shared" si="26"/>
        <v>2778301.3150000004</v>
      </c>
      <c r="AF8" s="4">
        <f t="shared" si="26"/>
        <v>2256342.5161197917</v>
      </c>
      <c r="AG8" s="4">
        <f t="shared" si="26"/>
        <v>3135065.9536197921</v>
      </c>
      <c r="AH8" s="4">
        <f t="shared" si="26"/>
        <v>3203222.3911197921</v>
      </c>
      <c r="AI8" s="4">
        <f t="shared" si="26"/>
        <v>2312850.7036197921</v>
      </c>
      <c r="AJ8" s="4">
        <f t="shared" si="26"/>
        <v>3316529.5786197921</v>
      </c>
      <c r="AK8" s="4">
        <f t="shared" si="26"/>
        <v>3192744.7036197921</v>
      </c>
      <c r="AM8" s="11" t="s">
        <v>2033</v>
      </c>
      <c r="AN8" s="4"/>
      <c r="AO8" s="4"/>
      <c r="AP8" s="4"/>
      <c r="AQ8" s="4"/>
      <c r="AR8" s="4"/>
      <c r="AS8" s="4">
        <f t="shared" ref="AS8:BD8" si="27">SUM(AS3:AS6)</f>
        <v>1107656</v>
      </c>
      <c r="AT8" s="4">
        <f t="shared" si="27"/>
        <v>1583099.2611805554</v>
      </c>
      <c r="AU8" s="4">
        <f t="shared" si="27"/>
        <v>1030752.7857407408</v>
      </c>
      <c r="AV8" s="4">
        <f t="shared" si="27"/>
        <v>1384818.5904513891</v>
      </c>
      <c r="AW8" s="4">
        <f t="shared" si="27"/>
        <v>1821142.0988368057</v>
      </c>
      <c r="AX8" s="4">
        <f t="shared" si="27"/>
        <v>3395701.6072222218</v>
      </c>
      <c r="AY8" s="4">
        <f t="shared" si="27"/>
        <v>2757751.964146412</v>
      </c>
      <c r="AZ8" s="4">
        <f t="shared" si="27"/>
        <v>3831747.276646412</v>
      </c>
      <c r="BA8" s="4">
        <f t="shared" si="27"/>
        <v>3915049.589146412</v>
      </c>
      <c r="BB8" s="4">
        <f t="shared" si="27"/>
        <v>2826817.526646412</v>
      </c>
      <c r="BC8" s="4">
        <f t="shared" si="27"/>
        <v>4053536.151646412</v>
      </c>
      <c r="BD8" s="4">
        <f t="shared" si="27"/>
        <v>3902243.526646412</v>
      </c>
    </row>
    <row r="9" spans="1:56" x14ac:dyDescent="0.35">
      <c r="F9" s="12"/>
      <c r="K9" s="12"/>
      <c r="O9" s="12"/>
      <c r="R9" s="12"/>
      <c r="S9" s="12">
        <f>S8/10^7</f>
        <v>6.2630115755324063</v>
      </c>
      <c r="U9">
        <v>5.6</v>
      </c>
      <c r="V9">
        <v>2</v>
      </c>
      <c r="W9">
        <f>U9-V9</f>
        <v>3.5999999999999996</v>
      </c>
      <c r="X9">
        <v>26</v>
      </c>
      <c r="AB9">
        <f>350*22</f>
        <v>7700</v>
      </c>
    </row>
    <row r="10" spans="1:56" x14ac:dyDescent="0.35">
      <c r="J10" s="197">
        <v>46204</v>
      </c>
      <c r="O10" s="12"/>
      <c r="R10" s="12"/>
      <c r="U10">
        <v>4.3</v>
      </c>
      <c r="V10">
        <v>2</v>
      </c>
      <c r="W10">
        <f>U10-V10</f>
        <v>2.2999999999999998</v>
      </c>
      <c r="X10">
        <v>25</v>
      </c>
      <c r="AB10">
        <f>AB9+AB8</f>
        <v>851043.18833333335</v>
      </c>
    </row>
    <row r="11" spans="1:56" x14ac:dyDescent="0.35">
      <c r="A11" s="142"/>
      <c r="B11" s="142" t="s">
        <v>2036</v>
      </c>
      <c r="C11" s="142" t="s">
        <v>2036</v>
      </c>
      <c r="D11" s="142" t="s">
        <v>2036</v>
      </c>
      <c r="E11" s="142" t="s">
        <v>2036</v>
      </c>
      <c r="F11" s="142" t="s">
        <v>2036</v>
      </c>
      <c r="G11" s="142" t="s">
        <v>2036</v>
      </c>
      <c r="H11" s="142" t="s">
        <v>2036</v>
      </c>
      <c r="I11" s="142" t="s">
        <v>2036</v>
      </c>
      <c r="J11" s="142" t="s">
        <v>2036</v>
      </c>
      <c r="K11" s="142" t="s">
        <v>2036</v>
      </c>
      <c r="L11" s="142" t="s">
        <v>2036</v>
      </c>
      <c r="M11" s="142" t="s">
        <v>2036</v>
      </c>
      <c r="N11" s="142" t="s">
        <v>2036</v>
      </c>
      <c r="O11" s="142" t="s">
        <v>2036</v>
      </c>
      <c r="P11" s="142" t="s">
        <v>2036</v>
      </c>
      <c r="Q11" s="142" t="s">
        <v>2036</v>
      </c>
      <c r="R11" s="142" t="s">
        <v>2036</v>
      </c>
    </row>
    <row r="12" spans="1:56" x14ac:dyDescent="0.35">
      <c r="A12" s="3" t="s">
        <v>2024</v>
      </c>
      <c r="B12" s="10">
        <v>45962</v>
      </c>
      <c r="C12" s="10">
        <v>45992</v>
      </c>
      <c r="D12" s="10" t="s">
        <v>2025</v>
      </c>
      <c r="E12" s="10" t="s">
        <v>2026</v>
      </c>
      <c r="F12" s="10" t="s">
        <v>2027</v>
      </c>
      <c r="G12" s="10" t="s">
        <v>5</v>
      </c>
      <c r="H12" s="10" t="s">
        <v>6</v>
      </c>
      <c r="I12" s="10" t="s">
        <v>7</v>
      </c>
      <c r="J12" s="10" t="str">
        <f>TEXT(J10,"MMM-YY")</f>
        <v>Jul-26</v>
      </c>
      <c r="K12" s="10" t="s">
        <v>22</v>
      </c>
      <c r="L12" s="10" t="s">
        <v>23</v>
      </c>
      <c r="M12" s="10" t="s">
        <v>24</v>
      </c>
      <c r="N12" s="10" t="s">
        <v>2028</v>
      </c>
      <c r="O12" s="10" t="s">
        <v>2029</v>
      </c>
      <c r="P12" s="10" t="s">
        <v>2030</v>
      </c>
      <c r="Q12" s="10" t="s">
        <v>2031</v>
      </c>
      <c r="R12" s="10" t="s">
        <v>2032</v>
      </c>
      <c r="T12" s="12"/>
    </row>
    <row r="13" spans="1:56" ht="18.5" x14ac:dyDescent="0.45">
      <c r="A13" s="11" t="s">
        <v>125</v>
      </c>
      <c r="B13" s="4">
        <v>769902</v>
      </c>
      <c r="C13" s="4">
        <v>1483424.7619047619</v>
      </c>
      <c r="D13" s="4">
        <v>1478625</v>
      </c>
      <c r="E13" s="4">
        <v>2411612</v>
      </c>
      <c r="F13" s="4">
        <v>1916068</v>
      </c>
      <c r="G13" s="4">
        <f>SUMIFS(DCR!$U:$U,DCR!$AB:$AB,Target!G$12,DCR!$B:$B,Target!$A13)</f>
        <v>1471012</v>
      </c>
      <c r="H13" s="4">
        <f>SUMIFS(DCR!$U:$U,DCR!$AB:$AB,Target!H$12,DCR!$B:$B,Target!$A13)</f>
        <v>2198625</v>
      </c>
      <c r="I13" s="4">
        <f>SUMIFS(DCR!$U:$U,DCR!$AB:$AB,Target!I$12,DCR!$B:$B,Target!$A13)</f>
        <v>3399153</v>
      </c>
      <c r="J13" s="4">
        <f>SUMIFS(DCR!$U:$U,DCR!$AB:$AB,Target!J$12,DCR!$B:$B,Target!$A13)</f>
        <v>2628271</v>
      </c>
      <c r="K13" s="4">
        <f>SUMIFS(DCR!$U:$U,DCR!$AB:$AB,Target!K$12,DCR!$B:$B,Target!$A13)</f>
        <v>1304315</v>
      </c>
      <c r="L13" s="4">
        <f>SUMIFS(DCR!$U:$U,DCR!$AB:$AB,Target!L$12,DCR!$B:$B,Target!$A13)</f>
        <v>1936638</v>
      </c>
      <c r="M13" s="4">
        <f>SUMIFS(DCR!$U:$U,DCR!$AB:$AB,Target!M$12,DCR!$B:$B,Target!$A13)</f>
        <v>556277</v>
      </c>
      <c r="N13" s="4">
        <f>SUMIFS(DCR!$U:$U,DCR!$AB:$AB,Target!N$12,DCR!$B:$B,Target!$A13)</f>
        <v>0</v>
      </c>
      <c r="O13" s="4">
        <f>SUMIFS(DCR!$U:$U,DCR!$AB:$AB,Target!O$12,DCR!$B:$B,Target!$A13)</f>
        <v>0</v>
      </c>
      <c r="P13" s="4">
        <f>SUMIFS(DCR!$U:$U,DCR!$AB:$AB,Target!P$12,DCR!$B:$B,Target!$A13)</f>
        <v>0</v>
      </c>
      <c r="Q13" s="4">
        <f>SUMIFS(DCR!$U:$U,DCR!$AB:$AB,Target!Q$12,DCR!$B:$B,Target!$A13)</f>
        <v>0</v>
      </c>
      <c r="R13" s="4">
        <f>SUMIFS(DCR!$U:$U,DCR!$AB:$AB,Target!R$12,DCR!$B:$B,Target!$A13)</f>
        <v>0</v>
      </c>
    </row>
    <row r="14" spans="1:56" ht="18.5" x14ac:dyDescent="0.45">
      <c r="A14" s="11" t="s">
        <v>92</v>
      </c>
      <c r="B14" s="4">
        <v>2798432</v>
      </c>
      <c r="C14" s="4">
        <v>5100247.6190476185</v>
      </c>
      <c r="D14" s="4">
        <v>2718533</v>
      </c>
      <c r="E14" s="4">
        <v>2380989</v>
      </c>
      <c r="F14" s="4">
        <v>4453267</v>
      </c>
      <c r="G14" s="4">
        <f>SUMIFS(DCR!$U:$U,DCR!$AB:$AB,Target!G$12,DCR!$B:$B,Target!$A14)</f>
        <v>2969498</v>
      </c>
      <c r="H14" s="4">
        <f>SUMIFS(DCR!$U:$U,DCR!$AB:$AB,Target!H$12,DCR!$B:$B,Target!$A14)</f>
        <v>2383310</v>
      </c>
      <c r="I14" s="4">
        <f>SUMIFS(DCR!$U:$U,DCR!$AB:$AB,Target!I$12,DCR!$B:$B,Target!$A14)</f>
        <v>2619660</v>
      </c>
      <c r="J14" s="4">
        <f>SUMIFS(DCR!$U:$U,DCR!$AB:$AB,Target!J$12,DCR!$B:$B,Target!$A14)</f>
        <v>11467189</v>
      </c>
      <c r="K14" s="4">
        <f>SUMIFS(DCR!$U:$U,DCR!$AB:$AB,Target!K$12,DCR!$B:$B,Target!$A14)</f>
        <v>1703572</v>
      </c>
      <c r="L14" s="4">
        <f>SUMIFS(DCR!$U:$U,DCR!$AB:$AB,Target!L$12,DCR!$B:$B,Target!$A14)</f>
        <v>869793</v>
      </c>
      <c r="M14" s="4">
        <f>SUMIFS(DCR!$U:$U,DCR!$AB:$AB,Target!M$12,DCR!$B:$B,Target!$A14)</f>
        <v>3027675</v>
      </c>
      <c r="N14" s="4">
        <f>SUMIFS(DCR!$U:$U,DCR!$AB:$AB,Target!N$12,DCR!$B:$B,Target!$A14)</f>
        <v>0</v>
      </c>
      <c r="O14" s="4">
        <f>SUMIFS(DCR!$U:$U,DCR!$AB:$AB,Target!O$12,DCR!$B:$B,Target!$A14)</f>
        <v>0</v>
      </c>
      <c r="P14" s="4">
        <f>SUMIFS(DCR!$U:$U,DCR!$AB:$AB,Target!P$12,DCR!$B:$B,Target!$A14)</f>
        <v>0</v>
      </c>
      <c r="Q14" s="4">
        <f>SUMIFS(DCR!$U:$U,DCR!$AB:$AB,Target!Q$12,DCR!$B:$B,Target!$A14)</f>
        <v>0</v>
      </c>
      <c r="R14" s="4">
        <f>SUMIFS(DCR!$U:$U,DCR!$AB:$AB,Target!R$12,DCR!$B:$B,Target!$A14)</f>
        <v>0</v>
      </c>
    </row>
    <row r="15" spans="1:56" ht="18.5" x14ac:dyDescent="0.45">
      <c r="A15" s="11" t="s">
        <v>148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f>SUMIFS(DCR!$U:$U,DCR!$AB:$AB,Target!G$12,DCR!$B:$B,Target!$A15)</f>
        <v>0</v>
      </c>
      <c r="H15" s="4">
        <f>SUMIFS(DCR!$U:$U,DCR!$AB:$AB,Target!H$12,DCR!$B:$B,Target!$A15)</f>
        <v>0</v>
      </c>
      <c r="I15" s="4">
        <f>SUMIFS(DCR!$U:$U,DCR!$AB:$AB,Target!I$12,DCR!$B:$B,Target!$A15)</f>
        <v>38471</v>
      </c>
      <c r="J15" s="4">
        <f>SUMIFS(DCR!$U:$U,DCR!$AB:$AB,Target!J$12,DCR!$B:$B,Target!$A15)</f>
        <v>446141.75</v>
      </c>
      <c r="K15" s="4">
        <f>SUMIFS(DCR!$U:$U,DCR!$AB:$AB,Target!K$12,DCR!$B:$B,Target!$A15)</f>
        <v>331575</v>
      </c>
      <c r="L15" s="4">
        <f>SUMIFS(DCR!$U:$U,DCR!$AB:$AB,Target!L$12,DCR!$B:$B,Target!$A15)</f>
        <v>726762</v>
      </c>
      <c r="M15" s="4">
        <f>SUMIFS(DCR!$U:$U,DCR!$AB:$AB,Target!M$12,DCR!$B:$B,Target!$A15)</f>
        <v>0</v>
      </c>
      <c r="N15" s="4">
        <f>SUMIFS(DCR!$U:$U,DCR!$AB:$AB,Target!N$12,DCR!$B:$B,Target!$A15)</f>
        <v>0</v>
      </c>
      <c r="O15" s="4">
        <f>SUMIFS(DCR!$U:$U,DCR!$AB:$AB,Target!O$12,DCR!$B:$B,Target!$A15)</f>
        <v>0</v>
      </c>
      <c r="P15" s="4">
        <f>SUMIFS(DCR!$U:$U,DCR!$AB:$AB,Target!P$12,DCR!$B:$B,Target!$A15)</f>
        <v>0</v>
      </c>
      <c r="Q15" s="4">
        <f>SUMIFS(DCR!$U:$U,DCR!$AB:$AB,Target!Q$12,DCR!$B:$B,Target!$A15)</f>
        <v>0</v>
      </c>
      <c r="R15" s="4">
        <f>SUMIFS(DCR!$U:$U,DCR!$AB:$AB,Target!R$12,DCR!$B:$B,Target!$A15)</f>
        <v>0</v>
      </c>
    </row>
    <row r="16" spans="1:56" ht="18.5" x14ac:dyDescent="0.45">
      <c r="A16" s="11" t="s">
        <v>370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f>SUMIFS(DCR!$U:$U,DCR!$AB:$AB,Target!G$12,DCR!$B:$B,Target!$A16)</f>
        <v>1952</v>
      </c>
      <c r="H16" s="4">
        <f>SUMIFS(DCR!$U:$U,DCR!$AB:$AB,Target!H$12,DCR!$B:$B,Target!$A16)</f>
        <v>364258</v>
      </c>
      <c r="I16" s="4">
        <f>SUMIFS(DCR!$U:$U,DCR!$AB:$AB,Target!I$12,DCR!$B:$B,Target!$A16)</f>
        <v>824707</v>
      </c>
      <c r="J16" s="4">
        <f>SUMIFS(DCR!$U:$U,DCR!$AB:$AB,Target!J$12,DCR!$B:$B,Target!$A16)</f>
        <v>987724</v>
      </c>
      <c r="K16" s="4">
        <f>SUMIFS(DCR!$U:$U,DCR!$AB:$AB,Target!K$12,DCR!$B:$B,Target!$A16)</f>
        <v>919338</v>
      </c>
      <c r="L16" s="4">
        <f>SUMIFS(DCR!$U:$U,DCR!$AB:$AB,Target!L$12,DCR!$B:$B,Target!$A16)</f>
        <v>750607</v>
      </c>
      <c r="M16" s="4">
        <f>SUMIFS(DCR!$U:$U,DCR!$AB:$AB,Target!M$12,DCR!$B:$B,Target!$A16)</f>
        <v>735535</v>
      </c>
      <c r="N16" s="4">
        <f>SUMIFS(DCR!$U:$U,DCR!$AB:$AB,Target!N$12,DCR!$B:$B,Target!$A16)</f>
        <v>0</v>
      </c>
      <c r="O16" s="4">
        <f>SUMIFS(DCR!$U:$U,DCR!$AB:$AB,Target!O$12,DCR!$B:$B,Target!$A16)</f>
        <v>0</v>
      </c>
      <c r="P16" s="4">
        <f>SUMIFS(DCR!$U:$U,DCR!$AB:$AB,Target!P$12,DCR!$B:$B,Target!$A16)</f>
        <v>0</v>
      </c>
      <c r="Q16" s="4">
        <f>SUMIFS(DCR!$U:$U,DCR!$AB:$AB,Target!Q$12,DCR!$B:$B,Target!$A16)</f>
        <v>0</v>
      </c>
      <c r="R16" s="4">
        <f>SUMIFS(DCR!$U:$U,DCR!$AB:$AB,Target!R$12,DCR!$B:$B,Target!$A16)</f>
        <v>0</v>
      </c>
    </row>
    <row r="17" spans="1:19" ht="18.5" x14ac:dyDescent="0.45">
      <c r="A17" s="11" t="s">
        <v>1331</v>
      </c>
      <c r="B17" s="4">
        <v>0</v>
      </c>
      <c r="C17" s="4">
        <v>0</v>
      </c>
      <c r="D17" s="4">
        <v>0</v>
      </c>
      <c r="E17" s="4">
        <v>0</v>
      </c>
      <c r="F17" s="4">
        <v>0</v>
      </c>
      <c r="G17" s="4">
        <f>SUMIFS(DCR!$U:$U,DCR!$AB:$AB,Target!G$12,DCR!$B:$B,Target!$A17)</f>
        <v>0</v>
      </c>
      <c r="H17" s="4">
        <f>SUMIFS(DCR!$U:$U,DCR!$AB:$AB,Target!H$12,DCR!$B:$B,Target!$A17)</f>
        <v>0</v>
      </c>
      <c r="I17" s="4">
        <f>SUMIFS(DCR!$U:$U,DCR!$AB:$AB,Target!I$12,DCR!$B:$B,Target!$A17)</f>
        <v>0</v>
      </c>
      <c r="J17" s="4">
        <f>SUMIFS(DCR!$U:$U,DCR!$AB:$AB,Target!J$12,DCR!$B:$B,Target!$A17)</f>
        <v>0</v>
      </c>
      <c r="K17" s="4">
        <f>SUMIFS(DCR!$U:$U,DCR!$AB:$AB,Target!K$12,DCR!$B:$B,Target!$A17)</f>
        <v>30620</v>
      </c>
      <c r="L17" s="4">
        <f>SUMIFS(DCR!$U:$U,DCR!$AB:$AB,Target!L$12,DCR!$B:$B,Target!$A17)</f>
        <v>63414</v>
      </c>
      <c r="M17" s="4">
        <f>SUMIFS(DCR!$U:$U,DCR!$AB:$AB,Target!M$12,DCR!$B:$B,Target!$A17)</f>
        <v>349870</v>
      </c>
      <c r="N17" s="4">
        <f>SUMIFS(DCR!$U:$U,DCR!$AB:$AB,Target!N$12,DCR!$B:$B,Target!$A17)</f>
        <v>0</v>
      </c>
      <c r="O17" s="4">
        <f>SUMIFS(DCR!$U:$U,DCR!$AB:$AB,Target!O$12,DCR!$B:$B,Target!$A17)</f>
        <v>0</v>
      </c>
      <c r="P17" s="4">
        <f>SUMIFS(DCR!$U:$U,DCR!$AB:$AB,Target!P$12,DCR!$B:$B,Target!$A17)</f>
        <v>0</v>
      </c>
      <c r="Q17" s="4">
        <f>SUMIFS(DCR!$U:$U,DCR!$AB:$AB,Target!Q$12,DCR!$B:$B,Target!$A17)</f>
        <v>0</v>
      </c>
      <c r="R17" s="4">
        <f>SUMIFS(DCR!$U:$U,DCR!$AB:$AB,Target!R$12,DCR!$B:$B,Target!$A17)</f>
        <v>0</v>
      </c>
    </row>
    <row r="18" spans="1:19" ht="18.5" x14ac:dyDescent="0.45">
      <c r="A18" s="11" t="s">
        <v>2033</v>
      </c>
      <c r="B18" s="4">
        <f>SUM(B13:B16)</f>
        <v>3568334</v>
      </c>
      <c r="C18" s="4">
        <f t="shared" ref="C18" si="28">SUM(C13:C16)</f>
        <v>6583672.3809523806</v>
      </c>
      <c r="D18" s="4">
        <f t="shared" ref="D18" si="29">SUM(D13:D16)</f>
        <v>4197158</v>
      </c>
      <c r="E18" s="4">
        <f t="shared" ref="E18" si="30">SUM(E13:E16)</f>
        <v>4792601</v>
      </c>
      <c r="F18" s="4">
        <f t="shared" ref="F18" si="31">SUM(F13:F16)</f>
        <v>6369335</v>
      </c>
      <c r="G18" s="4">
        <f t="shared" ref="G18" si="32">SUM(G13:G16)</f>
        <v>4442462</v>
      </c>
      <c r="H18" s="4">
        <f t="shared" ref="H18:R18" si="33">SUM(H13:H16)</f>
        <v>4946193</v>
      </c>
      <c r="I18" s="4">
        <f t="shared" si="33"/>
        <v>6881991</v>
      </c>
      <c r="J18" s="4">
        <f t="shared" si="33"/>
        <v>15529325.75</v>
      </c>
      <c r="K18" s="4">
        <f t="shared" si="33"/>
        <v>4258800</v>
      </c>
      <c r="L18" s="4">
        <f t="shared" si="33"/>
        <v>4283800</v>
      </c>
      <c r="M18" s="4">
        <f t="shared" si="33"/>
        <v>4319487</v>
      </c>
      <c r="N18" s="4">
        <f t="shared" si="33"/>
        <v>0</v>
      </c>
      <c r="O18" s="4">
        <f t="shared" si="33"/>
        <v>0</v>
      </c>
      <c r="P18" s="4">
        <f t="shared" si="33"/>
        <v>0</v>
      </c>
      <c r="Q18" s="4">
        <f t="shared" si="33"/>
        <v>0</v>
      </c>
      <c r="R18" s="4">
        <f t="shared" si="33"/>
        <v>0</v>
      </c>
    </row>
    <row r="19" spans="1:19" x14ac:dyDescent="0.35">
      <c r="K19" s="209"/>
      <c r="R19" s="12"/>
      <c r="S19" s="12"/>
    </row>
    <row r="21" spans="1:19" x14ac:dyDescent="0.35">
      <c r="A21" s="13" t="s">
        <v>1934</v>
      </c>
      <c r="B21" s="14">
        <v>45962</v>
      </c>
      <c r="C21" s="14">
        <v>45992</v>
      </c>
      <c r="D21" s="14">
        <v>46023</v>
      </c>
      <c r="E21" s="14">
        <v>46054</v>
      </c>
      <c r="F21" s="14">
        <v>46082</v>
      </c>
      <c r="G21" s="14">
        <v>46113</v>
      </c>
      <c r="H21" s="14">
        <v>46143</v>
      </c>
      <c r="I21" s="14">
        <v>46174</v>
      </c>
      <c r="J21" s="14">
        <v>46204</v>
      </c>
      <c r="K21" s="14">
        <v>46235</v>
      </c>
      <c r="L21" s="14">
        <v>46266</v>
      </c>
      <c r="M21" s="14">
        <v>46296</v>
      </c>
      <c r="N21" s="14">
        <v>46327</v>
      </c>
      <c r="O21" s="14">
        <v>46357</v>
      </c>
      <c r="P21" s="14">
        <v>46388</v>
      </c>
      <c r="Q21" s="14">
        <v>46419</v>
      </c>
      <c r="R21" s="14">
        <v>46447</v>
      </c>
    </row>
    <row r="22" spans="1:19" x14ac:dyDescent="0.35">
      <c r="A22" s="15" t="s">
        <v>10</v>
      </c>
      <c r="B22" s="4">
        <v>173454</v>
      </c>
      <c r="C22" s="4">
        <v>182872</v>
      </c>
      <c r="D22" s="4">
        <v>227705</v>
      </c>
      <c r="E22" s="4">
        <v>423056</v>
      </c>
      <c r="F22" s="4">
        <v>1423615</v>
      </c>
      <c r="G22" s="4">
        <f>SUMIFS(DCR!$U:$U,DCR!$AB:$AB,TEXT(Target!G$21,"MMM-YY"),DCR!$G:$G,Target!$A22)</f>
        <v>332867</v>
      </c>
      <c r="H22" s="4">
        <f>SUMIFS(DCR!$U:$U,DCR!$AB:$AB,TEXT(Target!H$21,"MMM-YY"),DCR!$G:$G,Target!$A22)</f>
        <v>2159595</v>
      </c>
      <c r="I22" s="4">
        <f>SUMIFS(DCR!$U:$U,DCR!$AB:$AB,TEXT(Target!I$21,"MMM-YY"),DCR!$G:$G,Target!$A22)</f>
        <v>5410696</v>
      </c>
      <c r="J22" s="4">
        <f>SUMIFS(DCR!$U:$U,DCR!$AB:$AB,TEXT(Target!J$21,"MMM-YY"),DCR!$G:$G,Target!$A22)</f>
        <v>4575861</v>
      </c>
      <c r="K22" s="4">
        <f>SUMIFS(DCR!$U:$U,DCR!$AB:$AB,TEXT(Target!K$21,"MMM-YY"),DCR!$G:$G,Target!$A22)</f>
        <v>2765815</v>
      </c>
      <c r="L22" s="4">
        <f>SUMIFS(DCR!$U:$U,DCR!$AB:$AB,TEXT(Target!L$21,"MMM-YY"),DCR!$G:$G,Target!$A22)</f>
        <v>2266886</v>
      </c>
      <c r="M22" s="4">
        <f>SUMIFS(DCR!$U:$U,DCR!$AB:$AB,TEXT(Target!M$21,"MMM-YY"),DCR!$G:$G,Target!$A22)</f>
        <v>1043700</v>
      </c>
      <c r="N22" s="4">
        <f>SUMIFS(DCR!$U:$U,DCR!$AB:$AB,TEXT(Target!N$21,"MMM-YY"),DCR!$G:$G,Target!$A22)</f>
        <v>0</v>
      </c>
      <c r="O22" s="4">
        <f>SUMIFS(DCR!$U:$U,DCR!$AB:$AB,TEXT(Target!O$21,"MMM-YY"),DCR!$G:$G,Target!$A22)</f>
        <v>0</v>
      </c>
      <c r="P22" s="4">
        <f>SUMIFS(DCR!$U:$U,DCR!$AB:$AB,TEXT(Target!P$21,"MMM-YY"),DCR!$G:$G,Target!$A22)</f>
        <v>0</v>
      </c>
      <c r="Q22" s="4">
        <f>SUMIFS(DCR!$U:$U,DCR!$AB:$AB,TEXT(Target!Q$21,"MMM-YY"),DCR!$G:$G,Target!$A22)</f>
        <v>0</v>
      </c>
      <c r="R22" s="4">
        <f>SUMIFS(DCR!$U:$U,DCR!$AB:$AB,TEXT(Target!R$21,"MMM-YY"),DCR!$G:$G,Target!$A22)</f>
        <v>0</v>
      </c>
    </row>
    <row r="23" spans="1:19" x14ac:dyDescent="0.35">
      <c r="A23" s="15" t="s">
        <v>11</v>
      </c>
      <c r="B23" s="4">
        <v>404119</v>
      </c>
      <c r="C23" s="4">
        <v>326134</v>
      </c>
      <c r="D23" s="4">
        <v>2124845</v>
      </c>
      <c r="E23" s="4">
        <v>62110</v>
      </c>
      <c r="F23" s="4">
        <v>580964</v>
      </c>
      <c r="G23" s="4">
        <f>SUMIFS(DCR!$U:$U,DCR!$AB:$AB,TEXT(Target!G$21,"MMM-YY"),DCR!$G:$G,Target!$A23)</f>
        <v>36920</v>
      </c>
      <c r="H23" s="4">
        <f>SUMIFS(DCR!$U:$U,DCR!$AB:$AB,TEXT(Target!H$21,"MMM-YY"),DCR!$G:$G,Target!$A23)</f>
        <v>133998</v>
      </c>
      <c r="I23" s="4">
        <f>SUMIFS(DCR!$U:$U,DCR!$AB:$AB,TEXT(Target!I$21,"MMM-YY"),DCR!$G:$G,Target!$A23)</f>
        <v>26444</v>
      </c>
      <c r="J23" s="4">
        <f>SUMIFS(DCR!$U:$U,DCR!$AB:$AB,TEXT(Target!J$21,"MMM-YY"),DCR!$G:$G,Target!$A23)</f>
        <v>140174</v>
      </c>
      <c r="K23" s="4">
        <f>SUMIFS(DCR!$U:$U,DCR!$AB:$AB,TEXT(Target!K$21,"MMM-YY"),DCR!$G:$G,Target!$A23)</f>
        <v>0</v>
      </c>
      <c r="L23" s="4">
        <f>SUMIFS(DCR!$U:$U,DCR!$AB:$AB,TEXT(Target!L$21,"MMM-YY"),DCR!$G:$G,Target!$A23)</f>
        <v>0</v>
      </c>
      <c r="M23" s="4">
        <f>SUMIFS(DCR!$U:$U,DCR!$AB:$AB,TEXT(Target!M$21,"MMM-YY"),DCR!$G:$G,Target!$A23)</f>
        <v>0</v>
      </c>
      <c r="N23" s="4">
        <f>SUMIFS(DCR!$U:$U,DCR!$AB:$AB,TEXT(Target!N$21,"MMM-YY"),DCR!$G:$G,Target!$A23)</f>
        <v>0</v>
      </c>
      <c r="O23" s="4">
        <f>SUMIFS(DCR!$U:$U,DCR!$AB:$AB,TEXT(Target!O$21,"MMM-YY"),DCR!$G:$G,Target!$A23)</f>
        <v>0</v>
      </c>
      <c r="P23" s="4">
        <f>SUMIFS(DCR!$U:$U,DCR!$AB:$AB,TEXT(Target!P$21,"MMM-YY"),DCR!$G:$G,Target!$A23)</f>
        <v>0</v>
      </c>
      <c r="Q23" s="4">
        <f>SUMIFS(DCR!$U:$U,DCR!$AB:$AB,TEXT(Target!Q$21,"MMM-YY"),DCR!$G:$G,Target!$A23)</f>
        <v>0</v>
      </c>
      <c r="R23" s="4">
        <f>SUMIFS(DCR!$U:$U,DCR!$AB:$AB,TEXT(Target!R$21,"MMM-YY"),DCR!$G:$G,Target!$A23)</f>
        <v>0</v>
      </c>
    </row>
    <row r="24" spans="1:19" x14ac:dyDescent="0.35">
      <c r="A24" s="15" t="s">
        <v>12</v>
      </c>
      <c r="B24" s="4">
        <v>186913</v>
      </c>
      <c r="C24" s="4"/>
      <c r="D24" s="4">
        <v>133297</v>
      </c>
      <c r="E24" s="4">
        <v>157865</v>
      </c>
      <c r="F24" s="4">
        <v>1528910</v>
      </c>
      <c r="G24" s="4">
        <f>SUMIFS(DCR!$U:$U,DCR!$AB:$AB,TEXT(Target!G$21,"MMM-YY"),DCR!$G:$G,Target!$A24)</f>
        <v>619897</v>
      </c>
      <c r="H24" s="4">
        <f>SUMIFS(DCR!$U:$U,DCR!$AB:$AB,TEXT(Target!H$21,"MMM-YY"),DCR!$G:$G,Target!$A24)</f>
        <v>126654</v>
      </c>
      <c r="I24" s="4">
        <f>SUMIFS(DCR!$U:$U,DCR!$AB:$AB,TEXT(Target!I$21,"MMM-YY"),DCR!$G:$G,Target!$A24)</f>
        <v>8250</v>
      </c>
      <c r="J24" s="4">
        <f>SUMIFS(DCR!$U:$U,DCR!$AB:$AB,TEXT(Target!J$21,"MMM-YY"),DCR!$G:$G,Target!$A24)</f>
        <v>137996</v>
      </c>
      <c r="K24" s="4">
        <f>SUMIFS(DCR!$U:$U,DCR!$AB:$AB,TEXT(Target!K$21,"MMM-YY"),DCR!$G:$G,Target!$A24)</f>
        <v>76345</v>
      </c>
      <c r="L24" s="4">
        <f>SUMIFS(DCR!$U:$U,DCR!$AB:$AB,TEXT(Target!L$21,"MMM-YY"),DCR!$G:$G,Target!$A24)</f>
        <v>163555</v>
      </c>
      <c r="M24" s="4">
        <f>SUMIFS(DCR!$U:$U,DCR!$AB:$AB,TEXT(Target!M$21,"MMM-YY"),DCR!$G:$G,Target!$A24)</f>
        <v>143854</v>
      </c>
      <c r="N24" s="4">
        <f>SUMIFS(DCR!$U:$U,DCR!$AB:$AB,TEXT(Target!N$21,"MMM-YY"),DCR!$G:$G,Target!$A24)</f>
        <v>0</v>
      </c>
      <c r="O24" s="4">
        <f>SUMIFS(DCR!$U:$U,DCR!$AB:$AB,TEXT(Target!O$21,"MMM-YY"),DCR!$G:$G,Target!$A24)</f>
        <v>0</v>
      </c>
      <c r="P24" s="4">
        <f>SUMIFS(DCR!$U:$U,DCR!$AB:$AB,TEXT(Target!P$21,"MMM-YY"),DCR!$G:$G,Target!$A24)</f>
        <v>0</v>
      </c>
      <c r="Q24" s="4">
        <f>SUMIFS(DCR!$U:$U,DCR!$AB:$AB,TEXT(Target!Q$21,"MMM-YY"),DCR!$G:$G,Target!$A24)</f>
        <v>0</v>
      </c>
      <c r="R24" s="4">
        <f>SUMIFS(DCR!$U:$U,DCR!$AB:$AB,TEXT(Target!R$21,"MMM-YY"),DCR!$G:$G,Target!$A24)</f>
        <v>0</v>
      </c>
    </row>
    <row r="25" spans="1:19" x14ac:dyDescent="0.35">
      <c r="A25" s="15" t="s">
        <v>13</v>
      </c>
      <c r="B25" s="4"/>
      <c r="C25" s="4">
        <v>959270</v>
      </c>
      <c r="D25" s="4">
        <v>709650</v>
      </c>
      <c r="E25" s="4">
        <v>362350</v>
      </c>
      <c r="F25" s="4"/>
      <c r="G25" s="4">
        <f>SUMIFS(DCR!$U:$U,DCR!$AB:$AB,TEXT(Target!G$21,"MMM-YY"),DCR!$G:$G,Target!$A25)</f>
        <v>392400</v>
      </c>
      <c r="H25" s="4">
        <f>SUMIFS(DCR!$U:$U,DCR!$AB:$AB,TEXT(Target!H$21,"MMM-YY"),DCR!$G:$G,Target!$A25)</f>
        <v>330700</v>
      </c>
      <c r="I25" s="4">
        <f>SUMIFS(DCR!$U:$U,DCR!$AB:$AB,TEXT(Target!I$21,"MMM-YY"),DCR!$G:$G,Target!$A25)</f>
        <v>0</v>
      </c>
      <c r="J25" s="4">
        <f>SUMIFS(DCR!$U:$U,DCR!$AB:$AB,TEXT(Target!J$21,"MMM-YY"),DCR!$G:$G,Target!$A25)</f>
        <v>0</v>
      </c>
      <c r="K25" s="4">
        <f>SUMIFS(DCR!$U:$U,DCR!$AB:$AB,TEXT(Target!K$21,"MMM-YY"),DCR!$G:$G,Target!$A25)</f>
        <v>0</v>
      </c>
      <c r="L25" s="4">
        <f>SUMIFS(DCR!$U:$U,DCR!$AB:$AB,TEXT(Target!L$21,"MMM-YY"),DCR!$G:$G,Target!$A25)</f>
        <v>0</v>
      </c>
      <c r="M25" s="4">
        <f>SUMIFS(DCR!$U:$U,DCR!$AB:$AB,TEXT(Target!M$21,"MMM-YY"),DCR!$G:$G,Target!$A25)</f>
        <v>0</v>
      </c>
      <c r="N25" s="4">
        <f>SUMIFS(DCR!$U:$U,DCR!$AB:$AB,TEXT(Target!N$21,"MMM-YY"),DCR!$G:$G,Target!$A25)</f>
        <v>0</v>
      </c>
      <c r="O25" s="4">
        <f>SUMIFS(DCR!$U:$U,DCR!$AB:$AB,TEXT(Target!O$21,"MMM-YY"),DCR!$G:$G,Target!$A25)</f>
        <v>0</v>
      </c>
      <c r="P25" s="4">
        <f>SUMIFS(DCR!$U:$U,DCR!$AB:$AB,TEXT(Target!P$21,"MMM-YY"),DCR!$G:$G,Target!$A25)</f>
        <v>0</v>
      </c>
      <c r="Q25" s="4">
        <f>SUMIFS(DCR!$U:$U,DCR!$AB:$AB,TEXT(Target!Q$21,"MMM-YY"),DCR!$G:$G,Target!$A25)</f>
        <v>0</v>
      </c>
      <c r="R25" s="4">
        <f>SUMIFS(DCR!$U:$U,DCR!$AB:$AB,TEXT(Target!R$21,"MMM-YY"),DCR!$G:$G,Target!$A25)</f>
        <v>0</v>
      </c>
    </row>
    <row r="26" spans="1:19" x14ac:dyDescent="0.35">
      <c r="A26" s="15" t="s">
        <v>14</v>
      </c>
      <c r="B26" s="4"/>
      <c r="C26" s="4"/>
      <c r="D26" s="4">
        <v>147467</v>
      </c>
      <c r="E26" s="4">
        <v>660690</v>
      </c>
      <c r="F26" s="4">
        <v>277200</v>
      </c>
      <c r="G26" s="4">
        <f>SUMIFS(DCR!$U:$U,DCR!$AB:$AB,TEXT(Target!G$21,"MMM-YY"),DCR!$G:$G,Target!$A26)</f>
        <v>588246</v>
      </c>
      <c r="H26" s="4">
        <f>SUMIFS(DCR!$U:$U,DCR!$AB:$AB,TEXT(Target!H$21,"MMM-YY"),DCR!$G:$G,Target!$A26)</f>
        <v>219650</v>
      </c>
      <c r="I26" s="4">
        <f>SUMIFS(DCR!$U:$U,DCR!$AB:$AB,TEXT(Target!I$21,"MMM-YY"),DCR!$G:$G,Target!$A26)</f>
        <v>0</v>
      </c>
      <c r="J26" s="4">
        <f>SUMIFS(DCR!$U:$U,DCR!$AB:$AB,TEXT(Target!J$21,"MMM-YY"),DCR!$G:$G,Target!$A26)</f>
        <v>0</v>
      </c>
      <c r="K26" s="4">
        <f>SUMIFS(DCR!$U:$U,DCR!$AB:$AB,TEXT(Target!K$21,"MMM-YY"),DCR!$G:$G,Target!$A26)</f>
        <v>740508</v>
      </c>
      <c r="L26" s="4">
        <f>SUMIFS(DCR!$U:$U,DCR!$AB:$AB,TEXT(Target!L$21,"MMM-YY"),DCR!$G:$G,Target!$A26)</f>
        <v>1127055</v>
      </c>
      <c r="M26" s="4">
        <f>SUMIFS(DCR!$U:$U,DCR!$AB:$AB,TEXT(Target!M$21,"MMM-YY"),DCR!$G:$G,Target!$A26)</f>
        <v>0</v>
      </c>
      <c r="N26" s="4">
        <f>SUMIFS(DCR!$U:$U,DCR!$AB:$AB,TEXT(Target!N$21,"MMM-YY"),DCR!$G:$G,Target!$A26)</f>
        <v>0</v>
      </c>
      <c r="O26" s="4">
        <f>SUMIFS(DCR!$U:$U,DCR!$AB:$AB,TEXT(Target!O$21,"MMM-YY"),DCR!$G:$G,Target!$A26)</f>
        <v>0</v>
      </c>
      <c r="P26" s="4">
        <f>SUMIFS(DCR!$U:$U,DCR!$AB:$AB,TEXT(Target!P$21,"MMM-YY"),DCR!$G:$G,Target!$A26)</f>
        <v>0</v>
      </c>
      <c r="Q26" s="4">
        <f>SUMIFS(DCR!$U:$U,DCR!$AB:$AB,TEXT(Target!Q$21,"MMM-YY"),DCR!$G:$G,Target!$A26)</f>
        <v>0</v>
      </c>
      <c r="R26" s="4">
        <f>SUMIFS(DCR!$U:$U,DCR!$AB:$AB,TEXT(Target!R$21,"MMM-YY"),DCR!$G:$G,Target!$A26)</f>
        <v>0</v>
      </c>
    </row>
    <row r="27" spans="1:19" x14ac:dyDescent="0.35">
      <c r="A27" s="15" t="s">
        <v>15</v>
      </c>
      <c r="B27" s="4">
        <v>103000</v>
      </c>
      <c r="C27" s="4">
        <v>150570</v>
      </c>
      <c r="D27" s="4">
        <v>206561</v>
      </c>
      <c r="E27" s="4">
        <v>185790</v>
      </c>
      <c r="F27" s="4">
        <v>390675</v>
      </c>
      <c r="G27" s="4">
        <f>SUMIFS(DCR!$U:$U,DCR!$AB:$AB,TEXT(Target!G$21,"MMM-YY"),DCR!$G:$G,Target!$A27)</f>
        <v>1813640</v>
      </c>
      <c r="H27" s="4">
        <f>SUMIFS(DCR!$U:$U,DCR!$AB:$AB,TEXT(Target!H$21,"MMM-YY"),DCR!$G:$G,Target!$A27)</f>
        <v>1333556</v>
      </c>
      <c r="I27" s="4">
        <f>SUMIFS(DCR!$U:$U,DCR!$AB:$AB,TEXT(Target!I$21,"MMM-YY"),DCR!$G:$G,Target!$A27)</f>
        <v>558798</v>
      </c>
      <c r="J27" s="4">
        <f>SUMIFS(DCR!$U:$U,DCR!$AB:$AB,TEXT(Target!J$21,"MMM-YY"),DCR!$G:$G,Target!$A27)</f>
        <v>512998</v>
      </c>
      <c r="K27" s="4">
        <f>SUMIFS(DCR!$U:$U,DCR!$AB:$AB,TEXT(Target!K$21,"MMM-YY"),DCR!$G:$G,Target!$A27)</f>
        <v>96880</v>
      </c>
      <c r="L27" s="4">
        <f>SUMIFS(DCR!$U:$U,DCR!$AB:$AB,TEXT(Target!L$21,"MMM-YY"),DCR!$G:$G,Target!$A27)</f>
        <v>84460</v>
      </c>
      <c r="M27" s="4">
        <f>SUMIFS(DCR!$U:$U,DCR!$AB:$AB,TEXT(Target!M$21,"MMM-YY"),DCR!$G:$G,Target!$A27)</f>
        <v>0</v>
      </c>
      <c r="N27" s="4">
        <f>SUMIFS(DCR!$U:$U,DCR!$AB:$AB,TEXT(Target!N$21,"MMM-YY"),DCR!$G:$G,Target!$A27)</f>
        <v>0</v>
      </c>
      <c r="O27" s="4">
        <f>SUMIFS(DCR!$U:$U,DCR!$AB:$AB,TEXT(Target!O$21,"MMM-YY"),DCR!$G:$G,Target!$A27)</f>
        <v>0</v>
      </c>
      <c r="P27" s="4">
        <f>SUMIFS(DCR!$U:$U,DCR!$AB:$AB,TEXT(Target!P$21,"MMM-YY"),DCR!$G:$G,Target!$A27)</f>
        <v>0</v>
      </c>
      <c r="Q27" s="4">
        <f>SUMIFS(DCR!$U:$U,DCR!$AB:$AB,TEXT(Target!Q$21,"MMM-YY"),DCR!$G:$G,Target!$A27)</f>
        <v>0</v>
      </c>
      <c r="R27" s="4">
        <f>SUMIFS(DCR!$U:$U,DCR!$AB:$AB,TEXT(Target!R$21,"MMM-YY"),DCR!$G:$G,Target!$A27)</f>
        <v>0</v>
      </c>
    </row>
    <row r="28" spans="1:19" x14ac:dyDescent="0.35">
      <c r="A28" s="15" t="s">
        <v>1931</v>
      </c>
      <c r="B28" s="4">
        <f t="shared" ref="B28:F28" si="34">SUM(B22:B27)</f>
        <v>867486</v>
      </c>
      <c r="C28" s="4">
        <f t="shared" si="34"/>
        <v>1618846</v>
      </c>
      <c r="D28" s="4">
        <f t="shared" si="34"/>
        <v>3549525</v>
      </c>
      <c r="E28" s="4">
        <f t="shared" si="34"/>
        <v>1851861</v>
      </c>
      <c r="F28" s="4">
        <f t="shared" si="34"/>
        <v>4201364</v>
      </c>
      <c r="G28" s="4">
        <f>SUM(G22:G27)</f>
        <v>3783970</v>
      </c>
      <c r="H28" s="4">
        <f t="shared" ref="H28:R28" si="35">SUM(H22:H27)</f>
        <v>4304153</v>
      </c>
      <c r="I28" s="4">
        <f t="shared" si="35"/>
        <v>6004188</v>
      </c>
      <c r="J28" s="4">
        <f t="shared" si="35"/>
        <v>5367029</v>
      </c>
      <c r="K28" s="4">
        <f t="shared" si="35"/>
        <v>3679548</v>
      </c>
      <c r="L28" s="4">
        <f t="shared" si="35"/>
        <v>3641956</v>
      </c>
      <c r="M28" s="4">
        <f t="shared" si="35"/>
        <v>1187554</v>
      </c>
      <c r="N28" s="4">
        <f t="shared" si="35"/>
        <v>0</v>
      </c>
      <c r="O28" s="4">
        <f t="shared" si="35"/>
        <v>0</v>
      </c>
      <c r="P28" s="4">
        <f t="shared" si="35"/>
        <v>0</v>
      </c>
      <c r="Q28" s="4">
        <f t="shared" si="35"/>
        <v>0</v>
      </c>
      <c r="R28" s="4">
        <f t="shared" si="35"/>
        <v>0</v>
      </c>
    </row>
    <row r="30" spans="1:19" x14ac:dyDescent="0.35">
      <c r="A30" s="13" t="s">
        <v>1934</v>
      </c>
      <c r="B30" s="13" t="s">
        <v>2037</v>
      </c>
      <c r="C30" s="13" t="s">
        <v>2038</v>
      </c>
    </row>
    <row r="31" spans="1:19" x14ac:dyDescent="0.35">
      <c r="A31" s="15" t="s">
        <v>10</v>
      </c>
      <c r="B31" s="15" t="s">
        <v>2039</v>
      </c>
      <c r="C31" s="178">
        <v>0.15</v>
      </c>
    </row>
    <row r="32" spans="1:19" x14ac:dyDescent="0.35">
      <c r="A32" s="15" t="s">
        <v>11</v>
      </c>
      <c r="B32" s="15" t="s">
        <v>2039</v>
      </c>
      <c r="C32" s="178">
        <v>0.15</v>
      </c>
    </row>
    <row r="33" spans="1:3" x14ac:dyDescent="0.35">
      <c r="A33" s="15" t="s">
        <v>12</v>
      </c>
      <c r="B33" s="15" t="s">
        <v>2039</v>
      </c>
      <c r="C33" s="178">
        <v>0.15</v>
      </c>
    </row>
    <row r="34" spans="1:3" x14ac:dyDescent="0.35">
      <c r="A34" s="15" t="s">
        <v>13</v>
      </c>
      <c r="B34" s="15" t="s">
        <v>2040</v>
      </c>
      <c r="C34" s="178">
        <v>0.15</v>
      </c>
    </row>
    <row r="35" spans="1:3" x14ac:dyDescent="0.35">
      <c r="A35" s="15" t="s">
        <v>14</v>
      </c>
      <c r="B35" s="15" t="s">
        <v>2040</v>
      </c>
      <c r="C35" s="178">
        <v>0.15</v>
      </c>
    </row>
    <row r="36" spans="1:3" x14ac:dyDescent="0.35">
      <c r="A36" s="15" t="s">
        <v>15</v>
      </c>
      <c r="B36" s="15" t="s">
        <v>2040</v>
      </c>
      <c r="C36" s="178">
        <v>0.15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SO23Y3BFPYJQOZUUKFBK4KNJKOKIVQCC:ms-officescript%3A%2F%2Fonedrive_business_sharinglink%2Fu!aHR0cHM6Ly9wYXJhZGlzZWJpcnlhbmktbXkuc2hhcmVwb2ludC5jb20vOnU6L2cvcGVyc29uYWwva3VtYXJfYXl1c2hfcGFyYWRpc2Vmb29kY291cnRfaW4vSVFBbGZoTUhacFJSUXE0cHFWT1Vpc0JDQWRhTUJnMFluYzZTa1ZwOEpiZ2RNOG8"/>
</scriptIds>
</file>

<file path=customXml/itemProps1.xml><?xml version="1.0" encoding="utf-8"?>
<ds:datastoreItem xmlns:ds="http://schemas.openxmlformats.org/officeDocument/2006/customXml" ds:itemID="{E3AC539B-8919-4AB6-A1D8-4D733E76C9AA}">
  <ds:schemaRefs>
    <ds:schemaRef ds:uri="http://schemas.microsoft.com/office/extensibility/maker/v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Store -Wise Wo Com&amp;MSN (2)</vt:lpstr>
      <vt:lpstr>Sheet3</vt:lpstr>
      <vt:lpstr>Store -Wise Wo Com&amp;MSN</vt:lpstr>
      <vt:lpstr>DCR</vt:lpstr>
      <vt:lpstr>Dashboard</vt:lpstr>
      <vt:lpstr>Sheet2</vt:lpstr>
      <vt:lpstr>Incentive Target MOM</vt:lpstr>
      <vt:lpstr>Target</vt:lpstr>
      <vt:lpstr>Dashboardtable</vt:lpstr>
      <vt:lpstr>TargetTable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Kumar Ayush</dc:creator>
  <cp:keywords/>
  <dc:description/>
  <cp:lastModifiedBy>Kumar Ayush</cp:lastModifiedBy>
  <cp:revision/>
  <dcterms:created xsi:type="dcterms:W3CDTF">2026-04-24T10:48:08Z</dcterms:created>
  <dcterms:modified xsi:type="dcterms:W3CDTF">2026-10-30T10:36:30Z</dcterms:modified>
  <cp:category/>
  <cp:contentStatus/>
</cp:coreProperties>
</file>