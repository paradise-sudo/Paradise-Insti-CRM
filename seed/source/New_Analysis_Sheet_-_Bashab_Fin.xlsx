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paradisebiryani-my.sharepoint.com/personal/kumar_ayush_paradisefoodcourt_in/Documents/Attachments/"/>
    </mc:Choice>
  </mc:AlternateContent>
  <xr:revisionPtr revIDLastSave="0" documentId="8_{E4D5AED4-9128-4DDE-A2A8-FFE6D7130FC0}" xr6:coauthVersionLast="47" xr6:coauthVersionMax="47" xr10:uidLastSave="{00000000-0000-0000-0000-000000000000}"/>
  <bookViews>
    <workbookView xWindow="-120" yWindow="-120" windowWidth="20730" windowHeight="11040" firstSheet="1" activeTab="1" xr2:uid="{1ADF6CBE-9969-4020-84E1-2584A3879E64}"/>
  </bookViews>
  <sheets>
    <sheet name="Analysis Sheet" sheetId="3" r:id="rId1"/>
    <sheet name="DCR" sheetId="1" r:id="rId2"/>
    <sheet name="Overall Sales" sheetId="2" r:id="rId3"/>
    <sheet name="Sheet1" sheetId="8" r:id="rId4"/>
    <sheet name="Haleem" sheetId="7" state="hidden" r:id="rId5"/>
    <sheet name="Corporate ODC" sheetId="6" state="hidden" r:id="rId6"/>
  </sheets>
  <definedNames>
    <definedName name="_xlnm._FilterDatabase" localSheetId="1" hidden="1">DCR!$A$1:$R$978</definedName>
  </definedNames>
  <calcPr calcId="191028"/>
  <pivotCaches>
    <pivotCache cacheId="57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23" i="1" l="1"/>
  <c r="T923" i="1"/>
  <c r="S923" i="1"/>
  <c r="U922" i="1"/>
  <c r="T922" i="1"/>
  <c r="S922" i="1"/>
  <c r="Q347" i="2"/>
  <c r="Q346" i="2"/>
  <c r="Q348" i="2" l="1"/>
  <c r="R348" i="2" s="1"/>
  <c r="U921" i="1"/>
  <c r="T921" i="1"/>
  <c r="S921" i="1"/>
  <c r="U920" i="1"/>
  <c r="T920" i="1"/>
  <c r="S920" i="1"/>
  <c r="U919" i="1"/>
  <c r="T919" i="1"/>
  <c r="S919" i="1"/>
  <c r="U918" i="1"/>
  <c r="T918" i="1"/>
  <c r="S918" i="1"/>
  <c r="G33" i="2"/>
  <c r="H27" i="2"/>
  <c r="U913" i="1"/>
  <c r="T913" i="1"/>
  <c r="S913" i="1"/>
  <c r="U912" i="1"/>
  <c r="T912" i="1"/>
  <c r="S912" i="1"/>
  <c r="U911" i="1"/>
  <c r="T911" i="1"/>
  <c r="S911" i="1"/>
  <c r="U910" i="1"/>
  <c r="T910" i="1"/>
  <c r="S910" i="1"/>
  <c r="U909" i="1"/>
  <c r="T909" i="1"/>
  <c r="S909" i="1"/>
  <c r="U908" i="1"/>
  <c r="T908" i="1"/>
  <c r="S908" i="1"/>
  <c r="U907" i="1"/>
  <c r="T907" i="1"/>
  <c r="S907" i="1"/>
  <c r="U906" i="1"/>
  <c r="T906" i="1"/>
  <c r="S906" i="1"/>
  <c r="U905" i="1"/>
  <c r="T905" i="1"/>
  <c r="S905" i="1"/>
  <c r="U904" i="1"/>
  <c r="T904" i="1"/>
  <c r="S904" i="1"/>
  <c r="U903" i="1"/>
  <c r="T903" i="1"/>
  <c r="S903" i="1"/>
  <c r="U902" i="1"/>
  <c r="T902" i="1"/>
  <c r="S902" i="1"/>
  <c r="U901" i="1"/>
  <c r="T901" i="1"/>
  <c r="S901" i="1"/>
  <c r="U900" i="1"/>
  <c r="T900" i="1"/>
  <c r="S900" i="1"/>
  <c r="U899" i="1"/>
  <c r="T899" i="1"/>
  <c r="S899" i="1"/>
  <c r="U898" i="1"/>
  <c r="T898" i="1"/>
  <c r="S898" i="1"/>
  <c r="U897" i="1"/>
  <c r="T897" i="1"/>
  <c r="S897" i="1"/>
  <c r="U896" i="1"/>
  <c r="T896" i="1"/>
  <c r="S896" i="1"/>
  <c r="U895" i="1"/>
  <c r="T895" i="1"/>
  <c r="S895" i="1"/>
  <c r="U894" i="1"/>
  <c r="T894" i="1"/>
  <c r="S894" i="1"/>
  <c r="U893" i="1"/>
  <c r="T893" i="1"/>
  <c r="S893" i="1"/>
  <c r="U892" i="1"/>
  <c r="T892" i="1"/>
  <c r="S892" i="1"/>
  <c r="U891" i="1"/>
  <c r="T891" i="1"/>
  <c r="S891" i="1"/>
  <c r="U890" i="1"/>
  <c r="T890" i="1"/>
  <c r="S890" i="1"/>
  <c r="U917" i="1"/>
  <c r="T917" i="1"/>
  <c r="S917" i="1"/>
  <c r="U916" i="1"/>
  <c r="T916" i="1"/>
  <c r="S916" i="1"/>
  <c r="U915" i="1"/>
  <c r="T915" i="1"/>
  <c r="S915" i="1"/>
  <c r="U914" i="1"/>
  <c r="T914" i="1"/>
  <c r="S914" i="1"/>
  <c r="U845" i="1"/>
  <c r="T845" i="1"/>
  <c r="S845" i="1"/>
  <c r="U844" i="1"/>
  <c r="T844" i="1"/>
  <c r="S844" i="1"/>
  <c r="U843" i="1"/>
  <c r="T843" i="1"/>
  <c r="S843" i="1"/>
  <c r="U889" i="1"/>
  <c r="T889" i="1"/>
  <c r="S889" i="1"/>
  <c r="U888" i="1"/>
  <c r="T888" i="1"/>
  <c r="S888" i="1"/>
  <c r="U887" i="1"/>
  <c r="T887" i="1"/>
  <c r="S887" i="1"/>
  <c r="U886" i="1"/>
  <c r="T886" i="1"/>
  <c r="S886" i="1"/>
  <c r="U885" i="1"/>
  <c r="T885" i="1"/>
  <c r="S885" i="1"/>
  <c r="U884" i="1"/>
  <c r="T884" i="1"/>
  <c r="S884" i="1"/>
  <c r="U883" i="1"/>
  <c r="T883" i="1"/>
  <c r="S883" i="1"/>
  <c r="U882" i="1"/>
  <c r="T882" i="1"/>
  <c r="S882" i="1"/>
  <c r="U881" i="1"/>
  <c r="T881" i="1"/>
  <c r="S881" i="1"/>
  <c r="U880" i="1"/>
  <c r="T880" i="1"/>
  <c r="S880" i="1"/>
  <c r="U879" i="1"/>
  <c r="T879" i="1"/>
  <c r="S879" i="1"/>
  <c r="U878" i="1"/>
  <c r="T878" i="1"/>
  <c r="S878" i="1"/>
  <c r="U877" i="1"/>
  <c r="T877" i="1"/>
  <c r="S877" i="1"/>
  <c r="U876" i="1"/>
  <c r="T876" i="1"/>
  <c r="S876" i="1"/>
  <c r="U875" i="1"/>
  <c r="T875" i="1"/>
  <c r="S875" i="1"/>
  <c r="U874" i="1"/>
  <c r="T874" i="1"/>
  <c r="S874" i="1"/>
  <c r="U873" i="1"/>
  <c r="T873" i="1"/>
  <c r="S873" i="1"/>
  <c r="U872" i="1"/>
  <c r="T872" i="1"/>
  <c r="S872" i="1"/>
  <c r="U871" i="1"/>
  <c r="T871" i="1"/>
  <c r="S871" i="1"/>
  <c r="U870" i="1"/>
  <c r="T870" i="1"/>
  <c r="S870" i="1"/>
  <c r="U869" i="1"/>
  <c r="T869" i="1"/>
  <c r="S869" i="1"/>
  <c r="U868" i="1"/>
  <c r="T868" i="1"/>
  <c r="S868" i="1"/>
  <c r="U867" i="1"/>
  <c r="T867" i="1"/>
  <c r="S867" i="1"/>
  <c r="U866" i="1"/>
  <c r="T866" i="1"/>
  <c r="S866" i="1"/>
  <c r="U865" i="1"/>
  <c r="T865" i="1"/>
  <c r="S865" i="1"/>
  <c r="U864" i="1"/>
  <c r="T864" i="1"/>
  <c r="S864" i="1"/>
  <c r="U863" i="1"/>
  <c r="T863" i="1"/>
  <c r="S863" i="1"/>
  <c r="U862" i="1"/>
  <c r="T862" i="1"/>
  <c r="S862" i="1"/>
  <c r="U861" i="1"/>
  <c r="T861" i="1"/>
  <c r="S861" i="1"/>
  <c r="U860" i="1"/>
  <c r="T860" i="1"/>
  <c r="S860" i="1"/>
  <c r="U859" i="1"/>
  <c r="T859" i="1"/>
  <c r="S859" i="1"/>
  <c r="U858" i="1"/>
  <c r="T858" i="1"/>
  <c r="S858" i="1"/>
  <c r="U857" i="1"/>
  <c r="T857" i="1"/>
  <c r="S857" i="1"/>
  <c r="U856" i="1"/>
  <c r="T856" i="1"/>
  <c r="S856" i="1"/>
  <c r="U855" i="1"/>
  <c r="T855" i="1"/>
  <c r="S855" i="1"/>
  <c r="U854" i="1"/>
  <c r="T854" i="1"/>
  <c r="S854" i="1"/>
  <c r="U853" i="1"/>
  <c r="T853" i="1"/>
  <c r="S853" i="1"/>
  <c r="U852" i="1"/>
  <c r="T852" i="1"/>
  <c r="S852" i="1"/>
  <c r="U851" i="1"/>
  <c r="T851" i="1"/>
  <c r="S851" i="1"/>
  <c r="U850" i="1"/>
  <c r="T850" i="1"/>
  <c r="S850" i="1"/>
  <c r="U849" i="1"/>
  <c r="T849" i="1"/>
  <c r="S849" i="1"/>
  <c r="U848" i="1"/>
  <c r="T848" i="1"/>
  <c r="S848" i="1"/>
  <c r="U847" i="1"/>
  <c r="T847" i="1"/>
  <c r="S847" i="1"/>
  <c r="U846" i="1"/>
  <c r="T846" i="1"/>
  <c r="S846" i="1"/>
  <c r="U842" i="1"/>
  <c r="T842" i="1"/>
  <c r="S842" i="1"/>
  <c r="U841" i="1"/>
  <c r="T841" i="1"/>
  <c r="S841" i="1"/>
  <c r="H33" i="2"/>
  <c r="I33" i="2" l="1"/>
  <c r="U840" i="1"/>
  <c r="T840" i="1"/>
  <c r="S840" i="1"/>
  <c r="U839" i="1"/>
  <c r="T839" i="1"/>
  <c r="S839" i="1"/>
  <c r="U838" i="1"/>
  <c r="T838" i="1"/>
  <c r="S838" i="1"/>
  <c r="U837" i="1"/>
  <c r="T837" i="1"/>
  <c r="S837" i="1"/>
  <c r="U836" i="1"/>
  <c r="T836" i="1"/>
  <c r="S836" i="1"/>
  <c r="U835" i="1"/>
  <c r="T835" i="1"/>
  <c r="S835" i="1"/>
  <c r="U834" i="1"/>
  <c r="T834" i="1"/>
  <c r="S834" i="1"/>
  <c r="H34" i="2"/>
  <c r="U833" i="1" l="1"/>
  <c r="T833" i="1"/>
  <c r="S833" i="1"/>
  <c r="U832" i="1"/>
  <c r="T832" i="1"/>
  <c r="S832" i="1"/>
  <c r="U831" i="1"/>
  <c r="T831" i="1"/>
  <c r="S831" i="1"/>
  <c r="U830" i="1"/>
  <c r="T830" i="1"/>
  <c r="S830" i="1"/>
  <c r="U829" i="1"/>
  <c r="T829" i="1"/>
  <c r="S829" i="1"/>
  <c r="U826" i="1"/>
  <c r="T826" i="1"/>
  <c r="S826" i="1"/>
  <c r="U828" i="1"/>
  <c r="T828" i="1"/>
  <c r="S828" i="1"/>
  <c r="U827" i="1"/>
  <c r="T827" i="1"/>
  <c r="S827" i="1"/>
  <c r="U825" i="1"/>
  <c r="T825" i="1"/>
  <c r="S825" i="1"/>
  <c r="U824" i="1"/>
  <c r="T824" i="1"/>
  <c r="S824" i="1"/>
  <c r="U823" i="1"/>
  <c r="T823" i="1"/>
  <c r="S823" i="1"/>
  <c r="U822" i="1"/>
  <c r="T822" i="1"/>
  <c r="S822" i="1"/>
  <c r="U821" i="1"/>
  <c r="T821" i="1"/>
  <c r="S821" i="1"/>
  <c r="U814" i="1"/>
  <c r="T814" i="1"/>
  <c r="S814" i="1"/>
  <c r="U819" i="1"/>
  <c r="T819" i="1"/>
  <c r="S819" i="1"/>
  <c r="U820" i="1"/>
  <c r="T820" i="1"/>
  <c r="S820" i="1"/>
  <c r="U818" i="1"/>
  <c r="T818" i="1"/>
  <c r="S818" i="1"/>
  <c r="U817" i="1"/>
  <c r="T817" i="1"/>
  <c r="S817" i="1"/>
  <c r="U816" i="1"/>
  <c r="T816" i="1"/>
  <c r="S816" i="1"/>
  <c r="U815" i="1"/>
  <c r="T815" i="1"/>
  <c r="S815" i="1"/>
  <c r="U812" i="1" l="1"/>
  <c r="T812" i="1"/>
  <c r="S812" i="1"/>
  <c r="U813" i="1"/>
  <c r="T813" i="1"/>
  <c r="S813" i="1"/>
  <c r="U811" i="1"/>
  <c r="T811" i="1"/>
  <c r="S811" i="1"/>
  <c r="U810" i="1"/>
  <c r="T810" i="1"/>
  <c r="S810" i="1"/>
  <c r="U809" i="1"/>
  <c r="T809" i="1"/>
  <c r="S809" i="1"/>
  <c r="U808" i="1"/>
  <c r="T808" i="1"/>
  <c r="S808" i="1"/>
  <c r="U807" i="1"/>
  <c r="T807" i="1"/>
  <c r="S807" i="1"/>
  <c r="U805" i="1"/>
  <c r="T805" i="1"/>
  <c r="S805" i="1"/>
  <c r="U806" i="1"/>
  <c r="T806" i="1"/>
  <c r="S806" i="1"/>
  <c r="U804" i="1"/>
  <c r="T804" i="1"/>
  <c r="S804" i="1"/>
  <c r="U803" i="1"/>
  <c r="T803" i="1"/>
  <c r="S803" i="1"/>
  <c r="U801" i="1"/>
  <c r="T801" i="1"/>
  <c r="S801" i="1"/>
  <c r="U802" i="1"/>
  <c r="T802" i="1"/>
  <c r="S802" i="1"/>
  <c r="U800" i="1"/>
  <c r="T800" i="1"/>
  <c r="S800" i="1"/>
  <c r="U798" i="1"/>
  <c r="T798" i="1"/>
  <c r="S798" i="1"/>
  <c r="U799" i="1"/>
  <c r="T799" i="1"/>
  <c r="S799" i="1"/>
  <c r="U797" i="1"/>
  <c r="T797" i="1"/>
  <c r="S797" i="1"/>
  <c r="U796" i="1"/>
  <c r="T796" i="1"/>
  <c r="S796" i="1"/>
  <c r="U795" i="1"/>
  <c r="T795" i="1"/>
  <c r="S795" i="1"/>
  <c r="U794" i="1"/>
  <c r="T794" i="1"/>
  <c r="S794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S738" i="1"/>
  <c r="S739" i="1"/>
  <c r="S744" i="1"/>
  <c r="S745" i="1"/>
  <c r="S747" i="1"/>
  <c r="S748" i="1"/>
  <c r="S729" i="1"/>
  <c r="S731" i="1"/>
  <c r="S732" i="1"/>
  <c r="T738" i="1"/>
  <c r="T739" i="1"/>
  <c r="T744" i="1"/>
  <c r="T745" i="1"/>
  <c r="T747" i="1"/>
  <c r="T748" i="1"/>
  <c r="T729" i="1"/>
  <c r="T731" i="1"/>
  <c r="T732" i="1"/>
  <c r="U738" i="1"/>
  <c r="U739" i="1"/>
  <c r="U744" i="1"/>
  <c r="U745" i="1"/>
  <c r="U747" i="1"/>
  <c r="U748" i="1"/>
  <c r="U729" i="1"/>
  <c r="U731" i="1"/>
  <c r="U732" i="1"/>
  <c r="U772" i="1"/>
  <c r="T772" i="1"/>
  <c r="S772" i="1"/>
  <c r="U771" i="1"/>
  <c r="T771" i="1"/>
  <c r="S771" i="1"/>
  <c r="U770" i="1"/>
  <c r="T770" i="1"/>
  <c r="S770" i="1"/>
  <c r="U769" i="1"/>
  <c r="T769" i="1"/>
  <c r="S769" i="1"/>
  <c r="U768" i="1"/>
  <c r="T768" i="1"/>
  <c r="S768" i="1"/>
  <c r="U767" i="1"/>
  <c r="T767" i="1"/>
  <c r="S767" i="1"/>
  <c r="U766" i="1"/>
  <c r="T766" i="1"/>
  <c r="S766" i="1"/>
  <c r="U765" i="1"/>
  <c r="T765" i="1"/>
  <c r="S765" i="1"/>
  <c r="U764" i="1"/>
  <c r="T764" i="1"/>
  <c r="S764" i="1"/>
  <c r="U763" i="1"/>
  <c r="T763" i="1"/>
  <c r="S763" i="1"/>
  <c r="U762" i="1"/>
  <c r="T762" i="1"/>
  <c r="S762" i="1"/>
  <c r="U761" i="1"/>
  <c r="T761" i="1"/>
  <c r="S761" i="1"/>
  <c r="U760" i="1"/>
  <c r="T760" i="1"/>
  <c r="S760" i="1"/>
  <c r="U759" i="1"/>
  <c r="T759" i="1"/>
  <c r="S759" i="1"/>
  <c r="U753" i="1"/>
  <c r="T753" i="1"/>
  <c r="S753" i="1"/>
  <c r="U758" i="1"/>
  <c r="T758" i="1"/>
  <c r="S758" i="1"/>
  <c r="U757" i="1" l="1"/>
  <c r="T757" i="1"/>
  <c r="S757" i="1"/>
  <c r="U756" i="1"/>
  <c r="T756" i="1"/>
  <c r="S756" i="1"/>
  <c r="U755" i="1"/>
  <c r="T755" i="1"/>
  <c r="S755" i="1"/>
  <c r="U754" i="1"/>
  <c r="T754" i="1"/>
  <c r="S754" i="1"/>
  <c r="U752" i="1"/>
  <c r="T752" i="1"/>
  <c r="S752" i="1"/>
  <c r="U751" i="1"/>
  <c r="T751" i="1"/>
  <c r="S751" i="1"/>
  <c r="U737" i="1"/>
  <c r="T737" i="1"/>
  <c r="S737" i="1"/>
  <c r="U750" i="1"/>
  <c r="T750" i="1"/>
  <c r="S750" i="1"/>
  <c r="U749" i="1"/>
  <c r="T749" i="1"/>
  <c r="S749" i="1"/>
  <c r="U746" i="1"/>
  <c r="T746" i="1"/>
  <c r="S746" i="1"/>
  <c r="U743" i="1"/>
  <c r="T743" i="1"/>
  <c r="S743" i="1"/>
  <c r="U742" i="1"/>
  <c r="T742" i="1"/>
  <c r="S742" i="1"/>
  <c r="U741" i="1"/>
  <c r="T741" i="1"/>
  <c r="S741" i="1"/>
  <c r="U735" i="1" l="1"/>
  <c r="T735" i="1"/>
  <c r="S735" i="1"/>
  <c r="U740" i="1" l="1"/>
  <c r="T740" i="1"/>
  <c r="S740" i="1"/>
  <c r="U736" i="1"/>
  <c r="T736" i="1"/>
  <c r="S736" i="1"/>
  <c r="U734" i="1"/>
  <c r="T734" i="1"/>
  <c r="S734" i="1"/>
  <c r="U730" i="1"/>
  <c r="T730" i="1"/>
  <c r="S730" i="1"/>
  <c r="U733" i="1" l="1"/>
  <c r="T733" i="1"/>
  <c r="S733" i="1"/>
  <c r="U727" i="1"/>
  <c r="T727" i="1"/>
  <c r="S727" i="1"/>
  <c r="U726" i="1"/>
  <c r="T726" i="1"/>
  <c r="S726" i="1"/>
  <c r="U728" i="1"/>
  <c r="T728" i="1"/>
  <c r="S728" i="1"/>
  <c r="U725" i="1"/>
  <c r="T725" i="1"/>
  <c r="S725" i="1"/>
  <c r="U724" i="1"/>
  <c r="T724" i="1"/>
  <c r="S724" i="1"/>
  <c r="U723" i="1"/>
  <c r="T723" i="1"/>
  <c r="S723" i="1"/>
  <c r="U722" i="1"/>
  <c r="T722" i="1"/>
  <c r="S722" i="1"/>
  <c r="U721" i="1"/>
  <c r="T721" i="1"/>
  <c r="S721" i="1"/>
  <c r="U720" i="1"/>
  <c r="T720" i="1"/>
  <c r="S720" i="1"/>
  <c r="U719" i="1"/>
  <c r="T719" i="1"/>
  <c r="S719" i="1"/>
  <c r="U718" i="1"/>
  <c r="T718" i="1"/>
  <c r="S718" i="1"/>
  <c r="U717" i="1"/>
  <c r="T717" i="1"/>
  <c r="S717" i="1"/>
  <c r="U716" i="1"/>
  <c r="T716" i="1"/>
  <c r="S716" i="1"/>
  <c r="U715" i="1"/>
  <c r="T715" i="1"/>
  <c r="S715" i="1"/>
  <c r="U714" i="1"/>
  <c r="T714" i="1"/>
  <c r="S714" i="1"/>
  <c r="U713" i="1"/>
  <c r="T713" i="1"/>
  <c r="S713" i="1"/>
  <c r="U712" i="1"/>
  <c r="T712" i="1"/>
  <c r="S712" i="1"/>
  <c r="U711" i="1"/>
  <c r="T711" i="1"/>
  <c r="S711" i="1"/>
  <c r="U710" i="1"/>
  <c r="T710" i="1"/>
  <c r="S710" i="1"/>
  <c r="U709" i="1"/>
  <c r="T709" i="1"/>
  <c r="S709" i="1"/>
  <c r="U708" i="1"/>
  <c r="T708" i="1"/>
  <c r="S708" i="1"/>
  <c r="U707" i="1"/>
  <c r="T707" i="1"/>
  <c r="S707" i="1"/>
  <c r="U706" i="1"/>
  <c r="T706" i="1"/>
  <c r="S706" i="1"/>
  <c r="U705" i="1"/>
  <c r="T705" i="1"/>
  <c r="S705" i="1"/>
  <c r="U704" i="1"/>
  <c r="T704" i="1"/>
  <c r="S704" i="1"/>
  <c r="U703" i="1"/>
  <c r="T703" i="1"/>
  <c r="S703" i="1"/>
  <c r="U702" i="1"/>
  <c r="T702" i="1"/>
  <c r="S702" i="1"/>
  <c r="U701" i="1"/>
  <c r="T701" i="1"/>
  <c r="S701" i="1"/>
  <c r="U700" i="1"/>
  <c r="T700" i="1"/>
  <c r="S700" i="1"/>
  <c r="U685" i="1" l="1"/>
  <c r="T685" i="1"/>
  <c r="S685" i="1"/>
  <c r="U684" i="1"/>
  <c r="T684" i="1"/>
  <c r="S684" i="1"/>
  <c r="U682" i="1"/>
  <c r="T682" i="1"/>
  <c r="S682" i="1"/>
  <c r="U699" i="1"/>
  <c r="T699" i="1"/>
  <c r="S699" i="1"/>
  <c r="U695" i="1"/>
  <c r="T695" i="1"/>
  <c r="S695" i="1"/>
  <c r="U697" i="1"/>
  <c r="T697" i="1"/>
  <c r="S697" i="1"/>
  <c r="U696" i="1"/>
  <c r="T696" i="1"/>
  <c r="S696" i="1"/>
  <c r="U694" i="1"/>
  <c r="T694" i="1"/>
  <c r="S694" i="1"/>
  <c r="U693" i="1"/>
  <c r="T693" i="1"/>
  <c r="S693" i="1"/>
  <c r="U692" i="1"/>
  <c r="T692" i="1"/>
  <c r="S692" i="1"/>
  <c r="U691" i="1"/>
  <c r="T691" i="1"/>
  <c r="S691" i="1"/>
  <c r="U690" i="1"/>
  <c r="T690" i="1"/>
  <c r="S690" i="1"/>
  <c r="U689" i="1"/>
  <c r="T689" i="1"/>
  <c r="S689" i="1"/>
  <c r="U688" i="1"/>
  <c r="T688" i="1"/>
  <c r="S688" i="1"/>
  <c r="U687" i="1"/>
  <c r="T687" i="1"/>
  <c r="S687" i="1"/>
  <c r="U686" i="1"/>
  <c r="T686" i="1"/>
  <c r="S686" i="1"/>
  <c r="U683" i="1"/>
  <c r="T683" i="1"/>
  <c r="S683" i="1"/>
  <c r="U681" i="1"/>
  <c r="T681" i="1"/>
  <c r="S681" i="1"/>
  <c r="U680" i="1"/>
  <c r="T680" i="1"/>
  <c r="S680" i="1"/>
  <c r="U664" i="1"/>
  <c r="T664" i="1"/>
  <c r="S664" i="1"/>
  <c r="U679" i="1"/>
  <c r="T679" i="1"/>
  <c r="S679" i="1"/>
  <c r="U677" i="1"/>
  <c r="U678" i="1"/>
  <c r="U676" i="1"/>
  <c r="U672" i="1"/>
  <c r="T677" i="1"/>
  <c r="S677" i="1"/>
  <c r="T678" i="1"/>
  <c r="S678" i="1"/>
  <c r="T676" i="1"/>
  <c r="S676" i="1"/>
  <c r="T672" i="1"/>
  <c r="S672" i="1"/>
  <c r="T671" i="1"/>
  <c r="S671" i="1"/>
  <c r="T663" i="1"/>
  <c r="S663" i="1"/>
  <c r="T659" i="1"/>
  <c r="S659" i="1"/>
  <c r="T661" i="1"/>
  <c r="S661" i="1"/>
  <c r="U671" i="1"/>
  <c r="U663" i="1" l="1"/>
  <c r="T660" i="1"/>
  <c r="T656" i="1"/>
  <c r="T654" i="1"/>
  <c r="T655" i="1"/>
  <c r="T652" i="1"/>
  <c r="T651" i="1"/>
  <c r="T650" i="1"/>
  <c r="T645" i="1"/>
  <c r="T644" i="1"/>
  <c r="T643" i="1"/>
  <c r="T639" i="1"/>
  <c r="T642" i="1"/>
  <c r="T641" i="1"/>
  <c r="T640" i="1"/>
  <c r="T637" i="1"/>
  <c r="T636" i="1"/>
  <c r="T635" i="1"/>
  <c r="T632" i="1"/>
  <c r="T631" i="1"/>
  <c r="T630" i="1"/>
  <c r="T629" i="1"/>
  <c r="T628" i="1"/>
  <c r="T627" i="1"/>
  <c r="T638" i="1"/>
  <c r="T625" i="1"/>
  <c r="T626" i="1"/>
  <c r="T648" i="1"/>
  <c r="T624" i="1"/>
  <c r="T621" i="1"/>
  <c r="T620" i="1"/>
  <c r="T623" i="1"/>
  <c r="T649" i="1"/>
  <c r="T622" i="1"/>
  <c r="T647" i="1"/>
  <c r="T617" i="1"/>
  <c r="T619" i="1"/>
  <c r="T618" i="1"/>
  <c r="T646" i="1"/>
  <c r="T658" i="1"/>
  <c r="T653" i="1"/>
  <c r="T615" i="1"/>
  <c r="T616" i="1"/>
  <c r="T657" i="1"/>
  <c r="T614" i="1"/>
  <c r="T613" i="1"/>
  <c r="T612" i="1"/>
  <c r="T610" i="1"/>
  <c r="T611" i="1"/>
  <c r="T609" i="1"/>
  <c r="T665" i="1"/>
  <c r="T608" i="1"/>
  <c r="T607" i="1"/>
  <c r="T605" i="1"/>
  <c r="T604" i="1"/>
  <c r="T603" i="1"/>
  <c r="T662" i="1"/>
  <c r="T606" i="1"/>
  <c r="T602" i="1"/>
  <c r="T601" i="1"/>
  <c r="T600" i="1"/>
  <c r="T599" i="1"/>
  <c r="T598" i="1"/>
  <c r="T597" i="1"/>
  <c r="T596" i="1"/>
  <c r="T675" i="1"/>
  <c r="T673" i="1"/>
  <c r="T595" i="1"/>
  <c r="T674" i="1"/>
  <c r="T594" i="1"/>
  <c r="T670" i="1"/>
  <c r="T669" i="1"/>
  <c r="T668" i="1"/>
  <c r="T593" i="1"/>
  <c r="T592" i="1"/>
  <c r="T591" i="1"/>
  <c r="T698" i="1"/>
  <c r="T590" i="1"/>
  <c r="T666" i="1"/>
  <c r="T667" i="1"/>
  <c r="T586" i="1"/>
  <c r="T589" i="1"/>
  <c r="T588" i="1"/>
  <c r="T587" i="1"/>
  <c r="T585" i="1"/>
  <c r="T584" i="1"/>
  <c r="T582" i="1"/>
  <c r="T583" i="1"/>
  <c r="T581" i="1"/>
  <c r="T580" i="1"/>
  <c r="T634" i="1"/>
  <c r="T633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1" i="1"/>
  <c r="T362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2" i="1"/>
  <c r="T301" i="1"/>
  <c r="T299" i="1"/>
  <c r="T300" i="1"/>
  <c r="T298" i="1"/>
  <c r="T297" i="1"/>
  <c r="T296" i="1"/>
  <c r="T293" i="1"/>
  <c r="T295" i="1"/>
  <c r="T294" i="1"/>
  <c r="T287" i="1"/>
  <c r="T292" i="1"/>
  <c r="T291" i="1"/>
  <c r="T290" i="1"/>
  <c r="T289" i="1"/>
  <c r="T288" i="1"/>
  <c r="T286" i="1"/>
  <c r="T282" i="1"/>
  <c r="T285" i="1"/>
  <c r="T284" i="1"/>
  <c r="T283" i="1"/>
  <c r="T281" i="1"/>
  <c r="T303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303" i="1"/>
  <c r="S281" i="1"/>
  <c r="S283" i="1"/>
  <c r="S284" i="1"/>
  <c r="S285" i="1"/>
  <c r="S282" i="1"/>
  <c r="S286" i="1"/>
  <c r="S288" i="1"/>
  <c r="S289" i="1"/>
  <c r="S290" i="1"/>
  <c r="S291" i="1"/>
  <c r="S292" i="1"/>
  <c r="S287" i="1"/>
  <c r="S294" i="1"/>
  <c r="S295" i="1"/>
  <c r="S293" i="1"/>
  <c r="S296" i="1"/>
  <c r="S297" i="1"/>
  <c r="S298" i="1"/>
  <c r="S300" i="1"/>
  <c r="S299" i="1"/>
  <c r="S301" i="1"/>
  <c r="S302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2" i="1"/>
  <c r="S361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633" i="1"/>
  <c r="S634" i="1"/>
  <c r="S580" i="1"/>
  <c r="S581" i="1"/>
  <c r="S583" i="1"/>
  <c r="S582" i="1"/>
  <c r="S584" i="1"/>
  <c r="S585" i="1"/>
  <c r="S587" i="1"/>
  <c r="S588" i="1"/>
  <c r="S589" i="1"/>
  <c r="S586" i="1"/>
  <c r="S667" i="1"/>
  <c r="S666" i="1"/>
  <c r="S590" i="1"/>
  <c r="S698" i="1"/>
  <c r="S591" i="1"/>
  <c r="S592" i="1"/>
  <c r="S593" i="1"/>
  <c r="S668" i="1"/>
  <c r="S669" i="1"/>
  <c r="S670" i="1"/>
  <c r="S594" i="1"/>
  <c r="S674" i="1"/>
  <c r="S595" i="1"/>
  <c r="S673" i="1"/>
  <c r="S675" i="1"/>
  <c r="S596" i="1"/>
  <c r="S597" i="1"/>
  <c r="S598" i="1"/>
  <c r="S599" i="1"/>
  <c r="S600" i="1"/>
  <c r="S601" i="1"/>
  <c r="S602" i="1"/>
  <c r="S606" i="1"/>
  <c r="S662" i="1"/>
  <c r="S603" i="1"/>
  <c r="S604" i="1"/>
  <c r="S605" i="1"/>
  <c r="S607" i="1"/>
  <c r="S608" i="1"/>
  <c r="S665" i="1"/>
  <c r="S609" i="1"/>
  <c r="S611" i="1"/>
  <c r="S610" i="1"/>
  <c r="S612" i="1"/>
  <c r="S613" i="1"/>
  <c r="S614" i="1"/>
  <c r="S657" i="1"/>
  <c r="S616" i="1"/>
  <c r="S615" i="1"/>
  <c r="S653" i="1"/>
  <c r="S658" i="1"/>
  <c r="S646" i="1"/>
  <c r="S618" i="1"/>
  <c r="S619" i="1"/>
  <c r="S617" i="1"/>
  <c r="S647" i="1"/>
  <c r="S622" i="1"/>
  <c r="S649" i="1"/>
  <c r="S623" i="1"/>
  <c r="S620" i="1"/>
  <c r="S621" i="1"/>
  <c r="S624" i="1"/>
  <c r="S648" i="1"/>
  <c r="S626" i="1"/>
  <c r="S625" i="1"/>
  <c r="S638" i="1"/>
  <c r="S627" i="1"/>
  <c r="S628" i="1"/>
  <c r="S629" i="1"/>
  <c r="S630" i="1"/>
  <c r="S631" i="1"/>
  <c r="S632" i="1"/>
  <c r="S635" i="1"/>
  <c r="S636" i="1"/>
  <c r="S637" i="1"/>
  <c r="S640" i="1"/>
  <c r="S641" i="1"/>
  <c r="S642" i="1"/>
  <c r="S639" i="1"/>
  <c r="S643" i="1"/>
  <c r="S644" i="1"/>
  <c r="S645" i="1"/>
  <c r="S650" i="1"/>
  <c r="S651" i="1"/>
  <c r="S652" i="1"/>
  <c r="S655" i="1"/>
  <c r="S654" i="1"/>
  <c r="S656" i="1"/>
  <c r="S660" i="1"/>
  <c r="U659" i="1" l="1"/>
  <c r="U661" i="1"/>
  <c r="U660" i="1"/>
  <c r="U656" i="1"/>
  <c r="U654" i="1"/>
  <c r="U655" i="1"/>
  <c r="U652" i="1"/>
  <c r="U651" i="1"/>
  <c r="U650" i="1"/>
  <c r="U645" i="1"/>
  <c r="U644" i="1"/>
  <c r="U643" i="1"/>
  <c r="U639" i="1"/>
  <c r="U642" i="1"/>
  <c r="U641" i="1"/>
  <c r="U640" i="1"/>
  <c r="U637" i="1"/>
  <c r="U636" i="1"/>
  <c r="U635" i="1"/>
  <c r="U632" i="1"/>
  <c r="U631" i="1"/>
  <c r="U630" i="1"/>
  <c r="U62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303" i="1"/>
  <c r="U281" i="1"/>
  <c r="U283" i="1"/>
  <c r="U284" i="1"/>
  <c r="U285" i="1"/>
  <c r="U282" i="1"/>
  <c r="U286" i="1"/>
  <c r="U288" i="1"/>
  <c r="U289" i="1"/>
  <c r="U290" i="1"/>
  <c r="U291" i="1"/>
  <c r="U292" i="1"/>
  <c r="U287" i="1"/>
  <c r="U294" i="1"/>
  <c r="U295" i="1"/>
  <c r="U293" i="1"/>
  <c r="U296" i="1"/>
  <c r="U297" i="1"/>
  <c r="U298" i="1"/>
  <c r="U300" i="1"/>
  <c r="U299" i="1"/>
  <c r="U301" i="1"/>
  <c r="U302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2" i="1"/>
  <c r="U361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633" i="1"/>
  <c r="U634" i="1"/>
  <c r="U580" i="1"/>
  <c r="U581" i="1"/>
  <c r="U583" i="1"/>
  <c r="U582" i="1"/>
  <c r="U584" i="1"/>
  <c r="U585" i="1"/>
  <c r="U587" i="1"/>
  <c r="U588" i="1"/>
  <c r="U589" i="1"/>
  <c r="U586" i="1"/>
  <c r="U667" i="1"/>
  <c r="U666" i="1"/>
  <c r="U590" i="1"/>
  <c r="U698" i="1"/>
  <c r="U591" i="1"/>
  <c r="U592" i="1"/>
  <c r="U593" i="1"/>
  <c r="U668" i="1"/>
  <c r="U669" i="1"/>
  <c r="U670" i="1"/>
  <c r="U594" i="1"/>
  <c r="U674" i="1"/>
  <c r="U595" i="1"/>
  <c r="U673" i="1"/>
  <c r="U675" i="1"/>
  <c r="U596" i="1"/>
  <c r="U597" i="1"/>
  <c r="U598" i="1"/>
  <c r="U599" i="1"/>
  <c r="U600" i="1"/>
  <c r="U601" i="1"/>
  <c r="U602" i="1"/>
  <c r="U606" i="1"/>
  <c r="U662" i="1"/>
  <c r="U603" i="1"/>
  <c r="U604" i="1"/>
  <c r="U605" i="1"/>
  <c r="U607" i="1"/>
  <c r="U608" i="1"/>
  <c r="U665" i="1"/>
  <c r="U609" i="1"/>
  <c r="U611" i="1"/>
  <c r="U610" i="1"/>
  <c r="U612" i="1"/>
  <c r="U613" i="1"/>
  <c r="U614" i="1"/>
  <c r="U657" i="1"/>
  <c r="U616" i="1"/>
  <c r="U615" i="1"/>
  <c r="U653" i="1"/>
  <c r="U658" i="1"/>
  <c r="U646" i="1"/>
  <c r="U618" i="1"/>
  <c r="U619" i="1"/>
  <c r="U617" i="1"/>
  <c r="U647" i="1"/>
  <c r="U622" i="1"/>
  <c r="U649" i="1"/>
  <c r="U623" i="1"/>
  <c r="U620" i="1"/>
  <c r="U621" i="1"/>
  <c r="U624" i="1"/>
  <c r="U648" i="1"/>
  <c r="U626" i="1"/>
  <c r="U625" i="1"/>
  <c r="U638" i="1"/>
  <c r="U627" i="1"/>
  <c r="U628" i="1"/>
  <c r="U2" i="1"/>
  <c r="G13" i="6"/>
</calcChain>
</file>

<file path=xl/sharedStrings.xml><?xml version="1.0" encoding="utf-8"?>
<sst xmlns="http://schemas.openxmlformats.org/spreadsheetml/2006/main" count="8961" uniqueCount="963">
  <si>
    <t>Total A/Cs</t>
  </si>
  <si>
    <t>Overall</t>
  </si>
  <si>
    <t>Closed</t>
  </si>
  <si>
    <t>Pipeline</t>
  </si>
  <si>
    <t>Status</t>
  </si>
  <si>
    <t>A/Cs</t>
  </si>
  <si>
    <t>Sum of Actual Business</t>
  </si>
  <si>
    <t>Sum of Expected Business</t>
  </si>
  <si>
    <t>Industry</t>
  </si>
  <si>
    <t>Expexted Revenue</t>
  </si>
  <si>
    <t>Expected Revenue</t>
  </si>
  <si>
    <t>Cancelled</t>
  </si>
  <si>
    <t>Automobile</t>
  </si>
  <si>
    <t>Introduction(C0)</t>
  </si>
  <si>
    <t>Grand Total</t>
  </si>
  <si>
    <t>Analysis</t>
  </si>
  <si>
    <t>Follow-up(C1)</t>
  </si>
  <si>
    <t>Closed(C4)</t>
  </si>
  <si>
    <t>Automobile Total</t>
  </si>
  <si>
    <t>Event Management</t>
  </si>
  <si>
    <t>Event Management Total</t>
  </si>
  <si>
    <t>Events</t>
  </si>
  <si>
    <t>(blank)</t>
  </si>
  <si>
    <t>FMCG</t>
  </si>
  <si>
    <t>FMCG Total</t>
  </si>
  <si>
    <t>Healthcare</t>
  </si>
  <si>
    <t>IT</t>
  </si>
  <si>
    <t>Confirmed(C3)</t>
  </si>
  <si>
    <t>Manufacturing</t>
  </si>
  <si>
    <t>Negotiation(C2)</t>
  </si>
  <si>
    <t>Pharma</t>
  </si>
  <si>
    <t>Events Total</t>
  </si>
  <si>
    <t>Retail</t>
  </si>
  <si>
    <t>Retail Total</t>
  </si>
  <si>
    <t>(blank) Total</t>
  </si>
  <si>
    <t>Healthcare Total</t>
  </si>
  <si>
    <t>College</t>
  </si>
  <si>
    <t>College Total</t>
  </si>
  <si>
    <t>Engineering</t>
  </si>
  <si>
    <t>Engineering Total</t>
  </si>
  <si>
    <t>IT Total</t>
  </si>
  <si>
    <t>Share Market</t>
  </si>
  <si>
    <t>Manufacturing Total</t>
  </si>
  <si>
    <t>Share Market Total</t>
  </si>
  <si>
    <t>Pharma Total</t>
  </si>
  <si>
    <t>Durga Puja</t>
  </si>
  <si>
    <t>Durga Puja Total</t>
  </si>
  <si>
    <t>Financial Service</t>
  </si>
  <si>
    <t>Financial Service Total</t>
  </si>
  <si>
    <t>Hospitality Service</t>
  </si>
  <si>
    <t>Hospitality Service Total</t>
  </si>
  <si>
    <t>Aerospace manufacturers</t>
  </si>
  <si>
    <t>Aerospace manufacturers Total</t>
  </si>
  <si>
    <t>IT Consulting</t>
  </si>
  <si>
    <t>IT Consulting Total</t>
  </si>
  <si>
    <t>IT Communication</t>
  </si>
  <si>
    <t>IT Communication Total</t>
  </si>
  <si>
    <t>Financial Investment</t>
  </si>
  <si>
    <t>Financial Investment Total</t>
  </si>
  <si>
    <t>IT Digital technologies</t>
  </si>
  <si>
    <t>IT Digital technologies Total</t>
  </si>
  <si>
    <t>IT Services</t>
  </si>
  <si>
    <t>IT Services Total</t>
  </si>
  <si>
    <t>Investment Banking</t>
  </si>
  <si>
    <t>Investment Banking Total</t>
  </si>
  <si>
    <t>IT Retail</t>
  </si>
  <si>
    <t>IT Retail Total</t>
  </si>
  <si>
    <t>Electronics</t>
  </si>
  <si>
    <t>Electronics Total</t>
  </si>
  <si>
    <t>Manufacture</t>
  </si>
  <si>
    <t>Manufacture Total</t>
  </si>
  <si>
    <t>E - Commerce</t>
  </si>
  <si>
    <t>E - Commerce Total</t>
  </si>
  <si>
    <t>Infrastructure</t>
  </si>
  <si>
    <t>Infrastructure Total</t>
  </si>
  <si>
    <t>Telecommunication</t>
  </si>
  <si>
    <t>Telecommunication Total</t>
  </si>
  <si>
    <t>IT Finance</t>
  </si>
  <si>
    <t>IT Finance Total</t>
  </si>
  <si>
    <t>Co-working space</t>
  </si>
  <si>
    <t>Co-working space Total</t>
  </si>
  <si>
    <t>Media</t>
  </si>
  <si>
    <t>Media Total</t>
  </si>
  <si>
    <t>Energy and Petrochemical</t>
  </si>
  <si>
    <t>Energy and Petrochemical Total</t>
  </si>
  <si>
    <t>Pharma - Manufacturing</t>
  </si>
  <si>
    <t>Pharma - Manufacturing Total</t>
  </si>
  <si>
    <t>Real-Estate</t>
  </si>
  <si>
    <t>Real-Estate Total</t>
  </si>
  <si>
    <t>Mining</t>
  </si>
  <si>
    <t>Mining Total</t>
  </si>
  <si>
    <t>E-Commerce</t>
  </si>
  <si>
    <t>E-Commerce Total</t>
  </si>
  <si>
    <t>Financial services</t>
  </si>
  <si>
    <t>Financial services Total</t>
  </si>
  <si>
    <t>Ev Automobile</t>
  </si>
  <si>
    <t>Ev Automobile Total</t>
  </si>
  <si>
    <t>Confectionery</t>
  </si>
  <si>
    <t>Confectionery Total</t>
  </si>
  <si>
    <t>Beverage</t>
  </si>
  <si>
    <t>Beverage Total</t>
  </si>
  <si>
    <t>Gaming</t>
  </si>
  <si>
    <t>Gaming Total</t>
  </si>
  <si>
    <t>Educational</t>
  </si>
  <si>
    <t>Educational Total</t>
  </si>
  <si>
    <t>Aviation</t>
  </si>
  <si>
    <t>Aviation Total</t>
  </si>
  <si>
    <t>Industrial Manufacturers</t>
  </si>
  <si>
    <t>Industrial Manufacturers Total</t>
  </si>
  <si>
    <t>Semiconductor</t>
  </si>
  <si>
    <t>Semiconductor Total</t>
  </si>
  <si>
    <t>Travel &amp; Tourism</t>
  </si>
  <si>
    <t>Travel &amp; Tourism Total</t>
  </si>
  <si>
    <t>Lifestyle</t>
  </si>
  <si>
    <t>Lifestyle Total</t>
  </si>
  <si>
    <t>Retail Trade</t>
  </si>
  <si>
    <t>Retail Trade Total</t>
  </si>
  <si>
    <t>Background screening</t>
  </si>
  <si>
    <t>Background screening Total</t>
  </si>
  <si>
    <t>Logistics</t>
  </si>
  <si>
    <t>Logistics Total</t>
  </si>
  <si>
    <t>Exibitions</t>
  </si>
  <si>
    <t>Exibitions Total</t>
  </si>
  <si>
    <t>Energy research</t>
  </si>
  <si>
    <t>Energy research Total</t>
  </si>
  <si>
    <t>Energy and technology</t>
  </si>
  <si>
    <t>Energy and technology Total</t>
  </si>
  <si>
    <t>Insurance</t>
  </si>
  <si>
    <t>Insurance Total</t>
  </si>
  <si>
    <t>Banking</t>
  </si>
  <si>
    <t>Banking Total</t>
  </si>
  <si>
    <t>Telecoms equipments Semiconductors</t>
  </si>
  <si>
    <t>Telecoms equipments Semiconductors Total</t>
  </si>
  <si>
    <t>Biotechnology</t>
  </si>
  <si>
    <t>Biotechnology Total</t>
  </si>
  <si>
    <t>Semiconductors</t>
  </si>
  <si>
    <t>Semiconductors Total</t>
  </si>
  <si>
    <t>Retail Corporation</t>
  </si>
  <si>
    <t>Retail Corporation Total</t>
  </si>
  <si>
    <t>Pharmaceutical</t>
  </si>
  <si>
    <t>Pharmaceutical Total</t>
  </si>
  <si>
    <t>Oil &amp; Gas</t>
  </si>
  <si>
    <t>Oil &amp; Gas Total</t>
  </si>
  <si>
    <t>Audio-Visual</t>
  </si>
  <si>
    <t>Audio-Visual Total</t>
  </si>
  <si>
    <t>Financial</t>
  </si>
  <si>
    <t>Financial Total</t>
  </si>
  <si>
    <t>IT Engineering</t>
  </si>
  <si>
    <t>IT Engineering Total</t>
  </si>
  <si>
    <t>Automotive</t>
  </si>
  <si>
    <t>Automotive Total</t>
  </si>
  <si>
    <t>life sciences</t>
  </si>
  <si>
    <t>life sciences Total</t>
  </si>
  <si>
    <t>Business services</t>
  </si>
  <si>
    <t>Business services Total</t>
  </si>
  <si>
    <t>Electrical Equipments</t>
  </si>
  <si>
    <t>Electrical Equipments Total</t>
  </si>
  <si>
    <t>Broadband</t>
  </si>
  <si>
    <t>Broadband Total</t>
  </si>
  <si>
    <t>BPO</t>
  </si>
  <si>
    <t>BPO Total</t>
  </si>
  <si>
    <t>Edu-Fintech</t>
  </si>
  <si>
    <t>Edu-Fintech Total</t>
  </si>
  <si>
    <t>Gifting</t>
  </si>
  <si>
    <t>Gifting Total</t>
  </si>
  <si>
    <t>Ed-FinTech</t>
  </si>
  <si>
    <t>Ed-FinTech Total</t>
  </si>
  <si>
    <t>social Media</t>
  </si>
  <si>
    <t>social Media Total</t>
  </si>
  <si>
    <t>Medical</t>
  </si>
  <si>
    <t>Medical Total</t>
  </si>
  <si>
    <t>Consulting</t>
  </si>
  <si>
    <t>Consulting Total</t>
  </si>
  <si>
    <t>Society</t>
  </si>
  <si>
    <t>Society Total</t>
  </si>
  <si>
    <t>E-Learning</t>
  </si>
  <si>
    <t>E-Learning Total</t>
  </si>
  <si>
    <t>Haleem</t>
  </si>
  <si>
    <t>Haleem Total</t>
  </si>
  <si>
    <t>Ecom</t>
  </si>
  <si>
    <t>Ecom Total</t>
  </si>
  <si>
    <t>Consumer</t>
  </si>
  <si>
    <t>Consumer Total</t>
  </si>
  <si>
    <t>Aggregator</t>
  </si>
  <si>
    <t>Aggregator Total</t>
  </si>
  <si>
    <t>EV</t>
  </si>
  <si>
    <t>EV Total</t>
  </si>
  <si>
    <t>Fin Tech</t>
  </si>
  <si>
    <t>Fin Tech Total</t>
  </si>
  <si>
    <t>Event</t>
  </si>
  <si>
    <t>Event Total</t>
  </si>
  <si>
    <t>Logistic</t>
  </si>
  <si>
    <t>Logistic Total</t>
  </si>
  <si>
    <t>Corporate Service</t>
  </si>
  <si>
    <t>Corporate Service Total</t>
  </si>
  <si>
    <t>Corporate</t>
  </si>
  <si>
    <t>Corporate Total</t>
  </si>
  <si>
    <t>Date</t>
  </si>
  <si>
    <t>A/C Name</t>
  </si>
  <si>
    <t>Connect Status</t>
  </si>
  <si>
    <t>TYPE</t>
  </si>
  <si>
    <t>Spoc Name</t>
  </si>
  <si>
    <t>Conversation</t>
  </si>
  <si>
    <t>Expected Business</t>
  </si>
  <si>
    <t>Actual Closed Business</t>
  </si>
  <si>
    <t>Expected Business Month</t>
  </si>
  <si>
    <t>Region</t>
  </si>
  <si>
    <t>Lead Status</t>
  </si>
  <si>
    <t>Reason</t>
  </si>
  <si>
    <t>Expected sales of Haleem</t>
  </si>
  <si>
    <t>Actual Business</t>
  </si>
  <si>
    <t>Punched Date</t>
  </si>
  <si>
    <t>1st meeting Date</t>
  </si>
  <si>
    <t>Month</t>
  </si>
  <si>
    <t>Week</t>
  </si>
  <si>
    <t>Year</t>
  </si>
  <si>
    <t>Benison</t>
  </si>
  <si>
    <t>F2F</t>
  </si>
  <si>
    <t>Dilip</t>
  </si>
  <si>
    <t>Proposal discussion about catering, bulk booking, Wallet purchase.</t>
  </si>
  <si>
    <t>Bangalore</t>
  </si>
  <si>
    <t>Warm</t>
  </si>
  <si>
    <t>Groww</t>
  </si>
  <si>
    <t>Jeethan</t>
  </si>
  <si>
    <t>KPMG Global Service</t>
  </si>
  <si>
    <t>Call</t>
  </si>
  <si>
    <t>Ramesh</t>
  </si>
  <si>
    <t>Boeing - Compass Group</t>
  </si>
  <si>
    <t>Manish</t>
  </si>
  <si>
    <t>Proposed for Corporate events, Bulk Orders and Pop-up counters</t>
  </si>
  <si>
    <t>Gokhana</t>
  </si>
  <si>
    <t>Taranjot</t>
  </si>
  <si>
    <t>Compass Group</t>
  </si>
  <si>
    <t>Helal</t>
  </si>
  <si>
    <t>Hyderabad</t>
  </si>
  <si>
    <t>Hot</t>
  </si>
  <si>
    <t>CloudKitch</t>
  </si>
  <si>
    <t>Joseph</t>
  </si>
  <si>
    <t>Grant Thornton</t>
  </si>
  <si>
    <t>Margaret</t>
  </si>
  <si>
    <t>Proposed for Corporate events, Bulk Orders</t>
  </si>
  <si>
    <t>Volvo</t>
  </si>
  <si>
    <t>Saumya</t>
  </si>
  <si>
    <t>Aveva</t>
  </si>
  <si>
    <t>Arul</t>
  </si>
  <si>
    <t>KPMG International</t>
  </si>
  <si>
    <t>Raymond</t>
  </si>
  <si>
    <t>S&amp;P Global</t>
  </si>
  <si>
    <t>Rajshekar</t>
  </si>
  <si>
    <t>Birlasoft</t>
  </si>
  <si>
    <t>Pradeep</t>
  </si>
  <si>
    <t>Statestreet</t>
  </si>
  <si>
    <t>Amresh</t>
  </si>
  <si>
    <t>Verizon</t>
  </si>
  <si>
    <t>BNP Paribas</t>
  </si>
  <si>
    <t>Shripathi</t>
  </si>
  <si>
    <t>Twilio</t>
  </si>
  <si>
    <t>Santosh</t>
  </si>
  <si>
    <t>KPMG</t>
  </si>
  <si>
    <t>Guruprasad</t>
  </si>
  <si>
    <t>Sampling Done, working on a bulk order.</t>
  </si>
  <si>
    <t>FirstSource</t>
  </si>
  <si>
    <t>Purushottam</t>
  </si>
  <si>
    <t>Watermark</t>
  </si>
  <si>
    <t>Monika</t>
  </si>
  <si>
    <t>JPMC</t>
  </si>
  <si>
    <t>Gautam</t>
  </si>
  <si>
    <t>Lowes</t>
  </si>
  <si>
    <t>Abhishek</t>
  </si>
  <si>
    <t>Santhosh</t>
  </si>
  <si>
    <t>Manhattan Associates</t>
  </si>
  <si>
    <t>Sudhakar</t>
  </si>
  <si>
    <t>E&amp;Y</t>
  </si>
  <si>
    <t>Priya</t>
  </si>
  <si>
    <t>Analog Devices</t>
  </si>
  <si>
    <t>Abhijeet</t>
  </si>
  <si>
    <t>OnePlus</t>
  </si>
  <si>
    <t>Shrikrishan</t>
  </si>
  <si>
    <t>Prism Johnson</t>
  </si>
  <si>
    <t>Bharath</t>
  </si>
  <si>
    <t>IG Infotech</t>
  </si>
  <si>
    <t>Rishabh</t>
  </si>
  <si>
    <t>Gradright</t>
  </si>
  <si>
    <t>Nandan</t>
  </si>
  <si>
    <t>Headout</t>
  </si>
  <si>
    <t>Kiran</t>
  </si>
  <si>
    <t>Cohesity</t>
  </si>
  <si>
    <t>Swathi</t>
  </si>
  <si>
    <t>Comviva</t>
  </si>
  <si>
    <t>Vinodh</t>
  </si>
  <si>
    <t>Concorde</t>
  </si>
  <si>
    <t>Nisha</t>
  </si>
  <si>
    <t>Daimler Trucks</t>
  </si>
  <si>
    <t>Shreyas</t>
  </si>
  <si>
    <t>GroupOn</t>
  </si>
  <si>
    <t>Raghav</t>
  </si>
  <si>
    <t>SAP</t>
  </si>
  <si>
    <t>Mahesh</t>
  </si>
  <si>
    <t>HotStar</t>
  </si>
  <si>
    <t>Syed</t>
  </si>
  <si>
    <t>Shine Hospitality</t>
  </si>
  <si>
    <t>Balamurgan</t>
  </si>
  <si>
    <t>ABEC Exibition and Conference</t>
  </si>
  <si>
    <t>Gopal</t>
  </si>
  <si>
    <t>Proposed for partnering as food vendor at exibitions</t>
  </si>
  <si>
    <t>Informa Markets</t>
  </si>
  <si>
    <t>Menon</t>
  </si>
  <si>
    <t>Rahul</t>
  </si>
  <si>
    <t>Possible opportunity for the corporate counters and bulk orders.</t>
  </si>
  <si>
    <t>Ives Events</t>
  </si>
  <si>
    <t>Anthony</t>
  </si>
  <si>
    <t>Proposed for partnering as food vendor at Events &amp; exibitions</t>
  </si>
  <si>
    <t>Received a requirement for 47 pax, working on the same for closure.</t>
  </si>
  <si>
    <t>Joint call with Ayush and Rajeesh ji, assessed all possible services.</t>
  </si>
  <si>
    <t>Analytics India</t>
  </si>
  <si>
    <t>Leema</t>
  </si>
  <si>
    <t>Manipal Hospital</t>
  </si>
  <si>
    <t>Naveen</t>
  </si>
  <si>
    <t>Oracle</t>
  </si>
  <si>
    <t>Geetanjali</t>
  </si>
  <si>
    <t>Follow-up, for Events and Bulk Order.</t>
  </si>
  <si>
    <t>Bruker</t>
  </si>
  <si>
    <t>Prakash</t>
  </si>
  <si>
    <t>Mantri Developers</t>
  </si>
  <si>
    <t>Aftab</t>
  </si>
  <si>
    <t>Shell</t>
  </si>
  <si>
    <t>Shourya</t>
  </si>
  <si>
    <t>Shobha Developers</t>
  </si>
  <si>
    <t>Impact Global Solutions</t>
  </si>
  <si>
    <t>Noel Prathik</t>
  </si>
  <si>
    <t>Technotree</t>
  </si>
  <si>
    <t>Rajesh</t>
  </si>
  <si>
    <t>Freshworks - Compass</t>
  </si>
  <si>
    <t>Pankaj</t>
  </si>
  <si>
    <t>Discussed on the possible incremental business from Nov'24.</t>
  </si>
  <si>
    <t>Hungerbox</t>
  </si>
  <si>
    <t>Palna</t>
  </si>
  <si>
    <t>Discussed on vendor registration for all PAN India business, Need to assess two permanent counter at Presidency college and ferro mall.</t>
  </si>
  <si>
    <t>SmartQ</t>
  </si>
  <si>
    <t>Saurabh</t>
  </si>
  <si>
    <t>Proposed for Bulk Order requirement, packed thali 60qty</t>
  </si>
  <si>
    <t>Quess Corp</t>
  </si>
  <si>
    <t>Salman</t>
  </si>
  <si>
    <t>Discussed on bulk order requirement.</t>
  </si>
  <si>
    <t>Accenture</t>
  </si>
  <si>
    <t>Nandini</t>
  </si>
  <si>
    <t>EY GBPS</t>
  </si>
  <si>
    <t>Shilpa</t>
  </si>
  <si>
    <t>Housing.com</t>
  </si>
  <si>
    <t>Shilpi</t>
  </si>
  <si>
    <t>Hari</t>
  </si>
  <si>
    <t>Reworked on the menu</t>
  </si>
  <si>
    <t>Aecom</t>
  </si>
  <si>
    <t>Nivesh</t>
  </si>
  <si>
    <t>Concentrix</t>
  </si>
  <si>
    <t>Mansoor</t>
  </si>
  <si>
    <t>Amazon</t>
  </si>
  <si>
    <t>Alankar</t>
  </si>
  <si>
    <t>Bagmane</t>
  </si>
  <si>
    <t>Gnana</t>
  </si>
  <si>
    <t>Flipkart</t>
  </si>
  <si>
    <t>Ranjeet</t>
  </si>
  <si>
    <t>Phonepay</t>
  </si>
  <si>
    <t>Fintech</t>
  </si>
  <si>
    <t>Manisha</t>
  </si>
  <si>
    <t>Tredence</t>
  </si>
  <si>
    <t>Sandesh</t>
  </si>
  <si>
    <t>ChargePoint</t>
  </si>
  <si>
    <t>Anurag Srivastava</t>
  </si>
  <si>
    <t>Modivcare</t>
  </si>
  <si>
    <t>Madhu</t>
  </si>
  <si>
    <t>Capco</t>
  </si>
  <si>
    <t>Mahendra</t>
  </si>
  <si>
    <t>Consilio India Pvt. Ltd.</t>
  </si>
  <si>
    <t>Sneha</t>
  </si>
  <si>
    <t>Tesco</t>
  </si>
  <si>
    <t>Babu</t>
  </si>
  <si>
    <t>Mintu</t>
  </si>
  <si>
    <t>Joyride Games</t>
  </si>
  <si>
    <t>Arun</t>
  </si>
  <si>
    <t>HCCB</t>
  </si>
  <si>
    <t>Jayanth</t>
  </si>
  <si>
    <t>ITC Infotech</t>
  </si>
  <si>
    <t>Malikarjun</t>
  </si>
  <si>
    <t>JLL</t>
  </si>
  <si>
    <t>Shaju</t>
  </si>
  <si>
    <t>Smartq</t>
  </si>
  <si>
    <t>Varsha</t>
  </si>
  <si>
    <t>Vibgyor School</t>
  </si>
  <si>
    <t>Institution</t>
  </si>
  <si>
    <t>Akhila</t>
  </si>
  <si>
    <t>Lufthansa</t>
  </si>
  <si>
    <t>Richi</t>
  </si>
  <si>
    <t>Cisco</t>
  </si>
  <si>
    <t>Genpact</t>
  </si>
  <si>
    <t>Kumar</t>
  </si>
  <si>
    <t>Netapp</t>
  </si>
  <si>
    <t>Marcus</t>
  </si>
  <si>
    <t>Rsab IT</t>
  </si>
  <si>
    <t>Manju</t>
  </si>
  <si>
    <t>Wells Fargo</t>
  </si>
  <si>
    <t>Aira Trex Solutions</t>
  </si>
  <si>
    <t>Ananth</t>
  </si>
  <si>
    <t>BinB Durga Puja Stall</t>
  </si>
  <si>
    <t>Shoumyadeep</t>
  </si>
  <si>
    <t>Discussion about Durga puja Stall, presence and expected Rev.</t>
  </si>
  <si>
    <t>Pramanshu</t>
  </si>
  <si>
    <t>PBCA Durga Puja Stall</t>
  </si>
  <si>
    <t>Kingshuk</t>
  </si>
  <si>
    <t>Societe Generale</t>
  </si>
  <si>
    <t>Bopaiah</t>
  </si>
  <si>
    <t>Whatfix</t>
  </si>
  <si>
    <t>Mukund</t>
  </si>
  <si>
    <t>30squareindia</t>
  </si>
  <si>
    <t>Ankit</t>
  </si>
  <si>
    <t>Proposed for upcoming social events.</t>
  </si>
  <si>
    <t>Crayon Software</t>
  </si>
  <si>
    <t>Aditya</t>
  </si>
  <si>
    <t>Harman International</t>
  </si>
  <si>
    <t>Chandrakanth</t>
  </si>
  <si>
    <t>Muthamna</t>
  </si>
  <si>
    <t>Achronix</t>
  </si>
  <si>
    <t>Ganesh</t>
  </si>
  <si>
    <t>EaseMyTrip</t>
  </si>
  <si>
    <t>Radhika</t>
  </si>
  <si>
    <t>HCL</t>
  </si>
  <si>
    <t>Shyam</t>
  </si>
  <si>
    <t>Siemens</t>
  </si>
  <si>
    <t>Zee</t>
  </si>
  <si>
    <t>Vatsal</t>
  </si>
  <si>
    <t>Bengali in Bangalore (BinB) - Bannaghatta Road (Opp IIMB)</t>
  </si>
  <si>
    <t>Business Closed</t>
  </si>
  <si>
    <t>Bengali socio cultural trust (RT Nagar) - Palace Ground</t>
  </si>
  <si>
    <t>Poorva Bangalore Cultural Association (PBCA, Brookefield)</t>
  </si>
  <si>
    <t>Rayasandra-Gattahalli Bengali Cultural Forum (RGBCF) Kasanahalli</t>
  </si>
  <si>
    <t>Socio Cultural Association (Indrianagar)</t>
  </si>
  <si>
    <t>Initiated Agreement, to start Pop-up counter &amp; Bulk Orders ASAP</t>
  </si>
  <si>
    <t>Nupur</t>
  </si>
  <si>
    <t>Discussed for permanent counter at ITC Bangalore and CapitalLand Attria</t>
  </si>
  <si>
    <t>Infinity Box</t>
  </si>
  <si>
    <t>Keshav</t>
  </si>
  <si>
    <t>Meeting him this week to initiate agreement and start corporate business</t>
  </si>
  <si>
    <t>Discussed for Corporate events, Bulk Orders</t>
  </si>
  <si>
    <t>Airtel</t>
  </si>
  <si>
    <t>Praveen</t>
  </si>
  <si>
    <t>Discussed on contracting and Bulk Orders</t>
  </si>
  <si>
    <t>Srikishan</t>
  </si>
  <si>
    <t>Murgan</t>
  </si>
  <si>
    <t>Discussed for upcoming Events</t>
  </si>
  <si>
    <t>30 Square</t>
  </si>
  <si>
    <t>JP Morgan</t>
  </si>
  <si>
    <t>Titan</t>
  </si>
  <si>
    <t>Sanjay</t>
  </si>
  <si>
    <t>Micro Focus</t>
  </si>
  <si>
    <t>Venkatesh</t>
  </si>
  <si>
    <t>Barracuda Networks</t>
  </si>
  <si>
    <t>Prasad</t>
  </si>
  <si>
    <t>financial Service</t>
  </si>
  <si>
    <t>Sunlife</t>
  </si>
  <si>
    <t>Ruchi</t>
  </si>
  <si>
    <t>British Telecom</t>
  </si>
  <si>
    <t>Amber</t>
  </si>
  <si>
    <t>HireRight India</t>
  </si>
  <si>
    <t>Rushikesh</t>
  </si>
  <si>
    <t>Mindlance</t>
  </si>
  <si>
    <t>Diwakar</t>
  </si>
  <si>
    <t>CriticaLog</t>
  </si>
  <si>
    <t>Shriram</t>
  </si>
  <si>
    <t>Sarla Aviation</t>
  </si>
  <si>
    <t>Cloudkitch</t>
  </si>
  <si>
    <t>Indraneel</t>
  </si>
  <si>
    <t>Dailyrounds (Gokhana)</t>
  </si>
  <si>
    <t>Ritesh</t>
  </si>
  <si>
    <t>Discussed for upcoming Pet Fed and IIM Events</t>
  </si>
  <si>
    <t>BPL</t>
  </si>
  <si>
    <t>Mandeep</t>
  </si>
  <si>
    <t>BIEC</t>
  </si>
  <si>
    <t>Raghunath</t>
  </si>
  <si>
    <t>Discussed for upcoming Events and possibilities of association</t>
  </si>
  <si>
    <t>Ranjit</t>
  </si>
  <si>
    <t>Infor</t>
  </si>
  <si>
    <t>Sreenath</t>
  </si>
  <si>
    <t>Magic Moments</t>
  </si>
  <si>
    <t>Sampath</t>
  </si>
  <si>
    <t>Tavant</t>
  </si>
  <si>
    <t>Sharath</t>
  </si>
  <si>
    <t>Discussed on commercials for upcoming Pet Fed and IIM Events</t>
  </si>
  <si>
    <t>BakerHughes</t>
  </si>
  <si>
    <t>Pinto</t>
  </si>
  <si>
    <t>Cowrks</t>
  </si>
  <si>
    <t>Suraj</t>
  </si>
  <si>
    <t>EPIFI</t>
  </si>
  <si>
    <t>Freddy</t>
  </si>
  <si>
    <t>HDFC Life</t>
  </si>
  <si>
    <t>Mathew</t>
  </si>
  <si>
    <t>Rystad</t>
  </si>
  <si>
    <t>Akter</t>
  </si>
  <si>
    <t>SNEX Technologies</t>
  </si>
  <si>
    <t xml:space="preserve">Shashibhushan </t>
  </si>
  <si>
    <t>Naresh</t>
  </si>
  <si>
    <t>Need to send food sample on Monday.</t>
  </si>
  <si>
    <t>Blink Health</t>
  </si>
  <si>
    <t>Rinu</t>
  </si>
  <si>
    <t>Etelkart</t>
  </si>
  <si>
    <t>Amit</t>
  </si>
  <si>
    <t>HDFC Bank</t>
  </si>
  <si>
    <t>IBM</t>
  </si>
  <si>
    <t>Pravallika</t>
  </si>
  <si>
    <t>Yes Bank</t>
  </si>
  <si>
    <t>Bhushan</t>
  </si>
  <si>
    <t>Gopinath</t>
  </si>
  <si>
    <t>Food sample sent</t>
  </si>
  <si>
    <t>Movate</t>
  </si>
  <si>
    <t>Baghvat</t>
  </si>
  <si>
    <t>Sharp Software</t>
  </si>
  <si>
    <t>Vadhirajan</t>
  </si>
  <si>
    <t>Dell Technologies</t>
  </si>
  <si>
    <t>Ramu</t>
  </si>
  <si>
    <t>Confirmed bulk order for trial</t>
  </si>
  <si>
    <t>Ajay</t>
  </si>
  <si>
    <t>Isthara</t>
  </si>
  <si>
    <t>John</t>
  </si>
  <si>
    <t>Novozymes</t>
  </si>
  <si>
    <t>Vivek</t>
  </si>
  <si>
    <t>QSC India</t>
  </si>
  <si>
    <t>Vedha</t>
  </si>
  <si>
    <t>Qualcomm</t>
  </si>
  <si>
    <t>Shyju</t>
  </si>
  <si>
    <t>Confirmed Sangram 2024 – IIM Bangalore and Pet Fed Bengaluru 2024</t>
  </si>
  <si>
    <t>Confirmed 10 corporate events</t>
  </si>
  <si>
    <t>NXP</t>
  </si>
  <si>
    <t>Jyoytsana</t>
  </si>
  <si>
    <t>Target</t>
  </si>
  <si>
    <t>Ferlin</t>
  </si>
  <si>
    <t>Shariff</t>
  </si>
  <si>
    <t>discussed on Pop-up counter &amp; Bulk Orders</t>
  </si>
  <si>
    <t>Google</t>
  </si>
  <si>
    <t>Need to contact Compass group for events and bulk orders</t>
  </si>
  <si>
    <t>Cold</t>
  </si>
  <si>
    <t>Rino</t>
  </si>
  <si>
    <t>Alcon</t>
  </si>
  <si>
    <t>Suresh</t>
  </si>
  <si>
    <t>Discussed on Pop-up counter &amp; Bulk Orders</t>
  </si>
  <si>
    <t>Medtronic</t>
  </si>
  <si>
    <t>Pepsico</t>
  </si>
  <si>
    <t xml:space="preserve">Prabhakar </t>
  </si>
  <si>
    <t>ExxonMobile</t>
  </si>
  <si>
    <t>Sujatha</t>
  </si>
  <si>
    <t>Discussed on Pop-up counter &amp; Bulk Orders, need to connect with CBRE team</t>
  </si>
  <si>
    <t>Britannia</t>
  </si>
  <si>
    <t>Veena</t>
  </si>
  <si>
    <t>Thermo Fisher</t>
  </si>
  <si>
    <t>Arvind</t>
  </si>
  <si>
    <t>UST Global</t>
  </si>
  <si>
    <t>Harikrishan</t>
  </si>
  <si>
    <t>Indkal Technology</t>
  </si>
  <si>
    <t>Rohit</t>
  </si>
  <si>
    <t>MVJ Medical College</t>
  </si>
  <si>
    <t>Unnikrishnan</t>
  </si>
  <si>
    <t>Discussed on Pop-up counter &amp; Events</t>
  </si>
  <si>
    <t>7 Eleven Global Solution Center - Compass</t>
  </si>
  <si>
    <t>Mohammed</t>
  </si>
  <si>
    <t>Received Bulk Order, following for more requirements</t>
  </si>
  <si>
    <t>Sigma AVIT</t>
  </si>
  <si>
    <t>Satish</t>
  </si>
  <si>
    <t>UPS Express</t>
  </si>
  <si>
    <t>Harish</t>
  </si>
  <si>
    <t>CriticaLog India</t>
  </si>
  <si>
    <t>Hindustan Thompson</t>
  </si>
  <si>
    <t>Rohan</t>
  </si>
  <si>
    <t>Embitel Technologies</t>
  </si>
  <si>
    <t>Gangadhar</t>
  </si>
  <si>
    <t>Daimler truck innovation center</t>
  </si>
  <si>
    <t>Kunal</t>
  </si>
  <si>
    <t>Fidelity</t>
  </si>
  <si>
    <t>Micron</t>
  </si>
  <si>
    <t>Sambit</t>
  </si>
  <si>
    <t>Dailyrounds</t>
  </si>
  <si>
    <t>Confirmed Bulk order</t>
  </si>
  <si>
    <t>7-Eleven Global Solution Center - Compass</t>
  </si>
  <si>
    <t>Gokhana Corporate ODC (6 stalls)</t>
  </si>
  <si>
    <t>Completed 6 Corporate counters</t>
  </si>
  <si>
    <t>Honeywell</t>
  </si>
  <si>
    <t>Dinesh</t>
  </si>
  <si>
    <t>Abhijit</t>
  </si>
  <si>
    <t>Capgemini - Gokhana ODC</t>
  </si>
  <si>
    <t>Corporate ODC</t>
  </si>
  <si>
    <t>Nexteer Automation</t>
  </si>
  <si>
    <t>Imran</t>
  </si>
  <si>
    <t>Mydala</t>
  </si>
  <si>
    <t>Mustafa</t>
  </si>
  <si>
    <t>Iqvia</t>
  </si>
  <si>
    <t>Chetry</t>
  </si>
  <si>
    <t>Comic Con</t>
  </si>
  <si>
    <t>Anmol</t>
  </si>
  <si>
    <t>Discussed for the Comicon participation</t>
  </si>
  <si>
    <t>Chennai</t>
  </si>
  <si>
    <t>IIM Event - 30 Square</t>
  </si>
  <si>
    <t>Cash and carry counter</t>
  </si>
  <si>
    <t>Latha</t>
  </si>
  <si>
    <t>Pooja</t>
  </si>
  <si>
    <t>Did not meet their rrequirement.</t>
  </si>
  <si>
    <t>BorgWarner</t>
  </si>
  <si>
    <t>Marlabs</t>
  </si>
  <si>
    <t>Nagendra</t>
  </si>
  <si>
    <t>Epicor Software</t>
  </si>
  <si>
    <t>Srinath</t>
  </si>
  <si>
    <t>Confirmed bulk Order</t>
  </si>
  <si>
    <t>HPE</t>
  </si>
  <si>
    <t>Kapiraj</t>
  </si>
  <si>
    <t>Following for more requirements</t>
  </si>
  <si>
    <t>Conduent</t>
  </si>
  <si>
    <t>Anand</t>
  </si>
  <si>
    <t>Intel</t>
  </si>
  <si>
    <t>Rathan Gowda</t>
  </si>
  <si>
    <t>Anil</t>
  </si>
  <si>
    <t>Standard Chartered Bank</t>
  </si>
  <si>
    <t>Applied Materials</t>
  </si>
  <si>
    <t>Srinivasan</t>
  </si>
  <si>
    <t>Society General</t>
  </si>
  <si>
    <t>Follow-up for corporate business</t>
  </si>
  <si>
    <t>ABB</t>
  </si>
  <si>
    <t>ANZ</t>
  </si>
  <si>
    <t>Sharon</t>
  </si>
  <si>
    <t>ACT Fibre</t>
  </si>
  <si>
    <t>Manjesh</t>
  </si>
  <si>
    <t>Khoros India</t>
  </si>
  <si>
    <t>Discused on corporate ODC and Bulk Orders</t>
  </si>
  <si>
    <t>Bank of America</t>
  </si>
  <si>
    <t>Manoj</t>
  </si>
  <si>
    <t>Working on a bulk order requirement</t>
  </si>
  <si>
    <t>Trivikram</t>
  </si>
  <si>
    <t>Carmerita</t>
  </si>
  <si>
    <t>follow-up and confirmation for Petfed</t>
  </si>
  <si>
    <t>Discused on packed corporate Bulk Orders</t>
  </si>
  <si>
    <t>IntouchCX</t>
  </si>
  <si>
    <t>Murali</t>
  </si>
  <si>
    <t>30 Square Pet Fed</t>
  </si>
  <si>
    <t>Closed Event</t>
  </si>
  <si>
    <t>TIE - BIEC</t>
  </si>
  <si>
    <t>Devendar</t>
  </si>
  <si>
    <t>Corporate Gifting</t>
  </si>
  <si>
    <t>Arnav</t>
  </si>
  <si>
    <t>Moonfrog Labs</t>
  </si>
  <si>
    <t>Perfetti Van Melle</t>
  </si>
  <si>
    <t>Dhaval</t>
  </si>
  <si>
    <t>Xmas Events</t>
  </si>
  <si>
    <t>Facebook (Compass Infinite box)</t>
  </si>
  <si>
    <t>Red FM</t>
  </si>
  <si>
    <t>Rajanikanth</t>
  </si>
  <si>
    <t>IMTEX - BIEC</t>
  </si>
  <si>
    <t>Confirmed for IMTEX 2025</t>
  </si>
  <si>
    <t>Infosys</t>
  </si>
  <si>
    <t>Ahmed</t>
  </si>
  <si>
    <t>Confirmed bulk order</t>
  </si>
  <si>
    <t>Stryker</t>
  </si>
  <si>
    <t>Viswas</t>
  </si>
  <si>
    <t>Ansr Global</t>
  </si>
  <si>
    <t>Rajat</t>
  </si>
  <si>
    <t>Discussion on setup, location, accessability for 21st Event.</t>
  </si>
  <si>
    <t>Ajanta Pharma</t>
  </si>
  <si>
    <t>Raj</t>
  </si>
  <si>
    <t>Netradyne</t>
  </si>
  <si>
    <t>Sanjeev</t>
  </si>
  <si>
    <t>Proposed for Bulk Orders</t>
  </si>
  <si>
    <t>PSN Association</t>
  </si>
  <si>
    <t>Amarjit</t>
  </si>
  <si>
    <t>Confirmed for 2 day stall for Lohri</t>
  </si>
  <si>
    <t>Proposed for serving at their office</t>
  </si>
  <si>
    <t>Equence Technologies</t>
  </si>
  <si>
    <t>Sameer</t>
  </si>
  <si>
    <t>Freshwork</t>
  </si>
  <si>
    <t xml:space="preserve"> Edureka</t>
  </si>
  <si>
    <t>Hemalatha</t>
  </si>
  <si>
    <t>General Data</t>
  </si>
  <si>
    <t>Vinod</t>
  </si>
  <si>
    <t>financial</t>
  </si>
  <si>
    <t>7 Eleven Global Solution Center</t>
  </si>
  <si>
    <t>Natwest</t>
  </si>
  <si>
    <t>Freshworks</t>
  </si>
  <si>
    <t>Gaurav</t>
  </si>
  <si>
    <t>PWC</t>
  </si>
  <si>
    <t>Ravi</t>
  </si>
  <si>
    <t>NEN</t>
  </si>
  <si>
    <t>Baxter</t>
  </si>
  <si>
    <t>Lokesh</t>
  </si>
  <si>
    <t>Flexera</t>
  </si>
  <si>
    <t>Ajit</t>
  </si>
  <si>
    <t>Sandhya</t>
  </si>
  <si>
    <t>JNC Masjid</t>
  </si>
  <si>
    <t>Ali</t>
  </si>
  <si>
    <t>RMZ</t>
  </si>
  <si>
    <t>Sandeep</t>
  </si>
  <si>
    <t>Capital Land</t>
  </si>
  <si>
    <t>Lalitha</t>
  </si>
  <si>
    <t>Arijit</t>
  </si>
  <si>
    <t>Honeywell Automation</t>
  </si>
  <si>
    <t>Saran</t>
  </si>
  <si>
    <t>Apparel Manufacturers of India</t>
  </si>
  <si>
    <t>Sathyam</t>
  </si>
  <si>
    <t>Stona</t>
  </si>
  <si>
    <t>Acrex India</t>
  </si>
  <si>
    <t>Invensis</t>
  </si>
  <si>
    <t>Fitness Nutrition Sports India Expo</t>
  </si>
  <si>
    <t>Amazon BLR13</t>
  </si>
  <si>
    <t>Srinivas</t>
  </si>
  <si>
    <t>Amazon BLR18</t>
  </si>
  <si>
    <t>Anjum</t>
  </si>
  <si>
    <t>Amazon BLR22</t>
  </si>
  <si>
    <t>Mayur</t>
  </si>
  <si>
    <t>Compass</t>
  </si>
  <si>
    <t>24-7 Intouch India Pvt Ltd</t>
  </si>
  <si>
    <t>Abybaby Events</t>
  </si>
  <si>
    <t>Amazon WTC</t>
  </si>
  <si>
    <t>Mohsin</t>
  </si>
  <si>
    <t>Opentext</t>
  </si>
  <si>
    <t>Kammanahalli Haleem Counter</t>
  </si>
  <si>
    <t>Sara Simran</t>
  </si>
  <si>
    <t>Kormangala Haleem Counter</t>
  </si>
  <si>
    <t>Frazer Town Haleem Counter</t>
  </si>
  <si>
    <t>Shivajinagar Haleem Counter</t>
  </si>
  <si>
    <t>3M India</t>
  </si>
  <si>
    <t>Vishwanath</t>
  </si>
  <si>
    <t>SJR Plazza City Sarjapura - Society</t>
  </si>
  <si>
    <t>Events - Holi Celebration</t>
  </si>
  <si>
    <t>Vishal</t>
  </si>
  <si>
    <t>Salesforce</t>
  </si>
  <si>
    <t>Mukesh</t>
  </si>
  <si>
    <t>DPS School</t>
  </si>
  <si>
    <t>Nivedita</t>
  </si>
  <si>
    <t>Capgemini B5</t>
  </si>
  <si>
    <t>Priyanka</t>
  </si>
  <si>
    <t>Morgan Stanley</t>
  </si>
  <si>
    <t>Shakeer</t>
  </si>
  <si>
    <t>Kukdukoo Fest</t>
  </si>
  <si>
    <t>Equiniti India</t>
  </si>
  <si>
    <t>JP Nagar Haleem Counter Sale</t>
  </si>
  <si>
    <t>HAL Haleem Counter Sale</t>
  </si>
  <si>
    <t>Forum South Mall Ramadan Food Festival</t>
  </si>
  <si>
    <t>Shameer</t>
  </si>
  <si>
    <t>Gurgaon</t>
  </si>
  <si>
    <t>HPE - Gokhana</t>
  </si>
  <si>
    <t>BMW</t>
  </si>
  <si>
    <t>Vikas</t>
  </si>
  <si>
    <t>Sony India</t>
  </si>
  <si>
    <t>Deepika</t>
  </si>
  <si>
    <t>Church Association</t>
  </si>
  <si>
    <t>Sam</t>
  </si>
  <si>
    <t>Dell R&amp;D</t>
  </si>
  <si>
    <t>Dhruva</t>
  </si>
  <si>
    <t>ITC Green Centre</t>
  </si>
  <si>
    <t>Preeti</t>
  </si>
  <si>
    <t>Plastica 2025 - BIEC</t>
  </si>
  <si>
    <t>Satyam</t>
  </si>
  <si>
    <t>Tuhina</t>
  </si>
  <si>
    <t>EY</t>
  </si>
  <si>
    <t>Suman</t>
  </si>
  <si>
    <t>Electronic</t>
  </si>
  <si>
    <t>Deutsche Bank</t>
  </si>
  <si>
    <t>Edwin</t>
  </si>
  <si>
    <t>Amazon BLR14 (Taurus 2)</t>
  </si>
  <si>
    <t>Intel (SRR 4B)</t>
  </si>
  <si>
    <t>Amazon BLR14 (Taurus 3)</t>
  </si>
  <si>
    <t>Ramanan</t>
  </si>
  <si>
    <t>Intel (SRR 4A)</t>
  </si>
  <si>
    <t>Amazon BLR13 (Taurus 1)</t>
  </si>
  <si>
    <t>Intel (SRR 2)</t>
  </si>
  <si>
    <t>Intel (SRR 3A)</t>
  </si>
  <si>
    <t>Intel (SRR 1)</t>
  </si>
  <si>
    <t>TCS</t>
  </si>
  <si>
    <t>Rajan</t>
  </si>
  <si>
    <t>DXC Technologies</t>
  </si>
  <si>
    <t>Seeralan</t>
  </si>
  <si>
    <t>Cognizant</t>
  </si>
  <si>
    <t>Akram</t>
  </si>
  <si>
    <t>Amazon BLR18 (Aquila)</t>
  </si>
  <si>
    <t>Safe Ledger</t>
  </si>
  <si>
    <t>Vaishak</t>
  </si>
  <si>
    <t>Amazon BLR22 (Taurus 3)</t>
  </si>
  <si>
    <t>Commvault</t>
  </si>
  <si>
    <t>Kariappa</t>
  </si>
  <si>
    <t>Intel (ECO 3)</t>
  </si>
  <si>
    <t>Tech Mahindra</t>
  </si>
  <si>
    <t>Anshuman</t>
  </si>
  <si>
    <t>Srinu</t>
  </si>
  <si>
    <t>Details shared awating orders for Blr, Hyd, Chennai</t>
  </si>
  <si>
    <t>Confirmed 2 day corporate counter</t>
  </si>
  <si>
    <t>BHEL</t>
  </si>
  <si>
    <t>AIG</t>
  </si>
  <si>
    <t>Patil</t>
  </si>
  <si>
    <t>Startek</t>
  </si>
  <si>
    <t>Arjun</t>
  </si>
  <si>
    <t>Neha Kakkar Live concert - Red FM</t>
  </si>
  <si>
    <t>Rajnikanth</t>
  </si>
  <si>
    <t>Cignus</t>
  </si>
  <si>
    <t>Chargepoint</t>
  </si>
  <si>
    <t>SaiPrasad</t>
  </si>
  <si>
    <t>Sudipto</t>
  </si>
  <si>
    <t>Raju</t>
  </si>
  <si>
    <t>Jul-2025</t>
  </si>
  <si>
    <t>2025</t>
  </si>
  <si>
    <t>Indraneil</t>
  </si>
  <si>
    <t>Zenith Hospitality</t>
  </si>
  <si>
    <t>Jatin</t>
  </si>
  <si>
    <t>BottleLabs</t>
  </si>
  <si>
    <t>Manhattan</t>
  </si>
  <si>
    <t>Aruna</t>
  </si>
  <si>
    <t>Nvidia</t>
  </si>
  <si>
    <t>Deb</t>
  </si>
  <si>
    <t>Goodera</t>
  </si>
  <si>
    <t>Shankar</t>
  </si>
  <si>
    <t>Proposed for bulk order requirement.</t>
  </si>
  <si>
    <t>Sony</t>
  </si>
  <si>
    <t>Low sale, could do more.</t>
  </si>
  <si>
    <t>Micron (Hyd)</t>
  </si>
  <si>
    <t>Ashok</t>
  </si>
  <si>
    <t>Sampling Done, working on a bulk order confirmation</t>
  </si>
  <si>
    <t>Non availibility of Agreement</t>
  </si>
  <si>
    <t>Wayfair Global</t>
  </si>
  <si>
    <t>Concepts and Solution</t>
  </si>
  <si>
    <t>Hemant</t>
  </si>
  <si>
    <t>Awfis</t>
  </si>
  <si>
    <t>Possible opportunity for the bulk orders, menu shared.</t>
  </si>
  <si>
    <t>Discussed on the service for the bulk order requirement.</t>
  </si>
  <si>
    <t>Did not meet expected sale, few raised price concern</t>
  </si>
  <si>
    <t>Sale as expected</t>
  </si>
  <si>
    <t>Hexagon Geosystems</t>
  </si>
  <si>
    <t>Nitin Pai</t>
  </si>
  <si>
    <t>Salil Karan</t>
  </si>
  <si>
    <t>Product sold out, could do more sale.</t>
  </si>
  <si>
    <t>Travellos Holidays Pvt Ltd</t>
  </si>
  <si>
    <t>Travel Agent</t>
  </si>
  <si>
    <t>Good Feedback</t>
  </si>
  <si>
    <t>Gowda</t>
  </si>
  <si>
    <t>ServiceNow</t>
  </si>
  <si>
    <t>Chandrika</t>
  </si>
  <si>
    <t>Airbus</t>
  </si>
  <si>
    <t>Mathais</t>
  </si>
  <si>
    <t>Amazon Blr13</t>
  </si>
  <si>
    <t>Capital Land (Gokhana)</t>
  </si>
  <si>
    <t>Requirement Postponed</t>
  </si>
  <si>
    <t>Yogendra</t>
  </si>
  <si>
    <t>Oracle Tech Hub  (Hungebox)</t>
  </si>
  <si>
    <t>Yashi</t>
  </si>
  <si>
    <t>Proposed for ODC and Bulk orders</t>
  </si>
  <si>
    <t>Deloitte Vista  (Hungebox)</t>
  </si>
  <si>
    <t>Deloitte PTP (Hungebox)</t>
  </si>
  <si>
    <t>Optum - Vijayawada</t>
  </si>
  <si>
    <t>Vijaywada</t>
  </si>
  <si>
    <t>Accenture BDC 14-Tower A  (Hungebox)</t>
  </si>
  <si>
    <t>Accenture BDC 14 (Tower B)  (Hungebox)</t>
  </si>
  <si>
    <t>Confirmed</t>
  </si>
  <si>
    <t>Proposed for Bulk orders</t>
  </si>
  <si>
    <t>Allstate</t>
  </si>
  <si>
    <t>Accenture Bang 10B 11th floor  (Hungebox)</t>
  </si>
  <si>
    <t>Tesco  (Hungebox)</t>
  </si>
  <si>
    <t>State Street 6B Ecoworld  (Hungebox)</t>
  </si>
  <si>
    <t>Adithya</t>
  </si>
  <si>
    <t>Bosch</t>
  </si>
  <si>
    <t>Razorpay</t>
  </si>
  <si>
    <t>Deepak</t>
  </si>
  <si>
    <t>West Pharmaceutical</t>
  </si>
  <si>
    <t>24/7 Services</t>
  </si>
  <si>
    <t>Shaheer</t>
  </si>
  <si>
    <t>Gift Expo (Pinnacle)</t>
  </si>
  <si>
    <t>Electronica (Pinnacle)</t>
  </si>
  <si>
    <t>Rajkumar</t>
  </si>
  <si>
    <t>Intel (SRR3)</t>
  </si>
  <si>
    <t>Ellora</t>
  </si>
  <si>
    <t>Lowe's (Hungerbox)</t>
  </si>
  <si>
    <t>Koch</t>
  </si>
  <si>
    <t>Ratheesh</t>
  </si>
  <si>
    <t>BNP Paribas (Hungerbox)</t>
  </si>
  <si>
    <t>Accenture BDC 14-Tower B  (Hungebox)</t>
  </si>
  <si>
    <t>Accenture BDC 10  (Hungebox)</t>
  </si>
  <si>
    <t>Intel (ECO 1)</t>
  </si>
  <si>
    <t>ITC Infotech (Gokhana)</t>
  </si>
  <si>
    <t>Capgemini DV B4 (Gokhana)</t>
  </si>
  <si>
    <t>Capgemini DV A5 (Gokhana)</t>
  </si>
  <si>
    <t>DP World</t>
  </si>
  <si>
    <t>Meals &amp; More</t>
  </si>
  <si>
    <t>Pinnacle</t>
  </si>
  <si>
    <t>Renuka</t>
  </si>
  <si>
    <t>Sahana</t>
  </si>
  <si>
    <t>Gaurishankar</t>
  </si>
  <si>
    <t>Shrikishan</t>
  </si>
  <si>
    <t>Soft Solution</t>
  </si>
  <si>
    <t>Vizag</t>
  </si>
  <si>
    <t>DPS</t>
  </si>
  <si>
    <t>Shajeena</t>
  </si>
  <si>
    <t>(All)</t>
  </si>
  <si>
    <t xml:space="preserve">Expected Business </t>
  </si>
  <si>
    <t>Account</t>
  </si>
  <si>
    <t>City Wise Sales</t>
  </si>
  <si>
    <t>Oct-25</t>
  </si>
  <si>
    <t>Sep-25</t>
  </si>
  <si>
    <t>Aug-25</t>
  </si>
  <si>
    <t>Jul-25</t>
  </si>
  <si>
    <t>Row Labels</t>
  </si>
  <si>
    <t>Count of Status</t>
  </si>
  <si>
    <t>Overall Sales</t>
  </si>
  <si>
    <t>Column Labels</t>
  </si>
  <si>
    <t>Target ADS</t>
  </si>
  <si>
    <t>Actual ADS</t>
  </si>
  <si>
    <t>Required ADS</t>
  </si>
  <si>
    <t>Count of A/C Name</t>
  </si>
  <si>
    <t>Jun-25</t>
  </si>
  <si>
    <t>May-25</t>
  </si>
  <si>
    <t>Apr-25</t>
  </si>
  <si>
    <t>Dec-24</t>
  </si>
  <si>
    <t>Feb-25</t>
  </si>
  <si>
    <t>Jan-25</t>
  </si>
  <si>
    <t>Mar-25</t>
  </si>
  <si>
    <t>Nov-24</t>
  </si>
  <si>
    <t>Oct-24</t>
  </si>
  <si>
    <t>Sep-24</t>
  </si>
  <si>
    <t>Focus Area for Haleem counter Sale</t>
  </si>
  <si>
    <t>Remarks / Update</t>
  </si>
  <si>
    <t>Corporate ODC Counter</t>
  </si>
  <si>
    <t>Bulk Order</t>
  </si>
  <si>
    <t>Initiated Discussion, Awaiting for the ODC Calander</t>
  </si>
  <si>
    <t>Agreement still pending, however have assured to support for any ADHOC requirements</t>
  </si>
  <si>
    <t>Cloudskitch</t>
  </si>
  <si>
    <t>Counter in Tech Park</t>
  </si>
  <si>
    <t>Counter in Mall</t>
  </si>
  <si>
    <t>Counter in Society</t>
  </si>
  <si>
    <t>Initiated Discussion, Awaiting for their approvals and locations to setup counter.</t>
  </si>
  <si>
    <t>RMZ Developers</t>
  </si>
  <si>
    <t>Masjid</t>
  </si>
  <si>
    <t>Counter in mosque</t>
  </si>
  <si>
    <t>Initiated Discussion, Awaiting for their response</t>
  </si>
  <si>
    <t>Phoenix</t>
  </si>
  <si>
    <t>Counter in mall</t>
  </si>
  <si>
    <t>Need help from Ayush to connect.</t>
  </si>
  <si>
    <t>Apartment Society</t>
  </si>
  <si>
    <t>Counter for Events</t>
  </si>
  <si>
    <t>Initiated discussion with the societies, if any events or celebration for Ramzan.</t>
  </si>
  <si>
    <t>LogIn Credentials</t>
  </si>
  <si>
    <t>Host</t>
  </si>
  <si>
    <t>Site</t>
  </si>
  <si>
    <t>Outlet</t>
  </si>
  <si>
    <t>Sales Value</t>
  </si>
  <si>
    <t>ID: cashier@paradiseb4lr 
Password: b42DFGH</t>
  </si>
  <si>
    <t>ID: manager@paradiseb4lr 
Password: B4@1234</t>
  </si>
  <si>
    <t>Capgemini DV B4</t>
  </si>
  <si>
    <t>Whitefield</t>
  </si>
  <si>
    <t>Id: cashier@paradisea5blr 
Password: Ujy$21wd</t>
  </si>
  <si>
    <t>ID: manager@paradisea5blr
Password: Pkm$29bq</t>
  </si>
  <si>
    <t>Capgemini DV A5</t>
  </si>
  <si>
    <t>Marathalli</t>
  </si>
  <si>
    <t>ID: cashier@paradisebiryanidartmoor
Password: PLRG*787^</t>
  </si>
  <si>
    <t>ID: manager@paradisebiryanidartmoor
Password: RTVV*989!</t>
  </si>
  <si>
    <t>Capgemini Dartmoor</t>
  </si>
  <si>
    <t>ID: cashier@paradisecgcampus
Password: lkop&amp;567</t>
  </si>
  <si>
    <t>ID: manager@paradisecgcampus 
Password: hjk@678&amp;</t>
  </si>
  <si>
    <t>Capgemini Main Campus</t>
  </si>
  <si>
    <t>ID: cashier@paradkablr
Password: Lmn$23wc</t>
  </si>
  <si>
    <t>ID: manager@paradkablr
Password: Pmn$22cu</t>
  </si>
  <si>
    <t>Capgemini Kakaddu</t>
  </si>
  <si>
    <t>Capgemini PTP</t>
  </si>
  <si>
    <t>13/11/2024</t>
  </si>
  <si>
    <t>HSR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</si>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</sst>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/mmm/yyyy"/>
    <numFmt numFmtId="165" formatCode="_(* #,##0_);_(* \(#,##0\);_(* &quot;-&quot;??_);_(@_)"/>
    <numFmt numFmtId="166" formatCode="mmm\-yyyy"/>
    <numFmt numFmtId="167" formatCode="_ * #,##0_ ;_ * \-#,##0_ ;_ * &quot;-&quot;??_ ;_ @_ "/>
    <numFmt numFmtId="168" formatCode="0.0%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Continuous" vertical="center" wrapText="1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Continuous" vertical="center" wrapText="1"/>
    </xf>
    <xf numFmtId="0" fontId="0" fillId="0" borderId="16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0" xfId="0" pivotButton="1" applyAlignment="1">
      <alignment vertical="center"/>
    </xf>
    <xf numFmtId="165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3" fontId="0" fillId="0" borderId="1" xfId="0" applyNumberFormat="1" applyBorder="1"/>
    <xf numFmtId="0" fontId="0" fillId="0" borderId="1" xfId="0" applyBorder="1" applyAlignment="1">
      <alignment horizontal="left" indent="1"/>
    </xf>
    <xf numFmtId="3" fontId="1" fillId="6" borderId="1" xfId="0" applyNumberFormat="1" applyFont="1" applyFill="1" applyBorder="1"/>
    <xf numFmtId="0" fontId="1" fillId="6" borderId="1" xfId="0" applyFont="1" applyFill="1" applyBorder="1" applyAlignment="1">
      <alignment horizontal="left" indent="1"/>
    </xf>
    <xf numFmtId="165" fontId="0" fillId="0" borderId="1" xfId="0" applyNumberFormat="1" applyBorder="1"/>
    <xf numFmtId="165" fontId="1" fillId="6" borderId="1" xfId="0" applyNumberFormat="1" applyFont="1" applyFill="1" applyBorder="1"/>
    <xf numFmtId="0" fontId="0" fillId="0" borderId="17" xfId="0" pivotButton="1" applyBorder="1"/>
    <xf numFmtId="0" fontId="0" fillId="0" borderId="17" xfId="0" applyBorder="1"/>
    <xf numFmtId="0" fontId="1" fillId="6" borderId="1" xfId="0" applyFont="1" applyFill="1" applyBorder="1" applyAlignment="1">
      <alignment horizontal="left"/>
    </xf>
    <xf numFmtId="1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61"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4" formatCode="dd/m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5" formatCode="_(* #,##0_);_(* \(#,##0\);_(* &quot;-&quot;??_);_(@_)"/>
    </dxf>
    <dxf>
      <font>
        <b val="0"/>
      </font>
    </dxf>
    <dxf>
      <font>
        <b val="0"/>
      </font>
    </dxf>
    <dxf>
      <numFmt numFmtId="3" formatCode="#,##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165" formatCode="_(* #,##0_);_(* \(#,##0\);_(* &quot;-&quot;??_);_(@_)"/>
    </dxf>
    <dxf>
      <font>
        <b/>
      </font>
    </dxf>
    <dxf>
      <font>
        <b/>
      </font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numFmt numFmtId="165" formatCode="_(* #,##0_);_(* \(#,##0\);_(* &quot;-&quot;??_);_(@_)"/>
    </dxf>
    <dxf>
      <font>
        <b/>
      </font>
    </dxf>
    <dxf>
      <font>
        <b/>
      </font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b/>
      </font>
    </dxf>
    <dxf>
      <font>
        <b/>
      </font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font>
        <b/>
      </font>
    </dxf>
    <dxf>
      <font>
        <b/>
      </font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numFmt numFmtId="165" formatCode="_(* #,##0_);_(* \(#,##0\);_(* &quot;-&quot;??_);_(@_)"/>
    </dxf>
    <dxf>
      <font>
        <b/>
      </font>
    </dxf>
    <dxf>
      <font>
        <b/>
      </font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3" tint="0.74999237037263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ont>
        <b/>
      </font>
    </dxf>
    <dxf>
      <font>
        <b/>
      </font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ont>
        <b/>
      </font>
    </dxf>
    <dxf>
      <font>
        <b/>
      </font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font>
        <b/>
      </font>
      <fill>
        <patternFill patternType="solid">
          <fgColor indexed="64"/>
          <bgColor theme="3" tint="0.74999237037263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hab" refreshedDate="45944.572888310184" createdVersion="8" refreshedVersion="8" minRefreshableVersion="3" recordCount="977" xr:uid="{C6B00556-5C96-4EB9-9860-791EE7099066}">
  <cacheSource type="worksheet">
    <worksheetSource name="Table1"/>
  </cacheSource>
  <cacheFields count="21">
    <cacheField name="Date" numFmtId="164">
      <sharedItems containsNonDate="0" containsDate="1" containsString="0" containsBlank="1" minDate="2024-08-30T00:00:00" maxDate="2025-10-14T00:00:00"/>
    </cacheField>
    <cacheField name="A/C Name" numFmtId="0">
      <sharedItems containsBlank="1" count="326">
        <s v="Benison"/>
        <s v="Groww"/>
        <s v="KPMG Global Service"/>
        <s v="Boeing - Compass Group"/>
        <s v="Gokhana"/>
        <s v="Compass Group"/>
        <s v="CloudKitch"/>
        <s v="Grant Thornton"/>
        <s v="Volvo"/>
        <s v="Aveva"/>
        <s v="KPMG International"/>
        <s v="S&amp;P Global"/>
        <s v="Birlasoft"/>
        <s v="Statestreet"/>
        <s v="Verizon"/>
        <s v="BNP Paribas"/>
        <s v="Twilio"/>
        <s v="KPMG"/>
        <s v="FirstSource"/>
        <s v="Watermark"/>
        <s v="JPMC"/>
        <s v="Lowes"/>
        <s v="Manhattan Associates"/>
        <s v="E&amp;Y"/>
        <s v="Analog Devices"/>
        <s v="OnePlus"/>
        <s v="Prism Johnson"/>
        <s v="IG Infotech"/>
        <s v="Gradright"/>
        <s v="Headout"/>
        <s v="Cohesity"/>
        <s v="Comviva"/>
        <s v="Concorde"/>
        <s v="Daimler Trucks"/>
        <s v="GroupOn"/>
        <s v="SAP"/>
        <s v="HotStar"/>
        <s v="Shine Hospitality"/>
        <s v="ABEC Exibition and Conference"/>
        <s v="Informa Markets"/>
        <s v="Ives Events"/>
        <s v="Analytics India"/>
        <s v="Manipal Hospital"/>
        <s v="Oracle"/>
        <s v="Bruker"/>
        <s v="Mantri Developers"/>
        <s v="Shell"/>
        <s v="Shobha Developers"/>
        <s v="Impact Global Solutions"/>
        <s v="Technotree"/>
        <s v="Freshworks - Compass"/>
        <s v="Hungerbox"/>
        <s v="SmartQ"/>
        <s v="Quess Corp"/>
        <s v="Accenture"/>
        <s v="EY GBPS"/>
        <s v="Housing.com"/>
        <s v="Aecom"/>
        <s v="Concentrix"/>
        <s v="Amazon"/>
        <s v="Bagmane"/>
        <s v="Flipkart"/>
        <s v="Phonepay"/>
        <s v="Tredence"/>
        <s v="ChargePoint"/>
        <s v="Modivcare"/>
        <s v="Capco"/>
        <s v="Consilio India Pvt. Ltd."/>
        <s v="Tesco"/>
        <s v="Joyride Games"/>
        <s v="HCCB"/>
        <s v="ITC Infotech"/>
        <s v="JLL"/>
        <s v="Vibgyor School"/>
        <s v="Lufthansa"/>
        <s v="Cisco"/>
        <s v="Genpact"/>
        <s v="Netapp"/>
        <s v="Rsab IT"/>
        <s v="Wells Fargo"/>
        <s v="Aira Trex Solutions"/>
        <s v="BinB Durga Puja Stall"/>
        <s v="PBCA Durga Puja Stall"/>
        <s v="Societe Generale"/>
        <s v="Whatfix"/>
        <s v="30squareindia"/>
        <s v="Crayon Software"/>
        <s v="Harman International"/>
        <s v="Achronix"/>
        <s v="EaseMyTrip"/>
        <s v="HCL"/>
        <s v="Siemens"/>
        <s v="Zee"/>
        <s v="Bengali in Bangalore (BinB) - Bannaghatta Road (Opp IIMB)"/>
        <s v="Bengali socio cultural trust (RT Nagar) - Palace Ground"/>
        <s v="Poorva Bangalore Cultural Association (PBCA, Brookefield)"/>
        <s v="Rayasandra-Gattahalli Bengali Cultural Forum (RGBCF) Kasanahalli"/>
        <s v="Socio Cultural Association (Indrianagar)"/>
        <s v="Infinity Box"/>
        <s v="Airtel"/>
        <s v="30 Square"/>
        <s v="JP Morgan"/>
        <s v="Titan"/>
        <s v="Micro Focus"/>
        <s v="Barracuda Networks"/>
        <s v="Sunlife"/>
        <s v="British Telecom"/>
        <s v="HireRight India"/>
        <s v="Mindlance"/>
        <s v="CriticaLog"/>
        <s v="Sarla Aviation"/>
        <s v="Dailyrounds (Gokhana)"/>
        <s v="BPL"/>
        <s v="BIEC"/>
        <s v="Infor"/>
        <s v="Magic Moments"/>
        <s v="Tavant"/>
        <s v="BakerHughes"/>
        <s v="Cowrks"/>
        <s v="EPIFI"/>
        <s v="HDFC Life"/>
        <s v="Rystad"/>
        <s v="SNEX Technologies"/>
        <s v="Blink Health"/>
        <s v="Etelkart"/>
        <s v="HDFC Bank"/>
        <s v="IBM"/>
        <s v="Yes Bank"/>
        <s v="Movate"/>
        <s v="Sharp Software"/>
        <s v="Dell Technologies"/>
        <s v="Isthara"/>
        <s v="Novozymes"/>
        <s v="QSC India"/>
        <s v="Qualcomm"/>
        <s v="NXP"/>
        <s v="Target"/>
        <s v="Google"/>
        <s v="Alcon"/>
        <s v="Medtronic"/>
        <s v="Pepsico"/>
        <s v="ExxonMobile"/>
        <s v="Britannia"/>
        <s v="Thermo Fisher"/>
        <s v="UST Global"/>
        <s v="Indkal Technology"/>
        <s v="MVJ Medical College"/>
        <s v="7 Eleven Global Solution Center - Compass"/>
        <s v="Sigma AVIT"/>
        <s v="UPS Express"/>
        <s v="CriticaLog India"/>
        <s v="Hindustan Thompson"/>
        <s v="Embitel Technologies"/>
        <s v="Daimler truck innovation center"/>
        <s v="Fidelity"/>
        <s v="Micron"/>
        <s v="Dailyrounds"/>
        <s v="7-Eleven Global Solution Center - Compass"/>
        <s v="Gokhana Corporate ODC (6 stalls)"/>
        <s v="Honeywell"/>
        <s v="Capgemini - Gokhana ODC"/>
        <s v="Nexteer Automation"/>
        <s v="Mydala"/>
        <s v="Iqvia"/>
        <s v="Comic Con"/>
        <s v="IIM Event - 30 Square"/>
        <s v="BorgWarner"/>
        <s v="Marlabs"/>
        <s v="Epicor Software"/>
        <s v="HPE"/>
        <s v="Conduent"/>
        <s v="Intel"/>
        <s v="Standard Chartered Bank"/>
        <s v="Applied Materials"/>
        <s v="Society General"/>
        <s v="ABB"/>
        <s v="ANZ"/>
        <s v="ACT Fibre"/>
        <s v="Khoros India"/>
        <s v="Bank of America"/>
        <s v="IntouchCX"/>
        <s v="30 Square Pet Fed"/>
        <s v="TIE - BIEC"/>
        <s v="Corporate Gifting"/>
        <s v="Moonfrog Labs"/>
        <s v="Perfetti Van Melle"/>
        <s v="Xmas Events"/>
        <s v="Facebook (Compass Infinite box)"/>
        <s v="Red FM"/>
        <s v="IMTEX - BIEC"/>
        <s v="Infosys"/>
        <s v="Stryker"/>
        <s v="Ansr Global"/>
        <s v="Ajanta Pharma"/>
        <s v="Netradyne"/>
        <s v="PSN Association"/>
        <s v="Equence Technologies"/>
        <s v="Freshwork"/>
        <s v=" Edureka"/>
        <s v="General Data"/>
        <s v="7 Eleven Global Solution Center"/>
        <s v="Natwest"/>
        <s v="Freshworks"/>
        <s v="PWC"/>
        <s v="NEN"/>
        <s v="Baxter"/>
        <s v="Flexera"/>
        <s v="JNC Masjid"/>
        <s v="RMZ"/>
        <s v="Capital Land"/>
        <s v="Honeywell Automation"/>
        <s v="Apparel Manufacturers of India"/>
        <s v="Stona"/>
        <s v="Acrex India"/>
        <s v="Invensis"/>
        <s v="Fitness Nutrition Sports India Expo"/>
        <s v="Amazon BLR13"/>
        <s v="Amazon BLR18"/>
        <s v="Amazon BLR22"/>
        <s v="Compass"/>
        <s v="24-7 Intouch India Pvt Ltd"/>
        <s v="Amazon WTC"/>
        <s v="Opentext"/>
        <s v="Kammanahalli Haleem Counter"/>
        <s v="Kormangala Haleem Counter"/>
        <s v="Frazer Town Haleem Counter"/>
        <s v="Shivajinagar Haleem Counter"/>
        <s v="3M India"/>
        <s v="SJR Plazza City Sarjapura - Society"/>
        <s v="Salesforce"/>
        <s v="DPS School"/>
        <s v="Capgemini B5"/>
        <s v="Morgan Stanley"/>
        <s v="Kukdukoo Fest"/>
        <s v="Equiniti India"/>
        <s v="JP Nagar Haleem Counter Sale"/>
        <s v="HAL Haleem Counter Sale"/>
        <s v="Forum South Mall Ramadan Food Festival"/>
        <s v="HPE - Gokhana"/>
        <s v="BMW"/>
        <s v="Sony India"/>
        <s v="Church Association"/>
        <s v="Dell R&amp;D"/>
        <s v="ITC Green Centre"/>
        <s v="Event"/>
        <s v="Plastica 2025 - BIEC"/>
        <s v="EY"/>
        <s v="Electronic"/>
        <s v="Deutsche Bank"/>
        <s v="Amazon BLR14 (Taurus 2)"/>
        <s v="Intel (SRR 4B)"/>
        <s v="Amazon BLR14 (Taurus 3)"/>
        <s v="Intel (SRR 4A)"/>
        <s v="Amazon BLR13 (Taurus 1)"/>
        <s v="Intel (SRR 2)"/>
        <s v="Intel (SRR 3A)"/>
        <s v="Intel (SRR 1)"/>
        <s v="TCS"/>
        <s v="DXC Technologies"/>
        <s v="Cognizant"/>
        <s v="Amazon BLR18 (Aquila)"/>
        <s v="Safe Ledger"/>
        <s v="Amazon BLR22 (Taurus 3)"/>
        <s v="Commvault"/>
        <s v="Intel (ECO 3)"/>
        <s v="Tech Mahindra"/>
        <s v="BHEL"/>
        <s v="AIG"/>
        <s v="Startek"/>
        <s v="Neha Kakkar Live concert - Red FM"/>
        <s v="Cignus"/>
        <s v="Zenith Hospitality"/>
        <s v="BottleLabs"/>
        <s v="Manhattan"/>
        <s v="Nvidia"/>
        <s v="Goodera"/>
        <s v="Sony"/>
        <s v="Micron (Hyd)"/>
        <s v="Wayfair Global"/>
        <s v="Concepts and Solution"/>
        <s v="Awfis"/>
        <s v="Hexagon Geosystems"/>
        <s v="Travellos Holidays Pvt Ltd"/>
        <s v="ServiceNow"/>
        <s v="Airbus"/>
        <s v="Capital Land (Gokhana)"/>
        <s v="Oracle Tech Hub  (Hungebox)"/>
        <s v="Deloitte Vista  (Hungebox)"/>
        <s v="Deloitte PTP (Hungebox)"/>
        <s v="Optum - Vijayawada"/>
        <s v="Accenture BDC 14-Tower A  (Hungebox)"/>
        <s v="Accenture BDC 14 (Tower B)  (Hungebox)"/>
        <s v="Allstate"/>
        <s v="Accenture Bang 10B 11th floor  (Hungebox)"/>
        <s v="Tesco  (Hungebox)"/>
        <s v="State Street 6B Ecoworld  (Hungebox)"/>
        <s v="Bosch"/>
        <s v="Razorpay"/>
        <s v="West Pharmaceutical"/>
        <s v="24/7 Services"/>
        <s v="Gift Expo (Pinnacle)"/>
        <s v="Electronica (Pinnacle)"/>
        <s v="Intel (SRR3)"/>
        <s v="Lowe's (Hungerbox)"/>
        <s v="Koch"/>
        <s v="BNP Paribas (Hungerbox)"/>
        <s v="Accenture BDC 14-Tower B  (Hungebox)"/>
        <s v="Accenture BDC 10  (Hungebox)"/>
        <s v="Intel (ECO 1)"/>
        <s v="ITC Infotech (Gokhana)"/>
        <s v="Capgemini DV B4 (Gokhana)"/>
        <s v="Capgemini DV A5 (Gokhana)"/>
        <s v="DP World"/>
        <s v="Meals &amp; More"/>
        <s v="Pinnacle"/>
        <s v="Soft Solution"/>
        <s v="DPS"/>
        <m/>
        <s v="Oracle Tech Hub  (Hungerox)" u="1"/>
        <s v="Deloitte Vista  (Hungerox)" u="1"/>
        <s v="Deloitte PTP (Hungerox)" u="1"/>
        <s v="Accenture BDC 14-Tower A  (Hungerox)" u="1"/>
        <s v="Accenture BDC 14 (Tower B)  (Hungerox)" u="1"/>
        <s v="Accenture Bang 10B 11th floor  (Hungerox)" u="1"/>
        <s v="Tesco  (Hungerox)" u="1"/>
        <s v="State Street 6B Ecoworld  (Hungerox)" u="1"/>
      </sharedItems>
    </cacheField>
    <cacheField name="Connect Status" numFmtId="0">
      <sharedItems containsBlank="1"/>
    </cacheField>
    <cacheField name="TYPE" numFmtId="0">
      <sharedItems containsBlank="1"/>
    </cacheField>
    <cacheField name="Industry" numFmtId="0">
      <sharedItems containsBlank="1" count="113">
        <s v="Engineering"/>
        <s v="Share Market"/>
        <s v="Financial Service"/>
        <s v="Aerospace manufacturers"/>
        <s v="Hospitality Service"/>
        <s v="Automobile"/>
        <s v="IT Consulting"/>
        <s v="IT Digital technologies"/>
        <s v="Financial Investment"/>
        <s v="IT Communication"/>
        <s v="IT Services"/>
        <s v="Investment Banking"/>
        <s v="Retail"/>
        <s v="IT Retail"/>
        <s v="Electronics"/>
        <s v="Manufacture"/>
        <s v="IT"/>
        <s v="Telecommunication"/>
        <s v="Infrastructure"/>
        <s v="E - Commerce"/>
        <s v="Media"/>
        <s v="Event Management"/>
        <s v="Pharma"/>
        <s v="Pharma - Manufacturing"/>
        <s v="Real-Estate"/>
        <s v="Energy and Petrochemical"/>
        <s v="Mining"/>
        <s v="E-Commerce"/>
        <s v="Financial services"/>
        <s v="Ev Automobile"/>
        <s v="Healthcare"/>
        <s v="Gaming"/>
        <s v="Beverage"/>
        <s v="Educational"/>
        <s v="Aviation"/>
        <s v="Industrial Manufacturers"/>
        <s v="Durga Puja"/>
        <s v="Semiconductor"/>
        <s v="Travel &amp; Tourism"/>
        <s v="Lifestyle"/>
        <s v="Retail Trade"/>
        <s v="Background screening"/>
        <s v="Logistics"/>
        <s v="Exibitions"/>
        <s v="Energy and technology"/>
        <s v="Co-working space"/>
        <s v="Insurance"/>
        <s v="Energy research"/>
        <s v="Banking"/>
        <s v="Biotechnology"/>
        <s v="Telecoms equipments Semiconductors"/>
        <s v="Semiconductors"/>
        <s v="Retail Corporation"/>
        <s v="Pharmaceutical"/>
        <s v="Oil &amp; Gas"/>
        <s v="FMCG"/>
        <s v="College"/>
        <s v="Audio-Visual"/>
        <s v="Financial"/>
        <s v="IT Engineering"/>
        <s v="Automotive"/>
        <s v="life sciences"/>
        <s v="Business services"/>
        <s v="Electrical Equipments"/>
        <s v="Broadband"/>
        <s v="Edu-Fintech"/>
        <s v="BPO"/>
        <s v="Events"/>
        <s v="Gifting"/>
        <s v="Ed-FinTech"/>
        <s v="Confectionery"/>
        <s v="social Media"/>
        <s v="Medical"/>
        <s v="Consulting"/>
        <s v="Society"/>
        <s v="E-Learning"/>
        <s v="Haleem"/>
        <s v="Ecom"/>
        <s v="Consumer"/>
        <s v="IT Finance"/>
        <s v="EV"/>
        <s v="Aggregator"/>
        <s v="Manufacturing"/>
        <s v="Fin Tech"/>
        <s v="Event"/>
        <s v="Logistic"/>
        <s v="Corporate Service"/>
        <s v="Corporate"/>
        <m/>
        <s v="Tourism" u="1"/>
        <s v="Railway" u="1"/>
        <s v="Education" u="1"/>
        <s v="Transport" u="1"/>
        <s v="ITES" u="1"/>
        <s v="Entertainment" u="1"/>
        <s v="Community" u="1"/>
        <s v="Family Group" u="1"/>
        <s v="Sports" u="1"/>
        <s v="Hotel" u="1"/>
        <s v="NGO" u="1"/>
        <s v="Real Estate" u="1"/>
        <s v="Distributers" u="1"/>
        <s v="F&amp;B" u="1"/>
        <s v="Agritech" u="1"/>
        <s v="Indian Post" u="1"/>
        <s v="Banking Finance &amp; Insurance" u="1"/>
        <s v="Aerospace" u="1"/>
        <s v="Defence &amp; Aerospace" u="1"/>
        <s v="Defence" u="1"/>
        <s v="Realestate" u="1"/>
        <s v="Finance" u="1"/>
        <s v="Media &amp; TV" u="1"/>
        <s v="Orphanage NGO" u="1"/>
      </sharedItems>
    </cacheField>
    <cacheField name="Spoc Name" numFmtId="0">
      <sharedItems containsBlank="1"/>
    </cacheField>
    <cacheField name="Conversation" numFmtId="0">
      <sharedItems containsBlank="1"/>
    </cacheField>
    <cacheField name="Expected Business" numFmtId="0">
      <sharedItems containsString="0" containsBlank="1" containsNumber="1" containsInteger="1" minValue="740" maxValue="750000"/>
    </cacheField>
    <cacheField name="Actual Closed Business" numFmtId="0">
      <sharedItems containsString="0" containsBlank="1" containsNumber="1" containsInteger="1" minValue="740" maxValue="750000"/>
    </cacheField>
    <cacheField name="Expected Business Month" numFmtId="0">
      <sharedItems containsNonDate="0" containsDate="1" containsString="0" containsBlank="1" minDate="2024-09-01T00:00:00" maxDate="2025-11-02T00:00:00"/>
    </cacheField>
    <cacheField name="Region" numFmtId="0">
      <sharedItems containsBlank="1" count="7">
        <s v="Bangalore"/>
        <s v="Hyderabad"/>
        <s v="Chennai"/>
        <s v="Gurgaon"/>
        <s v="Vijaywada"/>
        <s v="Vizag"/>
        <m/>
      </sharedItems>
    </cacheField>
    <cacheField name="Status" numFmtId="0">
      <sharedItems containsBlank="1" count="20">
        <s v="Introduction(C0)"/>
        <s v="Follow-up(C1)"/>
        <s v="Cancelled"/>
        <s v="Confirmed(C3)"/>
        <s v="Closed(C4)"/>
        <m/>
        <s v="Negotiation(C2)"/>
        <s v="Closed(C5)" u="1"/>
        <s v="Confirmed(C4)" u="1"/>
        <s v="Negotiation(C3)" u="1"/>
        <s v="Introduction" u="1"/>
        <s v="Follow-up" u="1"/>
        <s v="Closed" u="1"/>
        <s v="Confirmed" u="1"/>
        <s v="Negotiation" u="1"/>
        <s v="Under Discussion" u="1"/>
        <s v="Casncelled" u="1"/>
        <s v="Not Interested" u="1"/>
        <s v="Hyderabad" u="1"/>
        <s v="Bangalore" u="1"/>
      </sharedItems>
    </cacheField>
    <cacheField name="Lead Status" numFmtId="0">
      <sharedItems containsBlank="1"/>
    </cacheField>
    <cacheField name="Reason" numFmtId="0">
      <sharedItems containsBlank="1"/>
    </cacheField>
    <cacheField name="Expected sales of Haleem" numFmtId="0">
      <sharedItems containsBlank="1"/>
    </cacheField>
    <cacheField name="Actual Business" numFmtId="0">
      <sharedItems containsBlank="1" containsMixedTypes="1" containsNumber="1" containsInteger="1" minValue="3150" maxValue="83080"/>
    </cacheField>
    <cacheField name="Punched Date" numFmtId="0">
      <sharedItems containsNonDate="0" containsString="0" containsBlank="1"/>
    </cacheField>
    <cacheField name="1st meeting Date" numFmtId="0">
      <sharedItems containsNonDate="0" containsString="0" containsBlank="1"/>
    </cacheField>
    <cacheField name="Month" numFmtId="0">
      <sharedItems containsBlank="1" count="17">
        <s v="Aug-24"/>
        <s v="Sep-24"/>
        <s v="Oct-24"/>
        <s v="Nov-24"/>
        <s v="Dec-24"/>
        <s v="Jan-25"/>
        <s v="Feb-25"/>
        <s v="Mar-25"/>
        <s v="Apr-25"/>
        <s v="May-25"/>
        <s v="Jun-25"/>
        <s v="Jul-25"/>
        <s v="Aug-25"/>
        <s v="Sep-25"/>
        <s v="Oct-25"/>
        <m/>
        <s v="Jan-00" u="1"/>
      </sharedItems>
    </cacheField>
    <cacheField name="Week" numFmtId="0">
      <sharedItems containsString="0" containsBlank="1" containsNumber="1" containsInteger="1" minValue="1" maxValue="52"/>
    </cacheField>
    <cacheField name="Year" numFmtId="0">
      <sharedItems containsBlank="1" count="3">
        <s v="2024"/>
        <s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7">
  <r>
    <d v="2024-08-30T00:00:00"/>
    <x v="0"/>
    <s v="F2F"/>
    <s v="Corporate"/>
    <x v="0"/>
    <s v="Dilip"/>
    <s v="Proposal discussion about catering, bulk booking, Wallet purchase."/>
    <m/>
    <m/>
    <d v="2024-09-01T00:00:00"/>
    <x v="0"/>
    <x v="0"/>
    <s v="Warm"/>
    <m/>
    <m/>
    <m/>
    <m/>
    <m/>
    <x v="0"/>
    <n v="35"/>
    <x v="0"/>
  </r>
  <r>
    <d v="2024-09-02T00:00:00"/>
    <x v="1"/>
    <s v="F2F"/>
    <s v="Corporate"/>
    <x v="1"/>
    <s v="Jeethan"/>
    <s v="Proposal discussion about catering, bulk booking, Wallet purchase."/>
    <m/>
    <m/>
    <d v="2024-09-01T00:00:00"/>
    <x v="0"/>
    <x v="0"/>
    <s v="Warm"/>
    <m/>
    <m/>
    <m/>
    <m/>
    <m/>
    <x v="1"/>
    <n v="36"/>
    <x v="0"/>
  </r>
  <r>
    <d v="2024-09-02T00:00:00"/>
    <x v="2"/>
    <s v="Call"/>
    <s v="Corporate"/>
    <x v="2"/>
    <s v="Ramesh"/>
    <s v="Proposal discussion about catering, bulk booking, Wallet purchase."/>
    <m/>
    <m/>
    <d v="2024-09-01T00:00:00"/>
    <x v="0"/>
    <x v="1"/>
    <s v="Warm"/>
    <m/>
    <m/>
    <m/>
    <m/>
    <m/>
    <x v="1"/>
    <n v="36"/>
    <x v="0"/>
  </r>
  <r>
    <d v="2024-09-03T00:00:00"/>
    <x v="3"/>
    <s v="F2F"/>
    <s v="Corporate"/>
    <x v="3"/>
    <s v="Manish"/>
    <s v="Proposed for Corporate events, Bulk Orders and Pop-up counters"/>
    <m/>
    <m/>
    <d v="2024-12-01T00:00:00"/>
    <x v="0"/>
    <x v="0"/>
    <s v="Warm"/>
    <m/>
    <m/>
    <m/>
    <m/>
    <m/>
    <x v="1"/>
    <n v="36"/>
    <x v="0"/>
  </r>
  <r>
    <d v="2024-09-03T00:00:00"/>
    <x v="4"/>
    <s v="F2F"/>
    <s v="Aggregator"/>
    <x v="4"/>
    <s v="Taranjot"/>
    <s v="Proposed for Corporate events, Bulk Orders and Pop-up counters"/>
    <m/>
    <m/>
    <d v="2024-11-01T00:00:00"/>
    <x v="0"/>
    <x v="0"/>
    <s v="Warm"/>
    <m/>
    <m/>
    <m/>
    <m/>
    <m/>
    <x v="1"/>
    <n v="36"/>
    <x v="0"/>
  </r>
  <r>
    <d v="2024-09-03T00:00:00"/>
    <x v="5"/>
    <s v="Call"/>
    <s v="Aggregator"/>
    <x v="4"/>
    <s v="Helal"/>
    <s v="Proposed for Corporate events, Bulk Orders and Pop-up counters"/>
    <m/>
    <m/>
    <d v="2024-09-01T00:00:00"/>
    <x v="1"/>
    <x v="0"/>
    <s v="Hot"/>
    <m/>
    <m/>
    <m/>
    <m/>
    <m/>
    <x v="1"/>
    <n v="36"/>
    <x v="0"/>
  </r>
  <r>
    <d v="2024-09-04T00:00:00"/>
    <x v="6"/>
    <s v="F2F"/>
    <s v="Aggregator"/>
    <x v="4"/>
    <s v="Joseph"/>
    <s v="Proposed for Corporate events, Bulk Orders and Pop-up counters"/>
    <m/>
    <m/>
    <d v="2024-11-01T00:00:00"/>
    <x v="0"/>
    <x v="0"/>
    <s v="Warm"/>
    <m/>
    <m/>
    <m/>
    <m/>
    <m/>
    <x v="1"/>
    <n v="36"/>
    <x v="0"/>
  </r>
  <r>
    <d v="2024-09-04T00:00:00"/>
    <x v="7"/>
    <s v="F2F"/>
    <s v="Corporate"/>
    <x v="2"/>
    <s v="Margaret"/>
    <s v="Proposed for Corporate events, Bulk Orders"/>
    <m/>
    <m/>
    <d v="2024-11-01T00:00:00"/>
    <x v="0"/>
    <x v="0"/>
    <s v="Warm"/>
    <m/>
    <m/>
    <m/>
    <m/>
    <m/>
    <x v="1"/>
    <n v="36"/>
    <x v="0"/>
  </r>
  <r>
    <d v="2024-09-04T00:00:00"/>
    <x v="8"/>
    <s v="F2F"/>
    <s v="Corporate"/>
    <x v="5"/>
    <s v="Saumya"/>
    <s v="Proposed for Corporate events, Bulk Orders"/>
    <m/>
    <m/>
    <d v="2024-09-01T00:00:00"/>
    <x v="0"/>
    <x v="0"/>
    <s v="Warm"/>
    <m/>
    <m/>
    <m/>
    <m/>
    <m/>
    <x v="1"/>
    <n v="36"/>
    <x v="0"/>
  </r>
  <r>
    <d v="2024-09-05T00:00:00"/>
    <x v="9"/>
    <s v="F2F"/>
    <s v="Corporate"/>
    <x v="6"/>
    <s v="Arul"/>
    <s v="Proposed for Corporate events, Bulk Orders"/>
    <m/>
    <m/>
    <d v="2024-12-01T00:00:00"/>
    <x v="0"/>
    <x v="0"/>
    <s v="Warm"/>
    <m/>
    <m/>
    <m/>
    <m/>
    <m/>
    <x v="1"/>
    <n v="36"/>
    <x v="0"/>
  </r>
  <r>
    <d v="2024-09-05T00:00:00"/>
    <x v="10"/>
    <s v="F2F"/>
    <s v="Corporate"/>
    <x v="2"/>
    <s v="Raymond"/>
    <s v="Proposal discussion about catering, bulk booking, Wallet purchase."/>
    <m/>
    <m/>
    <d v="2024-09-01T00:00:00"/>
    <x v="0"/>
    <x v="0"/>
    <s v="Warm"/>
    <m/>
    <m/>
    <m/>
    <m/>
    <m/>
    <x v="1"/>
    <n v="36"/>
    <x v="0"/>
  </r>
  <r>
    <d v="2024-09-05T00:00:00"/>
    <x v="11"/>
    <s v="F2F"/>
    <s v="Corporate"/>
    <x v="2"/>
    <s v="Rajshekar"/>
    <s v="Proposed for Corporate events, Bulk Orders"/>
    <m/>
    <m/>
    <d v="2024-09-01T00:00:00"/>
    <x v="0"/>
    <x v="0"/>
    <s v="Warm"/>
    <m/>
    <m/>
    <m/>
    <m/>
    <m/>
    <x v="1"/>
    <n v="36"/>
    <x v="0"/>
  </r>
  <r>
    <d v="2024-09-06T00:00:00"/>
    <x v="12"/>
    <s v="F2F"/>
    <s v="Corporate"/>
    <x v="7"/>
    <s v="Pradeep"/>
    <s v="Proposed for Corporate events, Bulk Orders"/>
    <m/>
    <m/>
    <d v="2024-09-01T00:00:00"/>
    <x v="0"/>
    <x v="0"/>
    <s v="Warm"/>
    <m/>
    <m/>
    <m/>
    <m/>
    <m/>
    <x v="1"/>
    <n v="36"/>
    <x v="0"/>
  </r>
  <r>
    <d v="2024-09-06T00:00:00"/>
    <x v="13"/>
    <s v="F2F"/>
    <s v="Corporate"/>
    <x v="8"/>
    <s v="Amresh"/>
    <s v="Proposed for Corporate events, Bulk Orders"/>
    <m/>
    <m/>
    <d v="2024-09-01T00:00:00"/>
    <x v="0"/>
    <x v="0"/>
    <s v="Warm"/>
    <m/>
    <m/>
    <m/>
    <m/>
    <m/>
    <x v="1"/>
    <n v="36"/>
    <x v="0"/>
  </r>
  <r>
    <d v="2024-09-06T00:00:00"/>
    <x v="14"/>
    <s v="F2F"/>
    <s v="Corporate"/>
    <x v="9"/>
    <s v="Pradeep"/>
    <s v="Proposed for Corporate events, Bulk Orders"/>
    <m/>
    <m/>
    <d v="2024-09-01T00:00:00"/>
    <x v="0"/>
    <x v="0"/>
    <s v="Warm"/>
    <m/>
    <m/>
    <m/>
    <m/>
    <m/>
    <x v="1"/>
    <n v="36"/>
    <x v="0"/>
  </r>
  <r>
    <d v="2024-09-09T00:00:00"/>
    <x v="15"/>
    <s v="F2F"/>
    <s v="Corporate"/>
    <x v="8"/>
    <s v="Shripathi"/>
    <s v="Proposed for Corporate events, Bulk Orders"/>
    <m/>
    <m/>
    <d v="2024-11-01T00:00:00"/>
    <x v="0"/>
    <x v="0"/>
    <s v="Warm"/>
    <m/>
    <m/>
    <m/>
    <m/>
    <m/>
    <x v="1"/>
    <n v="37"/>
    <x v="0"/>
  </r>
  <r>
    <d v="2024-09-09T00:00:00"/>
    <x v="16"/>
    <s v="F2F"/>
    <s v="Corporate"/>
    <x v="9"/>
    <s v="Santosh"/>
    <s v="Proposed for Corporate events, Bulk Orders"/>
    <m/>
    <m/>
    <d v="2024-11-01T00:00:00"/>
    <x v="0"/>
    <x v="0"/>
    <s v="Warm"/>
    <m/>
    <m/>
    <m/>
    <m/>
    <m/>
    <x v="1"/>
    <n v="37"/>
    <x v="0"/>
  </r>
  <r>
    <d v="2024-09-09T00:00:00"/>
    <x v="17"/>
    <s v="F2F"/>
    <s v="Corporate"/>
    <x v="2"/>
    <s v="Guruprasad"/>
    <s v="Sampling Done, working on a bulk order."/>
    <n v="27000"/>
    <n v="27000"/>
    <d v="2024-09-01T00:00:00"/>
    <x v="0"/>
    <x v="2"/>
    <s v="Hot"/>
    <m/>
    <m/>
    <m/>
    <m/>
    <m/>
    <x v="1"/>
    <n v="37"/>
    <x v="0"/>
  </r>
  <r>
    <d v="2024-09-10T00:00:00"/>
    <x v="18"/>
    <s v="F2F"/>
    <s v="Corporate"/>
    <x v="10"/>
    <s v="Purushottam"/>
    <s v="Proposed for Corporate events, Bulk Orders"/>
    <m/>
    <m/>
    <d v="2024-12-01T00:00:00"/>
    <x v="0"/>
    <x v="0"/>
    <s v="Warm"/>
    <m/>
    <m/>
    <m/>
    <m/>
    <m/>
    <x v="1"/>
    <n v="37"/>
    <x v="0"/>
  </r>
  <r>
    <d v="2024-09-10T00:00:00"/>
    <x v="19"/>
    <s v="F2F"/>
    <s v="Aggregator"/>
    <x v="4"/>
    <s v="Monika"/>
    <s v="Proposed for Corporate events, Bulk Orders"/>
    <m/>
    <m/>
    <d v="2024-11-01T00:00:00"/>
    <x v="0"/>
    <x v="0"/>
    <s v="Warm"/>
    <m/>
    <m/>
    <m/>
    <m/>
    <m/>
    <x v="1"/>
    <n v="37"/>
    <x v="0"/>
  </r>
  <r>
    <d v="2024-09-10T00:00:00"/>
    <x v="20"/>
    <s v="F2F"/>
    <s v="Corporate"/>
    <x v="11"/>
    <s v="Gautam"/>
    <s v="Proposed for Corporate events, Bulk Orders"/>
    <m/>
    <m/>
    <d v="2024-09-01T00:00:00"/>
    <x v="0"/>
    <x v="0"/>
    <s v="Warm"/>
    <m/>
    <m/>
    <m/>
    <m/>
    <m/>
    <x v="1"/>
    <n v="37"/>
    <x v="0"/>
  </r>
  <r>
    <d v="2024-09-10T00:00:00"/>
    <x v="21"/>
    <s v="F2F"/>
    <s v="Corporate"/>
    <x v="12"/>
    <s v="Abhishek"/>
    <s v="Proposed for Corporate events, Bulk Orders"/>
    <m/>
    <m/>
    <d v="2024-09-01T00:00:00"/>
    <x v="0"/>
    <x v="0"/>
    <s v="Warm"/>
    <m/>
    <m/>
    <m/>
    <m/>
    <m/>
    <x v="1"/>
    <n v="37"/>
    <x v="0"/>
  </r>
  <r>
    <d v="2024-09-11T00:00:00"/>
    <x v="17"/>
    <s v="F2F"/>
    <s v="Corporate"/>
    <x v="2"/>
    <s v="Santhosh"/>
    <s v="Proposed for Corporate events, Bulk Orders"/>
    <m/>
    <m/>
    <d v="2024-09-01T00:00:00"/>
    <x v="0"/>
    <x v="2"/>
    <s v="Hot"/>
    <m/>
    <m/>
    <m/>
    <m/>
    <m/>
    <x v="1"/>
    <n v="37"/>
    <x v="0"/>
  </r>
  <r>
    <d v="2024-09-11T00:00:00"/>
    <x v="22"/>
    <s v="F2F"/>
    <s v="Corporate"/>
    <x v="13"/>
    <s v="Sudhakar"/>
    <s v="Proposed for Corporate events, Bulk Orders"/>
    <m/>
    <m/>
    <d v="2024-09-01T00:00:00"/>
    <x v="0"/>
    <x v="0"/>
    <s v="Warm"/>
    <m/>
    <m/>
    <m/>
    <m/>
    <m/>
    <x v="1"/>
    <n v="37"/>
    <x v="0"/>
  </r>
  <r>
    <d v="2024-09-12T00:00:00"/>
    <x v="23"/>
    <s v="F2F"/>
    <s v="Corporate"/>
    <x v="10"/>
    <s v="Priya"/>
    <s v="Proposed for Corporate events, Bulk Orders"/>
    <m/>
    <m/>
    <d v="2024-12-01T00:00:00"/>
    <x v="0"/>
    <x v="0"/>
    <s v="Warm"/>
    <m/>
    <m/>
    <m/>
    <m/>
    <m/>
    <x v="1"/>
    <n v="37"/>
    <x v="0"/>
  </r>
  <r>
    <d v="2024-09-12T00:00:00"/>
    <x v="24"/>
    <s v="F2F"/>
    <s v="Corporate"/>
    <x v="10"/>
    <s v="Abhijeet"/>
    <s v="Proposed for Corporate events, Bulk Orders"/>
    <m/>
    <m/>
    <d v="2024-09-01T00:00:00"/>
    <x v="0"/>
    <x v="0"/>
    <s v="Warm"/>
    <m/>
    <m/>
    <m/>
    <m/>
    <m/>
    <x v="1"/>
    <n v="37"/>
    <x v="0"/>
  </r>
  <r>
    <d v="2024-09-13T00:00:00"/>
    <x v="25"/>
    <s v="F2F"/>
    <s v="Corporate"/>
    <x v="14"/>
    <s v="Shrikrishan"/>
    <s v="Proposed for Corporate events, Bulk Orders"/>
    <m/>
    <m/>
    <d v="2024-10-01T00:00:00"/>
    <x v="0"/>
    <x v="0"/>
    <s v="Warm"/>
    <m/>
    <m/>
    <m/>
    <m/>
    <m/>
    <x v="1"/>
    <n v="37"/>
    <x v="0"/>
  </r>
  <r>
    <d v="2024-09-13T00:00:00"/>
    <x v="26"/>
    <s v="F2F"/>
    <s v="Corporate"/>
    <x v="15"/>
    <s v="Bharath"/>
    <s v="Proposed for Corporate events, Bulk Orders"/>
    <m/>
    <m/>
    <d v="2024-10-01T00:00:00"/>
    <x v="0"/>
    <x v="0"/>
    <s v="Cancelled"/>
    <m/>
    <m/>
    <m/>
    <m/>
    <m/>
    <x v="1"/>
    <n v="37"/>
    <x v="0"/>
  </r>
  <r>
    <d v="2024-09-13T00:00:00"/>
    <x v="27"/>
    <s v="F2F"/>
    <s v="Corporate"/>
    <x v="2"/>
    <s v="Rishabh"/>
    <s v="Proposed for Corporate events, Bulk Orders"/>
    <m/>
    <m/>
    <d v="2024-09-01T00:00:00"/>
    <x v="0"/>
    <x v="0"/>
    <s v="Warm"/>
    <m/>
    <m/>
    <m/>
    <m/>
    <m/>
    <x v="1"/>
    <n v="37"/>
    <x v="0"/>
  </r>
  <r>
    <d v="2024-09-16T00:00:00"/>
    <x v="28"/>
    <s v="Call"/>
    <s v="Corporate"/>
    <x v="2"/>
    <s v="Nandan"/>
    <s v="Proposed for Corporate events, Bulk Orders"/>
    <m/>
    <m/>
    <d v="2024-11-01T00:00:00"/>
    <x v="0"/>
    <x v="0"/>
    <s v="Warm"/>
    <m/>
    <m/>
    <m/>
    <m/>
    <m/>
    <x v="1"/>
    <n v="38"/>
    <x v="0"/>
  </r>
  <r>
    <d v="2024-09-16T00:00:00"/>
    <x v="29"/>
    <s v="Call"/>
    <s v="Corporate"/>
    <x v="10"/>
    <s v="Kiran"/>
    <s v="Proposed for Corporate events, Bulk Orders"/>
    <m/>
    <m/>
    <d v="2024-11-01T00:00:00"/>
    <x v="0"/>
    <x v="0"/>
    <s v="Warm"/>
    <m/>
    <m/>
    <m/>
    <m/>
    <m/>
    <x v="1"/>
    <n v="38"/>
    <x v="0"/>
  </r>
  <r>
    <d v="2024-09-16T00:00:00"/>
    <x v="30"/>
    <s v="Call"/>
    <s v="Corporate"/>
    <x v="16"/>
    <s v="Swathi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16T00:00:00"/>
    <x v="31"/>
    <s v="Call"/>
    <s v="Corporate"/>
    <x v="17"/>
    <s v="Vinodh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16T00:00:00"/>
    <x v="32"/>
    <s v="Call"/>
    <s v="Corporate"/>
    <x v="18"/>
    <s v="Nisha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16T00:00:00"/>
    <x v="33"/>
    <s v="Call"/>
    <s v="Corporate"/>
    <x v="5"/>
    <s v="Shreyas"/>
    <s v="Proposed for Corporate events, Bulk Orders"/>
    <m/>
    <m/>
    <d v="2025-04-01T00:00:00"/>
    <x v="0"/>
    <x v="1"/>
    <s v="Warm"/>
    <m/>
    <m/>
    <m/>
    <m/>
    <m/>
    <x v="1"/>
    <n v="38"/>
    <x v="1"/>
  </r>
  <r>
    <d v="2024-09-16T00:00:00"/>
    <x v="34"/>
    <s v="F2F"/>
    <s v="Corporate"/>
    <x v="19"/>
    <s v="Raghav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16T00:00:00"/>
    <x v="35"/>
    <s v="F2F"/>
    <s v="Corporate"/>
    <x v="16"/>
    <s v="Mahesh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17T00:00:00"/>
    <x v="36"/>
    <s v="Call"/>
    <s v="Corporate"/>
    <x v="20"/>
    <s v="Syed"/>
    <s v="Proposed for Corporate events, Bulk Orders"/>
    <m/>
    <m/>
    <d v="2025-04-01T00:00:00"/>
    <x v="0"/>
    <x v="1"/>
    <s v="Warm"/>
    <m/>
    <m/>
    <m/>
    <m/>
    <m/>
    <x v="1"/>
    <n v="38"/>
    <x v="1"/>
  </r>
  <r>
    <d v="2024-09-17T00:00:00"/>
    <x v="37"/>
    <s v="Call"/>
    <s v="Event Management"/>
    <x v="21"/>
    <s v="Balamurgan"/>
    <s v="Proposed for Corporate events, Bulk Orders"/>
    <m/>
    <m/>
    <d v="2025-04-01T00:00:00"/>
    <x v="0"/>
    <x v="1"/>
    <s v="Warm"/>
    <m/>
    <m/>
    <m/>
    <m/>
    <m/>
    <x v="1"/>
    <n v="38"/>
    <x v="1"/>
  </r>
  <r>
    <d v="2024-09-17T00:00:00"/>
    <x v="38"/>
    <s v="F2F"/>
    <s v="Event Management"/>
    <x v="21"/>
    <s v="Gopal"/>
    <s v="Proposed for partnering as food vendor at exibitions"/>
    <m/>
    <m/>
    <d v="2024-10-01T00:00:00"/>
    <x v="0"/>
    <x v="0"/>
    <s v="Warm"/>
    <m/>
    <m/>
    <m/>
    <m/>
    <m/>
    <x v="1"/>
    <n v="38"/>
    <x v="0"/>
  </r>
  <r>
    <d v="2024-09-17T00:00:00"/>
    <x v="39"/>
    <s v="F2F"/>
    <s v="Event Management"/>
    <x v="21"/>
    <s v="Menon"/>
    <s v="Proposed for partnering as food vendor at exibitions"/>
    <m/>
    <m/>
    <d v="2024-10-01T00:00:00"/>
    <x v="0"/>
    <x v="0"/>
    <s v="Warm"/>
    <m/>
    <m/>
    <m/>
    <m/>
    <m/>
    <x v="1"/>
    <n v="38"/>
    <x v="0"/>
  </r>
  <r>
    <d v="2024-09-18T00:00:00"/>
    <x v="6"/>
    <s v="Call"/>
    <s v="Aggregator"/>
    <x v="4"/>
    <s v="Rahul"/>
    <s v="Possible opportunity for the corporate counters and bulk orders."/>
    <m/>
    <m/>
    <d v="2024-11-01T00:00:00"/>
    <x v="0"/>
    <x v="1"/>
    <s v="Warm"/>
    <m/>
    <m/>
    <m/>
    <m/>
    <m/>
    <x v="1"/>
    <n v="38"/>
    <x v="0"/>
  </r>
  <r>
    <d v="2024-09-18T00:00:00"/>
    <x v="4"/>
    <s v="F2F"/>
    <s v="Aggregator"/>
    <x v="4"/>
    <s v="Taranjot"/>
    <s v="Possible opportunity for the corporate counters and bulk orders."/>
    <m/>
    <m/>
    <d v="2024-11-01T00:00:00"/>
    <x v="0"/>
    <x v="1"/>
    <s v="Warm"/>
    <m/>
    <m/>
    <m/>
    <m/>
    <m/>
    <x v="1"/>
    <n v="38"/>
    <x v="0"/>
  </r>
  <r>
    <d v="2024-09-18T00:00:00"/>
    <x v="40"/>
    <s v="Call"/>
    <s v="Event Management"/>
    <x v="4"/>
    <s v="Anthony"/>
    <s v="Proposed for partnering as food vendor at Events &amp; exibitions"/>
    <m/>
    <m/>
    <d v="2024-10-01T00:00:00"/>
    <x v="0"/>
    <x v="0"/>
    <s v="Warm"/>
    <m/>
    <m/>
    <m/>
    <m/>
    <m/>
    <x v="1"/>
    <n v="38"/>
    <x v="0"/>
  </r>
  <r>
    <d v="2024-09-18T00:00:00"/>
    <x v="25"/>
    <s v="Call"/>
    <s v="Corporate"/>
    <x v="14"/>
    <s v="Shrikrishan"/>
    <s v="Received a requirement for 47 pax, working on the same for closure."/>
    <m/>
    <m/>
    <d v="2024-09-01T00:00:00"/>
    <x v="0"/>
    <x v="2"/>
    <s v="Hot"/>
    <m/>
    <m/>
    <m/>
    <m/>
    <m/>
    <x v="1"/>
    <n v="38"/>
    <x v="0"/>
  </r>
  <r>
    <d v="2024-09-19T00:00:00"/>
    <x v="1"/>
    <s v="F2F"/>
    <s v="Corporate"/>
    <x v="1"/>
    <s v="Jeethan"/>
    <s v="Joint call with Ayush and Rajeesh ji, assessed all possible services."/>
    <m/>
    <m/>
    <d v="2024-11-01T00:00:00"/>
    <x v="0"/>
    <x v="1"/>
    <s v="Warm"/>
    <m/>
    <m/>
    <m/>
    <m/>
    <m/>
    <x v="1"/>
    <n v="38"/>
    <x v="0"/>
  </r>
  <r>
    <d v="2024-09-19T00:00:00"/>
    <x v="41"/>
    <s v="Call"/>
    <s v="Corporate"/>
    <x v="6"/>
    <s v="Leema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19T00:00:00"/>
    <x v="42"/>
    <s v="Call"/>
    <s v="Corporate"/>
    <x v="22"/>
    <s v="Naveen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19T00:00:00"/>
    <x v="43"/>
    <s v="Call"/>
    <s v="Corporate"/>
    <x v="10"/>
    <s v="Geetanjali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20T00:00:00"/>
    <x v="18"/>
    <s v="F2F"/>
    <s v="Corporate"/>
    <x v="10"/>
    <s v="Purushottam"/>
    <s v="Follow-up, for Events and Bulk Order."/>
    <m/>
    <m/>
    <d v="2024-12-01T00:00:00"/>
    <x v="0"/>
    <x v="1"/>
    <s v="Warm"/>
    <m/>
    <m/>
    <m/>
    <m/>
    <m/>
    <x v="1"/>
    <n v="38"/>
    <x v="0"/>
  </r>
  <r>
    <d v="2024-09-20T00:00:00"/>
    <x v="44"/>
    <s v="Call"/>
    <s v="Corporate"/>
    <x v="23"/>
    <s v="Prakash"/>
    <s v="Proposed for Corporate events, Bulk Orders"/>
    <m/>
    <m/>
    <d v="2025-04-01T00:00:00"/>
    <x v="0"/>
    <x v="1"/>
    <s v="Warm"/>
    <m/>
    <m/>
    <m/>
    <m/>
    <m/>
    <x v="1"/>
    <n v="38"/>
    <x v="1"/>
  </r>
  <r>
    <d v="2024-09-20T00:00:00"/>
    <x v="45"/>
    <s v="Call"/>
    <s v="Real-Estate"/>
    <x v="24"/>
    <s v="Aftab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20T00:00:00"/>
    <x v="46"/>
    <s v="F2F"/>
    <s v="Corporate"/>
    <x v="25"/>
    <s v="Shourya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20T00:00:00"/>
    <x v="47"/>
    <s v="Call"/>
    <s v="Real-Estate"/>
    <x v="24"/>
    <s v="Ramesh"/>
    <s v="Proposed for Corporate events, Bulk Orders"/>
    <m/>
    <m/>
    <d v="2024-10-01T00:00:00"/>
    <x v="0"/>
    <x v="0"/>
    <s v="Warm"/>
    <m/>
    <m/>
    <m/>
    <m/>
    <m/>
    <x v="1"/>
    <n v="38"/>
    <x v="0"/>
  </r>
  <r>
    <d v="2024-09-23T00:00:00"/>
    <x v="5"/>
    <s v="F2F"/>
    <s v="Aggregator"/>
    <x v="4"/>
    <s v="Manish"/>
    <s v="Proposed for Corporate events, Bulk Orders and Pop-up counters"/>
    <m/>
    <m/>
    <d v="2024-10-01T00:00:00"/>
    <x v="0"/>
    <x v="0"/>
    <s v="Warm"/>
    <m/>
    <m/>
    <m/>
    <m/>
    <m/>
    <x v="1"/>
    <n v="39"/>
    <x v="0"/>
  </r>
  <r>
    <d v="2024-09-23T00:00:00"/>
    <x v="48"/>
    <s v="Call"/>
    <s v="Corporate"/>
    <x v="26"/>
    <s v="Noel Prathik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3T00:00:00"/>
    <x v="49"/>
    <s v="F2F"/>
    <s v="Corporate"/>
    <x v="9"/>
    <s v="Rajesh"/>
    <s v="Proposed for Corporate events, Bulk Orders and Pop-up counters"/>
    <m/>
    <m/>
    <d v="2024-10-01T00:00:00"/>
    <x v="0"/>
    <x v="0"/>
    <s v="Warm"/>
    <m/>
    <m/>
    <m/>
    <m/>
    <m/>
    <x v="1"/>
    <n v="39"/>
    <x v="0"/>
  </r>
  <r>
    <d v="2024-09-24T00:00:00"/>
    <x v="50"/>
    <s v="F2F"/>
    <s v="Corporate"/>
    <x v="10"/>
    <s v="Pankaj"/>
    <s v="Discussed on the possible incremental business from Nov'24."/>
    <m/>
    <m/>
    <d v="2024-11-01T00:00:00"/>
    <x v="0"/>
    <x v="1"/>
    <s v="Warm"/>
    <m/>
    <m/>
    <m/>
    <m/>
    <m/>
    <x v="1"/>
    <n v="39"/>
    <x v="0"/>
  </r>
  <r>
    <d v="2024-09-24T00:00:00"/>
    <x v="7"/>
    <s v="Call"/>
    <s v="Corporate"/>
    <x v="2"/>
    <s v="Margaret"/>
    <s v="Proposed for Corporate events, Bulk Orders"/>
    <m/>
    <m/>
    <d v="2024-11-01T00:00:00"/>
    <x v="0"/>
    <x v="1"/>
    <s v="Warm"/>
    <m/>
    <m/>
    <m/>
    <m/>
    <m/>
    <x v="1"/>
    <n v="39"/>
    <x v="0"/>
  </r>
  <r>
    <d v="2024-09-24T00:00:00"/>
    <x v="51"/>
    <s v="F2F"/>
    <s v="Aggregator"/>
    <x v="4"/>
    <s v="Palna"/>
    <s v="Discussed on vendor registration for all PAN India business, Need to assess two permanent counter at Presidency college and ferro mall."/>
    <m/>
    <m/>
    <d v="2024-11-01T00:00:00"/>
    <x v="0"/>
    <x v="1"/>
    <s v="Warm"/>
    <m/>
    <m/>
    <m/>
    <m/>
    <m/>
    <x v="1"/>
    <n v="39"/>
    <x v="0"/>
  </r>
  <r>
    <d v="2024-09-24T00:00:00"/>
    <x v="52"/>
    <s v="Call"/>
    <s v="Aggregator"/>
    <x v="4"/>
    <s v="Saurabh"/>
    <s v="Proposed for Corporate events, Bulk Orders"/>
    <m/>
    <m/>
    <d v="2024-11-01T00:00:00"/>
    <x v="0"/>
    <x v="1"/>
    <s v="Warm"/>
    <m/>
    <m/>
    <m/>
    <m/>
    <m/>
    <x v="1"/>
    <n v="39"/>
    <x v="0"/>
  </r>
  <r>
    <d v="2024-09-24T00:00:00"/>
    <x v="26"/>
    <s v="Call"/>
    <s v="Corporate"/>
    <x v="15"/>
    <s v="Bharath"/>
    <s v="Proposed for Bulk Order requirement, packed thali 60qty"/>
    <n v="19000"/>
    <n v="19000"/>
    <d v="2024-10-01T00:00:00"/>
    <x v="0"/>
    <x v="2"/>
    <s v="Hot"/>
    <m/>
    <m/>
    <m/>
    <m/>
    <m/>
    <x v="1"/>
    <n v="39"/>
    <x v="0"/>
  </r>
  <r>
    <d v="2024-09-24T00:00:00"/>
    <x v="53"/>
    <s v="Call"/>
    <s v="Aggregator"/>
    <x v="4"/>
    <s v="Salman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5T00:00:00"/>
    <x v="17"/>
    <s v="Call"/>
    <s v="Corporate"/>
    <x v="2"/>
    <s v="Santhosh"/>
    <s v="Discussed on bulk order requirement."/>
    <m/>
    <m/>
    <d v="2024-11-01T00:00:00"/>
    <x v="0"/>
    <x v="1"/>
    <s v="Warm"/>
    <m/>
    <m/>
    <m/>
    <m/>
    <m/>
    <x v="1"/>
    <n v="39"/>
    <x v="0"/>
  </r>
  <r>
    <d v="2024-09-25T00:00:00"/>
    <x v="54"/>
    <s v="Call"/>
    <s v="Corporate"/>
    <x v="6"/>
    <s v="Nandini"/>
    <s v="Proposed for Corporate events, Bulk Orders"/>
    <m/>
    <m/>
    <d v="2025-02-01T00:00:00"/>
    <x v="0"/>
    <x v="1"/>
    <s v="Warm"/>
    <m/>
    <m/>
    <m/>
    <m/>
    <m/>
    <x v="1"/>
    <n v="39"/>
    <x v="1"/>
  </r>
  <r>
    <d v="2024-09-25T00:00:00"/>
    <x v="55"/>
    <s v="F2F"/>
    <s v="Corporate"/>
    <x v="10"/>
    <s v="Shilpa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5T00:00:00"/>
    <x v="56"/>
    <s v="Call"/>
    <s v="Corporate"/>
    <x v="24"/>
    <s v="Shilpi"/>
    <s v="Proposed for Corporate events, Bulk Orders"/>
    <m/>
    <m/>
    <d v="2025-02-01T00:00:00"/>
    <x v="0"/>
    <x v="1"/>
    <s v="Warm"/>
    <m/>
    <m/>
    <m/>
    <m/>
    <m/>
    <x v="1"/>
    <n v="39"/>
    <x v="1"/>
  </r>
  <r>
    <d v="2024-09-25T00:00:00"/>
    <x v="26"/>
    <s v="F2F"/>
    <s v="Corporate"/>
    <x v="15"/>
    <s v="Hari"/>
    <s v="Reworked on the menu"/>
    <m/>
    <m/>
    <d v="2025-02-01T00:00:00"/>
    <x v="0"/>
    <x v="1"/>
    <s v="Cancelled"/>
    <m/>
    <m/>
    <m/>
    <m/>
    <m/>
    <x v="1"/>
    <n v="39"/>
    <x v="1"/>
  </r>
  <r>
    <d v="2024-09-26T00:00:00"/>
    <x v="57"/>
    <s v="Call"/>
    <s v="Corporate"/>
    <x v="6"/>
    <s v="Nivesh"/>
    <s v="Proposed for Corporate events, Bulk Orders"/>
    <m/>
    <m/>
    <d v="2024-11-01T00:00:00"/>
    <x v="0"/>
    <x v="0"/>
    <s v="Warm"/>
    <m/>
    <m/>
    <m/>
    <m/>
    <m/>
    <x v="1"/>
    <n v="39"/>
    <x v="0"/>
  </r>
  <r>
    <d v="2024-09-26T00:00:00"/>
    <x v="58"/>
    <s v="F2F"/>
    <s v="Corporate"/>
    <x v="10"/>
    <s v="Mansoor"/>
    <s v="Proposed for Corporate events, Bulk Orders"/>
    <m/>
    <m/>
    <d v="2025-02-01T00:00:00"/>
    <x v="0"/>
    <x v="1"/>
    <s v="Warm"/>
    <m/>
    <m/>
    <m/>
    <m/>
    <m/>
    <x v="1"/>
    <n v="39"/>
    <x v="1"/>
  </r>
  <r>
    <d v="2024-09-26T00:00:00"/>
    <x v="59"/>
    <s v="Call"/>
    <s v="Corporate"/>
    <x v="27"/>
    <s v="Alankar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6T00:00:00"/>
    <x v="60"/>
    <s v="F2F"/>
    <s v="Corporate"/>
    <x v="24"/>
    <s v="Gnana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6T00:00:00"/>
    <x v="61"/>
    <s v="Call"/>
    <s v="Corporate"/>
    <x v="27"/>
    <s v="Ranjeet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6T00:00:00"/>
    <x v="62"/>
    <s v="Call"/>
    <s v="Fintech"/>
    <x v="28"/>
    <s v="Manisha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6T00:00:00"/>
    <x v="63"/>
    <s v="Call"/>
    <s v="Corporate"/>
    <x v="10"/>
    <s v="Sandesh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7T00:00:00"/>
    <x v="64"/>
    <s v="Call"/>
    <s v="Corporate"/>
    <x v="29"/>
    <s v="Anurag Srivastava"/>
    <s v="Proposed for Corporate events, Bulk Orders"/>
    <m/>
    <m/>
    <d v="2025-02-01T00:00:00"/>
    <x v="0"/>
    <x v="1"/>
    <s v="Warm"/>
    <m/>
    <m/>
    <m/>
    <m/>
    <m/>
    <x v="1"/>
    <n v="39"/>
    <x v="1"/>
  </r>
  <r>
    <d v="2024-09-27T00:00:00"/>
    <x v="65"/>
    <s v="Call"/>
    <s v="Corporate"/>
    <x v="30"/>
    <s v="Madhu"/>
    <s v="Proposed for Corporate events, Bulk Orders"/>
    <m/>
    <m/>
    <d v="2024-11-01T00:00:00"/>
    <x v="0"/>
    <x v="0"/>
    <s v="Warm"/>
    <m/>
    <m/>
    <m/>
    <m/>
    <m/>
    <x v="1"/>
    <n v="39"/>
    <x v="0"/>
  </r>
  <r>
    <d v="2024-09-27T00:00:00"/>
    <x v="66"/>
    <s v="F2F"/>
    <s v="Corporate"/>
    <x v="10"/>
    <s v="Mahendra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7T00:00:00"/>
    <x v="67"/>
    <s v="Call"/>
    <s v="Corporate"/>
    <x v="28"/>
    <s v="Sneha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27T00:00:00"/>
    <x v="68"/>
    <s v="F2F"/>
    <s v="Corporate"/>
    <x v="12"/>
    <s v="Babu"/>
    <s v="Proposed for Corporate events, Bulk Orders"/>
    <m/>
    <m/>
    <d v="2024-10-01T00:00:00"/>
    <x v="0"/>
    <x v="0"/>
    <s v="Warm"/>
    <m/>
    <m/>
    <m/>
    <m/>
    <m/>
    <x v="1"/>
    <n v="39"/>
    <x v="0"/>
  </r>
  <r>
    <d v="2024-09-30T00:00:00"/>
    <x v="58"/>
    <s v="F2F"/>
    <s v="Corporate"/>
    <x v="10"/>
    <s v="Mintu"/>
    <s v="Proposed for Corporate events, Bulk Orders"/>
    <m/>
    <m/>
    <d v="2024-12-01T00:00:00"/>
    <x v="0"/>
    <x v="0"/>
    <s v="Warm"/>
    <m/>
    <m/>
    <m/>
    <m/>
    <m/>
    <x v="1"/>
    <n v="40"/>
    <x v="0"/>
  </r>
  <r>
    <d v="2024-09-30T00:00:00"/>
    <x v="69"/>
    <s v="Call"/>
    <s v="Corporate"/>
    <x v="31"/>
    <s v="Arun"/>
    <s v="Proposed for Corporate events, Bulk Orders"/>
    <m/>
    <m/>
    <d v="2024-11-01T00:00:00"/>
    <x v="0"/>
    <x v="0"/>
    <s v="Warm"/>
    <m/>
    <m/>
    <m/>
    <m/>
    <m/>
    <x v="1"/>
    <n v="40"/>
    <x v="0"/>
  </r>
  <r>
    <d v="2024-09-30T00:00:00"/>
    <x v="14"/>
    <s v="Call"/>
    <s v="Corporate"/>
    <x v="9"/>
    <s v="Pradeep"/>
    <s v="Follow-up, for Events and Bulk Order."/>
    <m/>
    <m/>
    <d v="2024-11-01T00:00:00"/>
    <x v="0"/>
    <x v="1"/>
    <s v="Warm"/>
    <m/>
    <m/>
    <m/>
    <m/>
    <m/>
    <x v="1"/>
    <n v="40"/>
    <x v="0"/>
  </r>
  <r>
    <d v="2024-09-30T00:00:00"/>
    <x v="70"/>
    <s v="Call"/>
    <s v="Corporate"/>
    <x v="32"/>
    <s v="Jayanth"/>
    <s v="Proposed for Corporate events, Bulk Orders"/>
    <m/>
    <m/>
    <d v="2024-10-01T00:00:00"/>
    <x v="0"/>
    <x v="0"/>
    <s v="Warm"/>
    <m/>
    <m/>
    <m/>
    <m/>
    <m/>
    <x v="1"/>
    <n v="40"/>
    <x v="0"/>
  </r>
  <r>
    <d v="2024-09-30T00:00:00"/>
    <x v="71"/>
    <s v="Call"/>
    <s v="Corporate"/>
    <x v="10"/>
    <s v="Malikarjun"/>
    <s v="Proposed for Corporate events, Bulk Orders"/>
    <m/>
    <m/>
    <d v="2024-10-01T00:00:00"/>
    <x v="0"/>
    <x v="0"/>
    <s v="Warm"/>
    <m/>
    <m/>
    <m/>
    <m/>
    <m/>
    <x v="1"/>
    <n v="40"/>
    <x v="0"/>
  </r>
  <r>
    <d v="2024-09-30T00:00:00"/>
    <x v="72"/>
    <s v="Call"/>
    <s v="Corporate"/>
    <x v="24"/>
    <s v="Shaju"/>
    <s v="Proposed for Corporate events, Bulk Orders"/>
    <m/>
    <m/>
    <d v="2024-10-01T00:00:00"/>
    <x v="0"/>
    <x v="0"/>
    <s v="Warm"/>
    <m/>
    <m/>
    <m/>
    <m/>
    <m/>
    <x v="1"/>
    <n v="40"/>
    <x v="0"/>
  </r>
  <r>
    <d v="2024-09-30T00:00:00"/>
    <x v="52"/>
    <s v="F2F"/>
    <s v="Aggregator"/>
    <x v="4"/>
    <s v="Varsha"/>
    <s v="Proposed for Corporate events, Bulk Orders"/>
    <m/>
    <m/>
    <d v="2024-10-01T00:00:00"/>
    <x v="0"/>
    <x v="0"/>
    <s v="Warm"/>
    <m/>
    <m/>
    <m/>
    <m/>
    <m/>
    <x v="1"/>
    <n v="40"/>
    <x v="0"/>
  </r>
  <r>
    <d v="2024-09-30T00:00:00"/>
    <x v="73"/>
    <s v="Call"/>
    <s v="Institution"/>
    <x v="33"/>
    <s v="Akhila"/>
    <s v="Proposed for Corporate events, Bulk Orders"/>
    <m/>
    <m/>
    <d v="2024-10-01T00:00:00"/>
    <x v="0"/>
    <x v="0"/>
    <s v="Warm"/>
    <m/>
    <m/>
    <m/>
    <m/>
    <m/>
    <x v="1"/>
    <n v="40"/>
    <x v="0"/>
  </r>
  <r>
    <d v="2024-10-01T00:00:00"/>
    <x v="74"/>
    <s v="F2F"/>
    <s v="Corporate"/>
    <x v="34"/>
    <s v="Richi"/>
    <s v="Proposed for Corporate events, Bulk Orders"/>
    <m/>
    <m/>
    <d v="2024-12-01T00:00:00"/>
    <x v="0"/>
    <x v="0"/>
    <s v="Warm"/>
    <m/>
    <m/>
    <m/>
    <m/>
    <m/>
    <x v="2"/>
    <n v="40"/>
    <x v="0"/>
  </r>
  <r>
    <d v="2024-10-01T00:00:00"/>
    <x v="75"/>
    <s v="Call"/>
    <s v="Corporate"/>
    <x v="10"/>
    <s v="Manisha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1T00:00:00"/>
    <x v="76"/>
    <s v="Call"/>
    <s v="Corporate"/>
    <x v="6"/>
    <s v="Kumar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1T00:00:00"/>
    <x v="77"/>
    <s v="F2F"/>
    <s v="Corporate"/>
    <x v="10"/>
    <s v="Marcus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1T00:00:00"/>
    <x v="78"/>
    <s v="Call"/>
    <s v="Corporate"/>
    <x v="10"/>
    <s v="Manju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1T00:00:00"/>
    <x v="79"/>
    <s v="Call"/>
    <s v="Corporate"/>
    <x v="2"/>
    <s v="Sneha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3T00:00:00"/>
    <x v="80"/>
    <s v="Call"/>
    <s v="Corporate"/>
    <x v="35"/>
    <s v="Ananth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3T00:00:00"/>
    <x v="81"/>
    <s v="F2F"/>
    <s v="Events"/>
    <x v="36"/>
    <s v="Shoumyadeep"/>
    <s v="Discussion about Durga puja Stall, presence and expected Rev."/>
    <m/>
    <m/>
    <d v="2024-10-01T00:00:00"/>
    <x v="0"/>
    <x v="3"/>
    <s v="Hot"/>
    <m/>
    <m/>
    <m/>
    <m/>
    <m/>
    <x v="2"/>
    <n v="40"/>
    <x v="0"/>
  </r>
  <r>
    <d v="2024-10-03T00:00:00"/>
    <x v="61"/>
    <s v="Call"/>
    <s v="Corporate"/>
    <x v="19"/>
    <s v="Pramanshu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3T00:00:00"/>
    <x v="82"/>
    <s v="F2F"/>
    <s v="Events"/>
    <x v="36"/>
    <s v="Kingshuk"/>
    <s v="Discussion about Durga puja Stall, presence and expected Rev."/>
    <m/>
    <m/>
    <d v="2024-10-01T00:00:00"/>
    <x v="0"/>
    <x v="3"/>
    <s v="Hot"/>
    <m/>
    <m/>
    <m/>
    <m/>
    <m/>
    <x v="2"/>
    <n v="40"/>
    <x v="0"/>
  </r>
  <r>
    <d v="2024-10-03T00:00:00"/>
    <x v="83"/>
    <s v="Call"/>
    <s v="Corporate"/>
    <x v="2"/>
    <s v="Bopaiah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3T00:00:00"/>
    <x v="84"/>
    <s v="F2F"/>
    <s v="Corporate"/>
    <x v="10"/>
    <s v="Mukund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4T00:00:00"/>
    <x v="85"/>
    <s v="Call"/>
    <s v="Events"/>
    <x v="21"/>
    <s v="Ankit"/>
    <s v="Proposed for upcoming social events."/>
    <m/>
    <m/>
    <d v="2024-11-01T00:00:00"/>
    <x v="0"/>
    <x v="0"/>
    <s v="Warm"/>
    <m/>
    <m/>
    <m/>
    <m/>
    <m/>
    <x v="2"/>
    <n v="40"/>
    <x v="0"/>
  </r>
  <r>
    <d v="2024-10-04T00:00:00"/>
    <x v="59"/>
    <s v="F2F"/>
    <s v="Corporate"/>
    <x v="19"/>
    <s v="Alankar"/>
    <s v="Proposed for Corporate events, Bulk Orders"/>
    <m/>
    <m/>
    <d v="2024-11-01T00:00:00"/>
    <x v="0"/>
    <x v="0"/>
    <s v="Warm"/>
    <m/>
    <m/>
    <m/>
    <m/>
    <m/>
    <x v="2"/>
    <n v="40"/>
    <x v="0"/>
  </r>
  <r>
    <d v="2024-10-04T00:00:00"/>
    <x v="86"/>
    <s v="Call"/>
    <s v="Corporate"/>
    <x v="6"/>
    <s v="Aditya"/>
    <s v="Proposed for Corporate events, Bulk Orders"/>
    <m/>
    <m/>
    <d v="2024-11-01T00:00:00"/>
    <x v="0"/>
    <x v="0"/>
    <s v="Warm"/>
    <m/>
    <m/>
    <m/>
    <m/>
    <m/>
    <x v="2"/>
    <n v="40"/>
    <x v="0"/>
  </r>
  <r>
    <d v="2024-10-04T00:00:00"/>
    <x v="87"/>
    <s v="Call"/>
    <s v="Corporate"/>
    <x v="14"/>
    <s v="Chandrakanth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4T00:00:00"/>
    <x v="83"/>
    <s v="Call"/>
    <s v="Corporate"/>
    <x v="2"/>
    <s v="Muthamna"/>
    <s v="Proposed for Corporate events, Bulk Orders"/>
    <m/>
    <m/>
    <d v="2024-10-01T00:00:00"/>
    <x v="0"/>
    <x v="0"/>
    <s v="Warm"/>
    <m/>
    <m/>
    <m/>
    <m/>
    <m/>
    <x v="2"/>
    <n v="40"/>
    <x v="0"/>
  </r>
  <r>
    <d v="2024-10-07T00:00:00"/>
    <x v="88"/>
    <s v="Call"/>
    <s v="Corporate"/>
    <x v="37"/>
    <s v="Ganesh"/>
    <s v="Proposed for Corporate events, Bulk Orders"/>
    <m/>
    <m/>
    <d v="2024-11-01T00:00:00"/>
    <x v="0"/>
    <x v="0"/>
    <s v="Warm"/>
    <m/>
    <m/>
    <m/>
    <m/>
    <m/>
    <x v="2"/>
    <n v="41"/>
    <x v="0"/>
  </r>
  <r>
    <d v="2024-10-07T00:00:00"/>
    <x v="89"/>
    <s v="Call"/>
    <s v="Corporate"/>
    <x v="38"/>
    <s v="Radhika"/>
    <s v="Proposed for Corporate events, Bulk Orders"/>
    <m/>
    <m/>
    <d v="2024-11-01T00:00:00"/>
    <x v="0"/>
    <x v="0"/>
    <s v="Warm"/>
    <m/>
    <m/>
    <m/>
    <m/>
    <m/>
    <x v="2"/>
    <n v="41"/>
    <x v="0"/>
  </r>
  <r>
    <d v="2024-10-07T00:00:00"/>
    <x v="90"/>
    <s v="Call"/>
    <s v="Corporate"/>
    <x v="6"/>
    <s v="Shyam"/>
    <s v="Proposed for Corporate events, Bulk Orders"/>
    <m/>
    <m/>
    <d v="2024-11-01T00:00:00"/>
    <x v="0"/>
    <x v="0"/>
    <s v="Warm"/>
    <m/>
    <m/>
    <m/>
    <m/>
    <m/>
    <x v="2"/>
    <n v="41"/>
    <x v="0"/>
  </r>
  <r>
    <d v="2024-10-07T00:00:00"/>
    <x v="91"/>
    <s v="Call"/>
    <s v="Corporate"/>
    <x v="10"/>
    <s v="Nandini"/>
    <s v="Proposed for Corporate events, Bulk Orders"/>
    <m/>
    <m/>
    <d v="2024-11-01T00:00:00"/>
    <x v="0"/>
    <x v="0"/>
    <s v="Warm"/>
    <m/>
    <m/>
    <m/>
    <m/>
    <m/>
    <x v="2"/>
    <n v="41"/>
    <x v="0"/>
  </r>
  <r>
    <d v="2024-10-07T00:00:00"/>
    <x v="92"/>
    <s v="F2F"/>
    <s v="Corporate"/>
    <x v="20"/>
    <s v="Vatsal"/>
    <s v="Proposed for Corporate events, Bulk Orders"/>
    <m/>
    <m/>
    <d v="2024-11-01T00:00:00"/>
    <x v="0"/>
    <x v="0"/>
    <s v="Warm"/>
    <m/>
    <m/>
    <m/>
    <m/>
    <m/>
    <x v="2"/>
    <n v="41"/>
    <x v="0"/>
  </r>
  <r>
    <d v="2024-10-13T00:00:00"/>
    <x v="93"/>
    <s v="Call"/>
    <s v="Durga Puja"/>
    <x v="36"/>
    <m/>
    <s v="Business Closed"/>
    <n v="23230"/>
    <n v="23230"/>
    <d v="2024-10-01T00:00:00"/>
    <x v="0"/>
    <x v="4"/>
    <s v="Hot"/>
    <m/>
    <m/>
    <n v="23230"/>
    <m/>
    <m/>
    <x v="2"/>
    <n v="41"/>
    <x v="0"/>
  </r>
  <r>
    <d v="2024-10-13T00:00:00"/>
    <x v="94"/>
    <s v="Call"/>
    <s v="Durga Puja"/>
    <x v="36"/>
    <m/>
    <s v="Business Closed"/>
    <n v="83080"/>
    <n v="83080"/>
    <d v="2024-10-01T00:00:00"/>
    <x v="0"/>
    <x v="4"/>
    <s v="Hot"/>
    <m/>
    <m/>
    <n v="83080"/>
    <m/>
    <m/>
    <x v="2"/>
    <n v="41"/>
    <x v="0"/>
  </r>
  <r>
    <d v="2024-10-13T00:00:00"/>
    <x v="95"/>
    <s v="Call"/>
    <s v="Durga Puja"/>
    <x v="36"/>
    <m/>
    <s v="Business Closed"/>
    <n v="26430"/>
    <n v="26430"/>
    <d v="2024-10-01T00:00:00"/>
    <x v="0"/>
    <x v="4"/>
    <s v="Hot"/>
    <m/>
    <m/>
    <n v="26430"/>
    <m/>
    <m/>
    <x v="2"/>
    <n v="41"/>
    <x v="0"/>
  </r>
  <r>
    <d v="2024-10-13T00:00:00"/>
    <x v="96"/>
    <s v="Call"/>
    <s v="Durga Puja"/>
    <x v="36"/>
    <m/>
    <s v="Business Closed"/>
    <n v="12490"/>
    <n v="12490"/>
    <d v="2024-10-01T00:00:00"/>
    <x v="0"/>
    <x v="4"/>
    <s v="Hot"/>
    <m/>
    <m/>
    <n v="12490"/>
    <m/>
    <m/>
    <x v="2"/>
    <n v="41"/>
    <x v="0"/>
  </r>
  <r>
    <d v="2024-10-13T00:00:00"/>
    <x v="97"/>
    <s v="Call"/>
    <s v="Durga Puja"/>
    <x v="36"/>
    <m/>
    <s v="Business Closed"/>
    <n v="62200"/>
    <n v="62200"/>
    <d v="2024-10-01T00:00:00"/>
    <x v="0"/>
    <x v="4"/>
    <s v="Hot"/>
    <m/>
    <m/>
    <n v="62200"/>
    <m/>
    <m/>
    <x v="2"/>
    <n v="41"/>
    <x v="0"/>
  </r>
  <r>
    <d v="2024-10-14T00:00:00"/>
    <x v="51"/>
    <s v="Call"/>
    <s v="Aggregator"/>
    <x v="4"/>
    <s v="Palna"/>
    <s v="Initiated Agreement, to start Pop-up counter &amp; Bulk Orders ASAP"/>
    <m/>
    <m/>
    <d v="2025-02-01T00:00:00"/>
    <x v="0"/>
    <x v="1"/>
    <s v="Warm"/>
    <m/>
    <m/>
    <m/>
    <m/>
    <m/>
    <x v="2"/>
    <n v="42"/>
    <x v="1"/>
  </r>
  <r>
    <d v="2024-10-14T00:00:00"/>
    <x v="4"/>
    <s v="F2F"/>
    <s v="Aggregator"/>
    <x v="4"/>
    <s v="Nupur"/>
    <s v="Initiated Agreement, to start Pop-up counter &amp; Bulk Orders ASAP"/>
    <m/>
    <m/>
    <d v="2024-11-01T00:00:00"/>
    <x v="0"/>
    <x v="1"/>
    <s v="Hot"/>
    <m/>
    <m/>
    <m/>
    <m/>
    <m/>
    <x v="2"/>
    <n v="42"/>
    <x v="0"/>
  </r>
  <r>
    <d v="2024-10-14T00:00:00"/>
    <x v="4"/>
    <s v="F2F"/>
    <s v="Aggregator"/>
    <x v="4"/>
    <s v="Taranjot"/>
    <s v="Discussed for permanent counter at ITC Bangalore and CapitalLand Attria"/>
    <m/>
    <m/>
    <d v="2024-11-01T00:00:00"/>
    <x v="0"/>
    <x v="1"/>
    <s v="Hot"/>
    <m/>
    <m/>
    <m/>
    <m/>
    <m/>
    <x v="2"/>
    <n v="42"/>
    <x v="0"/>
  </r>
  <r>
    <d v="2024-10-14T00:00:00"/>
    <x v="98"/>
    <s v="Call"/>
    <s v="Aggregator"/>
    <x v="4"/>
    <s v="Keshav"/>
    <s v="Meeting him this week to initiate agreement and start corporate business"/>
    <m/>
    <m/>
    <d v="2024-11-01T00:00:00"/>
    <x v="0"/>
    <x v="1"/>
    <s v="Warm"/>
    <m/>
    <m/>
    <m/>
    <m/>
    <m/>
    <x v="2"/>
    <n v="42"/>
    <x v="0"/>
  </r>
  <r>
    <d v="2024-10-14T00:00:00"/>
    <x v="52"/>
    <s v="Call"/>
    <s v="Aggregator"/>
    <x v="4"/>
    <s v="Varsha"/>
    <s v="Initiated Agreement, to start Pop-up counter &amp; Bulk Orders ASAP"/>
    <m/>
    <m/>
    <d v="2024-11-01T00:00:00"/>
    <x v="0"/>
    <x v="1"/>
    <s v="Warm"/>
    <m/>
    <m/>
    <m/>
    <m/>
    <m/>
    <x v="2"/>
    <n v="42"/>
    <x v="0"/>
  </r>
  <r>
    <d v="2024-10-15T00:00:00"/>
    <x v="58"/>
    <s v="Call"/>
    <s v="Corporate"/>
    <x v="10"/>
    <s v="Mintu"/>
    <s v="Discussed for Corporate events, Bulk Orders"/>
    <m/>
    <m/>
    <d v="2025-02-01T00:00:00"/>
    <x v="0"/>
    <x v="1"/>
    <s v="Warm"/>
    <m/>
    <m/>
    <m/>
    <m/>
    <m/>
    <x v="2"/>
    <n v="42"/>
    <x v="1"/>
  </r>
  <r>
    <d v="2024-10-15T00:00:00"/>
    <x v="74"/>
    <s v="Call"/>
    <s v="Corporate"/>
    <x v="34"/>
    <s v="Richi"/>
    <s v="Discussed for Corporate events, Bulk Orders"/>
    <m/>
    <m/>
    <d v="2024-12-01T00:00:00"/>
    <x v="0"/>
    <x v="1"/>
    <s v="Warm"/>
    <m/>
    <m/>
    <m/>
    <m/>
    <m/>
    <x v="2"/>
    <n v="42"/>
    <x v="0"/>
  </r>
  <r>
    <d v="2024-10-15T00:00:00"/>
    <x v="99"/>
    <s v="F2F"/>
    <s v="Corporate"/>
    <x v="17"/>
    <s v="Praveen"/>
    <s v="Proposed for Corporate events, Bulk Orders"/>
    <m/>
    <m/>
    <d v="2025-02-01T00:00:00"/>
    <x v="0"/>
    <x v="1"/>
    <s v="Warm"/>
    <m/>
    <m/>
    <m/>
    <m/>
    <m/>
    <x v="2"/>
    <n v="42"/>
    <x v="1"/>
  </r>
  <r>
    <d v="2024-10-15T00:00:00"/>
    <x v="72"/>
    <s v="F2F"/>
    <s v="Corporate"/>
    <x v="24"/>
    <s v="Shaju"/>
    <s v="Discussed on contracting and Bulk Orders"/>
    <m/>
    <m/>
    <d v="2024-11-01T00:00:00"/>
    <x v="0"/>
    <x v="1"/>
    <s v="Warm"/>
    <m/>
    <m/>
    <m/>
    <m/>
    <m/>
    <x v="2"/>
    <n v="42"/>
    <x v="0"/>
  </r>
  <r>
    <d v="2024-10-15T00:00:00"/>
    <x v="77"/>
    <s v="Call"/>
    <s v="Corporate"/>
    <x v="10"/>
    <s v="Marcus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5T00:00:00"/>
    <x v="68"/>
    <s v="Call"/>
    <s v="Corporate"/>
    <x v="12"/>
    <s v="Babu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6T00:00:00"/>
    <x v="4"/>
    <s v="Call"/>
    <s v="Aggregator"/>
    <x v="4"/>
    <s v="Nupur"/>
    <s v="Discussed for Corporate events, Bulk Orders"/>
    <m/>
    <m/>
    <d v="2024-12-01T00:00:00"/>
    <x v="0"/>
    <x v="1"/>
    <s v="Warm"/>
    <m/>
    <m/>
    <m/>
    <m/>
    <m/>
    <x v="2"/>
    <n v="42"/>
    <x v="0"/>
  </r>
  <r>
    <d v="2024-10-16T00:00:00"/>
    <x v="25"/>
    <s v="Call"/>
    <s v="Corporate"/>
    <x v="14"/>
    <s v="Srikishan"/>
    <s v="Discussed for Corporate events, Bulk Orders"/>
    <m/>
    <m/>
    <d v="2025-02-01T00:00:00"/>
    <x v="0"/>
    <x v="1"/>
    <s v="Warm"/>
    <m/>
    <m/>
    <m/>
    <m/>
    <m/>
    <x v="2"/>
    <n v="42"/>
    <x v="1"/>
  </r>
  <r>
    <d v="2024-10-16T00:00:00"/>
    <x v="37"/>
    <s v="Call"/>
    <s v="Events"/>
    <x v="21"/>
    <s v="Murgan"/>
    <s v="Discussed for upcoming Events"/>
    <m/>
    <m/>
    <d v="2025-02-01T00:00:00"/>
    <x v="0"/>
    <x v="1"/>
    <s v="Warm"/>
    <m/>
    <m/>
    <m/>
    <m/>
    <m/>
    <x v="2"/>
    <n v="42"/>
    <x v="1"/>
  </r>
  <r>
    <d v="2024-10-16T00:00:00"/>
    <x v="100"/>
    <s v="Call"/>
    <s v="Events"/>
    <x v="21"/>
    <s v="Ankit"/>
    <s v="Discussed for upcoming Events"/>
    <m/>
    <m/>
    <d v="2024-11-01T00:00:00"/>
    <x v="0"/>
    <x v="1"/>
    <s v="Warm"/>
    <m/>
    <m/>
    <m/>
    <m/>
    <m/>
    <x v="2"/>
    <n v="42"/>
    <x v="0"/>
  </r>
  <r>
    <d v="2024-10-16T00:00:00"/>
    <x v="1"/>
    <s v="Call"/>
    <s v="Corporate"/>
    <x v="1"/>
    <s v="Jeethan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6T00:00:00"/>
    <x v="98"/>
    <s v="Call"/>
    <s v="Aggregator"/>
    <x v="4"/>
    <s v="Keshav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6T00:00:00"/>
    <x v="101"/>
    <s v="Call"/>
    <s v="Corporate"/>
    <x v="2"/>
    <s v="Gautam"/>
    <s v="Discussed for Corporate events, Bulk Orders"/>
    <m/>
    <m/>
    <d v="2025-02-01T00:00:00"/>
    <x v="0"/>
    <x v="1"/>
    <s v="Warm"/>
    <m/>
    <m/>
    <m/>
    <m/>
    <m/>
    <x v="2"/>
    <n v="42"/>
    <x v="1"/>
  </r>
  <r>
    <d v="2024-10-16T00:00:00"/>
    <x v="17"/>
    <s v="Call"/>
    <s v="Corporate"/>
    <x v="2"/>
    <s v="Raymond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6T00:00:00"/>
    <x v="102"/>
    <s v="Call"/>
    <s v="Corporate"/>
    <x v="39"/>
    <s v="Sanjay"/>
    <s v="Proposed for Corporate events, Bulk Orders"/>
    <m/>
    <m/>
    <d v="2024-11-01T00:00:00"/>
    <x v="0"/>
    <x v="1"/>
    <s v="Warm"/>
    <m/>
    <m/>
    <m/>
    <m/>
    <m/>
    <x v="2"/>
    <n v="42"/>
    <x v="0"/>
  </r>
  <r>
    <d v="2024-10-16T00:00:00"/>
    <x v="8"/>
    <s v="Call"/>
    <s v="Corporate"/>
    <x v="5"/>
    <s v="Saumya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6T00:00:00"/>
    <x v="19"/>
    <s v="Call"/>
    <s v="Corporate"/>
    <x v="4"/>
    <s v="Monika"/>
    <s v="Discussed for Corporate events, Bulk Orders"/>
    <m/>
    <m/>
    <d v="2025-02-01T00:00:00"/>
    <x v="0"/>
    <x v="1"/>
    <s v="Warm"/>
    <m/>
    <m/>
    <m/>
    <m/>
    <m/>
    <x v="2"/>
    <n v="42"/>
    <x v="1"/>
  </r>
  <r>
    <d v="2024-10-16T00:00:00"/>
    <x v="103"/>
    <s v="F2F"/>
    <s v="Corporate"/>
    <x v="10"/>
    <s v="Venkatesh"/>
    <s v="Proposed for Corporate events, Bulk Orders"/>
    <m/>
    <m/>
    <d v="2024-10-01T00:00:00"/>
    <x v="0"/>
    <x v="0"/>
    <s v="Warm"/>
    <m/>
    <m/>
    <m/>
    <m/>
    <m/>
    <x v="2"/>
    <n v="42"/>
    <x v="0"/>
  </r>
  <r>
    <d v="2024-10-17T00:00:00"/>
    <x v="9"/>
    <s v="Call"/>
    <s v="Corporate"/>
    <x v="6"/>
    <s v="Arul"/>
    <s v="Discussed for Corporate events, Bulk Orders"/>
    <m/>
    <m/>
    <d v="2025-02-01T00:00:00"/>
    <x v="0"/>
    <x v="1"/>
    <s v="Warm"/>
    <m/>
    <m/>
    <m/>
    <m/>
    <m/>
    <x v="2"/>
    <n v="42"/>
    <x v="1"/>
  </r>
  <r>
    <d v="2024-10-17T00:00:00"/>
    <x v="29"/>
    <s v="F2F"/>
    <s v="Corporate"/>
    <x v="10"/>
    <s v="Kiran"/>
    <s v="Discussed for Corporate events, Bulk Orders"/>
    <m/>
    <m/>
    <d v="2024-12-01T00:00:00"/>
    <x v="0"/>
    <x v="1"/>
    <s v="Warm"/>
    <m/>
    <m/>
    <m/>
    <m/>
    <m/>
    <x v="2"/>
    <n v="42"/>
    <x v="0"/>
  </r>
  <r>
    <d v="2024-10-17T00:00:00"/>
    <x v="104"/>
    <s v="F2F"/>
    <s v="Corporate"/>
    <x v="10"/>
    <s v="Prasad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7T00:00:00"/>
    <x v="12"/>
    <s v="Call"/>
    <s v="Corporate"/>
    <x v="7"/>
    <s v="Pradeep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7T00:00:00"/>
    <x v="21"/>
    <s v="F2F"/>
    <s v="Corporate"/>
    <x v="40"/>
    <s v="Abhishek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7T00:00:00"/>
    <x v="11"/>
    <s v="Call"/>
    <s v="Corporate"/>
    <x v="2"/>
    <s v="Rajshekar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7T00:00:00"/>
    <x v="13"/>
    <s v="Call"/>
    <s v="Corporate"/>
    <x v="8"/>
    <s v="Amresh"/>
    <s v="Discussed for Corporate events, Bulk Orders"/>
    <m/>
    <m/>
    <d v="2024-11-01T00:00:00"/>
    <x v="0"/>
    <x v="1"/>
    <s v="Warm"/>
    <m/>
    <m/>
    <m/>
    <m/>
    <m/>
    <x v="2"/>
    <n v="42"/>
    <x v="0"/>
  </r>
  <r>
    <d v="2024-10-17T00:00:00"/>
    <x v="105"/>
    <s v="Call"/>
    <s v="Corporate"/>
    <x v="2"/>
    <s v="Ruchi"/>
    <s v="Proposed for Corporate events, Bulk Orders"/>
    <m/>
    <m/>
    <d v="2024-11-01T00:00:00"/>
    <x v="0"/>
    <x v="0"/>
    <s v="Warm"/>
    <m/>
    <m/>
    <m/>
    <m/>
    <m/>
    <x v="2"/>
    <n v="42"/>
    <x v="0"/>
  </r>
  <r>
    <d v="2024-10-17T00:00:00"/>
    <x v="106"/>
    <s v="Call"/>
    <s v="Corporate"/>
    <x v="17"/>
    <s v="Amber"/>
    <s v="Proposed for Corporate events, Bulk Orders"/>
    <m/>
    <m/>
    <d v="2024-10-01T00:00:00"/>
    <x v="0"/>
    <x v="0"/>
    <s v="Warm"/>
    <m/>
    <m/>
    <m/>
    <m/>
    <m/>
    <x v="2"/>
    <n v="42"/>
    <x v="0"/>
  </r>
  <r>
    <d v="2024-10-17T00:00:00"/>
    <x v="107"/>
    <s v="Call"/>
    <s v="Corporate"/>
    <x v="41"/>
    <s v="Rushikesh"/>
    <s v="Proposed for Corporate events, Bulk Orders"/>
    <m/>
    <m/>
    <d v="2024-10-01T00:00:00"/>
    <x v="0"/>
    <x v="0"/>
    <s v="Warm"/>
    <m/>
    <m/>
    <m/>
    <m/>
    <m/>
    <x v="2"/>
    <n v="42"/>
    <x v="0"/>
  </r>
  <r>
    <d v="2024-10-17T00:00:00"/>
    <x v="108"/>
    <s v="Call"/>
    <s v="Corporate"/>
    <x v="10"/>
    <s v="Diwakar"/>
    <s v="Proposed for Corporate events, Bulk Orders"/>
    <m/>
    <m/>
    <d v="2024-10-01T00:00:00"/>
    <x v="0"/>
    <x v="0"/>
    <s v="Warm"/>
    <m/>
    <m/>
    <m/>
    <m/>
    <m/>
    <x v="2"/>
    <n v="42"/>
    <x v="0"/>
  </r>
  <r>
    <d v="2024-10-18T00:00:00"/>
    <x v="109"/>
    <s v="F2F"/>
    <s v="Corporate"/>
    <x v="42"/>
    <s v="Shriram"/>
    <s v="Proposed for Corporate events, Bulk Orders"/>
    <m/>
    <m/>
    <d v="2024-11-01T00:00:00"/>
    <x v="0"/>
    <x v="0"/>
    <s v="Warm"/>
    <m/>
    <m/>
    <m/>
    <m/>
    <m/>
    <x v="2"/>
    <n v="42"/>
    <x v="0"/>
  </r>
  <r>
    <d v="2024-10-18T00:00:00"/>
    <x v="11"/>
    <s v="Call"/>
    <s v="Corporate"/>
    <x v="2"/>
    <s v="Rajshekar"/>
    <s v="Proposed for Corporate events, Bulk Orders"/>
    <m/>
    <m/>
    <d v="2024-11-01T00:00:00"/>
    <x v="0"/>
    <x v="1"/>
    <s v="Warm"/>
    <m/>
    <m/>
    <m/>
    <m/>
    <m/>
    <x v="2"/>
    <n v="42"/>
    <x v="0"/>
  </r>
  <r>
    <d v="2024-10-18T00:00:00"/>
    <x v="110"/>
    <s v="F2F"/>
    <s v="Corporate"/>
    <x v="34"/>
    <s v="Manish"/>
    <s v="Proposed for Corporate events, Bulk Orders"/>
    <m/>
    <m/>
    <d v="2024-11-01T00:00:00"/>
    <x v="0"/>
    <x v="0"/>
    <s v="Warm"/>
    <m/>
    <m/>
    <m/>
    <m/>
    <m/>
    <x v="2"/>
    <n v="42"/>
    <x v="0"/>
  </r>
  <r>
    <d v="2024-10-21T00:00:00"/>
    <x v="6"/>
    <s v="F2F"/>
    <s v="Aggregator"/>
    <x v="4"/>
    <s v="Indraneel"/>
    <s v="Initiated Agreement, to start Pop-up counter &amp; Bulk Orders ASAP"/>
    <m/>
    <m/>
    <d v="2024-11-01T00:00:00"/>
    <x v="0"/>
    <x v="1"/>
    <s v="Warm"/>
    <m/>
    <m/>
    <m/>
    <m/>
    <m/>
    <x v="2"/>
    <n v="43"/>
    <x v="0"/>
  </r>
  <r>
    <d v="2024-10-21T00:00:00"/>
    <x v="111"/>
    <s v="F2F"/>
    <s v="Corporate"/>
    <x v="30"/>
    <s v="Ritesh"/>
    <s v="Business Closed"/>
    <n v="47905"/>
    <n v="47905"/>
    <d v="2024-10-01T00:00:00"/>
    <x v="0"/>
    <x v="4"/>
    <s v="Hot"/>
    <m/>
    <m/>
    <n v="47905"/>
    <m/>
    <m/>
    <x v="2"/>
    <n v="43"/>
    <x v="0"/>
  </r>
  <r>
    <d v="2024-10-22T00:00:00"/>
    <x v="100"/>
    <s v="F2F"/>
    <s v="Events"/>
    <x v="21"/>
    <s v="Ankit"/>
    <s v="Discussed for upcoming Pet Fed and IIM Events"/>
    <m/>
    <m/>
    <d v="2024-11-01T00:00:00"/>
    <x v="0"/>
    <x v="1"/>
    <s v="Hot"/>
    <m/>
    <m/>
    <m/>
    <m/>
    <m/>
    <x v="2"/>
    <n v="43"/>
    <x v="0"/>
  </r>
  <r>
    <d v="2024-10-22T00:00:00"/>
    <x v="112"/>
    <s v="F2F"/>
    <s v="Corporate"/>
    <x v="14"/>
    <s v="Mandeep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3T00:00:00"/>
    <x v="69"/>
    <s v="Call"/>
    <s v="Corporate"/>
    <x v="31"/>
    <s v="Arun"/>
    <s v="Proposed for Corporate events, Bulk Orders"/>
    <m/>
    <m/>
    <d v="2025-02-01T00:00:00"/>
    <x v="0"/>
    <x v="1"/>
    <s v="Warm"/>
    <m/>
    <m/>
    <m/>
    <m/>
    <m/>
    <x v="2"/>
    <n v="43"/>
    <x v="1"/>
  </r>
  <r>
    <d v="2024-10-23T00:00:00"/>
    <x v="113"/>
    <s v="F2F"/>
    <s v="Corporate"/>
    <x v="43"/>
    <s v="Raghunath"/>
    <s v="Discussed for upcoming Events and possibilities of association"/>
    <m/>
    <m/>
    <d v="2025-02-01T00:00:00"/>
    <x v="0"/>
    <x v="1"/>
    <s v="Warm"/>
    <m/>
    <m/>
    <m/>
    <m/>
    <m/>
    <x v="2"/>
    <n v="43"/>
    <x v="1"/>
  </r>
  <r>
    <d v="2024-10-23T00:00:00"/>
    <x v="61"/>
    <s v="Call"/>
    <s v="Corporate"/>
    <x v="27"/>
    <s v="Ranjit"/>
    <s v="Proposed for Corporate events, Bulk Orders"/>
    <m/>
    <m/>
    <d v="2024-11-01T00:00:00"/>
    <x v="0"/>
    <x v="1"/>
    <s v="Warm"/>
    <m/>
    <m/>
    <m/>
    <m/>
    <m/>
    <x v="2"/>
    <n v="43"/>
    <x v="0"/>
  </r>
  <r>
    <d v="2024-10-23T00:00:00"/>
    <x v="114"/>
    <s v="Call"/>
    <s v="Corporate"/>
    <x v="10"/>
    <s v="Sreenath"/>
    <s v="Proposed for Corporate events, Bulk Orders"/>
    <m/>
    <m/>
    <d v="2024-11-01T00:00:00"/>
    <x v="0"/>
    <x v="1"/>
    <s v="Warm"/>
    <m/>
    <m/>
    <m/>
    <m/>
    <m/>
    <x v="2"/>
    <n v="43"/>
    <x v="0"/>
  </r>
  <r>
    <d v="2024-10-23T00:00:00"/>
    <x v="115"/>
    <s v="Call"/>
    <s v="Aggregator"/>
    <x v="4"/>
    <s v="Sampath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3T00:00:00"/>
    <x v="116"/>
    <s v="F2F"/>
    <s v="Corporate"/>
    <x v="6"/>
    <s v="Sharath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3T00:00:00"/>
    <x v="92"/>
    <s v="Call"/>
    <s v="Corporate"/>
    <x v="20"/>
    <s v="Vatsal"/>
    <s v="Proposed for Corporate events, Bulk Orders"/>
    <m/>
    <m/>
    <d v="2025-02-01T00:00:00"/>
    <x v="0"/>
    <x v="1"/>
    <s v="Warm"/>
    <m/>
    <m/>
    <m/>
    <m/>
    <m/>
    <x v="2"/>
    <n v="43"/>
    <x v="1"/>
  </r>
  <r>
    <d v="2024-10-24T00:00:00"/>
    <x v="100"/>
    <s v="Call"/>
    <s v="Events"/>
    <x v="21"/>
    <s v="Ankit"/>
    <s v="Discussed on commercials for upcoming Pet Fed and IIM Events"/>
    <m/>
    <m/>
    <d v="2024-11-01T00:00:00"/>
    <x v="0"/>
    <x v="1"/>
    <s v="Hot"/>
    <m/>
    <m/>
    <m/>
    <m/>
    <m/>
    <x v="2"/>
    <n v="43"/>
    <x v="0"/>
  </r>
  <r>
    <d v="2024-10-24T00:00:00"/>
    <x v="117"/>
    <s v="F2F"/>
    <s v="Corporate"/>
    <x v="44"/>
    <s v="Pinto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4T00:00:00"/>
    <x v="118"/>
    <s v="Call"/>
    <s v="Corporate"/>
    <x v="45"/>
    <s v="Suraj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4T00:00:00"/>
    <x v="119"/>
    <s v="Call"/>
    <s v="Corporate"/>
    <x v="10"/>
    <s v="Freddy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4T00:00:00"/>
    <x v="120"/>
    <s v="Call"/>
    <s v="Corporate"/>
    <x v="46"/>
    <s v="Mathew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4T00:00:00"/>
    <x v="121"/>
    <s v="F2F"/>
    <s v="Corporate"/>
    <x v="47"/>
    <s v="Akter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4T00:00:00"/>
    <x v="122"/>
    <s v="Call"/>
    <s v="Corporate"/>
    <x v="10"/>
    <s v="Shashibhushan 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5T00:00:00"/>
    <x v="18"/>
    <s v="Call"/>
    <s v="Corporate"/>
    <x v="10"/>
    <s v="Naresh"/>
    <s v="Proposed for Corporate events, Bulk Orders"/>
    <m/>
    <m/>
    <d v="2024-12-01T00:00:00"/>
    <x v="0"/>
    <x v="0"/>
    <s v="Warm"/>
    <m/>
    <m/>
    <m/>
    <m/>
    <m/>
    <x v="2"/>
    <n v="43"/>
    <x v="0"/>
  </r>
  <r>
    <d v="2024-10-25T00:00:00"/>
    <x v="19"/>
    <s v="Call"/>
    <s v="Aggregator"/>
    <x v="4"/>
    <s v="Monika"/>
    <s v="Need to send food sample on Monday."/>
    <m/>
    <m/>
    <d v="2025-02-01T00:00:00"/>
    <x v="0"/>
    <x v="1"/>
    <s v="Warm"/>
    <m/>
    <m/>
    <m/>
    <m/>
    <m/>
    <x v="2"/>
    <n v="43"/>
    <x v="1"/>
  </r>
  <r>
    <d v="2024-10-25T00:00:00"/>
    <x v="123"/>
    <s v="Call"/>
    <s v="Corporate"/>
    <x v="30"/>
    <s v="Rinu"/>
    <s v="Proposed for Corporate events, Bulk Orders"/>
    <m/>
    <m/>
    <d v="2025-02-01T00:00:00"/>
    <x v="0"/>
    <x v="1"/>
    <s v="Warm"/>
    <m/>
    <m/>
    <m/>
    <m/>
    <m/>
    <x v="2"/>
    <n v="43"/>
    <x v="1"/>
  </r>
  <r>
    <d v="2024-10-25T00:00:00"/>
    <x v="124"/>
    <s v="Call"/>
    <s v="Aggregator"/>
    <x v="4"/>
    <s v="Amit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5T00:00:00"/>
    <x v="125"/>
    <s v="F2F"/>
    <s v="Corporate"/>
    <x v="48"/>
    <s v="Amit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5T00:00:00"/>
    <x v="126"/>
    <s v="Call"/>
    <s v="Corporate"/>
    <x v="6"/>
    <s v="Pravallika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5T00:00:00"/>
    <x v="127"/>
    <s v="F2F"/>
    <s v="Corporate"/>
    <x v="48"/>
    <s v="Bhushan"/>
    <s v="Proposed for Corporate events, Bulk Orders"/>
    <m/>
    <m/>
    <d v="2024-11-01T00:00:00"/>
    <x v="0"/>
    <x v="0"/>
    <s v="Warm"/>
    <m/>
    <m/>
    <m/>
    <m/>
    <m/>
    <x v="2"/>
    <n v="43"/>
    <x v="0"/>
  </r>
  <r>
    <d v="2024-10-28T00:00:00"/>
    <x v="100"/>
    <s v="Call"/>
    <s v="Events"/>
    <x v="21"/>
    <s v="Ankit"/>
    <s v="Discussed on commercials for upcoming Pet Fed and IIM Events"/>
    <m/>
    <m/>
    <d v="2024-11-01T00:00:00"/>
    <x v="0"/>
    <x v="1"/>
    <s v="Hot"/>
    <m/>
    <m/>
    <m/>
    <m/>
    <m/>
    <x v="2"/>
    <n v="44"/>
    <x v="0"/>
  </r>
  <r>
    <d v="2024-10-28T00:00:00"/>
    <x v="7"/>
    <s v="Call"/>
    <s v="Corporate"/>
    <x v="2"/>
    <s v="Gopinath"/>
    <s v="Food sample sent"/>
    <m/>
    <m/>
    <d v="2024-11-01T00:00:00"/>
    <x v="1"/>
    <x v="1"/>
    <s v="Warm"/>
    <m/>
    <m/>
    <m/>
    <m/>
    <m/>
    <x v="2"/>
    <n v="44"/>
    <x v="0"/>
  </r>
  <r>
    <d v="2024-10-28T00:00:00"/>
    <x v="128"/>
    <s v="F2F"/>
    <s v="Corporate"/>
    <x v="10"/>
    <s v="Baghvat"/>
    <s v="Proposed for Corporate events, Bulk Orders"/>
    <m/>
    <m/>
    <d v="2024-11-01T00:00:00"/>
    <x v="0"/>
    <x v="0"/>
    <s v="Warm"/>
    <m/>
    <m/>
    <m/>
    <m/>
    <m/>
    <x v="2"/>
    <n v="44"/>
    <x v="0"/>
  </r>
  <r>
    <d v="2024-10-28T00:00:00"/>
    <x v="129"/>
    <s v="F2F"/>
    <s v="Corporate"/>
    <x v="10"/>
    <s v="Vadhirajan"/>
    <s v="Proposed for Corporate events, Bulk Orders"/>
    <m/>
    <m/>
    <d v="2024-11-01T00:00:00"/>
    <x v="0"/>
    <x v="0"/>
    <s v="Warm"/>
    <m/>
    <m/>
    <m/>
    <m/>
    <m/>
    <x v="2"/>
    <n v="44"/>
    <x v="0"/>
  </r>
  <r>
    <d v="2024-10-28T00:00:00"/>
    <x v="130"/>
    <s v="Call"/>
    <s v="Corporate"/>
    <x v="6"/>
    <s v="Ramu"/>
    <s v="Confirmed bulk order for trial"/>
    <n v="3150"/>
    <n v="3150"/>
    <d v="2024-10-01T00:00:00"/>
    <x v="0"/>
    <x v="4"/>
    <s v="Hot"/>
    <m/>
    <m/>
    <n v="3150"/>
    <m/>
    <m/>
    <x v="2"/>
    <n v="44"/>
    <x v="0"/>
  </r>
  <r>
    <d v="2024-10-29T00:00:00"/>
    <x v="64"/>
    <s v="Call"/>
    <s v="Corporate"/>
    <x v="29"/>
    <s v="Ajay"/>
    <s v="Proposed for Corporate events, Bulk Orders"/>
    <m/>
    <m/>
    <d v="2024-11-01T00:00:00"/>
    <x v="0"/>
    <x v="1"/>
    <s v="Warm"/>
    <m/>
    <m/>
    <m/>
    <m/>
    <m/>
    <x v="2"/>
    <n v="44"/>
    <x v="0"/>
  </r>
  <r>
    <d v="2024-10-29T00:00:00"/>
    <x v="18"/>
    <s v="F2F"/>
    <s v="Corporate"/>
    <x v="10"/>
    <s v="Naresh"/>
    <s v="Proposed for Corporate events, Bulk Orders"/>
    <m/>
    <m/>
    <d v="2024-11-01T00:00:00"/>
    <x v="0"/>
    <x v="1"/>
    <s v="Warm"/>
    <m/>
    <m/>
    <m/>
    <m/>
    <m/>
    <x v="2"/>
    <n v="44"/>
    <x v="0"/>
  </r>
  <r>
    <d v="2024-10-29T00:00:00"/>
    <x v="131"/>
    <s v="Call"/>
    <s v="Aggregator"/>
    <x v="4"/>
    <s v="John"/>
    <s v="Proposed for Corporate events, Bulk Orders"/>
    <m/>
    <m/>
    <d v="2024-11-01T00:00:00"/>
    <x v="1"/>
    <x v="0"/>
    <s v="Warm"/>
    <m/>
    <m/>
    <m/>
    <m/>
    <m/>
    <x v="2"/>
    <n v="44"/>
    <x v="0"/>
  </r>
  <r>
    <d v="2024-10-29T00:00:00"/>
    <x v="22"/>
    <s v="F2F"/>
    <s v="Corporate"/>
    <x v="13"/>
    <s v="Sudhakar"/>
    <s v="Proposed for Corporate events, Bulk Orders"/>
    <m/>
    <m/>
    <d v="2024-11-01T00:00:00"/>
    <x v="0"/>
    <x v="1"/>
    <s v="Warm"/>
    <m/>
    <m/>
    <m/>
    <m/>
    <m/>
    <x v="2"/>
    <n v="44"/>
    <x v="0"/>
  </r>
  <r>
    <d v="2024-10-29T00:00:00"/>
    <x v="132"/>
    <s v="Call"/>
    <s v="Corporate"/>
    <x v="49"/>
    <s v="Kiran"/>
    <s v="Proposed for Corporate events, Bulk Orders"/>
    <m/>
    <m/>
    <d v="2024-11-01T00:00:00"/>
    <x v="0"/>
    <x v="0"/>
    <s v="Warm"/>
    <m/>
    <m/>
    <m/>
    <m/>
    <m/>
    <x v="2"/>
    <n v="44"/>
    <x v="0"/>
  </r>
  <r>
    <d v="2024-10-29T00:00:00"/>
    <x v="43"/>
    <s v="Call"/>
    <s v="Corporate"/>
    <x v="10"/>
    <s v="Vivek"/>
    <s v="Proposed for Corporate events, Bulk Orders"/>
    <m/>
    <m/>
    <d v="2024-11-01T00:00:00"/>
    <x v="0"/>
    <x v="0"/>
    <s v="Warm"/>
    <m/>
    <m/>
    <m/>
    <m/>
    <m/>
    <x v="2"/>
    <n v="44"/>
    <x v="0"/>
  </r>
  <r>
    <d v="2024-10-29T00:00:00"/>
    <x v="133"/>
    <s v="Call"/>
    <s v="Corporate"/>
    <x v="10"/>
    <s v="Vedha"/>
    <s v="Proposed for Corporate events, Bulk Orders"/>
    <m/>
    <m/>
    <d v="2024-11-01T00:00:00"/>
    <x v="0"/>
    <x v="0"/>
    <s v="Warm"/>
    <m/>
    <m/>
    <m/>
    <m/>
    <m/>
    <x v="2"/>
    <n v="44"/>
    <x v="0"/>
  </r>
  <r>
    <d v="2024-10-29T00:00:00"/>
    <x v="134"/>
    <s v="Call"/>
    <s v="Corporate"/>
    <x v="50"/>
    <s v="Shyju"/>
    <s v="Proposed for Corporate events, Bulk Orders"/>
    <m/>
    <m/>
    <d v="2024-11-01T00:00:00"/>
    <x v="0"/>
    <x v="0"/>
    <s v="Warm"/>
    <m/>
    <m/>
    <m/>
    <m/>
    <m/>
    <x v="2"/>
    <n v="44"/>
    <x v="0"/>
  </r>
  <r>
    <d v="2024-11-04T00:00:00"/>
    <x v="100"/>
    <s v="Call"/>
    <s v="Events"/>
    <x v="21"/>
    <s v="Ankit"/>
    <s v="Confirmed Sangram 2024 – IIM Bangalore and Pet Fed Bengaluru 2024"/>
    <m/>
    <m/>
    <d v="2024-12-01T00:00:00"/>
    <x v="0"/>
    <x v="1"/>
    <s v="Hot"/>
    <m/>
    <m/>
    <m/>
    <m/>
    <m/>
    <x v="3"/>
    <n v="45"/>
    <x v="0"/>
  </r>
  <r>
    <d v="2024-11-04T00:00:00"/>
    <x v="4"/>
    <s v="Call"/>
    <s v="Aggregator"/>
    <x v="4"/>
    <s v="Nupur"/>
    <s v="Confirmed 10 corporate events"/>
    <m/>
    <m/>
    <d v="2025-02-01T00:00:00"/>
    <x v="0"/>
    <x v="3"/>
    <s v="Warm"/>
    <m/>
    <m/>
    <m/>
    <m/>
    <m/>
    <x v="3"/>
    <n v="45"/>
    <x v="1"/>
  </r>
  <r>
    <d v="2024-11-04T00:00:00"/>
    <x v="135"/>
    <s v="F2F"/>
    <s v="Corporate"/>
    <x v="51"/>
    <s v="Jyoytsana"/>
    <s v="Proposed for Corporate events, Bulk Orders"/>
    <m/>
    <m/>
    <d v="2024-11-01T00:00:00"/>
    <x v="0"/>
    <x v="0"/>
    <s v="Warm"/>
    <m/>
    <m/>
    <m/>
    <m/>
    <m/>
    <x v="3"/>
    <n v="45"/>
    <x v="0"/>
  </r>
  <r>
    <d v="2024-11-04T00:00:00"/>
    <x v="136"/>
    <s v="F2F"/>
    <s v="Corporate"/>
    <x v="52"/>
    <s v="Ferlin"/>
    <s v="Proposed for Corporate events, Bulk Orders"/>
    <m/>
    <m/>
    <d v="2024-11-01T00:00:00"/>
    <x v="0"/>
    <x v="0"/>
    <s v="Warm"/>
    <m/>
    <m/>
    <m/>
    <m/>
    <m/>
    <x v="3"/>
    <n v="45"/>
    <x v="0"/>
  </r>
  <r>
    <d v="2024-11-05T00:00:00"/>
    <x v="6"/>
    <s v="F2F"/>
    <s v="Aggregator"/>
    <x v="4"/>
    <s v="Shariff"/>
    <s v="discussed on Pop-up counter &amp; Bulk Orders"/>
    <m/>
    <m/>
    <d v="2024-11-01T00:00:00"/>
    <x v="0"/>
    <x v="1"/>
    <s v="Warm"/>
    <m/>
    <m/>
    <m/>
    <m/>
    <m/>
    <x v="3"/>
    <n v="45"/>
    <x v="0"/>
  </r>
  <r>
    <d v="2024-11-05T00:00:00"/>
    <x v="137"/>
    <s v="Call"/>
    <s v="Corporate"/>
    <x v="9"/>
    <s v="Alankar"/>
    <s v="Need to contact Compass group for events and bulk orders"/>
    <m/>
    <m/>
    <d v="2024-11-01T00:00:00"/>
    <x v="0"/>
    <x v="0"/>
    <s v="Cold"/>
    <m/>
    <m/>
    <m/>
    <m/>
    <m/>
    <x v="3"/>
    <n v="45"/>
    <x v="0"/>
  </r>
  <r>
    <d v="2024-11-05T00:00:00"/>
    <x v="137"/>
    <s v="Call"/>
    <s v="Corporate"/>
    <x v="14"/>
    <s v="Rino"/>
    <s v="discussed on Pop-up counter &amp; Bulk Orders"/>
    <m/>
    <m/>
    <d v="2024-11-01T00:00:00"/>
    <x v="0"/>
    <x v="1"/>
    <s v="Warm"/>
    <m/>
    <m/>
    <m/>
    <m/>
    <m/>
    <x v="3"/>
    <n v="45"/>
    <x v="0"/>
  </r>
  <r>
    <d v="2024-11-06T00:00:00"/>
    <x v="138"/>
    <s v="F2F"/>
    <s v="Corporate"/>
    <x v="53"/>
    <s v="Suresh"/>
    <s v="Discussed on Pop-up counter &amp; Bulk Orders"/>
    <m/>
    <m/>
    <d v="2024-11-01T00:00:00"/>
    <x v="0"/>
    <x v="0"/>
    <s v="Warm"/>
    <m/>
    <m/>
    <m/>
    <m/>
    <m/>
    <x v="3"/>
    <n v="45"/>
    <x v="0"/>
  </r>
  <r>
    <d v="2024-11-06T00:00:00"/>
    <x v="139"/>
    <s v="Call"/>
    <s v="Corporate"/>
    <x v="30"/>
    <s v="Monika"/>
    <s v="Discussed on Pop-up counter &amp; Bulk Orders"/>
    <m/>
    <m/>
    <d v="2024-11-01T00:00:00"/>
    <x v="0"/>
    <x v="0"/>
    <s v="Warm"/>
    <m/>
    <m/>
    <m/>
    <m/>
    <m/>
    <x v="3"/>
    <n v="45"/>
    <x v="0"/>
  </r>
  <r>
    <d v="2024-11-06T00:00:00"/>
    <x v="140"/>
    <s v="Call"/>
    <s v="Corporate"/>
    <x v="32"/>
    <s v="Prabhakar "/>
    <s v="Discussed on Pop-up counter &amp; Bulk Orders"/>
    <m/>
    <m/>
    <d v="2024-11-01T00:00:00"/>
    <x v="0"/>
    <x v="0"/>
    <s v="Warm"/>
    <m/>
    <m/>
    <m/>
    <m/>
    <m/>
    <x v="3"/>
    <n v="45"/>
    <x v="0"/>
  </r>
  <r>
    <d v="2024-11-07T00:00:00"/>
    <x v="141"/>
    <s v="F2F"/>
    <s v="Corporate"/>
    <x v="54"/>
    <s v="Sujatha"/>
    <s v="Discussed on Pop-up counter &amp; Bulk Orders, need to connect with CBRE team"/>
    <m/>
    <m/>
    <d v="2024-12-01T00:00:00"/>
    <x v="0"/>
    <x v="0"/>
    <s v="Warm"/>
    <m/>
    <m/>
    <m/>
    <m/>
    <m/>
    <x v="3"/>
    <n v="45"/>
    <x v="0"/>
  </r>
  <r>
    <d v="2024-11-07T00:00:00"/>
    <x v="142"/>
    <s v="Call"/>
    <s v="Corporate"/>
    <x v="55"/>
    <s v="Veena"/>
    <s v="Discussed on Pop-up counter &amp; Bulk Orders"/>
    <m/>
    <m/>
    <d v="2024-11-01T00:00:00"/>
    <x v="0"/>
    <x v="0"/>
    <s v="Warm"/>
    <m/>
    <m/>
    <m/>
    <m/>
    <m/>
    <x v="3"/>
    <n v="45"/>
    <x v="0"/>
  </r>
  <r>
    <d v="2024-11-07T00:00:00"/>
    <x v="143"/>
    <s v="Call"/>
    <s v="Corporate"/>
    <x v="53"/>
    <s v="Arvind"/>
    <s v="Discussed on Pop-up counter &amp; Bulk Orders"/>
    <m/>
    <m/>
    <d v="2024-11-01T00:00:00"/>
    <x v="0"/>
    <x v="0"/>
    <s v="Warm"/>
    <m/>
    <m/>
    <m/>
    <m/>
    <m/>
    <x v="3"/>
    <n v="45"/>
    <x v="0"/>
  </r>
  <r>
    <d v="2024-11-07T00:00:00"/>
    <x v="144"/>
    <s v="Call"/>
    <s v="Corporate"/>
    <x v="10"/>
    <s v="Harikrishan"/>
    <s v="Discussed on Pop-up counter &amp; Bulk Orders"/>
    <m/>
    <m/>
    <d v="2024-11-01T00:00:00"/>
    <x v="0"/>
    <x v="0"/>
    <s v="Warm"/>
    <m/>
    <m/>
    <m/>
    <m/>
    <m/>
    <x v="3"/>
    <n v="45"/>
    <x v="0"/>
  </r>
  <r>
    <d v="2024-11-08T00:00:00"/>
    <x v="145"/>
    <s v="Call"/>
    <s v="Corporate"/>
    <x v="10"/>
    <s v="Rohit"/>
    <s v="Discussed on Pop-up counter &amp; Bulk Orders"/>
    <m/>
    <m/>
    <d v="2024-12-01T00:00:00"/>
    <x v="0"/>
    <x v="0"/>
    <s v="Warm"/>
    <m/>
    <m/>
    <m/>
    <m/>
    <m/>
    <x v="3"/>
    <n v="45"/>
    <x v="0"/>
  </r>
  <r>
    <d v="2024-11-08T00:00:00"/>
    <x v="146"/>
    <s v="F2F"/>
    <s v="Institution"/>
    <x v="56"/>
    <s v="Unnikrishnan"/>
    <s v="Discussed on Pop-up counter &amp; Events"/>
    <m/>
    <m/>
    <d v="2024-12-01T00:00:00"/>
    <x v="0"/>
    <x v="0"/>
    <s v="Warm"/>
    <m/>
    <m/>
    <m/>
    <m/>
    <m/>
    <x v="3"/>
    <n v="45"/>
    <x v="0"/>
  </r>
  <r>
    <d v="2024-11-08T00:00:00"/>
    <x v="147"/>
    <s v="F2F"/>
    <s v="Corporate"/>
    <x v="12"/>
    <s v="Mohammed"/>
    <s v="Received Bulk Order, following for more requirements"/>
    <n v="32697"/>
    <n v="32697"/>
    <d v="2024-11-01T00:00:00"/>
    <x v="0"/>
    <x v="4"/>
    <s v="Hot"/>
    <m/>
    <m/>
    <m/>
    <m/>
    <m/>
    <x v="3"/>
    <n v="45"/>
    <x v="0"/>
  </r>
  <r>
    <d v="2024-11-08T00:00:00"/>
    <x v="148"/>
    <s v="F2F"/>
    <s v="Corporate"/>
    <x v="57"/>
    <s v="Satish"/>
    <s v="Discussed on Pop-up counter &amp; Bulk Orders"/>
    <m/>
    <m/>
    <d v="2024-11-01T00:00:00"/>
    <x v="0"/>
    <x v="0"/>
    <s v="Warm"/>
    <m/>
    <m/>
    <m/>
    <m/>
    <m/>
    <x v="3"/>
    <n v="45"/>
    <x v="0"/>
  </r>
  <r>
    <d v="2024-11-08T00:00:00"/>
    <x v="149"/>
    <s v="Call"/>
    <s v="Corporate"/>
    <x v="42"/>
    <s v="Harish"/>
    <s v="Discussed on Pop-up counter &amp; Bulk Orders"/>
    <m/>
    <m/>
    <d v="2024-11-01T00:00:00"/>
    <x v="0"/>
    <x v="0"/>
    <s v="Warm"/>
    <m/>
    <m/>
    <m/>
    <m/>
    <m/>
    <x v="3"/>
    <n v="45"/>
    <x v="0"/>
  </r>
  <r>
    <d v="2024-11-11T00:00:00"/>
    <x v="150"/>
    <s v="F2F"/>
    <s v="Corporate"/>
    <x v="42"/>
    <s v="Shriram"/>
    <s v="Discussed on Pop-up counter &amp; Bulk Orders"/>
    <m/>
    <m/>
    <d v="2024-12-01T00:00:00"/>
    <x v="0"/>
    <x v="1"/>
    <s v="Warm"/>
    <m/>
    <m/>
    <m/>
    <m/>
    <m/>
    <x v="3"/>
    <n v="46"/>
    <x v="0"/>
  </r>
  <r>
    <d v="2024-11-11T00:00:00"/>
    <x v="151"/>
    <s v="F2F"/>
    <s v="Corporate"/>
    <x v="20"/>
    <s v="Rohan"/>
    <s v="Discussed on Pop-up counter &amp; Bulk Orders"/>
    <n v="18500"/>
    <n v="18500"/>
    <d v="2024-12-01T00:00:00"/>
    <x v="0"/>
    <x v="4"/>
    <s v="Warm"/>
    <m/>
    <m/>
    <m/>
    <m/>
    <m/>
    <x v="3"/>
    <n v="46"/>
    <x v="0"/>
  </r>
  <r>
    <d v="2024-11-11T00:00:00"/>
    <x v="152"/>
    <s v="F2F"/>
    <s v="Corporate"/>
    <x v="10"/>
    <s v="Mohammed"/>
    <s v="Received Bulk Order, following for more requirements"/>
    <n v="15162"/>
    <n v="15162"/>
    <d v="2024-11-01T00:00:00"/>
    <x v="0"/>
    <x v="4"/>
    <s v="Hot"/>
    <m/>
    <m/>
    <m/>
    <m/>
    <m/>
    <x v="3"/>
    <n v="46"/>
    <x v="0"/>
  </r>
  <r>
    <d v="2024-11-12T00:00:00"/>
    <x v="32"/>
    <s v="Call"/>
    <s v="Corporate"/>
    <x v="24"/>
    <s v="Gangadhar"/>
    <s v="Follow-up, for Events and Bulk Order."/>
    <m/>
    <m/>
    <d v="2024-12-01T00:00:00"/>
    <x v="0"/>
    <x v="0"/>
    <s v="Warm"/>
    <m/>
    <m/>
    <m/>
    <m/>
    <m/>
    <x v="3"/>
    <n v="46"/>
    <x v="0"/>
  </r>
  <r>
    <d v="2024-11-12T00:00:00"/>
    <x v="153"/>
    <s v="F2F"/>
    <s v="Corporate"/>
    <x v="5"/>
    <s v="Kunal"/>
    <s v="Discussed on Pop-up counter &amp; Bulk Orders"/>
    <m/>
    <m/>
    <d v="2024-12-01T00:00:00"/>
    <x v="0"/>
    <x v="0"/>
    <s v="Warm"/>
    <m/>
    <m/>
    <m/>
    <m/>
    <m/>
    <x v="3"/>
    <n v="46"/>
    <x v="0"/>
  </r>
  <r>
    <d v="2024-11-12T00:00:00"/>
    <x v="154"/>
    <s v="F2F"/>
    <s v="Corporate"/>
    <x v="58"/>
    <s v="Mahesh"/>
    <s v="Discussed on Pop-up counter &amp; Bulk Orders"/>
    <m/>
    <m/>
    <d v="2024-12-01T00:00:00"/>
    <x v="0"/>
    <x v="0"/>
    <s v="Warm"/>
    <m/>
    <m/>
    <m/>
    <m/>
    <m/>
    <x v="3"/>
    <n v="46"/>
    <x v="0"/>
  </r>
  <r>
    <d v="2024-11-12T00:00:00"/>
    <x v="1"/>
    <s v="Call"/>
    <s v="Corporate"/>
    <x v="1"/>
    <s v="Jeethan"/>
    <s v="Follow-up, for Events and Bulk Order."/>
    <m/>
    <m/>
    <d v="2025-02-01T00:00:00"/>
    <x v="0"/>
    <x v="1"/>
    <s v="Warm"/>
    <m/>
    <m/>
    <m/>
    <m/>
    <m/>
    <x v="3"/>
    <n v="46"/>
    <x v="1"/>
  </r>
  <r>
    <d v="2024-11-12T00:00:00"/>
    <x v="155"/>
    <s v="Call"/>
    <s v="Corporate"/>
    <x v="51"/>
    <s v="Sambit"/>
    <s v="Follow-up, for Events and Bulk Order."/>
    <m/>
    <m/>
    <d v="2024-12-01T00:00:00"/>
    <x v="0"/>
    <x v="0"/>
    <s v="Warm"/>
    <m/>
    <m/>
    <m/>
    <m/>
    <m/>
    <x v="3"/>
    <n v="46"/>
    <x v="0"/>
  </r>
  <r>
    <d v="2024-11-13T00:00:00"/>
    <x v="156"/>
    <s v="Call"/>
    <s v="Aggregator"/>
    <x v="4"/>
    <s v="Nupur"/>
    <s v="Confirmed Bulk order"/>
    <n v="47000"/>
    <n v="47000"/>
    <d v="2024-12-01T00:00:00"/>
    <x v="0"/>
    <x v="4"/>
    <s v="Warm"/>
    <m/>
    <m/>
    <m/>
    <m/>
    <m/>
    <x v="3"/>
    <n v="46"/>
    <x v="0"/>
  </r>
  <r>
    <d v="2024-11-13T00:00:00"/>
    <x v="157"/>
    <s v="Call"/>
    <s v="Corporate"/>
    <x v="12"/>
    <s v="Mohammed"/>
    <s v="Received Bulk Order, following for more requirements"/>
    <n v="35476"/>
    <n v="35476"/>
    <d v="2024-11-01T00:00:00"/>
    <x v="0"/>
    <x v="4"/>
    <s v="Hot"/>
    <m/>
    <m/>
    <m/>
    <m/>
    <m/>
    <x v="3"/>
    <n v="46"/>
    <x v="0"/>
  </r>
  <r>
    <d v="2024-11-13T00:00:00"/>
    <x v="57"/>
    <s v="F2F"/>
    <s v="Corporate"/>
    <x v="6"/>
    <s v="Nivesh"/>
    <s v="Proposed for Corporate events, Bulk Orders"/>
    <m/>
    <m/>
    <d v="2024-11-01T00:00:00"/>
    <x v="0"/>
    <x v="1"/>
    <s v="Warm"/>
    <m/>
    <m/>
    <m/>
    <m/>
    <m/>
    <x v="3"/>
    <n v="46"/>
    <x v="0"/>
  </r>
  <r>
    <d v="2024-11-13T00:00:00"/>
    <x v="50"/>
    <s v="Call"/>
    <s v="Corporate"/>
    <x v="4"/>
    <s v="Pankaj"/>
    <s v="Received Bulk Order, following for more requirements"/>
    <n v="52955"/>
    <n v="52955"/>
    <d v="2024-11-01T00:00:00"/>
    <x v="0"/>
    <x v="4"/>
    <s v="Hot"/>
    <m/>
    <m/>
    <m/>
    <m/>
    <m/>
    <x v="3"/>
    <n v="46"/>
    <x v="0"/>
  </r>
  <r>
    <d v="2024-11-13T00:00:00"/>
    <x v="158"/>
    <s v="Call"/>
    <s v="Aggregator"/>
    <x v="4"/>
    <s v="Nupur"/>
    <s v="Completed 6 Corporate counters"/>
    <n v="44098"/>
    <n v="44098"/>
    <d v="2024-11-01T00:00:00"/>
    <x v="0"/>
    <x v="4"/>
    <s v="Hot"/>
    <m/>
    <m/>
    <m/>
    <m/>
    <m/>
    <x v="3"/>
    <n v="46"/>
    <x v="0"/>
  </r>
  <r>
    <d v="2024-11-13T00:00:00"/>
    <x v="159"/>
    <s v="F2F"/>
    <s v="Corporate"/>
    <x v="59"/>
    <s v="Dinesh"/>
    <s v="Proposed for Corporate events, Bulk Orders"/>
    <m/>
    <m/>
    <d v="2024-11-01T00:00:00"/>
    <x v="0"/>
    <x v="0"/>
    <s v="Warm"/>
    <m/>
    <m/>
    <m/>
    <m/>
    <m/>
    <x v="3"/>
    <n v="46"/>
    <x v="0"/>
  </r>
  <r>
    <d v="2024-11-14T00:00:00"/>
    <x v="24"/>
    <s v="F2F"/>
    <s v="Corporate"/>
    <x v="51"/>
    <s v="Abhijit"/>
    <s v="Proposed for Corporate events, Bulk Orders"/>
    <m/>
    <m/>
    <d v="2024-12-01T00:00:00"/>
    <x v="0"/>
    <x v="1"/>
    <s v="Warm"/>
    <m/>
    <m/>
    <m/>
    <m/>
    <m/>
    <x v="3"/>
    <n v="46"/>
    <x v="0"/>
  </r>
  <r>
    <d v="2024-11-14T00:00:00"/>
    <x v="160"/>
    <s v="Call"/>
    <s v="Corporate"/>
    <x v="10"/>
    <s v="Nupur"/>
    <s v="Corporate ODC"/>
    <n v="6884"/>
    <n v="6884"/>
    <d v="2024-11-01T00:00:00"/>
    <x v="0"/>
    <x v="4"/>
    <s v="Hot"/>
    <m/>
    <m/>
    <m/>
    <m/>
    <m/>
    <x v="3"/>
    <n v="46"/>
    <x v="0"/>
  </r>
  <r>
    <d v="2024-11-14T00:00:00"/>
    <x v="161"/>
    <s v="F2F"/>
    <s v="Corporate"/>
    <x v="60"/>
    <s v="Imran"/>
    <s v="Proposed for Corporate events, Bulk Orders"/>
    <m/>
    <m/>
    <d v="2024-11-01T00:00:00"/>
    <x v="0"/>
    <x v="0"/>
    <s v="Warm"/>
    <m/>
    <m/>
    <m/>
    <m/>
    <m/>
    <x v="3"/>
    <n v="46"/>
    <x v="0"/>
  </r>
  <r>
    <d v="2024-11-14T00:00:00"/>
    <x v="162"/>
    <s v="Call"/>
    <s v="Corporate"/>
    <x v="27"/>
    <s v="Mustafa"/>
    <s v="Proposed for Corporate events, Bulk Orders"/>
    <m/>
    <m/>
    <d v="2024-11-01T00:00:00"/>
    <x v="0"/>
    <x v="0"/>
    <s v="Warm"/>
    <m/>
    <m/>
    <m/>
    <m/>
    <m/>
    <x v="3"/>
    <n v="46"/>
    <x v="0"/>
  </r>
  <r>
    <d v="2024-11-14T00:00:00"/>
    <x v="163"/>
    <s v="Call"/>
    <s v="Corporate"/>
    <x v="61"/>
    <s v="Chetry"/>
    <s v="Proposed for Corporate events, Bulk Orders"/>
    <m/>
    <m/>
    <d v="2024-11-01T00:00:00"/>
    <x v="0"/>
    <x v="0"/>
    <s v="Warm"/>
    <m/>
    <m/>
    <m/>
    <m/>
    <m/>
    <x v="3"/>
    <n v="46"/>
    <x v="0"/>
  </r>
  <r>
    <d v="2024-11-15T00:00:00"/>
    <x v="164"/>
    <s v="Call"/>
    <s v="Events"/>
    <x v="21"/>
    <s v="Anmol"/>
    <s v="Discussed for the Comicon participation"/>
    <m/>
    <m/>
    <d v="2025-02-01T00:00:00"/>
    <x v="2"/>
    <x v="1"/>
    <s v="Warm"/>
    <m/>
    <m/>
    <m/>
    <m/>
    <m/>
    <x v="3"/>
    <n v="46"/>
    <x v="1"/>
  </r>
  <r>
    <d v="2024-11-15T00:00:00"/>
    <x v="165"/>
    <s v="Call"/>
    <s v="Institution"/>
    <x v="33"/>
    <s v="Ankit"/>
    <s v="Cash and carry counter"/>
    <n v="33705"/>
    <n v="33705"/>
    <d v="2024-11-01T00:00:00"/>
    <x v="0"/>
    <x v="4"/>
    <s v="Warm"/>
    <m/>
    <m/>
    <m/>
    <m/>
    <m/>
    <x v="3"/>
    <n v="46"/>
    <x v="0"/>
  </r>
  <r>
    <d v="2024-11-15T00:00:00"/>
    <x v="18"/>
    <s v="Call"/>
    <s v="Corporate"/>
    <x v="10"/>
    <s v="Latha"/>
    <s v="Follow-up, for Events and Bulk Order."/>
    <m/>
    <m/>
    <d v="2024-11-01T00:00:00"/>
    <x v="0"/>
    <x v="1"/>
    <s v="Warm"/>
    <m/>
    <m/>
    <m/>
    <m/>
    <m/>
    <x v="3"/>
    <n v="46"/>
    <x v="0"/>
  </r>
  <r>
    <d v="2024-11-15T00:00:00"/>
    <x v="25"/>
    <s v="Call"/>
    <s v="Corporate"/>
    <x v="14"/>
    <s v="Pooja"/>
    <s v="Follow-up, for Events and Bulk Order."/>
    <n v="25000"/>
    <n v="25000"/>
    <d v="2024-11-01T00:00:00"/>
    <x v="0"/>
    <x v="2"/>
    <s v="Warm"/>
    <s v="Did not meet their rrequirement."/>
    <m/>
    <m/>
    <m/>
    <m/>
    <x v="3"/>
    <n v="46"/>
    <x v="0"/>
  </r>
  <r>
    <d v="2024-11-18T00:00:00"/>
    <x v="166"/>
    <s v="F2F"/>
    <s v="Corporate"/>
    <x v="60"/>
    <s v="Arvind"/>
    <s v="Proposed for Corporate events, Bulk Orders"/>
    <m/>
    <m/>
    <d v="2024-11-01T00:00:00"/>
    <x v="0"/>
    <x v="0"/>
    <s v="Warm"/>
    <m/>
    <m/>
    <m/>
    <m/>
    <m/>
    <x v="3"/>
    <n v="47"/>
    <x v="0"/>
  </r>
  <r>
    <d v="2024-11-18T00:00:00"/>
    <x v="167"/>
    <s v="F2F"/>
    <s v="Corporate"/>
    <x v="10"/>
    <s v="Nagendra"/>
    <s v="Proposed for Corporate events, Bulk Orders"/>
    <m/>
    <m/>
    <d v="2024-11-01T00:00:00"/>
    <x v="0"/>
    <x v="0"/>
    <s v="Warm"/>
    <m/>
    <m/>
    <m/>
    <m/>
    <m/>
    <x v="3"/>
    <n v="47"/>
    <x v="0"/>
  </r>
  <r>
    <d v="2024-11-18T00:00:00"/>
    <x v="168"/>
    <s v="Call"/>
    <s v="Corporate"/>
    <x v="10"/>
    <s v="Srinath"/>
    <s v="Confirmed bulk Order"/>
    <n v="40500"/>
    <n v="40500"/>
    <d v="2024-11-01T00:00:00"/>
    <x v="0"/>
    <x v="4"/>
    <s v="Hot"/>
    <m/>
    <m/>
    <m/>
    <m/>
    <m/>
    <x v="3"/>
    <n v="47"/>
    <x v="0"/>
  </r>
  <r>
    <d v="2024-11-18T00:00:00"/>
    <x v="169"/>
    <s v="Call"/>
    <s v="Corporate"/>
    <x v="10"/>
    <s v="Kapiraj"/>
    <s v="Proposed for Corporate events, Bulk Orders"/>
    <m/>
    <m/>
    <d v="2024-11-01T00:00:00"/>
    <x v="0"/>
    <x v="0"/>
    <s v="Warm"/>
    <m/>
    <m/>
    <m/>
    <m/>
    <m/>
    <x v="3"/>
    <n v="47"/>
    <x v="0"/>
  </r>
  <r>
    <d v="2024-11-19T00:00:00"/>
    <x v="152"/>
    <s v="F2F"/>
    <s v="Corporate"/>
    <x v="10"/>
    <s v="Mohammed"/>
    <s v="Following for more requirements"/>
    <m/>
    <m/>
    <d v="2024-12-01T00:00:00"/>
    <x v="0"/>
    <x v="1"/>
    <s v="Warm"/>
    <m/>
    <m/>
    <m/>
    <m/>
    <m/>
    <x v="3"/>
    <n v="47"/>
    <x v="0"/>
  </r>
  <r>
    <d v="2024-11-19T00:00:00"/>
    <x v="8"/>
    <s v="F2F"/>
    <s v="Corporate"/>
    <x v="5"/>
    <s v="Saumya"/>
    <s v="Follow-up, for Events and Bulk Order."/>
    <m/>
    <m/>
    <d v="2024-12-01T00:00:00"/>
    <x v="0"/>
    <x v="1"/>
    <s v="Warm"/>
    <m/>
    <m/>
    <m/>
    <m/>
    <m/>
    <x v="3"/>
    <n v="47"/>
    <x v="0"/>
  </r>
  <r>
    <d v="2024-11-19T00:00:00"/>
    <x v="15"/>
    <s v="Call"/>
    <s v="Corporate"/>
    <x v="8"/>
    <s v="Shripathi"/>
    <s v="Follow-up, for Events and Bulk Order."/>
    <m/>
    <m/>
    <d v="2024-12-01T00:00:00"/>
    <x v="0"/>
    <x v="0"/>
    <s v="Warm"/>
    <m/>
    <m/>
    <m/>
    <m/>
    <m/>
    <x v="3"/>
    <n v="47"/>
    <x v="0"/>
  </r>
  <r>
    <d v="2024-11-19T00:00:00"/>
    <x v="16"/>
    <s v="Call"/>
    <s v="Corporate"/>
    <x v="9"/>
    <s v="Santosh"/>
    <s v="Follow-up, for Events and Bulk Order."/>
    <m/>
    <m/>
    <d v="2025-02-01T00:00:00"/>
    <x v="0"/>
    <x v="1"/>
    <s v="Warm"/>
    <m/>
    <m/>
    <m/>
    <m/>
    <m/>
    <x v="3"/>
    <n v="47"/>
    <x v="1"/>
  </r>
  <r>
    <d v="2024-11-19T00:00:00"/>
    <x v="23"/>
    <s v="Call"/>
    <s v="Corporate"/>
    <x v="10"/>
    <s v="Priya"/>
    <s v="Follow-up, for Events and Bulk Order."/>
    <m/>
    <m/>
    <d v="2024-12-01T00:00:00"/>
    <x v="0"/>
    <x v="0"/>
    <s v="Warm"/>
    <m/>
    <m/>
    <m/>
    <m/>
    <m/>
    <x v="3"/>
    <n v="47"/>
    <x v="0"/>
  </r>
  <r>
    <d v="2024-11-20T00:00:00"/>
    <x v="170"/>
    <s v="F2F"/>
    <s v="Corporate"/>
    <x v="62"/>
    <s v="Anand"/>
    <s v="Proposed for Corporate events, Bulk Orders"/>
    <m/>
    <m/>
    <d v="2024-12-01T00:00:00"/>
    <x v="0"/>
    <x v="0"/>
    <s v="Warm"/>
    <m/>
    <m/>
    <m/>
    <m/>
    <m/>
    <x v="3"/>
    <n v="47"/>
    <x v="0"/>
  </r>
  <r>
    <d v="2024-11-20T00:00:00"/>
    <x v="171"/>
    <s v="Call"/>
    <s v="Corporate"/>
    <x v="51"/>
    <s v="Rathan Gowda"/>
    <s v="Corporate ODC"/>
    <n v="53262"/>
    <n v="53262"/>
    <d v="2024-11-01T00:00:00"/>
    <x v="0"/>
    <x v="4"/>
    <s v="Warm"/>
    <m/>
    <m/>
    <m/>
    <m/>
    <m/>
    <x v="3"/>
    <n v="47"/>
    <x v="0"/>
  </r>
  <r>
    <d v="2024-11-20T00:00:00"/>
    <x v="169"/>
    <s v="Call"/>
    <s v="Corporate"/>
    <x v="10"/>
    <s v="Anil"/>
    <s v="Corporate ODC"/>
    <n v="9870"/>
    <n v="9870"/>
    <d v="2024-11-01T00:00:00"/>
    <x v="0"/>
    <x v="4"/>
    <s v="Warm"/>
    <m/>
    <m/>
    <m/>
    <m/>
    <m/>
    <x v="3"/>
    <n v="47"/>
    <x v="0"/>
  </r>
  <r>
    <d v="2024-11-20T00:00:00"/>
    <x v="172"/>
    <s v="Call"/>
    <s v="Corporate"/>
    <x v="48"/>
    <s v="Sanjay"/>
    <s v="Corporate ODC"/>
    <n v="10291"/>
    <n v="10291"/>
    <d v="2024-11-01T00:00:00"/>
    <x v="0"/>
    <x v="4"/>
    <s v="Warm"/>
    <m/>
    <m/>
    <m/>
    <m/>
    <m/>
    <x v="3"/>
    <n v="47"/>
    <x v="0"/>
  </r>
  <r>
    <d v="2024-11-20T00:00:00"/>
    <x v="173"/>
    <s v="F2F"/>
    <s v="Corporate"/>
    <x v="51"/>
    <s v="Srinivasan"/>
    <s v="Proposed for Corporate events, Bulk Orders"/>
    <m/>
    <m/>
    <d v="2024-11-01T00:00:00"/>
    <x v="0"/>
    <x v="0"/>
    <s v="Warm"/>
    <m/>
    <m/>
    <m/>
    <m/>
    <m/>
    <x v="3"/>
    <n v="47"/>
    <x v="0"/>
  </r>
  <r>
    <d v="2024-11-21T00:00:00"/>
    <x v="174"/>
    <s v="F2F"/>
    <s v="Corporate"/>
    <x v="28"/>
    <m/>
    <s v="Proposed for Corporate events, Bulk Orders"/>
    <m/>
    <m/>
    <d v="2024-12-01T00:00:00"/>
    <x v="0"/>
    <x v="0"/>
    <s v="Warm"/>
    <m/>
    <m/>
    <m/>
    <m/>
    <m/>
    <x v="3"/>
    <n v="47"/>
    <x v="0"/>
  </r>
  <r>
    <d v="2024-11-21T00:00:00"/>
    <x v="61"/>
    <s v="F2F"/>
    <s v="Corporate"/>
    <x v="19"/>
    <s v="Ranjit"/>
    <s v="Proposed for Corporate events, Bulk Orders"/>
    <m/>
    <m/>
    <d v="2024-12-01T00:00:00"/>
    <x v="0"/>
    <x v="1"/>
    <s v="Warm"/>
    <m/>
    <m/>
    <m/>
    <m/>
    <m/>
    <x v="3"/>
    <n v="47"/>
    <x v="0"/>
  </r>
  <r>
    <d v="2024-11-21T00:00:00"/>
    <x v="98"/>
    <s v="Call"/>
    <s v="Aggregator"/>
    <x v="4"/>
    <s v="Keshav"/>
    <s v="Follow-up for corporate business"/>
    <m/>
    <m/>
    <d v="2024-12-01T00:00:00"/>
    <x v="0"/>
    <x v="1"/>
    <s v="Warm"/>
    <m/>
    <m/>
    <m/>
    <m/>
    <m/>
    <x v="3"/>
    <n v="47"/>
    <x v="0"/>
  </r>
  <r>
    <d v="2024-11-21T00:00:00"/>
    <x v="173"/>
    <s v="Call"/>
    <s v="Corporate"/>
    <x v="51"/>
    <s v="Srinivasan"/>
    <s v="Confirmed bulk Order"/>
    <n v="23902"/>
    <n v="23902"/>
    <d v="2024-11-01T00:00:00"/>
    <x v="0"/>
    <x v="4"/>
    <s v="Warm"/>
    <m/>
    <m/>
    <m/>
    <m/>
    <m/>
    <x v="3"/>
    <n v="47"/>
    <x v="0"/>
  </r>
  <r>
    <d v="2024-11-22T00:00:00"/>
    <x v="64"/>
    <s v="F2F"/>
    <s v="Corporate"/>
    <x v="29"/>
    <s v="Ajay"/>
    <s v="Follow-up, for Events and Bulk Order."/>
    <m/>
    <m/>
    <d v="2024-12-01T00:00:00"/>
    <x v="0"/>
    <x v="1"/>
    <s v="Warm"/>
    <m/>
    <m/>
    <m/>
    <m/>
    <m/>
    <x v="3"/>
    <n v="47"/>
    <x v="0"/>
  </r>
  <r>
    <d v="2024-11-22T00:00:00"/>
    <x v="105"/>
    <s v="F2F"/>
    <s v="Corporate"/>
    <x v="2"/>
    <s v="Ruchi"/>
    <s v="Follow-up, for Events and Bulk Order."/>
    <m/>
    <m/>
    <d v="2024-12-01T00:00:00"/>
    <x v="0"/>
    <x v="1"/>
    <s v="Warm"/>
    <m/>
    <m/>
    <m/>
    <m/>
    <m/>
    <x v="3"/>
    <n v="47"/>
    <x v="0"/>
  </r>
  <r>
    <d v="2024-11-22T00:00:00"/>
    <x v="175"/>
    <s v="Call"/>
    <s v="Corporate"/>
    <x v="63"/>
    <s v="Harish"/>
    <s v="Proposed for Corporate events, Bulk Orders"/>
    <m/>
    <m/>
    <d v="2024-12-01T00:00:00"/>
    <x v="0"/>
    <x v="0"/>
    <s v="Warm"/>
    <m/>
    <m/>
    <m/>
    <m/>
    <m/>
    <x v="3"/>
    <n v="47"/>
    <x v="0"/>
  </r>
  <r>
    <d v="2024-11-22T00:00:00"/>
    <x v="176"/>
    <s v="Call"/>
    <s v="Corporate"/>
    <x v="62"/>
    <s v="Sharon"/>
    <s v="Proposed for Corporate events, Bulk Orders"/>
    <m/>
    <m/>
    <d v="2024-12-01T00:00:00"/>
    <x v="0"/>
    <x v="0"/>
    <s v="Warm"/>
    <m/>
    <m/>
    <m/>
    <m/>
    <m/>
    <x v="3"/>
    <n v="47"/>
    <x v="0"/>
  </r>
  <r>
    <d v="2024-11-22T00:00:00"/>
    <x v="177"/>
    <s v="Call"/>
    <s v="Corporate"/>
    <x v="64"/>
    <s v="Manjesh"/>
    <s v="Proposed for Corporate events, Bulk Orders"/>
    <m/>
    <m/>
    <d v="2024-12-01T00:00:00"/>
    <x v="0"/>
    <x v="0"/>
    <s v="Warm"/>
    <m/>
    <m/>
    <m/>
    <m/>
    <m/>
    <x v="3"/>
    <n v="47"/>
    <x v="0"/>
  </r>
  <r>
    <d v="2024-11-26T00:00:00"/>
    <x v="178"/>
    <s v="F2F"/>
    <s v="Corporate"/>
    <x v="10"/>
    <s v="Anand"/>
    <s v="Proposed for Corporate events, Bulk Orders"/>
    <m/>
    <m/>
    <d v="2024-12-01T00:00:00"/>
    <x v="0"/>
    <x v="0"/>
    <s v="Warm"/>
    <m/>
    <m/>
    <m/>
    <m/>
    <m/>
    <x v="3"/>
    <n v="48"/>
    <x v="0"/>
  </r>
  <r>
    <d v="2024-11-26T00:00:00"/>
    <x v="4"/>
    <s v="Call"/>
    <s v="Aggregator"/>
    <x v="4"/>
    <s v="Taranjot"/>
    <s v="Discused on corporate ODC and Bulk Orders"/>
    <m/>
    <m/>
    <d v="2024-12-01T00:00:00"/>
    <x v="0"/>
    <x v="1"/>
    <s v="Warm"/>
    <m/>
    <m/>
    <m/>
    <m/>
    <m/>
    <x v="3"/>
    <n v="48"/>
    <x v="0"/>
  </r>
  <r>
    <d v="2024-11-26T00:00:00"/>
    <x v="179"/>
    <s v="Call"/>
    <s v="Corporate"/>
    <x v="48"/>
    <s v="Manoj"/>
    <s v="Working on a bulk order requirement"/>
    <m/>
    <m/>
    <d v="2024-12-01T00:00:00"/>
    <x v="0"/>
    <x v="1"/>
    <s v="Warm"/>
    <m/>
    <m/>
    <m/>
    <m/>
    <m/>
    <x v="3"/>
    <n v="48"/>
    <x v="0"/>
  </r>
  <r>
    <d v="2024-11-26T00:00:00"/>
    <x v="59"/>
    <s v="Call"/>
    <s v="Corporate"/>
    <x v="19"/>
    <s v="Trivikram"/>
    <s v="Working on a bulk order requirement"/>
    <m/>
    <m/>
    <d v="2024-12-01T00:00:00"/>
    <x v="0"/>
    <x v="1"/>
    <s v="Warm"/>
    <m/>
    <m/>
    <m/>
    <m/>
    <m/>
    <x v="3"/>
    <n v="48"/>
    <x v="0"/>
  </r>
  <r>
    <d v="2024-11-27T00:00:00"/>
    <x v="59"/>
    <s v="F2F"/>
    <s v="Corporate"/>
    <x v="19"/>
    <s v="Carmerita"/>
    <s v="Proposed for Corporate events, Bulk Orders"/>
    <m/>
    <m/>
    <d v="2024-12-01T00:00:00"/>
    <x v="0"/>
    <x v="1"/>
    <s v="Warm"/>
    <m/>
    <m/>
    <m/>
    <m/>
    <m/>
    <x v="3"/>
    <n v="48"/>
    <x v="0"/>
  </r>
  <r>
    <d v="2024-11-27T00:00:00"/>
    <x v="165"/>
    <s v="Call"/>
    <s v="Events"/>
    <x v="21"/>
    <s v="Ankit"/>
    <s v="follow-up and confirmation for Petfed"/>
    <m/>
    <m/>
    <d v="2024-12-01T00:00:00"/>
    <x v="0"/>
    <x v="1"/>
    <s v="Warm"/>
    <m/>
    <m/>
    <m/>
    <m/>
    <m/>
    <x v="3"/>
    <n v="48"/>
    <x v="0"/>
  </r>
  <r>
    <d v="2024-11-27T00:00:00"/>
    <x v="28"/>
    <s v="Call"/>
    <s v="Corporate"/>
    <x v="65"/>
    <s v="Nandan"/>
    <s v="Discused on packed corporate Bulk Orders"/>
    <m/>
    <m/>
    <d v="2024-12-01T00:00:00"/>
    <x v="1"/>
    <x v="1"/>
    <s v="Warm"/>
    <m/>
    <m/>
    <m/>
    <m/>
    <m/>
    <x v="3"/>
    <n v="48"/>
    <x v="0"/>
  </r>
  <r>
    <d v="2024-11-27T00:00:00"/>
    <x v="180"/>
    <s v="Call"/>
    <s v="Corporate"/>
    <x v="66"/>
    <s v="Murali"/>
    <s v="Confirmed bulk Order"/>
    <n v="22414"/>
    <n v="22414"/>
    <d v="2024-11-01T00:00:00"/>
    <x v="0"/>
    <x v="4"/>
    <s v="Warm"/>
    <m/>
    <m/>
    <m/>
    <m/>
    <m/>
    <x v="3"/>
    <n v="48"/>
    <x v="0"/>
  </r>
  <r>
    <d v="2024-11-27T00:00:00"/>
    <x v="147"/>
    <s v="Call"/>
    <s v="Corporate"/>
    <x v="12"/>
    <s v="Mohammed"/>
    <s v="Received Bulk Order, following for more requirements"/>
    <n v="32697"/>
    <n v="32697"/>
    <d v="2024-11-01T00:00:00"/>
    <x v="0"/>
    <x v="4"/>
    <s v="Hot"/>
    <m/>
    <m/>
    <m/>
    <m/>
    <m/>
    <x v="3"/>
    <n v="48"/>
    <x v="0"/>
  </r>
  <r>
    <d v="2024-11-27T00:00:00"/>
    <x v="50"/>
    <s v="F2F"/>
    <s v="Corporate"/>
    <x v="10"/>
    <s v="Pankaj"/>
    <s v="Received Bulk Order, following for more requirements"/>
    <n v="52955"/>
    <n v="52955"/>
    <d v="2024-11-01T00:00:00"/>
    <x v="0"/>
    <x v="4"/>
    <s v="Hot"/>
    <m/>
    <m/>
    <m/>
    <m/>
    <m/>
    <x v="3"/>
    <n v="48"/>
    <x v="0"/>
  </r>
  <r>
    <d v="2024-12-02T00:00:00"/>
    <x v="181"/>
    <s v="F2F"/>
    <s v="Aggregator"/>
    <x v="67"/>
    <s v="Ankit"/>
    <s v="Closed Event"/>
    <n v="84000"/>
    <n v="84000"/>
    <d v="2024-12-01T00:00:00"/>
    <x v="0"/>
    <x v="4"/>
    <s v="Hot"/>
    <m/>
    <m/>
    <m/>
    <m/>
    <m/>
    <x v="4"/>
    <n v="49"/>
    <x v="0"/>
  </r>
  <r>
    <d v="2024-12-02T00:00:00"/>
    <x v="182"/>
    <s v="F2F"/>
    <s v="Events"/>
    <x v="67"/>
    <s v="Devendar"/>
    <s v="Closed Event"/>
    <n v="71000"/>
    <n v="71000"/>
    <d v="2024-12-01T00:00:00"/>
    <x v="0"/>
    <x v="4"/>
    <s v="Hot"/>
    <m/>
    <m/>
    <m/>
    <m/>
    <m/>
    <x v="4"/>
    <n v="49"/>
    <x v="0"/>
  </r>
  <r>
    <d v="2024-12-02T00:00:00"/>
    <x v="59"/>
    <s v="F2F"/>
    <s v="Corporate"/>
    <x v="19"/>
    <s v="Trivikram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59"/>
    <s v="F2F"/>
    <s v="Corporate"/>
    <x v="19"/>
    <s v="Carmerita"/>
    <s v="Proposed for Corporate events, Bulk Orders"/>
    <m/>
    <m/>
    <d v="2024-12-01T00:00:00"/>
    <x v="0"/>
    <x v="1"/>
    <s v="Warm"/>
    <m/>
    <m/>
    <m/>
    <m/>
    <m/>
    <x v="4"/>
    <n v="49"/>
    <x v="0"/>
  </r>
  <r>
    <d v="2024-12-02T00:00:00"/>
    <x v="9"/>
    <s v="F2F"/>
    <s v="Corporate"/>
    <x v="16"/>
    <s v="Arul"/>
    <s v="Proposed for Corporate events, Bulk Orders"/>
    <m/>
    <m/>
    <d v="2024-12-01T00:00:00"/>
    <x v="1"/>
    <x v="1"/>
    <s v="Hot"/>
    <m/>
    <m/>
    <m/>
    <m/>
    <m/>
    <x v="4"/>
    <n v="49"/>
    <x v="0"/>
  </r>
  <r>
    <d v="2024-12-02T00:00:00"/>
    <x v="9"/>
    <s v="Call"/>
    <s v="Corporate"/>
    <x v="16"/>
    <s v="Arul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179"/>
    <s v="F2F"/>
    <s v="Corporate"/>
    <x v="48"/>
    <s v="Manoj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3"/>
    <s v="Call"/>
    <s v="Corporate"/>
    <x v="34"/>
    <s v="Manish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64"/>
    <s v="Call"/>
    <s v="Corporate"/>
    <x v="5"/>
    <s v="Ajay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58"/>
    <s v="Call"/>
    <s v="Corporate"/>
    <x v="16"/>
    <s v="Mintu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32"/>
    <s v="Call"/>
    <s v="Corporate"/>
    <x v="24"/>
    <s v="Gangadhar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170"/>
    <s v="Call"/>
    <s v="Corporate"/>
    <x v="62"/>
    <s v="Anand"/>
    <s v="Proposed for Corporate events, Bulk Orders"/>
    <m/>
    <m/>
    <d v="2024-12-01T00:00:00"/>
    <x v="0"/>
    <x v="1"/>
    <s v="Warm"/>
    <m/>
    <m/>
    <m/>
    <m/>
    <m/>
    <x v="4"/>
    <n v="49"/>
    <x v="0"/>
  </r>
  <r>
    <d v="2024-12-02T00:00:00"/>
    <x v="183"/>
    <s v="Call"/>
    <s v="Gifting"/>
    <x v="68"/>
    <m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150"/>
    <s v="Call"/>
    <s v="Corporate"/>
    <x v="42"/>
    <s v="Shriram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33"/>
    <s v="F2F"/>
    <s v="Corporate"/>
    <x v="5"/>
    <s v="Shreyas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18"/>
    <s v="Call"/>
    <s v="Corporate"/>
    <x v="16"/>
    <s v="Purushottam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23"/>
    <s v="Call"/>
    <s v="Corporate"/>
    <x v="16"/>
    <s v="Priya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141"/>
    <s v="Call"/>
    <s v="Corporate"/>
    <x v="54"/>
    <s v="Sujatha"/>
    <s v="Proposed for Corporate events, Bulk Orders"/>
    <m/>
    <m/>
    <d v="2024-12-01T00:00:00"/>
    <x v="0"/>
    <x v="1"/>
    <s v="Warm"/>
    <m/>
    <m/>
    <m/>
    <m/>
    <m/>
    <x v="4"/>
    <n v="49"/>
    <x v="0"/>
  </r>
  <r>
    <d v="2024-12-02T00:00:00"/>
    <x v="154"/>
    <s v="Call"/>
    <s v="Corporate"/>
    <x v="58"/>
    <s v="Mahesh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61"/>
    <s v="Call"/>
    <s v="Corporate"/>
    <x v="19"/>
    <s v="Ranjit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1"/>
    <s v="Call"/>
    <s v="Corporate"/>
    <x v="1"/>
    <s v="Jeethan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4"/>
    <s v="F2F"/>
    <s v="Aggregator"/>
    <x v="67"/>
    <s v="Nupur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4"/>
    <s v="Call"/>
    <s v="Aggregator"/>
    <x v="67"/>
    <s v="Taranjot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28"/>
    <s v="F2F"/>
    <s v="Corporate"/>
    <x v="69"/>
    <s v="Nandan"/>
    <s v="Proposed for Corporate events, Bulk Orders"/>
    <n v="400000"/>
    <n v="400000"/>
    <d v="2024-12-01T00:00:00"/>
    <x v="1"/>
    <x v="2"/>
    <s v="Hot"/>
    <m/>
    <m/>
    <m/>
    <m/>
    <m/>
    <x v="4"/>
    <n v="49"/>
    <x v="0"/>
  </r>
  <r>
    <d v="2024-12-02T00:00:00"/>
    <x v="7"/>
    <s v="F2F"/>
    <s v="Corporate"/>
    <x v="58"/>
    <s v="Arnav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7"/>
    <s v="F2F"/>
    <s v="Corporate"/>
    <x v="58"/>
    <s v="Arnav"/>
    <s v="Proposed for Corporate events, Bulk Orders"/>
    <n v="15700"/>
    <n v="15700"/>
    <d v="2024-12-01T00:00:00"/>
    <x v="2"/>
    <x v="4"/>
    <s v="Hot"/>
    <m/>
    <m/>
    <m/>
    <m/>
    <m/>
    <x v="4"/>
    <n v="49"/>
    <x v="0"/>
  </r>
  <r>
    <d v="2024-12-02T00:00:00"/>
    <x v="151"/>
    <s v="Call"/>
    <s v="Corporate"/>
    <x v="20"/>
    <s v="Rohan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70"/>
    <s v="F2F"/>
    <s v="Corporate"/>
    <x v="32"/>
    <s v="Jayanth"/>
    <s v="Proposed for Corporate events, Bulk Orders"/>
    <m/>
    <m/>
    <d v="2024-12-01T00:00:00"/>
    <x v="0"/>
    <x v="1"/>
    <s v="Warm"/>
    <m/>
    <m/>
    <m/>
    <m/>
    <m/>
    <x v="4"/>
    <n v="49"/>
    <x v="0"/>
  </r>
  <r>
    <d v="2024-12-02T00:00:00"/>
    <x v="29"/>
    <s v="F2F"/>
    <s v="Corporate"/>
    <x v="16"/>
    <s v="Kiran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36"/>
    <s v="Call"/>
    <s v="Corporate"/>
    <x v="20"/>
    <s v="Syed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145"/>
    <s v="F2F"/>
    <s v="Corporate"/>
    <x v="16"/>
    <s v="Rohit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98"/>
    <s v="F2F"/>
    <s v="Aggregator"/>
    <x v="67"/>
    <s v="Keshav"/>
    <s v="Proposed for Corporate events, Bulk Orders"/>
    <m/>
    <m/>
    <d v="2025-02-01T00:00:00"/>
    <x v="0"/>
    <x v="1"/>
    <s v="Warm"/>
    <m/>
    <m/>
    <m/>
    <m/>
    <m/>
    <x v="4"/>
    <n v="49"/>
    <x v="1"/>
  </r>
  <r>
    <d v="2024-12-02T00:00:00"/>
    <x v="72"/>
    <s v="Call"/>
    <s v="Corporate"/>
    <x v="24"/>
    <s v="Shaju"/>
    <s v="Proposed for Corporate events, Bulk Orders"/>
    <m/>
    <m/>
    <d v="2025-02-01T00:00:00"/>
    <x v="0"/>
    <x v="1"/>
    <s v="Warm"/>
    <m/>
    <m/>
    <m/>
    <m/>
    <m/>
    <x v="4"/>
    <n v="49"/>
    <x v="1"/>
  </r>
  <r>
    <d v="2024-12-02T00:00:00"/>
    <x v="71"/>
    <s v="F2F"/>
    <s v="Corporate"/>
    <x v="16"/>
    <s v="Malikarjun"/>
    <s v="Proposed for Corporate events, Bulk Orders"/>
    <m/>
    <m/>
    <d v="2024-12-01T00:00:00"/>
    <x v="0"/>
    <x v="1"/>
    <s v="Warm"/>
    <m/>
    <m/>
    <m/>
    <m/>
    <m/>
    <x v="4"/>
    <n v="49"/>
    <x v="0"/>
  </r>
  <r>
    <d v="2024-12-02T00:00:00"/>
    <x v="69"/>
    <s v="Call"/>
    <s v="Corporate"/>
    <x v="31"/>
    <s v="Arun"/>
    <s v="Proposed for Corporate events, Bulk Orders"/>
    <m/>
    <m/>
    <d v="2025-02-01T00:00:00"/>
    <x v="0"/>
    <x v="1"/>
    <s v="Hot"/>
    <m/>
    <m/>
    <m/>
    <m/>
    <m/>
    <x v="4"/>
    <n v="49"/>
    <x v="1"/>
  </r>
  <r>
    <d v="2024-12-02T00:00:00"/>
    <x v="20"/>
    <s v="Call"/>
    <s v="Corporate"/>
    <x v="11"/>
    <s v="Gautam"/>
    <s v="Proposed for Corporate events, Bulk Orders"/>
    <m/>
    <m/>
    <d v="2025-02-01T00:00:00"/>
    <x v="0"/>
    <x v="1"/>
    <s v="Cold"/>
    <m/>
    <m/>
    <m/>
    <m/>
    <m/>
    <x v="4"/>
    <n v="49"/>
    <x v="1"/>
  </r>
  <r>
    <d v="2024-12-02T00:00:00"/>
    <x v="153"/>
    <s v="Call"/>
    <s v="Corporate"/>
    <x v="5"/>
    <s v="Kunal"/>
    <s v="Proposed for Corporate events, Bulk Orders"/>
    <m/>
    <m/>
    <d v="2025-04-01T00:00:00"/>
    <x v="0"/>
    <x v="1"/>
    <s v="Hot"/>
    <m/>
    <m/>
    <m/>
    <m/>
    <m/>
    <x v="4"/>
    <n v="49"/>
    <x v="1"/>
  </r>
  <r>
    <d v="2024-12-02T00:00:00"/>
    <x v="178"/>
    <s v="F2F"/>
    <s v="Corporate"/>
    <x v="16"/>
    <s v="Anand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17"/>
    <s v="F2F"/>
    <s v="Corporate"/>
    <x v="58"/>
    <s v="Santosh"/>
    <s v="Proposed for Corporate events, Bulk Orders"/>
    <m/>
    <m/>
    <d v="2024-12-01T00:00:00"/>
    <x v="0"/>
    <x v="1"/>
    <s v="Cold"/>
    <m/>
    <m/>
    <m/>
    <m/>
    <m/>
    <x v="4"/>
    <n v="49"/>
    <x v="0"/>
  </r>
  <r>
    <d v="2024-12-02T00:00:00"/>
    <x v="21"/>
    <s v="F2F"/>
    <s v="Corporate"/>
    <x v="12"/>
    <s v="Abhishek"/>
    <s v="Proposed for Corporate events, Bulk Orders"/>
    <m/>
    <m/>
    <d v="2024-12-01T00:00:00"/>
    <x v="0"/>
    <x v="1"/>
    <s v="Cold"/>
    <m/>
    <m/>
    <m/>
    <m/>
    <m/>
    <x v="4"/>
    <n v="49"/>
    <x v="0"/>
  </r>
  <r>
    <d v="2024-12-02T00:00:00"/>
    <x v="74"/>
    <s v="Call"/>
    <s v="Corporate"/>
    <x v="34"/>
    <s v="Richi"/>
    <s v="Proposed for Corporate events, Bulk Orders"/>
    <m/>
    <m/>
    <d v="2024-12-01T00:00:00"/>
    <x v="0"/>
    <x v="1"/>
    <s v="Hot"/>
    <m/>
    <m/>
    <m/>
    <m/>
    <m/>
    <x v="4"/>
    <n v="49"/>
    <x v="0"/>
  </r>
  <r>
    <d v="2024-12-02T00:00:00"/>
    <x v="22"/>
    <s v="F2F"/>
    <s v="Corporate"/>
    <x v="16"/>
    <s v="Sudhakar"/>
    <s v="Proposed for Corporate events, Bulk Orders"/>
    <m/>
    <m/>
    <d v="2024-12-01T00:00:00"/>
    <x v="0"/>
    <x v="1"/>
    <s v="Cold"/>
    <m/>
    <m/>
    <m/>
    <m/>
    <m/>
    <x v="4"/>
    <n v="49"/>
    <x v="0"/>
  </r>
  <r>
    <d v="2024-12-02T00:00:00"/>
    <x v="155"/>
    <s v="F2F"/>
    <s v="Corporate"/>
    <x v="51"/>
    <s v="Sambit"/>
    <s v="Proposed for Corporate events, Bulk Orders"/>
    <m/>
    <m/>
    <d v="2024-12-01T00:00:00"/>
    <x v="0"/>
    <x v="1"/>
    <s v="Cold"/>
    <m/>
    <m/>
    <m/>
    <m/>
    <m/>
    <x v="4"/>
    <n v="49"/>
    <x v="0"/>
  </r>
  <r>
    <d v="2024-12-09T00:00:00"/>
    <x v="184"/>
    <s v="Call"/>
    <s v="Corporate"/>
    <x v="31"/>
    <s v="Swathi"/>
    <s v="Proposed for Corporate events, Bulk Orders"/>
    <m/>
    <m/>
    <d v="2025-02-01T00:00:00"/>
    <x v="0"/>
    <x v="1"/>
    <s v="Hot"/>
    <m/>
    <m/>
    <m/>
    <m/>
    <m/>
    <x v="4"/>
    <n v="50"/>
    <x v="1"/>
  </r>
  <r>
    <d v="2024-12-09T00:00:00"/>
    <x v="146"/>
    <s v="Call"/>
    <s v="Institution"/>
    <x v="56"/>
    <s v="Unnikrishnan"/>
    <s v="Proposed for Corporate events, Bulk Orders"/>
    <m/>
    <m/>
    <d v="2024-12-01T00:00:00"/>
    <x v="0"/>
    <x v="1"/>
    <s v="Cold"/>
    <m/>
    <m/>
    <m/>
    <m/>
    <m/>
    <x v="4"/>
    <n v="50"/>
    <x v="0"/>
  </r>
  <r>
    <d v="2024-12-09T00:00:00"/>
    <x v="25"/>
    <s v="Call"/>
    <s v="Corporate"/>
    <x v="14"/>
    <s v="Srikishan"/>
    <s v="Proposed for Corporate events, Bulk Orders"/>
    <m/>
    <m/>
    <d v="2025-02-01T00:00:00"/>
    <x v="0"/>
    <x v="1"/>
    <s v="Hot"/>
    <m/>
    <m/>
    <m/>
    <m/>
    <m/>
    <x v="4"/>
    <n v="50"/>
    <x v="1"/>
  </r>
  <r>
    <d v="2024-12-09T00:00:00"/>
    <x v="185"/>
    <s v="F2F"/>
    <s v="Corporate"/>
    <x v="70"/>
    <s v="Dhaval"/>
    <s v="Proposed for Corporate events, Bulk Orders"/>
    <m/>
    <m/>
    <d v="2025-02-01T00:00:00"/>
    <x v="0"/>
    <x v="1"/>
    <s v="Cold"/>
    <m/>
    <m/>
    <m/>
    <m/>
    <m/>
    <x v="4"/>
    <n v="50"/>
    <x v="1"/>
  </r>
  <r>
    <d v="2024-12-09T00:00:00"/>
    <x v="26"/>
    <s v="F2F"/>
    <s v="Corporate"/>
    <x v="15"/>
    <s v="Bharath"/>
    <s v="Proposed for Corporate events, Bulk Orders"/>
    <m/>
    <m/>
    <d v="2025-02-01T00:00:00"/>
    <x v="0"/>
    <x v="1"/>
    <s v="Cold"/>
    <m/>
    <m/>
    <m/>
    <m/>
    <m/>
    <x v="4"/>
    <n v="50"/>
    <x v="1"/>
  </r>
  <r>
    <d v="2024-12-10T00:00:00"/>
    <x v="37"/>
    <s v="Call"/>
    <s v="Events"/>
    <x v="67"/>
    <s v="Murgan"/>
    <s v="Proposed for Corporate events, Bulk Orders"/>
    <m/>
    <m/>
    <d v="2024-12-01T00:00:00"/>
    <x v="0"/>
    <x v="1"/>
    <s v="Hot"/>
    <m/>
    <m/>
    <m/>
    <m/>
    <m/>
    <x v="4"/>
    <n v="50"/>
    <x v="0"/>
  </r>
  <r>
    <d v="2024-12-10T00:00:00"/>
    <x v="174"/>
    <s v="Call"/>
    <s v="Corporate"/>
    <x v="58"/>
    <s v="Mohammed"/>
    <s v="Proposed for Corporate events, Bulk Orders"/>
    <m/>
    <m/>
    <d v="2024-12-01T00:00:00"/>
    <x v="0"/>
    <x v="1"/>
    <s v="Hot"/>
    <m/>
    <m/>
    <m/>
    <m/>
    <m/>
    <x v="4"/>
    <n v="50"/>
    <x v="0"/>
  </r>
  <r>
    <d v="2024-12-11T00:00:00"/>
    <x v="68"/>
    <s v="F2F"/>
    <s v="Corporate"/>
    <x v="12"/>
    <s v="Babu"/>
    <s v="Proposed for Corporate events, Bulk Orders"/>
    <m/>
    <m/>
    <d v="2024-12-01T00:00:00"/>
    <x v="0"/>
    <x v="1"/>
    <s v="Cold"/>
    <m/>
    <m/>
    <m/>
    <m/>
    <m/>
    <x v="4"/>
    <n v="50"/>
    <x v="0"/>
  </r>
  <r>
    <d v="2024-12-11T00:00:00"/>
    <x v="16"/>
    <s v="Call"/>
    <s v="Corporate"/>
    <x v="16"/>
    <s v="Santosh"/>
    <s v="Proposed for Corporate events, Bulk Orders"/>
    <m/>
    <m/>
    <d v="2025-02-01T00:00:00"/>
    <x v="0"/>
    <x v="1"/>
    <s v="Hot"/>
    <m/>
    <m/>
    <m/>
    <m/>
    <m/>
    <x v="4"/>
    <n v="50"/>
    <x v="1"/>
  </r>
  <r>
    <d v="2024-12-11T00:00:00"/>
    <x v="8"/>
    <s v="Call"/>
    <s v="Corporate"/>
    <x v="5"/>
    <s v="Saumya"/>
    <s v="Proposed for Corporate events, Bulk Orders"/>
    <m/>
    <m/>
    <d v="2024-12-01T00:00:00"/>
    <x v="0"/>
    <x v="1"/>
    <s v="Hot"/>
    <m/>
    <m/>
    <m/>
    <m/>
    <m/>
    <x v="4"/>
    <n v="50"/>
    <x v="0"/>
  </r>
  <r>
    <d v="2024-12-11T00:00:00"/>
    <x v="19"/>
    <s v="Call"/>
    <s v="Aggregator"/>
    <x v="67"/>
    <s v="Monika"/>
    <s v="Proposed for Corporate events, Bulk Orders"/>
    <m/>
    <m/>
    <d v="2025-02-01T00:00:00"/>
    <x v="0"/>
    <x v="1"/>
    <s v="Hot"/>
    <m/>
    <m/>
    <m/>
    <m/>
    <m/>
    <x v="4"/>
    <n v="50"/>
    <x v="1"/>
  </r>
  <r>
    <d v="2024-12-11T00:00:00"/>
    <x v="147"/>
    <s v="Call"/>
    <s v="Corporate"/>
    <x v="12"/>
    <s v="Mohammed"/>
    <s v="Received Bulk Order, following for more requirements"/>
    <n v="32697"/>
    <n v="32697"/>
    <d v="2024-12-01T00:00:00"/>
    <x v="0"/>
    <x v="4"/>
    <s v="Hot"/>
    <m/>
    <m/>
    <m/>
    <m/>
    <m/>
    <x v="4"/>
    <n v="50"/>
    <x v="0"/>
  </r>
  <r>
    <d v="2024-12-11T00:00:00"/>
    <x v="50"/>
    <s v="F2F"/>
    <s v="Corporate"/>
    <x v="10"/>
    <s v="Pankaj"/>
    <s v="Received Bulk Order, following for more requirements"/>
    <n v="46948"/>
    <n v="46948"/>
    <d v="2024-12-01T00:00:00"/>
    <x v="0"/>
    <x v="4"/>
    <s v="Hot"/>
    <m/>
    <m/>
    <m/>
    <m/>
    <m/>
    <x v="4"/>
    <n v="50"/>
    <x v="0"/>
  </r>
  <r>
    <d v="2024-12-12T00:00:00"/>
    <x v="186"/>
    <s v="F2F"/>
    <s v="Events"/>
    <x v="67"/>
    <m/>
    <s v="Proposed for Corporate events, Bulk Orders"/>
    <m/>
    <m/>
    <d v="2024-12-01T00:00:00"/>
    <x v="0"/>
    <x v="1"/>
    <s v="Hot"/>
    <m/>
    <m/>
    <m/>
    <m/>
    <m/>
    <x v="4"/>
    <n v="50"/>
    <x v="0"/>
  </r>
  <r>
    <d v="2024-12-12T00:00:00"/>
    <x v="187"/>
    <s v="F2F"/>
    <s v="Corporate"/>
    <x v="71"/>
    <m/>
    <s v="Proposed for Corporate events, Bulk Orders"/>
    <n v="27000"/>
    <n v="27000"/>
    <d v="2024-12-01T00:00:00"/>
    <x v="0"/>
    <x v="4"/>
    <s v="Hot"/>
    <m/>
    <m/>
    <m/>
    <m/>
    <m/>
    <x v="4"/>
    <n v="50"/>
    <x v="0"/>
  </r>
  <r>
    <d v="2024-12-12T00:00:00"/>
    <x v="188"/>
    <s v="F2F"/>
    <s v="Corporate"/>
    <x v="67"/>
    <s v="Rajanikanth"/>
    <s v="Proposed for Corporate events, Bulk Orders"/>
    <n v="34932"/>
    <n v="34932"/>
    <d v="2024-12-01T00:00:00"/>
    <x v="0"/>
    <x v="4"/>
    <s v="Hot"/>
    <m/>
    <m/>
    <m/>
    <m/>
    <m/>
    <x v="4"/>
    <n v="50"/>
    <x v="0"/>
  </r>
  <r>
    <d v="2024-12-12T00:00:00"/>
    <x v="189"/>
    <s v="F2F"/>
    <s v="Events"/>
    <x v="67"/>
    <s v="Anand"/>
    <s v="Confirmed for IMTEX 2025"/>
    <m/>
    <m/>
    <d v="2025-02-01T00:00:00"/>
    <x v="0"/>
    <x v="5"/>
    <s v="Warm"/>
    <m/>
    <m/>
    <m/>
    <m/>
    <m/>
    <x v="4"/>
    <n v="50"/>
    <x v="1"/>
  </r>
  <r>
    <d v="2024-12-13T00:00:00"/>
    <x v="190"/>
    <s v="F2F"/>
    <s v="Corporate"/>
    <x v="16"/>
    <s v="Ahmed"/>
    <s v="Confirmed bulk order"/>
    <n v="26000"/>
    <n v="26000"/>
    <d v="2024-12-01T00:00:00"/>
    <x v="0"/>
    <x v="4"/>
    <s v="Hot"/>
    <m/>
    <m/>
    <m/>
    <m/>
    <m/>
    <x v="4"/>
    <n v="50"/>
    <x v="0"/>
  </r>
  <r>
    <d v="2024-12-13T00:00:00"/>
    <x v="29"/>
    <s v="Call"/>
    <s v="Corporate"/>
    <x v="16"/>
    <s v="Kiran"/>
    <s v="Proposed for Corporate events, Bulk Orders"/>
    <m/>
    <m/>
    <d v="2024-12-01T00:00:00"/>
    <x v="0"/>
    <x v="1"/>
    <s v="Cold"/>
    <m/>
    <m/>
    <m/>
    <m/>
    <m/>
    <x v="4"/>
    <n v="50"/>
    <x v="0"/>
  </r>
  <r>
    <d v="2024-12-13T00:00:00"/>
    <x v="151"/>
    <s v="Call"/>
    <s v="Corporate"/>
    <x v="20"/>
    <s v="Rohan"/>
    <s v="Proposed for Corporate events, Bulk Orders"/>
    <m/>
    <m/>
    <d v="2024-12-01T00:00:00"/>
    <x v="0"/>
    <x v="1"/>
    <s v="Cold"/>
    <m/>
    <m/>
    <m/>
    <m/>
    <m/>
    <x v="4"/>
    <n v="50"/>
    <x v="0"/>
  </r>
  <r>
    <d v="2024-12-13T00:00:00"/>
    <x v="36"/>
    <s v="Call"/>
    <s v="Corporate"/>
    <x v="20"/>
    <s v="Syed"/>
    <s v="Proposed for Corporate events, Bulk Orders"/>
    <m/>
    <m/>
    <d v="2024-12-01T00:00:00"/>
    <x v="0"/>
    <x v="1"/>
    <s v="Cold"/>
    <m/>
    <m/>
    <m/>
    <m/>
    <m/>
    <x v="4"/>
    <n v="50"/>
    <x v="0"/>
  </r>
  <r>
    <d v="2024-12-16T00:00:00"/>
    <x v="191"/>
    <s v="F2F"/>
    <s v="Corporate"/>
    <x v="72"/>
    <s v="Viswas"/>
    <s v="Proposed for Corporate events, Bulk Orders"/>
    <m/>
    <m/>
    <d v="2025-02-01T00:00:00"/>
    <x v="0"/>
    <x v="1"/>
    <s v="Cold"/>
    <m/>
    <m/>
    <m/>
    <m/>
    <m/>
    <x v="4"/>
    <n v="51"/>
    <x v="1"/>
  </r>
  <r>
    <d v="2024-12-16T00:00:00"/>
    <x v="192"/>
    <s v="F2F"/>
    <s v="Corporate"/>
    <x v="73"/>
    <s v="Rajat"/>
    <s v="Proposed for Corporate events, Bulk Orders"/>
    <m/>
    <m/>
    <d v="2025-02-01T00:00:00"/>
    <x v="0"/>
    <x v="1"/>
    <s v="Cold"/>
    <m/>
    <m/>
    <m/>
    <m/>
    <m/>
    <x v="4"/>
    <n v="51"/>
    <x v="1"/>
  </r>
  <r>
    <d v="2024-12-18T00:00:00"/>
    <x v="72"/>
    <s v="F2F"/>
    <s v="Corporate"/>
    <x v="24"/>
    <s v="Shaju"/>
    <s v="Proposed for Corporate events, Bulk Orders"/>
    <m/>
    <m/>
    <d v="2024-12-01T00:00:00"/>
    <x v="0"/>
    <x v="1"/>
    <s v="Cold"/>
    <m/>
    <m/>
    <m/>
    <m/>
    <m/>
    <x v="4"/>
    <n v="51"/>
    <x v="0"/>
  </r>
  <r>
    <d v="2024-12-18T00:00:00"/>
    <x v="188"/>
    <s v="F2F"/>
    <s v="Corporate"/>
    <x v="20"/>
    <s v="Rajanikanth"/>
    <s v="Discussion on setup, location, accessability for 21st Event."/>
    <m/>
    <m/>
    <d v="2024-12-01T00:00:00"/>
    <x v="0"/>
    <x v="1"/>
    <s v="Cold"/>
    <m/>
    <m/>
    <m/>
    <m/>
    <m/>
    <x v="4"/>
    <n v="51"/>
    <x v="0"/>
  </r>
  <r>
    <d v="2024-12-19T00:00:00"/>
    <x v="193"/>
    <s v="F2F"/>
    <s v="Corporate"/>
    <x v="53"/>
    <s v="Raj"/>
    <s v="Confirmed bulk order"/>
    <n v="7917"/>
    <n v="7917"/>
    <d v="2024-12-01T00:00:00"/>
    <x v="0"/>
    <x v="4"/>
    <s v="Warm"/>
    <m/>
    <m/>
    <m/>
    <m/>
    <m/>
    <x v="4"/>
    <n v="51"/>
    <x v="0"/>
  </r>
  <r>
    <d v="2024-12-19T00:00:00"/>
    <x v="177"/>
    <s v="Call"/>
    <s v="Corporate"/>
    <x v="64"/>
    <s v="Manjesh"/>
    <s v="Proposed for Corporate events, Bulk Orders"/>
    <m/>
    <m/>
    <d v="2024-12-01T00:00:00"/>
    <x v="0"/>
    <x v="1"/>
    <s v="Cold"/>
    <m/>
    <m/>
    <m/>
    <m/>
    <m/>
    <x v="4"/>
    <n v="51"/>
    <x v="0"/>
  </r>
  <r>
    <d v="2024-12-19T00:00:00"/>
    <x v="178"/>
    <s v="Call"/>
    <s v="Corporate"/>
    <x v="10"/>
    <s v="Anand"/>
    <s v="Proposed for Corporate events, Bulk Orders"/>
    <m/>
    <m/>
    <d v="2024-12-01T00:00:00"/>
    <x v="0"/>
    <x v="1"/>
    <s v="Cold"/>
    <m/>
    <m/>
    <m/>
    <m/>
    <m/>
    <x v="4"/>
    <n v="51"/>
    <x v="0"/>
  </r>
  <r>
    <d v="2024-12-20T00:00:00"/>
    <x v="194"/>
    <s v="F2F"/>
    <s v="Corporate"/>
    <x v="10"/>
    <s v="Sanjeev"/>
    <s v="Confirmed bulk order"/>
    <n v="15400"/>
    <n v="15400"/>
    <d v="2024-12-01T00:00:00"/>
    <x v="0"/>
    <x v="4"/>
    <s v="Warm"/>
    <m/>
    <m/>
    <m/>
    <m/>
    <m/>
    <x v="4"/>
    <n v="51"/>
    <x v="0"/>
  </r>
  <r>
    <d v="2024-12-20T00:00:00"/>
    <x v="4"/>
    <s v="Call"/>
    <s v="Aggregator"/>
    <x v="4"/>
    <s v="Taranjot"/>
    <s v="Confirmed bulk order"/>
    <n v="21000"/>
    <n v="21000"/>
    <d v="2024-12-01T00:00:00"/>
    <x v="0"/>
    <x v="4"/>
    <s v="Warm"/>
    <m/>
    <m/>
    <m/>
    <m/>
    <m/>
    <x v="4"/>
    <n v="51"/>
    <x v="0"/>
  </r>
  <r>
    <d v="2024-12-20T00:00:00"/>
    <x v="72"/>
    <s v="Call"/>
    <s v="Corporate"/>
    <x v="24"/>
    <s v="Shaju"/>
    <s v="Proposed for Bulk Orders"/>
    <m/>
    <m/>
    <d v="2025-02-01T00:00:00"/>
    <x v="0"/>
    <x v="1"/>
    <s v="Cold"/>
    <m/>
    <m/>
    <m/>
    <m/>
    <m/>
    <x v="4"/>
    <n v="51"/>
    <x v="1"/>
  </r>
  <r>
    <d v="2024-12-26T00:00:00"/>
    <x v="195"/>
    <s v="F2F"/>
    <s v="Events"/>
    <x v="74"/>
    <s v="Amarjit"/>
    <s v="Confirmed for 2 day stall for Lohri"/>
    <m/>
    <m/>
    <d v="2025-01-01T00:00:00"/>
    <x v="0"/>
    <x v="3"/>
    <s v="Warm"/>
    <m/>
    <m/>
    <m/>
    <m/>
    <m/>
    <x v="4"/>
    <n v="52"/>
    <x v="1"/>
  </r>
  <r>
    <d v="2024-12-26T00:00:00"/>
    <x v="188"/>
    <s v="Call"/>
    <s v="Corporate"/>
    <x v="20"/>
    <s v="Rajanikanth"/>
    <s v="Proposed for serving at their office"/>
    <m/>
    <m/>
    <d v="2025-04-01T00:00:00"/>
    <x v="0"/>
    <x v="1"/>
    <s v="Cold"/>
    <m/>
    <m/>
    <m/>
    <m/>
    <m/>
    <x v="4"/>
    <n v="52"/>
    <x v="1"/>
  </r>
  <r>
    <d v="2024-12-26T00:00:00"/>
    <x v="196"/>
    <s v="Call"/>
    <s v="Corporate"/>
    <x v="10"/>
    <s v="Sameer"/>
    <s v="Confirmed bulk order"/>
    <n v="9986"/>
    <n v="9986"/>
    <d v="2024-12-01T00:00:00"/>
    <x v="0"/>
    <x v="4"/>
    <s v="Warm"/>
    <m/>
    <m/>
    <m/>
    <m/>
    <m/>
    <x v="4"/>
    <n v="52"/>
    <x v="0"/>
  </r>
  <r>
    <d v="2025-01-01T00:00:00"/>
    <x v="197"/>
    <s v="Call"/>
    <s v="Corporate"/>
    <x v="12"/>
    <s v="Pankaj"/>
    <s v="Received Bulk Order, following for more requirements"/>
    <n v="22500"/>
    <n v="22500"/>
    <d v="2025-01-01T00:00:00"/>
    <x v="0"/>
    <x v="4"/>
    <s v="Warm"/>
    <m/>
    <m/>
    <m/>
    <m/>
    <m/>
    <x v="5"/>
    <n v="1"/>
    <x v="1"/>
  </r>
  <r>
    <d v="2025-01-02T00:00:00"/>
    <x v="198"/>
    <s v="F2F"/>
    <s v="Corporate"/>
    <x v="75"/>
    <s v="Hemalatha"/>
    <s v="Proposed for serving at their office"/>
    <m/>
    <m/>
    <d v="2025-02-01T00:00:00"/>
    <x v="0"/>
    <x v="1"/>
    <s v="Cold"/>
    <m/>
    <m/>
    <m/>
    <m/>
    <m/>
    <x v="5"/>
    <n v="1"/>
    <x v="1"/>
  </r>
  <r>
    <d v="2025-01-02T00:00:00"/>
    <x v="199"/>
    <s v="F2F"/>
    <s v="Corporate"/>
    <x v="10"/>
    <s v="Vinod"/>
    <s v="Confirmed bulk order"/>
    <n v="15000"/>
    <n v="15000"/>
    <d v="2025-01-01T00:00:00"/>
    <x v="0"/>
    <x v="4"/>
    <s v="Warm"/>
    <m/>
    <m/>
    <m/>
    <m/>
    <m/>
    <x v="5"/>
    <n v="1"/>
    <x v="1"/>
  </r>
  <r>
    <d v="2025-01-03T00:00:00"/>
    <x v="7"/>
    <s v="F2F"/>
    <s v="Corporate"/>
    <x v="58"/>
    <s v="Arnav"/>
    <s v="Confirmed bulk order"/>
    <n v="20350"/>
    <n v="20350"/>
    <d v="2025-01-01T00:00:00"/>
    <x v="0"/>
    <x v="4"/>
    <s v="Warm"/>
    <m/>
    <m/>
    <m/>
    <m/>
    <m/>
    <x v="5"/>
    <n v="1"/>
    <x v="1"/>
  </r>
  <r>
    <d v="2025-01-03T00:00:00"/>
    <x v="7"/>
    <s v="F2F"/>
    <s v="Corporate"/>
    <x v="58"/>
    <s v="Arnav"/>
    <s v="Confirmed bulk order"/>
    <n v="5550"/>
    <n v="5550"/>
    <d v="2025-01-01T00:00:00"/>
    <x v="1"/>
    <x v="4"/>
    <s v="Warm"/>
    <m/>
    <m/>
    <m/>
    <m/>
    <m/>
    <x v="5"/>
    <n v="1"/>
    <x v="1"/>
  </r>
  <r>
    <d v="2025-01-07T00:00:00"/>
    <x v="24"/>
    <s v="F2F"/>
    <s v="Corporate"/>
    <x v="51"/>
    <s v="Abhijit"/>
    <s v="Proposed for Corporate events, Bulk Orders"/>
    <m/>
    <m/>
    <d v="2025-02-01T00:00:00"/>
    <x v="0"/>
    <x v="1"/>
    <s v="Cold"/>
    <m/>
    <m/>
    <m/>
    <m/>
    <m/>
    <x v="5"/>
    <n v="2"/>
    <x v="1"/>
  </r>
  <r>
    <d v="2025-01-07T00:00:00"/>
    <x v="200"/>
    <s v="Call"/>
    <s v="Corporate"/>
    <x v="12"/>
    <s v="Mohammed"/>
    <s v="Received Bulk Order, following for more requirements"/>
    <n v="39236"/>
    <n v="39236"/>
    <d v="2025-01-01T00:00:00"/>
    <x v="0"/>
    <x v="4"/>
    <s v="Warm"/>
    <m/>
    <m/>
    <m/>
    <m/>
    <m/>
    <x v="5"/>
    <n v="2"/>
    <x v="1"/>
  </r>
  <r>
    <d v="2025-01-07T00:00:00"/>
    <x v="201"/>
    <s v="Call"/>
    <s v="Corporate"/>
    <x v="10"/>
    <s v="Gopal"/>
    <m/>
    <n v="12000"/>
    <n v="12000"/>
    <d v="2025-01-01T00:00:00"/>
    <x v="0"/>
    <x v="4"/>
    <s v="Warm"/>
    <m/>
    <m/>
    <m/>
    <m/>
    <m/>
    <x v="5"/>
    <n v="2"/>
    <x v="1"/>
  </r>
  <r>
    <d v="2025-01-08T00:00:00"/>
    <x v="202"/>
    <s v="Call"/>
    <s v="Corporate"/>
    <x v="10"/>
    <s v="Pankaj"/>
    <s v="Received Bulk Order, following for more requirements"/>
    <n v="45091"/>
    <n v="45091"/>
    <d v="2025-01-01T00:00:00"/>
    <x v="0"/>
    <x v="4"/>
    <s v="Warm"/>
    <m/>
    <m/>
    <m/>
    <m/>
    <m/>
    <x v="5"/>
    <n v="2"/>
    <x v="1"/>
  </r>
  <r>
    <d v="2025-01-09T00:00:00"/>
    <x v="154"/>
    <s v="F2F"/>
    <s v="Corporate"/>
    <x v="58"/>
    <s v="Gaurav"/>
    <m/>
    <m/>
    <m/>
    <d v="2025-02-01T00:00:00"/>
    <x v="0"/>
    <x v="1"/>
    <s v="Cold"/>
    <m/>
    <m/>
    <m/>
    <m/>
    <m/>
    <x v="5"/>
    <n v="2"/>
    <x v="1"/>
  </r>
  <r>
    <d v="2025-01-09T00:00:00"/>
    <x v="203"/>
    <s v="F2F"/>
    <s v="Corporate"/>
    <x v="10"/>
    <s v="Ravi"/>
    <m/>
    <m/>
    <m/>
    <d v="2025-02-01T00:00:00"/>
    <x v="0"/>
    <x v="1"/>
    <s v="Cold"/>
    <m/>
    <m/>
    <m/>
    <m/>
    <m/>
    <x v="5"/>
    <n v="2"/>
    <x v="1"/>
  </r>
  <r>
    <d v="2025-01-09T00:00:00"/>
    <x v="188"/>
    <s v="Call"/>
    <s v="Corporate"/>
    <x v="20"/>
    <s v="Rajanikanth"/>
    <s v="Proposed for serving at their office"/>
    <m/>
    <m/>
    <d v="2025-02-01T00:00:00"/>
    <x v="0"/>
    <x v="3"/>
    <s v="Warm"/>
    <m/>
    <m/>
    <m/>
    <m/>
    <m/>
    <x v="5"/>
    <n v="2"/>
    <x v="1"/>
  </r>
  <r>
    <d v="2025-01-10T00:00:00"/>
    <x v="195"/>
    <s v="F2F"/>
    <s v="Events"/>
    <x v="74"/>
    <s v="Amarjit"/>
    <s v="Confirmed for 2 day stall for Lohri"/>
    <n v="19000"/>
    <n v="19000"/>
    <d v="2025-01-01T00:00:00"/>
    <x v="0"/>
    <x v="4"/>
    <s v="Warm"/>
    <m/>
    <m/>
    <m/>
    <m/>
    <m/>
    <x v="5"/>
    <n v="2"/>
    <x v="1"/>
  </r>
  <r>
    <d v="2025-01-13T00:00:00"/>
    <x v="204"/>
    <s v="F2F"/>
    <s v="Corporate"/>
    <x v="33"/>
    <s v="John"/>
    <s v="Proposed for Corporate events, Bulk Orders"/>
    <m/>
    <m/>
    <d v="2025-02-01T00:00:00"/>
    <x v="0"/>
    <x v="1"/>
    <s v="Cold"/>
    <m/>
    <m/>
    <m/>
    <m/>
    <m/>
    <x v="5"/>
    <n v="3"/>
    <x v="1"/>
  </r>
  <r>
    <d v="2025-01-13T00:00:00"/>
    <x v="205"/>
    <s v="F2F"/>
    <s v="Corporate"/>
    <x v="53"/>
    <s v="Lokesh"/>
    <s v="Proposed for Corporate events, Bulk Orders"/>
    <m/>
    <m/>
    <d v="2025-02-01T00:00:00"/>
    <x v="0"/>
    <x v="1"/>
    <s v="Cold"/>
    <m/>
    <m/>
    <m/>
    <m/>
    <m/>
    <x v="5"/>
    <n v="3"/>
    <x v="1"/>
  </r>
  <r>
    <d v="2025-01-13T00:00:00"/>
    <x v="206"/>
    <s v="F2F"/>
    <s v="Corporate"/>
    <x v="16"/>
    <s v="Ajit"/>
    <s v="Proposed for Corporate events, Bulk Orders"/>
    <m/>
    <m/>
    <d v="2025-02-01T00:00:00"/>
    <x v="0"/>
    <x v="1"/>
    <s v="Cold"/>
    <m/>
    <m/>
    <m/>
    <m/>
    <m/>
    <x v="5"/>
    <n v="3"/>
    <x v="1"/>
  </r>
  <r>
    <d v="2025-01-13T00:00:00"/>
    <x v="195"/>
    <s v="F2F"/>
    <s v="Events"/>
    <x v="74"/>
    <s v="Amarjit"/>
    <s v="Confirmed for 2 day stall for Lohri"/>
    <n v="23000"/>
    <n v="23000"/>
    <d v="2025-01-01T00:00:00"/>
    <x v="0"/>
    <x v="4"/>
    <s v="Warm"/>
    <m/>
    <m/>
    <m/>
    <m/>
    <m/>
    <x v="5"/>
    <n v="3"/>
    <x v="1"/>
  </r>
  <r>
    <d v="2025-01-13T00:00:00"/>
    <x v="4"/>
    <s v="Call"/>
    <s v="Aggregator"/>
    <x v="67"/>
    <s v="Sandhya"/>
    <m/>
    <m/>
    <m/>
    <d v="2025-02-01T00:00:00"/>
    <x v="1"/>
    <x v="1"/>
    <s v="Cold"/>
    <m/>
    <m/>
    <m/>
    <m/>
    <m/>
    <x v="5"/>
    <n v="3"/>
    <x v="1"/>
  </r>
  <r>
    <d v="2025-01-13T00:00:00"/>
    <x v="207"/>
    <s v="Call"/>
    <s v="Events"/>
    <x v="76"/>
    <s v="Ali"/>
    <m/>
    <m/>
    <m/>
    <d v="2025-04-01T00:00:00"/>
    <x v="0"/>
    <x v="1"/>
    <s v="Cold"/>
    <m/>
    <m/>
    <m/>
    <m/>
    <m/>
    <x v="5"/>
    <n v="3"/>
    <x v="1"/>
  </r>
  <r>
    <d v="2025-01-15T00:00:00"/>
    <x v="200"/>
    <s v="Call"/>
    <s v="Corporate"/>
    <x v="12"/>
    <s v="Mohammed"/>
    <s v="Received Bulk Order, following for more requirements"/>
    <n v="34822"/>
    <n v="34822"/>
    <d v="2025-01-01T00:00:00"/>
    <x v="0"/>
    <x v="4"/>
    <s v="Warm"/>
    <m/>
    <m/>
    <m/>
    <m/>
    <m/>
    <x v="5"/>
    <n v="3"/>
    <x v="1"/>
  </r>
  <r>
    <d v="2025-01-15T00:00:00"/>
    <x v="202"/>
    <s v="Call"/>
    <s v="Corporate"/>
    <x v="10"/>
    <s v="Pankaj"/>
    <s v="Received Bulk Order, following for more requirements"/>
    <n v="39435"/>
    <n v="39435"/>
    <d v="2025-01-01T00:00:00"/>
    <x v="0"/>
    <x v="4"/>
    <s v="Warm"/>
    <m/>
    <m/>
    <m/>
    <m/>
    <m/>
    <x v="5"/>
    <n v="3"/>
    <x v="1"/>
  </r>
  <r>
    <d v="2025-01-16T00:00:00"/>
    <x v="45"/>
    <s v="F2F"/>
    <s v="Corporate"/>
    <x v="24"/>
    <s v="Aftab"/>
    <m/>
    <m/>
    <m/>
    <d v="2025-04-01T00:00:00"/>
    <x v="0"/>
    <x v="1"/>
    <s v="Cold"/>
    <m/>
    <m/>
    <m/>
    <m/>
    <m/>
    <x v="5"/>
    <n v="3"/>
    <x v="1"/>
  </r>
  <r>
    <d v="2025-01-16T00:00:00"/>
    <x v="208"/>
    <s v="F2F"/>
    <s v="Corporate"/>
    <x v="24"/>
    <s v="Sandeep"/>
    <m/>
    <m/>
    <m/>
    <d v="2025-04-01T00:00:00"/>
    <x v="0"/>
    <x v="1"/>
    <s v="Cold"/>
    <m/>
    <m/>
    <m/>
    <m/>
    <m/>
    <x v="5"/>
    <n v="3"/>
    <x v="1"/>
  </r>
  <r>
    <d v="2025-01-20T00:00:00"/>
    <x v="7"/>
    <s v="Call"/>
    <s v="Corporate"/>
    <x v="58"/>
    <s v="Arnav"/>
    <s v="Confirmed bulk order"/>
    <n v="4070"/>
    <n v="4070"/>
    <d v="2025-01-01T00:00:00"/>
    <x v="0"/>
    <x v="4"/>
    <s v="Warm"/>
    <m/>
    <m/>
    <m/>
    <m/>
    <m/>
    <x v="5"/>
    <n v="4"/>
    <x v="1"/>
  </r>
  <r>
    <d v="2025-01-20T00:00:00"/>
    <x v="7"/>
    <s v="Call"/>
    <s v="Corporate"/>
    <x v="58"/>
    <s v="Arnav"/>
    <s v="Confirmed bulk order"/>
    <n v="740"/>
    <n v="740"/>
    <d v="2025-01-01T00:00:00"/>
    <x v="2"/>
    <x v="4"/>
    <s v="Warm"/>
    <m/>
    <m/>
    <m/>
    <m/>
    <m/>
    <x v="5"/>
    <n v="4"/>
    <x v="1"/>
  </r>
  <r>
    <d v="2025-01-20T00:00:00"/>
    <x v="209"/>
    <s v="Call"/>
    <s v="Corporate"/>
    <x v="10"/>
    <s v="Lalitha"/>
    <m/>
    <n v="11395"/>
    <n v="11395"/>
    <d v="2025-01-01T00:00:00"/>
    <x v="1"/>
    <x v="4"/>
    <s v="Warm"/>
    <m/>
    <m/>
    <m/>
    <m/>
    <m/>
    <x v="5"/>
    <n v="4"/>
    <x v="1"/>
  </r>
  <r>
    <d v="2025-01-22T00:00:00"/>
    <x v="4"/>
    <s v="Call"/>
    <s v="Aggregator"/>
    <x v="67"/>
    <s v="Sandhya"/>
    <m/>
    <n v="23510"/>
    <n v="23510"/>
    <d v="2025-01-01T00:00:00"/>
    <x v="1"/>
    <x v="4"/>
    <s v="Warm"/>
    <m/>
    <m/>
    <m/>
    <m/>
    <m/>
    <x v="5"/>
    <n v="4"/>
    <x v="1"/>
  </r>
  <r>
    <d v="2025-01-22T00:00:00"/>
    <x v="4"/>
    <s v="Call"/>
    <s v="Aggregator"/>
    <x v="67"/>
    <s v="Nupur"/>
    <m/>
    <n v="20221"/>
    <n v="20221"/>
    <d v="2025-01-01T00:00:00"/>
    <x v="0"/>
    <x v="4"/>
    <s v="Warm"/>
    <m/>
    <m/>
    <m/>
    <m/>
    <m/>
    <x v="5"/>
    <n v="4"/>
    <x v="1"/>
  </r>
  <r>
    <d v="2025-01-23T00:00:00"/>
    <x v="7"/>
    <s v="Call"/>
    <s v="Corporate"/>
    <x v="58"/>
    <s v="Arnav"/>
    <s v="Confirmed bulk order"/>
    <n v="11100"/>
    <n v="11100"/>
    <d v="2025-01-01T00:00:00"/>
    <x v="2"/>
    <x v="4"/>
    <s v="Warm"/>
    <m/>
    <m/>
    <m/>
    <m/>
    <m/>
    <x v="5"/>
    <n v="4"/>
    <x v="1"/>
  </r>
  <r>
    <d v="2025-01-23T00:00:00"/>
    <x v="189"/>
    <s v="Call"/>
    <s v="Events"/>
    <x v="67"/>
    <s v="Arijit"/>
    <m/>
    <n v="40380"/>
    <n v="40380"/>
    <d v="2025-01-01T00:00:00"/>
    <x v="0"/>
    <x v="4"/>
    <s v="Warm"/>
    <m/>
    <m/>
    <m/>
    <m/>
    <m/>
    <x v="5"/>
    <n v="4"/>
    <x v="1"/>
  </r>
  <r>
    <d v="2025-01-23T00:00:00"/>
    <x v="200"/>
    <s v="Call"/>
    <s v="Corporate"/>
    <x v="12"/>
    <s v="Mohammed"/>
    <s v="Received Bulk Order, following for more requirements"/>
    <n v="34822"/>
    <n v="34822"/>
    <d v="2025-01-01T00:00:00"/>
    <x v="0"/>
    <x v="4"/>
    <s v="Warm"/>
    <m/>
    <m/>
    <m/>
    <m/>
    <m/>
    <x v="5"/>
    <n v="4"/>
    <x v="1"/>
  </r>
  <r>
    <d v="2025-01-23T00:00:00"/>
    <x v="202"/>
    <s v="Call"/>
    <s v="Corporate"/>
    <x v="10"/>
    <s v="Pankaj"/>
    <s v="Received Bulk Order, following for more requirements"/>
    <n v="35400"/>
    <n v="35400"/>
    <d v="2025-01-01T00:00:00"/>
    <x v="0"/>
    <x v="4"/>
    <s v="Warm"/>
    <m/>
    <m/>
    <m/>
    <m/>
    <m/>
    <x v="5"/>
    <n v="4"/>
    <x v="1"/>
  </r>
  <r>
    <d v="2025-01-23T00:00:00"/>
    <x v="4"/>
    <s v="Call"/>
    <s v="Aggregator"/>
    <x v="67"/>
    <s v="Sandhya"/>
    <m/>
    <n v="13340"/>
    <n v="13340"/>
    <d v="2025-01-01T00:00:00"/>
    <x v="1"/>
    <x v="4"/>
    <s v="Warm"/>
    <m/>
    <m/>
    <m/>
    <m/>
    <m/>
    <x v="5"/>
    <n v="4"/>
    <x v="1"/>
  </r>
  <r>
    <d v="2025-01-24T00:00:00"/>
    <x v="4"/>
    <s v="Call"/>
    <s v="Aggregator"/>
    <x v="67"/>
    <s v="Sandhya"/>
    <m/>
    <n v="19280"/>
    <n v="19280"/>
    <d v="2025-01-01T00:00:00"/>
    <x v="1"/>
    <x v="4"/>
    <s v="Warm"/>
    <m/>
    <m/>
    <m/>
    <m/>
    <m/>
    <x v="5"/>
    <n v="4"/>
    <x v="1"/>
  </r>
  <r>
    <d v="2025-01-26T00:00:00"/>
    <x v="189"/>
    <s v="Call"/>
    <s v="Events"/>
    <x v="67"/>
    <s v="Arijit"/>
    <m/>
    <n v="325490"/>
    <n v="325490"/>
    <d v="2025-01-01T00:00:00"/>
    <x v="0"/>
    <x v="4"/>
    <s v="Warm"/>
    <m/>
    <m/>
    <m/>
    <m/>
    <m/>
    <x v="5"/>
    <n v="4"/>
    <x v="1"/>
  </r>
  <r>
    <d v="2025-01-27T00:00:00"/>
    <x v="4"/>
    <s v="Call"/>
    <s v="Aggregator"/>
    <x v="67"/>
    <s v="Sandhya"/>
    <m/>
    <n v="19870"/>
    <n v="19870"/>
    <d v="2025-01-01T00:00:00"/>
    <x v="1"/>
    <x v="4"/>
    <s v="Warm"/>
    <m/>
    <m/>
    <m/>
    <m/>
    <m/>
    <x v="5"/>
    <n v="5"/>
    <x v="1"/>
  </r>
  <r>
    <d v="2025-01-27T00:00:00"/>
    <x v="189"/>
    <s v="Call"/>
    <s v="Events"/>
    <x v="67"/>
    <s v="Arijit"/>
    <m/>
    <n v="80060"/>
    <n v="80060"/>
    <d v="2025-01-01T00:00:00"/>
    <x v="0"/>
    <x v="4"/>
    <s v="Warm"/>
    <m/>
    <m/>
    <m/>
    <m/>
    <m/>
    <x v="5"/>
    <n v="5"/>
    <x v="1"/>
  </r>
  <r>
    <d v="2025-01-28T00:00:00"/>
    <x v="189"/>
    <s v="Call"/>
    <s v="Events"/>
    <x v="67"/>
    <s v="Arijit"/>
    <m/>
    <n v="94270"/>
    <n v="94270"/>
    <d v="2025-01-01T00:00:00"/>
    <x v="0"/>
    <x v="4"/>
    <s v="Warm"/>
    <m/>
    <m/>
    <m/>
    <m/>
    <m/>
    <x v="5"/>
    <n v="5"/>
    <x v="1"/>
  </r>
  <r>
    <d v="2025-01-28T00:00:00"/>
    <x v="210"/>
    <s v="Call"/>
    <s v="Corporate"/>
    <x v="10"/>
    <s v="Saran"/>
    <m/>
    <n v="76280"/>
    <n v="76280"/>
    <d v="2025-01-01T00:00:00"/>
    <x v="0"/>
    <x v="4"/>
    <s v="Warm"/>
    <m/>
    <m/>
    <m/>
    <m/>
    <m/>
    <x v="5"/>
    <n v="5"/>
    <x v="1"/>
  </r>
  <r>
    <d v="2025-01-28T00:00:00"/>
    <x v="4"/>
    <s v="Call"/>
    <s v="Aggregator"/>
    <x v="67"/>
    <s v="Sandhya"/>
    <m/>
    <n v="26819"/>
    <n v="26819"/>
    <d v="2025-01-01T00:00:00"/>
    <x v="1"/>
    <x v="4"/>
    <s v="Warm"/>
    <m/>
    <m/>
    <m/>
    <m/>
    <m/>
    <x v="5"/>
    <n v="5"/>
    <x v="1"/>
  </r>
  <r>
    <d v="2025-01-29T00:00:00"/>
    <x v="200"/>
    <s v="Call"/>
    <s v="Corporate"/>
    <x v="12"/>
    <s v="Mohammed"/>
    <s v="Received Bulk Order, following for more requirements"/>
    <n v="32860"/>
    <n v="32860"/>
    <d v="2025-01-01T00:00:00"/>
    <x v="0"/>
    <x v="4"/>
    <s v="Warm"/>
    <m/>
    <m/>
    <m/>
    <m/>
    <m/>
    <x v="5"/>
    <n v="5"/>
    <x v="1"/>
  </r>
  <r>
    <d v="2025-01-29T00:00:00"/>
    <x v="202"/>
    <s v="Call"/>
    <s v="Corporate"/>
    <x v="10"/>
    <s v="Pankaj"/>
    <s v="Received Bulk Order, following for more requirements"/>
    <n v="39435"/>
    <n v="39435"/>
    <d v="2025-01-01T00:00:00"/>
    <x v="0"/>
    <x v="4"/>
    <s v="Warm"/>
    <m/>
    <m/>
    <m/>
    <m/>
    <m/>
    <x v="5"/>
    <n v="5"/>
    <x v="1"/>
  </r>
  <r>
    <d v="2025-01-29T00:00:00"/>
    <x v="210"/>
    <s v="Call"/>
    <s v="Corporate"/>
    <x v="10"/>
    <s v="Saran"/>
    <m/>
    <n v="79372"/>
    <n v="79372"/>
    <d v="2025-01-01T00:00:00"/>
    <x v="0"/>
    <x v="4"/>
    <s v="Warm"/>
    <m/>
    <m/>
    <m/>
    <m/>
    <m/>
    <x v="5"/>
    <n v="5"/>
    <x v="1"/>
  </r>
  <r>
    <d v="2025-01-29T00:00:00"/>
    <x v="4"/>
    <s v="Call"/>
    <s v="Aggregator"/>
    <x v="67"/>
    <s v="Sandhya"/>
    <m/>
    <n v="30002"/>
    <n v="30002"/>
    <d v="2025-01-01T00:00:00"/>
    <x v="1"/>
    <x v="4"/>
    <s v="Warm"/>
    <m/>
    <m/>
    <m/>
    <m/>
    <m/>
    <x v="5"/>
    <n v="5"/>
    <x v="1"/>
  </r>
  <r>
    <d v="2025-01-29T00:00:00"/>
    <x v="171"/>
    <s v="Call"/>
    <s v="Corporate"/>
    <x v="51"/>
    <s v="Rathan Gowda"/>
    <s v="Corporate ODC"/>
    <n v="41567"/>
    <n v="41567"/>
    <d v="2025-01-01T00:00:00"/>
    <x v="0"/>
    <x v="4"/>
    <s v="Warm"/>
    <m/>
    <m/>
    <m/>
    <m/>
    <m/>
    <x v="5"/>
    <n v="5"/>
    <x v="1"/>
  </r>
  <r>
    <d v="2025-01-29T00:00:00"/>
    <x v="189"/>
    <s v="Call"/>
    <s v="Events"/>
    <x v="67"/>
    <s v="Arijit"/>
    <m/>
    <n v="36430"/>
    <n v="36430"/>
    <d v="2025-01-01T00:00:00"/>
    <x v="0"/>
    <x v="4"/>
    <s v="Warm"/>
    <m/>
    <m/>
    <m/>
    <m/>
    <m/>
    <x v="5"/>
    <n v="5"/>
    <x v="1"/>
  </r>
  <r>
    <d v="2025-01-29T00:00:00"/>
    <x v="211"/>
    <s v="Call"/>
    <s v="Events"/>
    <x v="67"/>
    <s v="Sathyam"/>
    <m/>
    <n v="150000"/>
    <n v="150000"/>
    <d v="2025-02-01T00:00:00"/>
    <x v="0"/>
    <x v="2"/>
    <s v="Warm"/>
    <m/>
    <m/>
    <m/>
    <m/>
    <m/>
    <x v="5"/>
    <n v="5"/>
    <x v="1"/>
  </r>
  <r>
    <d v="2025-01-29T00:00:00"/>
    <x v="212"/>
    <s v="Call"/>
    <s v="Events"/>
    <x v="67"/>
    <s v="Devendar"/>
    <m/>
    <m/>
    <m/>
    <d v="2025-02-01T00:00:00"/>
    <x v="0"/>
    <x v="3"/>
    <s v="Warm"/>
    <m/>
    <m/>
    <m/>
    <m/>
    <m/>
    <x v="5"/>
    <n v="5"/>
    <x v="1"/>
  </r>
  <r>
    <d v="2025-01-29T00:00:00"/>
    <x v="213"/>
    <s v="Call"/>
    <s v="Events"/>
    <x v="67"/>
    <s v="Devendar"/>
    <m/>
    <m/>
    <m/>
    <d v="2025-02-01T00:00:00"/>
    <x v="0"/>
    <x v="3"/>
    <s v="Warm"/>
    <m/>
    <m/>
    <m/>
    <m/>
    <m/>
    <x v="5"/>
    <n v="5"/>
    <x v="1"/>
  </r>
  <r>
    <d v="2025-01-30T00:00:00"/>
    <x v="171"/>
    <s v="Call"/>
    <s v="Corporate"/>
    <x v="51"/>
    <s v="Rathan Gowda"/>
    <s v="Corporate ODC"/>
    <n v="11482"/>
    <n v="11482"/>
    <d v="2025-01-01T00:00:00"/>
    <x v="0"/>
    <x v="4"/>
    <s v="Warm"/>
    <m/>
    <m/>
    <m/>
    <m/>
    <m/>
    <x v="5"/>
    <n v="5"/>
    <x v="1"/>
  </r>
  <r>
    <d v="2025-01-30T00:00:00"/>
    <x v="4"/>
    <s v="Call"/>
    <s v="Aggregator"/>
    <x v="67"/>
    <s v="Sandhya"/>
    <m/>
    <n v="30345"/>
    <n v="30345"/>
    <d v="2025-01-01T00:00:00"/>
    <x v="1"/>
    <x v="4"/>
    <s v="Warm"/>
    <m/>
    <m/>
    <m/>
    <m/>
    <m/>
    <x v="5"/>
    <n v="5"/>
    <x v="1"/>
  </r>
  <r>
    <d v="2025-01-31T00:00:00"/>
    <x v="171"/>
    <s v="Call"/>
    <s v="Corporate"/>
    <x v="51"/>
    <s v="Rathan Gowda"/>
    <s v="Corporate ODC"/>
    <n v="10048"/>
    <n v="10048"/>
    <d v="2025-01-01T00:00:00"/>
    <x v="0"/>
    <x v="4"/>
    <s v="Warm"/>
    <m/>
    <m/>
    <m/>
    <m/>
    <m/>
    <x v="5"/>
    <n v="5"/>
    <x v="1"/>
  </r>
  <r>
    <d v="2025-01-31T00:00:00"/>
    <x v="214"/>
    <s v="Call"/>
    <s v="Corporate"/>
    <x v="10"/>
    <s v="Ramesh"/>
    <m/>
    <n v="9000"/>
    <n v="9000"/>
    <d v="2025-01-01T00:00:00"/>
    <x v="0"/>
    <x v="4"/>
    <s v="Warm"/>
    <m/>
    <m/>
    <m/>
    <m/>
    <m/>
    <x v="5"/>
    <n v="5"/>
    <x v="1"/>
  </r>
  <r>
    <d v="2025-01-31T00:00:00"/>
    <x v="4"/>
    <s v="Call"/>
    <s v="Aggregator"/>
    <x v="67"/>
    <s v="Sandhya"/>
    <m/>
    <n v="44251"/>
    <n v="44251"/>
    <d v="2025-01-01T00:00:00"/>
    <x v="1"/>
    <x v="4"/>
    <s v="Warm"/>
    <m/>
    <m/>
    <m/>
    <m/>
    <m/>
    <x v="5"/>
    <n v="5"/>
    <x v="1"/>
  </r>
  <r>
    <d v="2025-02-03T00:00:00"/>
    <x v="7"/>
    <s v="Call"/>
    <s v="Corporate"/>
    <x v="58"/>
    <s v="Arnav"/>
    <s v="Confirmed bulk order"/>
    <n v="3327"/>
    <n v="3327"/>
    <d v="2025-02-01T00:00:00"/>
    <x v="0"/>
    <x v="4"/>
    <s v="Warm"/>
    <m/>
    <m/>
    <m/>
    <m/>
    <m/>
    <x v="6"/>
    <n v="6"/>
    <x v="1"/>
  </r>
  <r>
    <d v="2025-02-03T00:00:00"/>
    <x v="4"/>
    <s v="Call"/>
    <s v="Aggregator"/>
    <x v="67"/>
    <s v="Sandhya"/>
    <m/>
    <n v="15136"/>
    <n v="15136"/>
    <d v="2025-02-01T00:00:00"/>
    <x v="1"/>
    <x v="4"/>
    <s v="Warm"/>
    <m/>
    <m/>
    <m/>
    <m/>
    <m/>
    <x v="6"/>
    <n v="6"/>
    <x v="1"/>
  </r>
  <r>
    <d v="2025-02-04T00:00:00"/>
    <x v="4"/>
    <s v="Call"/>
    <s v="Aggregator"/>
    <x v="67"/>
    <s v="Sandhya"/>
    <m/>
    <n v="16424"/>
    <n v="16424"/>
    <d v="2025-02-01T00:00:00"/>
    <x v="1"/>
    <x v="4"/>
    <s v="Warm"/>
    <m/>
    <m/>
    <m/>
    <m/>
    <m/>
    <x v="6"/>
    <n v="6"/>
    <x v="1"/>
  </r>
  <r>
    <d v="2025-02-05T00:00:00"/>
    <x v="4"/>
    <s v="Call"/>
    <s v="Aggregator"/>
    <x v="67"/>
    <s v="Sandhya"/>
    <m/>
    <n v="24649"/>
    <n v="24649"/>
    <d v="2025-02-01T00:00:00"/>
    <x v="1"/>
    <x v="4"/>
    <s v="Warm"/>
    <m/>
    <m/>
    <m/>
    <m/>
    <m/>
    <x v="6"/>
    <n v="6"/>
    <x v="1"/>
  </r>
  <r>
    <d v="2025-02-05T00:00:00"/>
    <x v="200"/>
    <s v="Call"/>
    <s v="Corporate"/>
    <x v="12"/>
    <s v="Mohammed"/>
    <s v="Received Bulk Order, following for more requirements"/>
    <n v="29918"/>
    <n v="29918"/>
    <d v="2025-02-01T00:00:00"/>
    <x v="0"/>
    <x v="4"/>
    <s v="Warm"/>
    <m/>
    <m/>
    <m/>
    <m/>
    <m/>
    <x v="6"/>
    <n v="6"/>
    <x v="1"/>
  </r>
  <r>
    <d v="2025-02-05T00:00:00"/>
    <x v="202"/>
    <s v="Call"/>
    <s v="Corporate"/>
    <x v="10"/>
    <s v="Pankaj"/>
    <s v="Received Bulk Order, following for more requirements"/>
    <n v="39619"/>
    <n v="39619"/>
    <d v="2025-02-01T00:00:00"/>
    <x v="0"/>
    <x v="4"/>
    <s v="Warm"/>
    <m/>
    <m/>
    <m/>
    <m/>
    <m/>
    <x v="6"/>
    <n v="6"/>
    <x v="1"/>
  </r>
  <r>
    <d v="2025-02-06T00:00:00"/>
    <x v="4"/>
    <s v="Call"/>
    <s v="Aggregator"/>
    <x v="67"/>
    <s v="Sandhya"/>
    <m/>
    <n v="19150"/>
    <n v="19150"/>
    <d v="2025-02-01T00:00:00"/>
    <x v="1"/>
    <x v="4"/>
    <s v="Warm"/>
    <m/>
    <m/>
    <m/>
    <m/>
    <m/>
    <x v="6"/>
    <n v="6"/>
    <x v="1"/>
  </r>
  <r>
    <d v="2025-02-07T00:00:00"/>
    <x v="215"/>
    <s v="F2F"/>
    <s v="Events"/>
    <x v="67"/>
    <s v="Sandeep"/>
    <m/>
    <n v="58882"/>
    <n v="58882"/>
    <d v="2025-02-01T00:00:00"/>
    <x v="0"/>
    <x v="4"/>
    <s v="Warm"/>
    <m/>
    <m/>
    <m/>
    <m/>
    <m/>
    <x v="6"/>
    <n v="6"/>
    <x v="1"/>
  </r>
  <r>
    <d v="2025-02-07T00:00:00"/>
    <x v="192"/>
    <s v="F2F"/>
    <s v="Corporate"/>
    <x v="10"/>
    <s v="Vivek"/>
    <m/>
    <m/>
    <m/>
    <d v="2025-04-01T00:00:00"/>
    <x v="0"/>
    <x v="1"/>
    <s v="Cold"/>
    <m/>
    <m/>
    <m/>
    <m/>
    <m/>
    <x v="6"/>
    <n v="6"/>
    <x v="1"/>
  </r>
  <r>
    <d v="2025-02-07T00:00:00"/>
    <x v="4"/>
    <s v="Call"/>
    <s v="Aggregator"/>
    <x v="67"/>
    <s v="Sandhya"/>
    <m/>
    <n v="27102"/>
    <n v="27102"/>
    <d v="2025-02-01T00:00:00"/>
    <x v="1"/>
    <x v="4"/>
    <s v="Warm"/>
    <m/>
    <m/>
    <m/>
    <m/>
    <m/>
    <x v="6"/>
    <n v="6"/>
    <x v="1"/>
  </r>
  <r>
    <d v="2025-02-07T00:00:00"/>
    <x v="216"/>
    <s v="F2F"/>
    <s v="Corporate"/>
    <x v="77"/>
    <s v="Srinivas"/>
    <m/>
    <n v="5123"/>
    <n v="5123"/>
    <d v="2025-02-01T00:00:00"/>
    <x v="0"/>
    <x v="4"/>
    <s v="Warm"/>
    <m/>
    <m/>
    <m/>
    <m/>
    <m/>
    <x v="6"/>
    <n v="6"/>
    <x v="1"/>
  </r>
  <r>
    <d v="2025-02-07T00:00:00"/>
    <x v="217"/>
    <s v="F2F"/>
    <s v="Corporate"/>
    <x v="77"/>
    <s v="Anjum"/>
    <m/>
    <n v="20965"/>
    <n v="20965"/>
    <d v="2025-02-01T00:00:00"/>
    <x v="0"/>
    <x v="4"/>
    <s v="Warm"/>
    <m/>
    <m/>
    <m/>
    <m/>
    <m/>
    <x v="6"/>
    <n v="6"/>
    <x v="1"/>
  </r>
  <r>
    <d v="2025-02-07T00:00:00"/>
    <x v="218"/>
    <s v="F2F"/>
    <s v="Corporate"/>
    <x v="77"/>
    <s v="Mayur"/>
    <m/>
    <n v="17644"/>
    <n v="17644"/>
    <d v="2025-02-01T00:00:00"/>
    <x v="0"/>
    <x v="4"/>
    <s v="Warm"/>
    <m/>
    <m/>
    <m/>
    <m/>
    <m/>
    <x v="6"/>
    <n v="6"/>
    <x v="1"/>
  </r>
  <r>
    <d v="2025-02-10T00:00:00"/>
    <x v="4"/>
    <s v="Call"/>
    <s v="Aggregator"/>
    <x v="67"/>
    <s v="Sandhya"/>
    <m/>
    <n v="5827"/>
    <n v="5827"/>
    <d v="2025-02-01T00:00:00"/>
    <x v="1"/>
    <x v="4"/>
    <s v="Warm"/>
    <m/>
    <m/>
    <m/>
    <m/>
    <m/>
    <x v="6"/>
    <n v="7"/>
    <x v="1"/>
  </r>
  <r>
    <d v="2025-02-11T00:00:00"/>
    <x v="4"/>
    <s v="Call"/>
    <s v="Aggregator"/>
    <x v="67"/>
    <s v="Sandhya"/>
    <m/>
    <n v="15199"/>
    <n v="15199"/>
    <d v="2025-02-01T00:00:00"/>
    <x v="1"/>
    <x v="4"/>
    <s v="Warm"/>
    <m/>
    <m/>
    <m/>
    <m/>
    <m/>
    <x v="6"/>
    <n v="7"/>
    <x v="1"/>
  </r>
  <r>
    <d v="2025-02-11T00:00:00"/>
    <x v="219"/>
    <s v="Call"/>
    <s v="Aggregator"/>
    <x v="67"/>
    <s v="Helal"/>
    <m/>
    <n v="400000"/>
    <n v="400000"/>
    <d v="2025-02-01T00:00:00"/>
    <x v="1"/>
    <x v="2"/>
    <s v="Warm"/>
    <m/>
    <m/>
    <m/>
    <m/>
    <m/>
    <x v="6"/>
    <n v="7"/>
    <x v="1"/>
  </r>
  <r>
    <d v="2025-02-12T00:00:00"/>
    <x v="212"/>
    <s v="Call"/>
    <s v="Events"/>
    <x v="67"/>
    <s v="Devendar"/>
    <m/>
    <n v="13410"/>
    <n v="13410"/>
    <d v="2025-02-01T00:00:00"/>
    <x v="0"/>
    <x v="4"/>
    <s v="Warm"/>
    <m/>
    <m/>
    <m/>
    <m/>
    <m/>
    <x v="6"/>
    <n v="7"/>
    <x v="1"/>
  </r>
  <r>
    <d v="2025-02-12T00:00:00"/>
    <x v="4"/>
    <s v="Call"/>
    <s v="Aggregator"/>
    <x v="67"/>
    <s v="Sandhya"/>
    <m/>
    <n v="23319"/>
    <n v="23319"/>
    <d v="2025-02-01T00:00:00"/>
    <x v="1"/>
    <x v="4"/>
    <s v="Warm"/>
    <m/>
    <m/>
    <m/>
    <m/>
    <m/>
    <x v="6"/>
    <n v="7"/>
    <x v="1"/>
  </r>
  <r>
    <d v="2025-02-13T00:00:00"/>
    <x v="212"/>
    <s v="Call"/>
    <s v="Events"/>
    <x v="67"/>
    <s v="Devendar"/>
    <m/>
    <n v="40910"/>
    <n v="40910"/>
    <d v="2025-02-01T00:00:00"/>
    <x v="0"/>
    <x v="4"/>
    <s v="Warm"/>
    <m/>
    <m/>
    <m/>
    <m/>
    <m/>
    <x v="6"/>
    <n v="7"/>
    <x v="1"/>
  </r>
  <r>
    <d v="2025-02-13T00:00:00"/>
    <x v="220"/>
    <s v="Call"/>
    <s v="Corporate"/>
    <x v="10"/>
    <s v="Abybaby Events"/>
    <m/>
    <n v="15028"/>
    <n v="15028"/>
    <d v="2025-02-01T00:00:00"/>
    <x v="0"/>
    <x v="4"/>
    <s v="Warm"/>
    <m/>
    <m/>
    <m/>
    <m/>
    <m/>
    <x v="6"/>
    <n v="7"/>
    <x v="1"/>
  </r>
  <r>
    <d v="2025-02-13T00:00:00"/>
    <x v="4"/>
    <s v="Call"/>
    <s v="Aggregator"/>
    <x v="67"/>
    <s v="Sandhya"/>
    <m/>
    <n v="15492"/>
    <n v="15492"/>
    <d v="2025-02-01T00:00:00"/>
    <x v="1"/>
    <x v="4"/>
    <s v="Warm"/>
    <m/>
    <m/>
    <m/>
    <m/>
    <m/>
    <x v="6"/>
    <n v="7"/>
    <x v="1"/>
  </r>
  <r>
    <d v="2025-02-14T00:00:00"/>
    <x v="4"/>
    <s v="Call"/>
    <s v="Aggregator"/>
    <x v="67"/>
    <s v="Sandhya"/>
    <m/>
    <n v="17269"/>
    <n v="17269"/>
    <d v="2025-02-01T00:00:00"/>
    <x v="1"/>
    <x v="4"/>
    <s v="Warm"/>
    <m/>
    <m/>
    <m/>
    <m/>
    <m/>
    <x v="6"/>
    <n v="7"/>
    <x v="1"/>
  </r>
  <r>
    <d v="2025-02-14T00:00:00"/>
    <x v="212"/>
    <s v="Call"/>
    <s v="Events"/>
    <x v="67"/>
    <s v="Devendar"/>
    <m/>
    <n v="43900"/>
    <n v="43900"/>
    <d v="2025-02-01T00:00:00"/>
    <x v="0"/>
    <x v="4"/>
    <s v="Warm"/>
    <m/>
    <m/>
    <m/>
    <m/>
    <m/>
    <x v="6"/>
    <n v="7"/>
    <x v="1"/>
  </r>
  <r>
    <d v="2025-02-15T00:00:00"/>
    <x v="212"/>
    <s v="Call"/>
    <s v="Events"/>
    <x v="67"/>
    <s v="Devendar"/>
    <m/>
    <n v="14150"/>
    <n v="14150"/>
    <d v="2025-02-01T00:00:00"/>
    <x v="0"/>
    <x v="4"/>
    <s v="Warm"/>
    <m/>
    <m/>
    <m/>
    <m/>
    <m/>
    <x v="6"/>
    <n v="7"/>
    <x v="1"/>
  </r>
  <r>
    <d v="2025-02-17T00:00:00"/>
    <x v="4"/>
    <s v="Call"/>
    <s v="Aggregator"/>
    <x v="67"/>
    <s v="Sandhya"/>
    <m/>
    <n v="11690"/>
    <n v="11690"/>
    <d v="2025-02-01T00:00:00"/>
    <x v="1"/>
    <x v="4"/>
    <s v="Warm"/>
    <m/>
    <m/>
    <m/>
    <m/>
    <m/>
    <x v="6"/>
    <n v="8"/>
    <x v="1"/>
  </r>
  <r>
    <d v="2025-02-17T00:00:00"/>
    <x v="216"/>
    <s v="F2F"/>
    <s v="Corporate"/>
    <x v="77"/>
    <s v="Srinivas"/>
    <m/>
    <n v="4038"/>
    <n v="4038"/>
    <d v="2025-02-01T00:00:00"/>
    <x v="0"/>
    <x v="4"/>
    <s v="Warm"/>
    <m/>
    <m/>
    <m/>
    <m/>
    <m/>
    <x v="6"/>
    <n v="8"/>
    <x v="1"/>
  </r>
  <r>
    <d v="2025-02-18T00:00:00"/>
    <x v="4"/>
    <s v="Call"/>
    <s v="Aggregator"/>
    <x v="67"/>
    <s v="Sandhya"/>
    <m/>
    <n v="16013"/>
    <n v="16013"/>
    <d v="2025-02-01T00:00:00"/>
    <x v="1"/>
    <x v="4"/>
    <s v="Warm"/>
    <m/>
    <m/>
    <m/>
    <m/>
    <m/>
    <x v="6"/>
    <n v="8"/>
    <x v="1"/>
  </r>
  <r>
    <d v="2025-02-18T00:00:00"/>
    <x v="217"/>
    <s v="F2F"/>
    <s v="Corporate"/>
    <x v="77"/>
    <s v="Srinivas"/>
    <m/>
    <n v="16521"/>
    <n v="16521"/>
    <d v="2025-02-01T00:00:00"/>
    <x v="0"/>
    <x v="4"/>
    <s v="Warm"/>
    <m/>
    <m/>
    <m/>
    <m/>
    <m/>
    <x v="6"/>
    <n v="8"/>
    <x v="1"/>
  </r>
  <r>
    <d v="2025-02-19T00:00:00"/>
    <x v="4"/>
    <s v="Call"/>
    <s v="Aggregator"/>
    <x v="67"/>
    <s v="Sandhya"/>
    <m/>
    <n v="20760"/>
    <n v="20760"/>
    <d v="2025-02-01T00:00:00"/>
    <x v="1"/>
    <x v="4"/>
    <s v="Warm"/>
    <m/>
    <m/>
    <m/>
    <m/>
    <m/>
    <x v="6"/>
    <n v="8"/>
    <x v="1"/>
  </r>
  <r>
    <d v="2025-02-19T00:00:00"/>
    <x v="202"/>
    <s v="Call"/>
    <s v="Corporate"/>
    <x v="12"/>
    <s v="Pankaj"/>
    <s v="Received Bulk Order, following for more requirements"/>
    <n v="53015"/>
    <n v="53015"/>
    <d v="2025-02-01T00:00:00"/>
    <x v="0"/>
    <x v="4"/>
    <s v="Warm"/>
    <m/>
    <m/>
    <m/>
    <m/>
    <m/>
    <x v="6"/>
    <n v="8"/>
    <x v="1"/>
  </r>
  <r>
    <d v="2025-02-19T00:00:00"/>
    <x v="218"/>
    <s v="F2F"/>
    <s v="Corporate"/>
    <x v="77"/>
    <s v="Mayur"/>
    <m/>
    <n v="6430"/>
    <n v="6430"/>
    <d v="2025-02-01T00:00:00"/>
    <x v="0"/>
    <x v="4"/>
    <s v="Warm"/>
    <m/>
    <m/>
    <m/>
    <m/>
    <m/>
    <x v="6"/>
    <n v="8"/>
    <x v="1"/>
  </r>
  <r>
    <d v="2025-02-19T00:00:00"/>
    <x v="221"/>
    <s v="F2F"/>
    <s v="Corporate"/>
    <x v="77"/>
    <s v="Mohsin"/>
    <m/>
    <n v="8200"/>
    <n v="8200"/>
    <d v="2025-02-01T00:00:00"/>
    <x v="0"/>
    <x v="4"/>
    <s v="Warm"/>
    <m/>
    <m/>
    <m/>
    <m/>
    <m/>
    <x v="6"/>
    <n v="8"/>
    <x v="1"/>
  </r>
  <r>
    <d v="2025-02-20T00:00:00"/>
    <x v="4"/>
    <s v="Call"/>
    <s v="Aggregator"/>
    <x v="67"/>
    <s v="Sandhya"/>
    <m/>
    <n v="6950"/>
    <n v="6950"/>
    <d v="2025-02-01T00:00:00"/>
    <x v="1"/>
    <x v="4"/>
    <s v="Warm"/>
    <m/>
    <m/>
    <m/>
    <m/>
    <m/>
    <x v="6"/>
    <n v="8"/>
    <x v="1"/>
  </r>
  <r>
    <d v="2025-02-20T00:00:00"/>
    <x v="213"/>
    <s v="Call"/>
    <s v="Events"/>
    <x v="67"/>
    <s v="Devendar"/>
    <m/>
    <n v="89840"/>
    <n v="89840"/>
    <d v="2025-02-01T00:00:00"/>
    <x v="0"/>
    <x v="4"/>
    <s v="Warm"/>
    <m/>
    <m/>
    <m/>
    <m/>
    <m/>
    <x v="6"/>
    <n v="8"/>
    <x v="1"/>
  </r>
  <r>
    <d v="2025-02-21T00:00:00"/>
    <x v="4"/>
    <s v="Call"/>
    <s v="Aggregator"/>
    <x v="67"/>
    <s v="Sandhya"/>
    <m/>
    <n v="7200"/>
    <n v="7200"/>
    <d v="2025-02-01T00:00:00"/>
    <x v="1"/>
    <x v="4"/>
    <s v="Warm"/>
    <m/>
    <m/>
    <m/>
    <m/>
    <m/>
    <x v="6"/>
    <n v="8"/>
    <x v="1"/>
  </r>
  <r>
    <d v="2025-02-21T00:00:00"/>
    <x v="216"/>
    <s v="F2F"/>
    <s v="Corporate"/>
    <x v="77"/>
    <s v="Srinivas"/>
    <m/>
    <n v="12592"/>
    <n v="12592"/>
    <d v="2025-02-01T00:00:00"/>
    <x v="0"/>
    <x v="4"/>
    <s v="Warm"/>
    <m/>
    <m/>
    <m/>
    <m/>
    <m/>
    <x v="6"/>
    <n v="8"/>
    <x v="1"/>
  </r>
  <r>
    <d v="2025-02-21T00:00:00"/>
    <x v="213"/>
    <s v="Call"/>
    <s v="Events"/>
    <x v="67"/>
    <s v="Devendar"/>
    <m/>
    <n v="166900"/>
    <n v="166900"/>
    <d v="2025-02-01T00:00:00"/>
    <x v="0"/>
    <x v="4"/>
    <s v="Warm"/>
    <m/>
    <m/>
    <m/>
    <m/>
    <m/>
    <x v="6"/>
    <n v="8"/>
    <x v="1"/>
  </r>
  <r>
    <d v="2025-02-22T00:00:00"/>
    <x v="213"/>
    <s v="Call"/>
    <s v="Events"/>
    <x v="67"/>
    <s v="Devendar"/>
    <m/>
    <n v="115770"/>
    <n v="115770"/>
    <d v="2025-02-01T00:00:00"/>
    <x v="0"/>
    <x v="4"/>
    <s v="Warm"/>
    <m/>
    <m/>
    <m/>
    <m/>
    <m/>
    <x v="6"/>
    <n v="8"/>
    <x v="1"/>
  </r>
  <r>
    <d v="2025-02-24T00:00:00"/>
    <x v="216"/>
    <s v="F2F"/>
    <s v="Corporate"/>
    <x v="77"/>
    <s v="Srinivas"/>
    <m/>
    <n v="8052"/>
    <n v="8052"/>
    <d v="2025-02-01T00:00:00"/>
    <x v="0"/>
    <x v="4"/>
    <s v="Warm"/>
    <m/>
    <m/>
    <m/>
    <m/>
    <m/>
    <x v="6"/>
    <n v="9"/>
    <x v="1"/>
  </r>
  <r>
    <d v="2025-02-24T00:00:00"/>
    <x v="4"/>
    <s v="Call"/>
    <s v="Aggregator"/>
    <x v="67"/>
    <s v="Sandhya"/>
    <m/>
    <n v="16942"/>
    <n v="16942"/>
    <d v="2025-02-01T00:00:00"/>
    <x v="1"/>
    <x v="4"/>
    <s v="Warm"/>
    <m/>
    <m/>
    <m/>
    <m/>
    <m/>
    <x v="6"/>
    <n v="9"/>
    <x v="1"/>
  </r>
  <r>
    <d v="2025-02-25T00:00:00"/>
    <x v="217"/>
    <s v="F2F"/>
    <s v="Corporate"/>
    <x v="77"/>
    <s v="Srinivas"/>
    <m/>
    <n v="16527"/>
    <n v="16527"/>
    <d v="2025-02-01T00:00:00"/>
    <x v="0"/>
    <x v="4"/>
    <s v="Warm"/>
    <m/>
    <m/>
    <m/>
    <m/>
    <m/>
    <x v="6"/>
    <n v="9"/>
    <x v="1"/>
  </r>
  <r>
    <d v="2025-02-25T00:00:00"/>
    <x v="4"/>
    <s v="Call"/>
    <s v="Aggregator"/>
    <x v="67"/>
    <s v="Sandhya"/>
    <m/>
    <n v="16985"/>
    <n v="16985"/>
    <d v="2025-02-01T00:00:00"/>
    <x v="1"/>
    <x v="4"/>
    <s v="Warm"/>
    <m/>
    <m/>
    <m/>
    <m/>
    <m/>
    <x v="6"/>
    <n v="9"/>
    <x v="1"/>
  </r>
  <r>
    <d v="2025-02-26T00:00:00"/>
    <x v="218"/>
    <s v="F2F"/>
    <s v="Corporate"/>
    <x v="77"/>
    <s v="Mayur"/>
    <m/>
    <n v="2277"/>
    <n v="2277"/>
    <d v="2025-02-01T00:00:00"/>
    <x v="0"/>
    <x v="4"/>
    <s v="Warm"/>
    <m/>
    <m/>
    <m/>
    <m/>
    <m/>
    <x v="6"/>
    <n v="9"/>
    <x v="1"/>
  </r>
  <r>
    <d v="2025-02-27T00:00:00"/>
    <x v="4"/>
    <s v="Call"/>
    <s v="Aggregator"/>
    <x v="67"/>
    <s v="Sandhya"/>
    <m/>
    <n v="14960"/>
    <n v="14960"/>
    <d v="2025-02-01T00:00:00"/>
    <x v="1"/>
    <x v="4"/>
    <s v="Warm"/>
    <m/>
    <m/>
    <m/>
    <m/>
    <m/>
    <x v="6"/>
    <n v="9"/>
    <x v="1"/>
  </r>
  <r>
    <d v="2025-02-28T00:00:00"/>
    <x v="222"/>
    <s v="Call"/>
    <s v="Corporate"/>
    <x v="10"/>
    <s v="Sharath"/>
    <m/>
    <n v="2453"/>
    <n v="2453"/>
    <d v="2025-02-01T00:00:00"/>
    <x v="1"/>
    <x v="4"/>
    <s v="Warm"/>
    <m/>
    <m/>
    <m/>
    <m/>
    <m/>
    <x v="6"/>
    <n v="9"/>
    <x v="1"/>
  </r>
  <r>
    <d v="2025-02-28T00:00:00"/>
    <x v="223"/>
    <s v="F2F"/>
    <s v="Events"/>
    <x v="67"/>
    <s v="Sara Simran"/>
    <m/>
    <m/>
    <m/>
    <d v="2025-03-01T00:00:00"/>
    <x v="0"/>
    <x v="3"/>
    <s v="Warm"/>
    <m/>
    <m/>
    <m/>
    <m/>
    <m/>
    <x v="6"/>
    <n v="9"/>
    <x v="1"/>
  </r>
  <r>
    <d v="2025-02-28T00:00:00"/>
    <x v="4"/>
    <s v="Call"/>
    <s v="Aggregator"/>
    <x v="67"/>
    <s v="Sandhya"/>
    <m/>
    <n v="18712"/>
    <n v="18712"/>
    <d v="2025-02-01T00:00:00"/>
    <x v="1"/>
    <x v="4"/>
    <s v="Warm"/>
    <m/>
    <m/>
    <m/>
    <m/>
    <m/>
    <x v="6"/>
    <n v="9"/>
    <x v="1"/>
  </r>
  <r>
    <d v="2025-02-28T00:00:00"/>
    <x v="224"/>
    <s v="F2F"/>
    <s v="Events"/>
    <x v="67"/>
    <s v="Ali"/>
    <m/>
    <m/>
    <m/>
    <d v="2025-03-01T00:00:00"/>
    <x v="0"/>
    <x v="3"/>
    <s v="Warm"/>
    <m/>
    <m/>
    <m/>
    <m/>
    <m/>
    <x v="6"/>
    <n v="9"/>
    <x v="1"/>
  </r>
  <r>
    <d v="2025-02-28T00:00:00"/>
    <x v="225"/>
    <s v="F2F"/>
    <s v="Events"/>
    <x v="67"/>
    <s v="Ali"/>
    <m/>
    <m/>
    <m/>
    <d v="2025-03-01T00:00:00"/>
    <x v="0"/>
    <x v="3"/>
    <s v="Warm"/>
    <m/>
    <m/>
    <m/>
    <m/>
    <m/>
    <x v="6"/>
    <n v="9"/>
    <x v="1"/>
  </r>
  <r>
    <d v="2025-02-28T00:00:00"/>
    <x v="226"/>
    <s v="F2F"/>
    <s v="Events"/>
    <x v="67"/>
    <s v="Ali"/>
    <m/>
    <m/>
    <m/>
    <d v="2025-03-01T00:00:00"/>
    <x v="0"/>
    <x v="3"/>
    <s v="Warm"/>
    <m/>
    <m/>
    <m/>
    <m/>
    <m/>
    <x v="6"/>
    <n v="9"/>
    <x v="1"/>
  </r>
  <r>
    <d v="2025-03-02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9"/>
    <x v="1"/>
  </r>
  <r>
    <d v="2025-03-03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0"/>
    <x v="1"/>
  </r>
  <r>
    <d v="2025-03-03T00:00:00"/>
    <x v="216"/>
    <s v="F2F"/>
    <s v="Corporate"/>
    <x v="77"/>
    <s v="Srinivas"/>
    <m/>
    <n v="3048"/>
    <n v="3048"/>
    <d v="2025-03-01T00:00:00"/>
    <x v="0"/>
    <x v="4"/>
    <s v="Warm"/>
    <m/>
    <m/>
    <m/>
    <m/>
    <m/>
    <x v="7"/>
    <n v="10"/>
    <x v="1"/>
  </r>
  <r>
    <d v="2025-03-03T00:00:00"/>
    <x v="4"/>
    <s v="Call"/>
    <s v="Aggregator"/>
    <x v="67"/>
    <s v="Sandhya"/>
    <m/>
    <n v="5060"/>
    <n v="5060"/>
    <d v="2025-03-01T00:00:00"/>
    <x v="1"/>
    <x v="4"/>
    <s v="Warm"/>
    <m/>
    <m/>
    <m/>
    <m/>
    <m/>
    <x v="7"/>
    <n v="10"/>
    <x v="1"/>
  </r>
  <r>
    <d v="2025-03-04T00:00:00"/>
    <x v="217"/>
    <s v="F2F"/>
    <s v="Corporate"/>
    <x v="77"/>
    <s v="Srinivas"/>
    <m/>
    <n v="16038"/>
    <n v="16038"/>
    <d v="2025-03-01T00:00:00"/>
    <x v="0"/>
    <x v="4"/>
    <s v="Warm"/>
    <m/>
    <m/>
    <m/>
    <m/>
    <m/>
    <x v="7"/>
    <n v="10"/>
    <x v="1"/>
  </r>
  <r>
    <d v="2025-03-04T00:00:00"/>
    <x v="221"/>
    <s v="F2F"/>
    <s v="Corporate"/>
    <x v="77"/>
    <s v="Mohsin"/>
    <m/>
    <n v="9250"/>
    <n v="9250"/>
    <d v="2025-03-01T00:00:00"/>
    <x v="0"/>
    <x v="4"/>
    <s v="Warm"/>
    <m/>
    <m/>
    <m/>
    <m/>
    <m/>
    <x v="7"/>
    <n v="10"/>
    <x v="1"/>
  </r>
  <r>
    <d v="2025-03-04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0"/>
    <x v="1"/>
  </r>
  <r>
    <d v="2025-03-04T00:00:00"/>
    <x v="4"/>
    <s v="Call"/>
    <s v="Aggregator"/>
    <x v="67"/>
    <s v="Sandhya"/>
    <m/>
    <n v="9600"/>
    <n v="9600"/>
    <d v="2025-03-01T00:00:00"/>
    <x v="1"/>
    <x v="4"/>
    <s v="Warm"/>
    <m/>
    <m/>
    <m/>
    <m/>
    <m/>
    <x v="7"/>
    <n v="10"/>
    <x v="1"/>
  </r>
  <r>
    <d v="2025-03-05T00:00:00"/>
    <x v="4"/>
    <s v="Call"/>
    <s v="Aggregator"/>
    <x v="67"/>
    <s v="Sandhya"/>
    <m/>
    <n v="13970"/>
    <n v="13970"/>
    <d v="2025-03-01T00:00:00"/>
    <x v="1"/>
    <x v="4"/>
    <s v="Warm"/>
    <m/>
    <m/>
    <m/>
    <m/>
    <m/>
    <x v="7"/>
    <n v="10"/>
    <x v="1"/>
  </r>
  <r>
    <d v="2025-03-05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0"/>
    <x v="1"/>
  </r>
  <r>
    <d v="2025-03-05T00:00:00"/>
    <x v="218"/>
    <s v="F2F"/>
    <s v="Corporate"/>
    <x v="77"/>
    <s v="Mayur"/>
    <m/>
    <n v="12277"/>
    <n v="12277"/>
    <d v="2025-03-01T00:00:00"/>
    <x v="0"/>
    <x v="4"/>
    <s v="Warm"/>
    <m/>
    <m/>
    <m/>
    <m/>
    <m/>
    <x v="7"/>
    <n v="10"/>
    <x v="1"/>
  </r>
  <r>
    <d v="2025-03-05T00:00:00"/>
    <x v="200"/>
    <s v="Call"/>
    <s v="Corporate"/>
    <x v="12"/>
    <s v="Mohammed"/>
    <s v="Received Bulk Order, following for more requirements"/>
    <n v="39236"/>
    <n v="39236"/>
    <d v="2025-03-01T00:00:00"/>
    <x v="0"/>
    <x v="4"/>
    <s v="Warm"/>
    <m/>
    <m/>
    <m/>
    <m/>
    <m/>
    <x v="7"/>
    <n v="10"/>
    <x v="1"/>
  </r>
  <r>
    <d v="2025-03-06T00:00:00"/>
    <x v="4"/>
    <s v="Call"/>
    <s v="Aggregator"/>
    <x v="67"/>
    <s v="Sandhya"/>
    <m/>
    <n v="9590"/>
    <n v="9590"/>
    <d v="2025-03-01T00:00:00"/>
    <x v="1"/>
    <x v="4"/>
    <s v="Warm"/>
    <m/>
    <m/>
    <m/>
    <m/>
    <m/>
    <x v="7"/>
    <n v="10"/>
    <x v="1"/>
  </r>
  <r>
    <d v="2025-03-06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0"/>
    <x v="1"/>
  </r>
  <r>
    <d v="2025-03-07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0"/>
    <x v="1"/>
  </r>
  <r>
    <d v="2025-03-07T00:00:00"/>
    <x v="4"/>
    <s v="Call"/>
    <s v="Aggregator"/>
    <x v="67"/>
    <s v="Sandhya"/>
    <m/>
    <n v="4360"/>
    <n v="4360"/>
    <d v="2025-03-01T00:00:00"/>
    <x v="1"/>
    <x v="4"/>
    <s v="Warm"/>
    <m/>
    <m/>
    <m/>
    <m/>
    <m/>
    <x v="7"/>
    <n v="10"/>
    <x v="1"/>
  </r>
  <r>
    <d v="2025-03-08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0"/>
    <x v="1"/>
  </r>
  <r>
    <d v="2025-03-08T00:00:00"/>
    <x v="224"/>
    <s v="F2F"/>
    <s v="Events"/>
    <x v="67"/>
    <s v="Ali"/>
    <m/>
    <n v="315360"/>
    <n v="315360"/>
    <d v="2025-03-01T00:00:00"/>
    <x v="0"/>
    <x v="4"/>
    <s v="Warm"/>
    <m/>
    <m/>
    <m/>
    <m/>
    <m/>
    <x v="7"/>
    <n v="10"/>
    <x v="1"/>
  </r>
  <r>
    <d v="2025-03-09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0"/>
    <x v="1"/>
  </r>
  <r>
    <d v="2025-03-10T00:00:00"/>
    <x v="4"/>
    <s v="Call"/>
    <s v="Aggregator"/>
    <x v="67"/>
    <s v="Sandhya"/>
    <m/>
    <n v="3910"/>
    <n v="3910"/>
    <d v="2025-03-01T00:00:00"/>
    <x v="1"/>
    <x v="4"/>
    <s v="Warm"/>
    <m/>
    <m/>
    <m/>
    <m/>
    <m/>
    <x v="7"/>
    <n v="11"/>
    <x v="1"/>
  </r>
  <r>
    <d v="2025-03-10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1"/>
    <x v="1"/>
  </r>
  <r>
    <d v="2025-03-11T00:00:00"/>
    <x v="4"/>
    <s v="Call"/>
    <s v="Aggregator"/>
    <x v="67"/>
    <s v="Sandhya"/>
    <m/>
    <n v="9280"/>
    <n v="9280"/>
    <d v="2025-03-01T00:00:00"/>
    <x v="1"/>
    <x v="4"/>
    <s v="Warm"/>
    <m/>
    <m/>
    <m/>
    <m/>
    <m/>
    <x v="7"/>
    <n v="11"/>
    <x v="1"/>
  </r>
  <r>
    <d v="2025-03-11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1"/>
    <x v="1"/>
  </r>
  <r>
    <d v="2025-03-12T00:00:00"/>
    <x v="4"/>
    <s v="Call"/>
    <s v="Aggregator"/>
    <x v="67"/>
    <s v="Sandhya"/>
    <m/>
    <n v="13210"/>
    <n v="13210"/>
    <d v="2025-03-01T00:00:00"/>
    <x v="1"/>
    <x v="4"/>
    <s v="Warm"/>
    <m/>
    <m/>
    <m/>
    <m/>
    <m/>
    <x v="7"/>
    <n v="11"/>
    <x v="1"/>
  </r>
  <r>
    <d v="2025-03-12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1"/>
    <x v="1"/>
  </r>
  <r>
    <d v="2025-03-12T00:00:00"/>
    <x v="227"/>
    <s v="F2F"/>
    <s v="Corporate"/>
    <x v="78"/>
    <s v="Vishwanath"/>
    <m/>
    <n v="13065"/>
    <n v="13065"/>
    <d v="2025-03-01T00:00:00"/>
    <x v="0"/>
    <x v="4"/>
    <s v="Warm"/>
    <m/>
    <m/>
    <m/>
    <m/>
    <m/>
    <x v="7"/>
    <n v="11"/>
    <x v="1"/>
  </r>
  <r>
    <d v="2025-03-12T00:00:00"/>
    <x v="200"/>
    <s v="Call"/>
    <s v="Corporate"/>
    <x v="12"/>
    <s v="Mohammed"/>
    <s v="Received Bulk Order, following for more requirements"/>
    <n v="34332"/>
    <n v="34332"/>
    <d v="2025-03-01T00:00:00"/>
    <x v="0"/>
    <x v="4"/>
    <s v="Warm"/>
    <m/>
    <m/>
    <m/>
    <m/>
    <m/>
    <x v="7"/>
    <n v="11"/>
    <x v="1"/>
  </r>
  <r>
    <d v="2025-03-13T00:00:00"/>
    <x v="4"/>
    <s v="Call"/>
    <s v="Aggregator"/>
    <x v="67"/>
    <s v="Sandhya"/>
    <m/>
    <n v="8840"/>
    <n v="8840"/>
    <d v="2025-03-01T00:00:00"/>
    <x v="1"/>
    <x v="4"/>
    <s v="Warm"/>
    <m/>
    <m/>
    <m/>
    <m/>
    <m/>
    <x v="7"/>
    <n v="11"/>
    <x v="1"/>
  </r>
  <r>
    <d v="2025-03-13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1"/>
    <x v="1"/>
  </r>
  <r>
    <d v="2025-03-15T00:00:00"/>
    <x v="228"/>
    <s v="F2F"/>
    <s v="Events - Holi Celebration"/>
    <x v="67"/>
    <s v="Vishal"/>
    <m/>
    <n v="10990"/>
    <n v="10990"/>
    <d v="2025-03-01T00:00:00"/>
    <x v="0"/>
    <x v="4"/>
    <s v="Warm"/>
    <m/>
    <m/>
    <m/>
    <m/>
    <m/>
    <x v="7"/>
    <n v="11"/>
    <x v="1"/>
  </r>
  <r>
    <d v="2025-03-16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1"/>
    <x v="1"/>
  </r>
  <r>
    <d v="2025-03-17T00:00:00"/>
    <x v="4"/>
    <s v="Call"/>
    <s v="Aggregator"/>
    <x v="67"/>
    <s v="Sandhya"/>
    <m/>
    <n v="9750"/>
    <n v="9750"/>
    <d v="2025-03-01T00:00:00"/>
    <x v="1"/>
    <x v="4"/>
    <s v="Warm"/>
    <m/>
    <m/>
    <m/>
    <m/>
    <m/>
    <x v="7"/>
    <n v="12"/>
    <x v="1"/>
  </r>
  <r>
    <d v="2025-03-17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2"/>
    <x v="1"/>
  </r>
  <r>
    <d v="2025-03-18T00:00:00"/>
    <x v="229"/>
    <s v="F2F"/>
    <s v="Corporate"/>
    <x v="10"/>
    <s v="Mukesh"/>
    <m/>
    <n v="90000"/>
    <n v="90000"/>
    <d v="2025-03-01T00:00:00"/>
    <x v="0"/>
    <x v="2"/>
    <s v="Warm"/>
    <m/>
    <m/>
    <m/>
    <m/>
    <m/>
    <x v="7"/>
    <n v="12"/>
    <x v="1"/>
  </r>
  <r>
    <d v="2025-03-19T00:00:00"/>
    <x v="230"/>
    <s v="F2F"/>
    <s v="Institution"/>
    <x v="33"/>
    <s v="Nivedita"/>
    <m/>
    <n v="19397"/>
    <n v="19397"/>
    <d v="2025-03-01T00:00:00"/>
    <x v="0"/>
    <x v="4"/>
    <s v="Warm"/>
    <m/>
    <m/>
    <m/>
    <m/>
    <m/>
    <x v="7"/>
    <n v="12"/>
    <x v="1"/>
  </r>
  <r>
    <d v="2025-03-19T00:00:00"/>
    <x v="200"/>
    <s v="Call"/>
    <s v="Corporate"/>
    <x v="12"/>
    <s v="Mohammed"/>
    <s v="Received Bulk Order, following for more requirements"/>
    <n v="30899"/>
    <n v="30899"/>
    <d v="2025-03-01T00:00:00"/>
    <x v="0"/>
    <x v="4"/>
    <s v="Warm"/>
    <m/>
    <m/>
    <m/>
    <m/>
    <m/>
    <x v="7"/>
    <n v="12"/>
    <x v="1"/>
  </r>
  <r>
    <d v="2025-03-19T00:00:00"/>
    <x v="4"/>
    <s v="Call"/>
    <s v="Aggregator"/>
    <x v="67"/>
    <s v="Sandhya"/>
    <m/>
    <n v="30590"/>
    <n v="30590"/>
    <d v="2025-03-01T00:00:00"/>
    <x v="1"/>
    <x v="4"/>
    <s v="Warm"/>
    <m/>
    <m/>
    <m/>
    <m/>
    <m/>
    <x v="7"/>
    <n v="12"/>
    <x v="1"/>
  </r>
  <r>
    <d v="2025-03-19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2"/>
    <x v="1"/>
  </r>
  <r>
    <d v="2025-03-20T00:00:00"/>
    <x v="4"/>
    <s v="Call"/>
    <s v="Aggregator"/>
    <x v="67"/>
    <s v="Sandhya"/>
    <m/>
    <n v="27220"/>
    <n v="27220"/>
    <d v="2025-03-01T00:00:00"/>
    <x v="1"/>
    <x v="4"/>
    <s v="Warm"/>
    <m/>
    <m/>
    <m/>
    <m/>
    <m/>
    <x v="7"/>
    <n v="12"/>
    <x v="1"/>
  </r>
  <r>
    <d v="2025-03-20T00:00:00"/>
    <x v="231"/>
    <s v="F2F"/>
    <s v="Corporate"/>
    <x v="10"/>
    <s v="Priyanka"/>
    <m/>
    <m/>
    <m/>
    <d v="2025-04-01T00:00:00"/>
    <x v="0"/>
    <x v="1"/>
    <s v="Cold"/>
    <m/>
    <m/>
    <m/>
    <m/>
    <m/>
    <x v="7"/>
    <n v="12"/>
    <x v="1"/>
  </r>
  <r>
    <d v="2025-03-21T00:00:00"/>
    <x v="4"/>
    <s v="Call"/>
    <s v="Aggregator"/>
    <x v="67"/>
    <s v="Sandhya"/>
    <m/>
    <n v="7730"/>
    <n v="7730"/>
    <d v="2025-03-01T00:00:00"/>
    <x v="1"/>
    <x v="4"/>
    <s v="Warm"/>
    <m/>
    <m/>
    <m/>
    <m/>
    <m/>
    <x v="7"/>
    <n v="12"/>
    <x v="1"/>
  </r>
  <r>
    <d v="2025-03-23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2"/>
    <x v="1"/>
  </r>
  <r>
    <d v="2025-03-24T00:00:00"/>
    <x v="223"/>
    <s v="F2F"/>
    <s v="Events"/>
    <x v="67"/>
    <s v="Sara Simran"/>
    <m/>
    <m/>
    <m/>
    <d v="2025-03-01T00:00:00"/>
    <x v="0"/>
    <x v="3"/>
    <s v="Warm"/>
    <m/>
    <m/>
    <m/>
    <m/>
    <m/>
    <x v="7"/>
    <n v="13"/>
    <x v="1"/>
  </r>
  <r>
    <d v="2025-03-24T00:00:00"/>
    <x v="4"/>
    <s v="Call"/>
    <s v="Aggregator"/>
    <x v="67"/>
    <s v="Sandhya"/>
    <m/>
    <n v="10610"/>
    <n v="10610"/>
    <d v="2025-03-01T00:00:00"/>
    <x v="1"/>
    <x v="4"/>
    <s v="Warm"/>
    <m/>
    <m/>
    <m/>
    <m/>
    <m/>
    <x v="7"/>
    <n v="13"/>
    <x v="1"/>
  </r>
  <r>
    <d v="2025-03-25T00:00:00"/>
    <x v="210"/>
    <s v="Call"/>
    <s v="Corporate"/>
    <x v="10"/>
    <s v="Saran"/>
    <m/>
    <m/>
    <m/>
    <d v="2025-06-01T00:00:00"/>
    <x v="0"/>
    <x v="3"/>
    <s v="Warm"/>
    <m/>
    <m/>
    <m/>
    <m/>
    <m/>
    <x v="7"/>
    <n v="13"/>
    <x v="1"/>
  </r>
  <r>
    <d v="2025-03-25T00:00:00"/>
    <x v="232"/>
    <s v="F2F"/>
    <s v="Corporate"/>
    <x v="10"/>
    <s v="Shakeer"/>
    <m/>
    <n v="45172"/>
    <n v="45172"/>
    <d v="2025-03-01T00:00:00"/>
    <x v="0"/>
    <x v="4"/>
    <s v="Warm"/>
    <m/>
    <m/>
    <m/>
    <m/>
    <m/>
    <x v="7"/>
    <n v="13"/>
    <x v="1"/>
  </r>
  <r>
    <d v="2025-03-25T00:00:00"/>
    <x v="233"/>
    <s v="F2F"/>
    <s v="Events"/>
    <x v="67"/>
    <s v="Ankit"/>
    <m/>
    <m/>
    <m/>
    <d v="2025-04-01T00:00:00"/>
    <x v="0"/>
    <x v="3"/>
    <s v="Warm"/>
    <m/>
    <m/>
    <m/>
    <m/>
    <m/>
    <x v="7"/>
    <n v="13"/>
    <x v="1"/>
  </r>
  <r>
    <d v="2025-03-26T00:00:00"/>
    <x v="11"/>
    <s v="Call"/>
    <s v="Corporate"/>
    <x v="10"/>
    <s v="Sandhya"/>
    <m/>
    <n v="104000"/>
    <n v="104000"/>
    <d v="2025-03-01T00:00:00"/>
    <x v="1"/>
    <x v="4"/>
    <s v="Warm"/>
    <m/>
    <m/>
    <m/>
    <m/>
    <m/>
    <x v="7"/>
    <n v="13"/>
    <x v="1"/>
  </r>
  <r>
    <d v="2025-03-26T00:00:00"/>
    <x v="234"/>
    <s v="F2F"/>
    <s v="Corporate"/>
    <x v="10"/>
    <s v="Taranjot"/>
    <m/>
    <n v="9810"/>
    <n v="9810"/>
    <d v="2025-03-01T00:00:00"/>
    <x v="0"/>
    <x v="4"/>
    <s v="Warm"/>
    <m/>
    <m/>
    <m/>
    <m/>
    <m/>
    <x v="7"/>
    <n v="13"/>
    <x v="1"/>
  </r>
  <r>
    <d v="2025-03-26T00:00:00"/>
    <x v="232"/>
    <s v="F2F"/>
    <s v="Corporate"/>
    <x v="10"/>
    <s v="Shakeer"/>
    <m/>
    <n v="34276"/>
    <n v="34276"/>
    <d v="2025-03-01T00:00:00"/>
    <x v="0"/>
    <x v="4"/>
    <s v="Warm"/>
    <m/>
    <m/>
    <m/>
    <m/>
    <m/>
    <x v="7"/>
    <n v="13"/>
    <x v="1"/>
  </r>
  <r>
    <d v="2025-03-26T00:00:00"/>
    <x v="200"/>
    <s v="Call"/>
    <s v="Corporate"/>
    <x v="12"/>
    <s v="Mohammed"/>
    <s v="Received Bulk Order, following for more requirements"/>
    <n v="32792"/>
    <n v="32792"/>
    <d v="2025-03-01T00:00:00"/>
    <x v="0"/>
    <x v="4"/>
    <s v="Warm"/>
    <m/>
    <m/>
    <m/>
    <m/>
    <m/>
    <x v="7"/>
    <n v="13"/>
    <x v="1"/>
  </r>
  <r>
    <d v="2025-03-27T00:00:00"/>
    <x v="4"/>
    <s v="Call"/>
    <s v="Aggregator"/>
    <x v="67"/>
    <s v="Sandhya"/>
    <m/>
    <n v="5790"/>
    <n v="5790"/>
    <d v="2025-03-01T00:00:00"/>
    <x v="1"/>
    <x v="4"/>
    <s v="Warm"/>
    <m/>
    <m/>
    <m/>
    <m/>
    <m/>
    <x v="7"/>
    <n v="13"/>
    <x v="1"/>
  </r>
  <r>
    <d v="2025-03-27T00:00:00"/>
    <x v="235"/>
    <s v="F2F"/>
    <s v="Events"/>
    <x v="67"/>
    <m/>
    <m/>
    <n v="97300"/>
    <n v="97300"/>
    <d v="2025-03-01T00:00:00"/>
    <x v="0"/>
    <x v="4"/>
    <s v="Warm"/>
    <m/>
    <m/>
    <m/>
    <m/>
    <m/>
    <x v="7"/>
    <n v="13"/>
    <x v="1"/>
  </r>
  <r>
    <d v="2025-03-27T00:00:00"/>
    <x v="236"/>
    <s v="F2F"/>
    <s v="Events"/>
    <x v="67"/>
    <m/>
    <m/>
    <n v="91810"/>
    <n v="91810"/>
    <d v="2025-03-01T00:00:00"/>
    <x v="0"/>
    <x v="4"/>
    <s v="Warm"/>
    <m/>
    <m/>
    <m/>
    <m/>
    <m/>
    <x v="7"/>
    <n v="13"/>
    <x v="1"/>
  </r>
  <r>
    <d v="2025-03-30T00:00:00"/>
    <x v="223"/>
    <s v="F2F"/>
    <s v="Events"/>
    <x v="67"/>
    <s v="Sara Simran"/>
    <m/>
    <n v="248289"/>
    <n v="248289"/>
    <d v="2025-03-01T00:00:00"/>
    <x v="0"/>
    <x v="4"/>
    <s v="Warm"/>
    <m/>
    <m/>
    <m/>
    <m/>
    <m/>
    <x v="7"/>
    <n v="13"/>
    <x v="1"/>
  </r>
  <r>
    <d v="2025-03-31T00:00:00"/>
    <x v="237"/>
    <s v="F2F"/>
    <s v="Events"/>
    <x v="67"/>
    <s v="Shameer"/>
    <m/>
    <n v="29941"/>
    <n v="29941"/>
    <d v="2025-03-01T00:00:00"/>
    <x v="0"/>
    <x v="4"/>
    <s v="Warm"/>
    <m/>
    <m/>
    <m/>
    <m/>
    <m/>
    <x v="7"/>
    <n v="14"/>
    <x v="1"/>
  </r>
  <r>
    <d v="2025-03-31T00:00:00"/>
    <x v="57"/>
    <s v="F2F"/>
    <s v="Corporate"/>
    <x v="10"/>
    <s v="Taranjot"/>
    <m/>
    <m/>
    <m/>
    <d v="2025-04-01T00:00:00"/>
    <x v="0"/>
    <x v="1"/>
    <s v="Cold"/>
    <m/>
    <m/>
    <m/>
    <m/>
    <m/>
    <x v="7"/>
    <n v="14"/>
    <x v="1"/>
  </r>
  <r>
    <d v="2025-03-31T00:00:00"/>
    <x v="57"/>
    <s v="F2F"/>
    <s v="Corporate"/>
    <x v="10"/>
    <s v="Taranjot"/>
    <m/>
    <m/>
    <m/>
    <d v="2025-04-01T00:00:00"/>
    <x v="3"/>
    <x v="1"/>
    <s v="Cold"/>
    <m/>
    <m/>
    <m/>
    <m/>
    <m/>
    <x v="7"/>
    <n v="14"/>
    <x v="1"/>
  </r>
  <r>
    <d v="2025-03-31T00:00:00"/>
    <x v="4"/>
    <s v="F2F"/>
    <s v="Aggregator"/>
    <x v="78"/>
    <s v="Nupur"/>
    <m/>
    <m/>
    <m/>
    <d v="2025-04-01T00:00:00"/>
    <x v="1"/>
    <x v="1"/>
    <s v="Cold"/>
    <m/>
    <m/>
    <m/>
    <m/>
    <m/>
    <x v="7"/>
    <n v="14"/>
    <x v="1"/>
  </r>
  <r>
    <d v="2025-04-01T00:00:00"/>
    <x v="217"/>
    <s v="F2F"/>
    <s v="Corporate"/>
    <x v="77"/>
    <s v="Srinivas"/>
    <m/>
    <n v="8593"/>
    <n v="8593"/>
    <d v="2025-04-01T00:00:00"/>
    <x v="0"/>
    <x v="4"/>
    <s v="Warm"/>
    <m/>
    <m/>
    <m/>
    <m/>
    <m/>
    <x v="8"/>
    <n v="14"/>
    <x v="1"/>
  </r>
  <r>
    <d v="2025-04-01T00:00:00"/>
    <x v="4"/>
    <s v="Call"/>
    <s v="Aggregator"/>
    <x v="67"/>
    <s v="Sandhya"/>
    <m/>
    <n v="6390"/>
    <n v="6390"/>
    <d v="2025-04-01T00:00:00"/>
    <x v="1"/>
    <x v="4"/>
    <s v="Warm"/>
    <m/>
    <m/>
    <m/>
    <m/>
    <m/>
    <x v="8"/>
    <n v="14"/>
    <x v="1"/>
  </r>
  <r>
    <d v="2025-04-02T00:00:00"/>
    <x v="238"/>
    <s v="F2F"/>
    <s v="Aggregator"/>
    <x v="78"/>
    <s v="Nupur"/>
    <m/>
    <n v="8884"/>
    <n v="8884"/>
    <d v="2025-04-01T00:00:00"/>
    <x v="0"/>
    <x v="4"/>
    <s v="Warm"/>
    <m/>
    <m/>
    <m/>
    <m/>
    <m/>
    <x v="8"/>
    <n v="14"/>
    <x v="1"/>
  </r>
  <r>
    <d v="2025-04-02T00:00:00"/>
    <x v="200"/>
    <s v="Call"/>
    <s v="Corporate"/>
    <x v="12"/>
    <s v="Mohammed"/>
    <s v="Received Bulk Order, following for more requirements"/>
    <n v="34332"/>
    <n v="34332"/>
    <d v="2025-04-01T00:00:00"/>
    <x v="0"/>
    <x v="4"/>
    <s v="Warm"/>
    <m/>
    <m/>
    <m/>
    <m/>
    <m/>
    <x v="8"/>
    <n v="14"/>
    <x v="1"/>
  </r>
  <r>
    <d v="2025-04-02T00:00:00"/>
    <x v="239"/>
    <s v="F2F"/>
    <s v="Corporate"/>
    <x v="5"/>
    <s v="Mohammed"/>
    <s v="Received Bulk Order, following for more requirements"/>
    <n v="63225"/>
    <n v="63225"/>
    <d v="2025-04-01T00:00:00"/>
    <x v="0"/>
    <x v="4"/>
    <s v="Warm"/>
    <m/>
    <m/>
    <m/>
    <m/>
    <m/>
    <x v="8"/>
    <n v="14"/>
    <x v="1"/>
  </r>
  <r>
    <d v="2025-04-03T00:00:00"/>
    <x v="4"/>
    <s v="Call"/>
    <s v="Aggregator"/>
    <x v="67"/>
    <s v="Sandhya"/>
    <m/>
    <n v="7300"/>
    <n v="7300"/>
    <d v="2025-04-01T00:00:00"/>
    <x v="1"/>
    <x v="4"/>
    <s v="Warm"/>
    <m/>
    <m/>
    <m/>
    <m/>
    <m/>
    <x v="8"/>
    <n v="14"/>
    <x v="1"/>
  </r>
  <r>
    <d v="2025-04-03T00:00:00"/>
    <x v="187"/>
    <s v="F2F"/>
    <s v="Corporate"/>
    <x v="71"/>
    <s v="Vikas"/>
    <s v="Proposed for Corporate events, Bulk Orders"/>
    <n v="27169"/>
    <n v="27169"/>
    <d v="2025-04-01T00:00:00"/>
    <x v="0"/>
    <x v="4"/>
    <s v="Warm"/>
    <m/>
    <m/>
    <m/>
    <m/>
    <m/>
    <x v="8"/>
    <n v="14"/>
    <x v="1"/>
  </r>
  <r>
    <d v="2025-04-03T00:00:00"/>
    <x v="240"/>
    <s v="F2F"/>
    <s v="Corporate"/>
    <x v="10"/>
    <s v="Deepika"/>
    <m/>
    <n v="31731"/>
    <n v="31731"/>
    <d v="2025-04-01T00:00:00"/>
    <x v="0"/>
    <x v="4"/>
    <s v="Warm"/>
    <m/>
    <m/>
    <m/>
    <m/>
    <m/>
    <x v="8"/>
    <n v="14"/>
    <x v="1"/>
  </r>
  <r>
    <d v="2025-04-03T00:00:00"/>
    <x v="218"/>
    <s v="F2F"/>
    <s v="Corporate"/>
    <x v="77"/>
    <s v="Mayur"/>
    <m/>
    <n v="10653"/>
    <n v="10653"/>
    <d v="2025-04-01T00:00:00"/>
    <x v="0"/>
    <x v="4"/>
    <s v="Warm"/>
    <m/>
    <m/>
    <m/>
    <m/>
    <m/>
    <x v="8"/>
    <n v="14"/>
    <x v="1"/>
  </r>
  <r>
    <d v="2025-04-03T00:00:00"/>
    <x v="241"/>
    <s v="F2F"/>
    <s v="Events"/>
    <x v="67"/>
    <s v="Sam"/>
    <m/>
    <n v="35863"/>
    <n v="35863"/>
    <d v="2025-04-01T00:00:00"/>
    <x v="0"/>
    <x v="4"/>
    <s v="Warm"/>
    <m/>
    <m/>
    <m/>
    <m/>
    <m/>
    <x v="8"/>
    <n v="14"/>
    <x v="1"/>
  </r>
  <r>
    <d v="2025-04-04T00:00:00"/>
    <x v="4"/>
    <s v="Call"/>
    <s v="Aggregator"/>
    <x v="67"/>
    <s v="Sandhya"/>
    <m/>
    <n v="5970"/>
    <n v="5970"/>
    <d v="2025-04-01T00:00:00"/>
    <x v="1"/>
    <x v="4"/>
    <s v="Warm"/>
    <m/>
    <m/>
    <m/>
    <m/>
    <m/>
    <x v="8"/>
    <n v="14"/>
    <x v="1"/>
  </r>
  <r>
    <d v="2025-04-06T00:00:00"/>
    <x v="233"/>
    <s v="F2F"/>
    <s v="Events"/>
    <x v="67"/>
    <s v="Ankit"/>
    <m/>
    <n v="67584"/>
    <n v="67584"/>
    <d v="2025-04-01T00:00:00"/>
    <x v="0"/>
    <x v="4"/>
    <s v="Warm"/>
    <m/>
    <m/>
    <m/>
    <m/>
    <m/>
    <x v="8"/>
    <n v="14"/>
    <x v="1"/>
  </r>
  <r>
    <d v="2025-04-07T00:00:00"/>
    <x v="4"/>
    <s v="Call"/>
    <s v="Aggregator"/>
    <x v="67"/>
    <s v="Sandhya"/>
    <m/>
    <n v="6190"/>
    <n v="6190"/>
    <d v="2025-04-01T00:00:00"/>
    <x v="1"/>
    <x v="4"/>
    <s v="Warm"/>
    <m/>
    <m/>
    <m/>
    <m/>
    <m/>
    <x v="8"/>
    <n v="15"/>
    <x v="1"/>
  </r>
  <r>
    <d v="2025-04-07T00:00:00"/>
    <x v="111"/>
    <s v="F2F"/>
    <s v="Corporate"/>
    <x v="30"/>
    <s v="Ritesh"/>
    <s v="Business Closed"/>
    <n v="46905"/>
    <n v="46905"/>
    <d v="2025-04-01T00:00:00"/>
    <x v="0"/>
    <x v="4"/>
    <s v="Warm"/>
    <m/>
    <m/>
    <m/>
    <m/>
    <m/>
    <x v="8"/>
    <n v="15"/>
    <x v="1"/>
  </r>
  <r>
    <d v="2025-04-08T00:00:00"/>
    <x v="4"/>
    <s v="Call"/>
    <s v="Aggregator"/>
    <x v="67"/>
    <s v="Sandhya"/>
    <m/>
    <n v="4130"/>
    <n v="4130"/>
    <d v="2025-04-01T00:00:00"/>
    <x v="1"/>
    <x v="4"/>
    <s v="Warm"/>
    <m/>
    <m/>
    <m/>
    <m/>
    <m/>
    <x v="8"/>
    <n v="15"/>
    <x v="1"/>
  </r>
  <r>
    <d v="2025-04-08T00:00:00"/>
    <x v="218"/>
    <s v="F2F"/>
    <s v="Corporate"/>
    <x v="77"/>
    <s v="Mayur"/>
    <m/>
    <n v="5009"/>
    <n v="5009"/>
    <d v="2025-04-01T00:00:00"/>
    <x v="0"/>
    <x v="4"/>
    <s v="Warm"/>
    <m/>
    <m/>
    <m/>
    <m/>
    <m/>
    <x v="8"/>
    <n v="15"/>
    <x v="1"/>
  </r>
  <r>
    <d v="2025-04-09T00:00:00"/>
    <x v="217"/>
    <s v="F2F"/>
    <s v="Corporate"/>
    <x v="77"/>
    <s v="Anjum"/>
    <m/>
    <n v="15154"/>
    <n v="15154"/>
    <d v="2025-04-01T00:00:00"/>
    <x v="0"/>
    <x v="4"/>
    <s v="Warm"/>
    <m/>
    <m/>
    <m/>
    <m/>
    <m/>
    <x v="8"/>
    <n v="15"/>
    <x v="1"/>
  </r>
  <r>
    <d v="2025-04-09T00:00:00"/>
    <x v="4"/>
    <s v="Call"/>
    <s v="Aggregator"/>
    <x v="67"/>
    <s v="Sandhya"/>
    <m/>
    <n v="23220"/>
    <n v="23220"/>
    <d v="2025-04-01T00:00:00"/>
    <x v="1"/>
    <x v="4"/>
    <s v="Warm"/>
    <m/>
    <m/>
    <m/>
    <m/>
    <m/>
    <x v="8"/>
    <n v="15"/>
    <x v="1"/>
  </r>
  <r>
    <d v="2025-04-09T00:00:00"/>
    <x v="231"/>
    <s v="F2F"/>
    <s v="Corporate"/>
    <x v="10"/>
    <s v="Nupur"/>
    <m/>
    <n v="17247"/>
    <n v="17247"/>
    <d v="2025-04-01T00:00:00"/>
    <x v="0"/>
    <x v="4"/>
    <s v="Warm"/>
    <m/>
    <m/>
    <m/>
    <m/>
    <m/>
    <x v="8"/>
    <n v="15"/>
    <x v="1"/>
  </r>
  <r>
    <d v="2025-04-10T00:00:00"/>
    <x v="4"/>
    <s v="Call"/>
    <s v="Aggregator"/>
    <x v="67"/>
    <s v="Sandhya"/>
    <m/>
    <n v="6100"/>
    <n v="6100"/>
    <d v="2025-04-01T00:00:00"/>
    <x v="1"/>
    <x v="4"/>
    <s v="Warm"/>
    <m/>
    <m/>
    <m/>
    <m/>
    <m/>
    <x v="8"/>
    <n v="15"/>
    <x v="1"/>
  </r>
  <r>
    <d v="2025-04-10T00:00:00"/>
    <x v="216"/>
    <s v="F2F"/>
    <s v="Corporate"/>
    <x v="77"/>
    <s v="Srinivas"/>
    <m/>
    <n v="7680"/>
    <n v="7680"/>
    <d v="2025-04-01T00:00:00"/>
    <x v="0"/>
    <x v="4"/>
    <s v="Warm"/>
    <m/>
    <m/>
    <m/>
    <m/>
    <m/>
    <x v="8"/>
    <n v="15"/>
    <x v="1"/>
  </r>
  <r>
    <d v="2025-04-10T00:00:00"/>
    <x v="200"/>
    <s v="Call"/>
    <s v="Corporate"/>
    <x v="12"/>
    <s v="Mohammed"/>
    <s v="Received Bulk Order, following for more requirements"/>
    <n v="38929"/>
    <n v="38929"/>
    <d v="2025-04-01T00:00:00"/>
    <x v="0"/>
    <x v="4"/>
    <s v="Warm"/>
    <m/>
    <m/>
    <m/>
    <m/>
    <m/>
    <x v="8"/>
    <n v="15"/>
    <x v="1"/>
  </r>
  <r>
    <d v="2025-04-10T00:00:00"/>
    <x v="57"/>
    <s v="F2F"/>
    <s v="Corporate"/>
    <x v="10"/>
    <s v="Nupur"/>
    <m/>
    <n v="134000"/>
    <n v="134000"/>
    <d v="2025-04-01T00:00:00"/>
    <x v="0"/>
    <x v="4"/>
    <s v="Warm"/>
    <m/>
    <m/>
    <m/>
    <m/>
    <m/>
    <x v="8"/>
    <n v="15"/>
    <x v="1"/>
  </r>
  <r>
    <d v="2025-04-10T00:00:00"/>
    <x v="242"/>
    <s v="F2F"/>
    <s v="Corporate"/>
    <x v="10"/>
    <s v="Dhruva"/>
    <m/>
    <n v="65838"/>
    <n v="65838"/>
    <d v="2025-04-01T00:00:00"/>
    <x v="0"/>
    <x v="4"/>
    <s v="Warm"/>
    <m/>
    <m/>
    <m/>
    <m/>
    <m/>
    <x v="8"/>
    <n v="15"/>
    <x v="1"/>
  </r>
  <r>
    <d v="2025-04-15T00:00:00"/>
    <x v="4"/>
    <s v="Call"/>
    <s v="Aggregator"/>
    <x v="67"/>
    <s v="Sandhya"/>
    <m/>
    <n v="5110"/>
    <n v="5110"/>
    <d v="2025-04-01T00:00:00"/>
    <x v="1"/>
    <x v="4"/>
    <s v="Warm"/>
    <m/>
    <m/>
    <m/>
    <m/>
    <m/>
    <x v="8"/>
    <n v="16"/>
    <x v="1"/>
  </r>
  <r>
    <d v="2025-04-16T00:00:00"/>
    <x v="243"/>
    <s v="F2F"/>
    <s v="Aggregator"/>
    <x v="10"/>
    <s v="Nupur"/>
    <m/>
    <n v="13000"/>
    <n v="13000"/>
    <d v="2025-04-01T00:00:00"/>
    <x v="0"/>
    <x v="4"/>
    <s v="Warm"/>
    <m/>
    <m/>
    <m/>
    <m/>
    <m/>
    <x v="8"/>
    <n v="16"/>
    <x v="1"/>
  </r>
  <r>
    <d v="2025-04-16T00:00:00"/>
    <x v="4"/>
    <s v="Call"/>
    <s v="Aggregator"/>
    <x v="67"/>
    <s v="Sandhya"/>
    <m/>
    <n v="3380"/>
    <n v="3380"/>
    <d v="2025-04-01T00:00:00"/>
    <x v="1"/>
    <x v="4"/>
    <s v="Warm"/>
    <m/>
    <m/>
    <m/>
    <m/>
    <m/>
    <x v="8"/>
    <n v="16"/>
    <x v="1"/>
  </r>
  <r>
    <d v="2025-04-16T00:00:00"/>
    <x v="240"/>
    <s v="F2F"/>
    <s v="Corporate"/>
    <x v="10"/>
    <s v="Deepika"/>
    <m/>
    <n v="21201"/>
    <n v="21201"/>
    <d v="2025-04-01T00:00:00"/>
    <x v="0"/>
    <x v="4"/>
    <s v="Warm"/>
    <m/>
    <m/>
    <m/>
    <m/>
    <m/>
    <x v="8"/>
    <n v="16"/>
    <x v="1"/>
  </r>
  <r>
    <d v="2025-04-16T00:00:00"/>
    <x v="200"/>
    <s v="Call"/>
    <s v="Corporate"/>
    <x v="12"/>
    <s v="Mohammed"/>
    <s v="Received Bulk Order, following for more requirements"/>
    <n v="38929"/>
    <n v="38929"/>
    <d v="2025-04-01T00:00:00"/>
    <x v="0"/>
    <x v="4"/>
    <s v="Warm"/>
    <m/>
    <m/>
    <m/>
    <m/>
    <m/>
    <x v="8"/>
    <n v="16"/>
    <x v="1"/>
  </r>
  <r>
    <d v="2025-04-16T00:00:00"/>
    <x v="171"/>
    <s v="Call"/>
    <s v="Corporate"/>
    <x v="51"/>
    <s v="Rathan Gowda"/>
    <s v="Corporate ODC"/>
    <n v="10735"/>
    <n v="10735"/>
    <d v="2025-04-01T00:00:00"/>
    <x v="0"/>
    <x v="4"/>
    <s v="Warm"/>
    <m/>
    <m/>
    <m/>
    <m/>
    <m/>
    <x v="8"/>
    <n v="16"/>
    <x v="1"/>
  </r>
  <r>
    <d v="2025-04-17T00:00:00"/>
    <x v="4"/>
    <s v="Call"/>
    <s v="Aggregator"/>
    <x v="67"/>
    <s v="Sandhya"/>
    <m/>
    <n v="2060"/>
    <n v="2060"/>
    <d v="2025-04-01T00:00:00"/>
    <x v="1"/>
    <x v="4"/>
    <s v="Warm"/>
    <m/>
    <m/>
    <m/>
    <m/>
    <m/>
    <x v="8"/>
    <n v="16"/>
    <x v="1"/>
  </r>
  <r>
    <d v="2025-04-21T00:00:00"/>
    <x v="171"/>
    <s v="Call"/>
    <s v="Corporate"/>
    <x v="51"/>
    <s v="Rathan Gowda"/>
    <s v="Corporate ODC"/>
    <n v="11544"/>
    <n v="11544"/>
    <d v="2025-04-01T00:00:00"/>
    <x v="0"/>
    <x v="4"/>
    <s v="Warm"/>
    <m/>
    <m/>
    <m/>
    <m/>
    <m/>
    <x v="8"/>
    <n v="17"/>
    <x v="1"/>
  </r>
  <r>
    <d v="2025-04-21T00:00:00"/>
    <x v="4"/>
    <s v="Call"/>
    <s v="Aggregator"/>
    <x v="67"/>
    <s v="Sandhya"/>
    <m/>
    <n v="3720"/>
    <n v="3720"/>
    <d v="2025-04-01T00:00:00"/>
    <x v="1"/>
    <x v="4"/>
    <s v="Warm"/>
    <m/>
    <m/>
    <m/>
    <m/>
    <m/>
    <x v="8"/>
    <n v="17"/>
    <x v="1"/>
  </r>
  <r>
    <d v="2025-04-22T00:00:00"/>
    <x v="171"/>
    <s v="Call"/>
    <s v="Corporate"/>
    <x v="51"/>
    <s v="Rathan Gowda"/>
    <s v="Corporate ODC"/>
    <n v="6718"/>
    <n v="6718"/>
    <d v="2025-04-01T00:00:00"/>
    <x v="0"/>
    <x v="4"/>
    <s v="Warm"/>
    <m/>
    <m/>
    <m/>
    <m/>
    <m/>
    <x v="8"/>
    <n v="17"/>
    <x v="1"/>
  </r>
  <r>
    <d v="2025-04-23T00:00:00"/>
    <x v="200"/>
    <s v="Call"/>
    <s v="Corporate"/>
    <x v="12"/>
    <s v="Mohammed"/>
    <s v="Received Bulk Order, following for more requirements"/>
    <n v="38929"/>
    <n v="38929"/>
    <d v="2025-04-01T00:00:00"/>
    <x v="0"/>
    <x v="4"/>
    <s v="Warm"/>
    <m/>
    <m/>
    <m/>
    <m/>
    <m/>
    <x v="8"/>
    <n v="17"/>
    <x v="1"/>
  </r>
  <r>
    <d v="2025-04-23T00:00:00"/>
    <x v="4"/>
    <s v="Call"/>
    <s v="Aggregator"/>
    <x v="67"/>
    <s v="Sandhya"/>
    <m/>
    <n v="3830"/>
    <n v="3830"/>
    <d v="2025-04-01T00:00:00"/>
    <x v="1"/>
    <x v="4"/>
    <s v="Warm"/>
    <m/>
    <m/>
    <m/>
    <m/>
    <m/>
    <x v="8"/>
    <n v="17"/>
    <x v="1"/>
  </r>
  <r>
    <d v="2025-04-23T00:00:00"/>
    <x v="171"/>
    <s v="Call"/>
    <s v="Corporate"/>
    <x v="51"/>
    <s v="Rathan Gowda"/>
    <s v="Corporate ODC"/>
    <n v="8449"/>
    <n v="8449"/>
    <d v="2025-04-01T00:00:00"/>
    <x v="0"/>
    <x v="4"/>
    <s v="Warm"/>
    <m/>
    <m/>
    <m/>
    <m/>
    <m/>
    <x v="8"/>
    <n v="17"/>
    <x v="1"/>
  </r>
  <r>
    <d v="2025-04-24T00:00:00"/>
    <x v="171"/>
    <s v="Call"/>
    <s v="Corporate"/>
    <x v="51"/>
    <s v="Rathan Gowda"/>
    <s v="Corporate ODC"/>
    <n v="4328"/>
    <n v="4328"/>
    <d v="2025-04-01T00:00:00"/>
    <x v="0"/>
    <x v="4"/>
    <s v="Warm"/>
    <m/>
    <m/>
    <m/>
    <m/>
    <m/>
    <x v="8"/>
    <n v="17"/>
    <x v="1"/>
  </r>
  <r>
    <d v="2025-04-25T00:00:00"/>
    <x v="171"/>
    <s v="Call"/>
    <s v="Corporate"/>
    <x v="51"/>
    <s v="Rathan Gowda"/>
    <s v="Corporate ODC"/>
    <n v="7353"/>
    <n v="7353"/>
    <d v="2025-04-01T00:00:00"/>
    <x v="0"/>
    <x v="4"/>
    <s v="Warm"/>
    <m/>
    <m/>
    <m/>
    <m/>
    <m/>
    <x v="8"/>
    <n v="17"/>
    <x v="1"/>
  </r>
  <r>
    <d v="2025-04-28T00:00:00"/>
    <x v="218"/>
    <s v="F2F"/>
    <s v="Corporate"/>
    <x v="77"/>
    <s v="Mayur"/>
    <m/>
    <n v="2545"/>
    <n v="2545"/>
    <d v="2025-04-01T00:00:00"/>
    <x v="0"/>
    <x v="4"/>
    <s v="Warm"/>
    <m/>
    <m/>
    <m/>
    <m/>
    <m/>
    <x v="8"/>
    <n v="18"/>
    <x v="1"/>
  </r>
  <r>
    <d v="2025-04-29T00:00:00"/>
    <x v="217"/>
    <s v="F2F"/>
    <s v="Corporate"/>
    <x v="77"/>
    <s v="Anjum"/>
    <m/>
    <n v="14146"/>
    <n v="14146"/>
    <d v="2025-04-01T00:00:00"/>
    <x v="0"/>
    <x v="4"/>
    <s v="Warm"/>
    <m/>
    <m/>
    <m/>
    <m/>
    <m/>
    <x v="8"/>
    <n v="18"/>
    <x v="1"/>
  </r>
  <r>
    <d v="2025-04-29T00:00:00"/>
    <x v="244"/>
    <s v="F2F"/>
    <s v="Events"/>
    <x v="67"/>
    <s v="Preeti"/>
    <m/>
    <n v="9354"/>
    <n v="9354"/>
    <d v="2025-04-01T00:00:00"/>
    <x v="0"/>
    <x v="4"/>
    <s v="Warm"/>
    <m/>
    <m/>
    <m/>
    <m/>
    <m/>
    <x v="8"/>
    <n v="18"/>
    <x v="1"/>
  </r>
  <r>
    <d v="2025-04-30T00:00:00"/>
    <x v="216"/>
    <s v="F2F"/>
    <s v="Corporate"/>
    <x v="77"/>
    <s v="Srinivas"/>
    <m/>
    <n v="9742"/>
    <n v="9742"/>
    <d v="2025-04-01T00:00:00"/>
    <x v="0"/>
    <x v="4"/>
    <s v="Warm"/>
    <m/>
    <m/>
    <m/>
    <m/>
    <m/>
    <x v="8"/>
    <n v="18"/>
    <x v="1"/>
  </r>
  <r>
    <d v="2025-05-05T00:00:00"/>
    <x v="218"/>
    <s v="F2F"/>
    <s v="Corporate"/>
    <x v="77"/>
    <s v="Mayur"/>
    <m/>
    <n v="4142"/>
    <n v="4142"/>
    <d v="2025-05-01T00:00:00"/>
    <x v="0"/>
    <x v="4"/>
    <s v="Warm"/>
    <m/>
    <m/>
    <m/>
    <m/>
    <m/>
    <x v="9"/>
    <n v="19"/>
    <x v="1"/>
  </r>
  <r>
    <d v="2025-05-06T00:00:00"/>
    <x v="245"/>
    <s v="F2F"/>
    <s v="Events"/>
    <x v="67"/>
    <s v="Satyam"/>
    <m/>
    <m/>
    <m/>
    <d v="2025-05-01T00:00:00"/>
    <x v="0"/>
    <x v="3"/>
    <s v="Warm"/>
    <m/>
    <m/>
    <m/>
    <m/>
    <m/>
    <x v="9"/>
    <n v="19"/>
    <x v="1"/>
  </r>
  <r>
    <d v="2025-05-06T00:00:00"/>
    <x v="51"/>
    <s v="F2F"/>
    <s v="Aggregator"/>
    <x v="67"/>
    <s v="Palna"/>
    <m/>
    <m/>
    <m/>
    <d v="2025-06-01T00:00:00"/>
    <x v="0"/>
    <x v="3"/>
    <s v="Warm"/>
    <m/>
    <m/>
    <m/>
    <m/>
    <m/>
    <x v="9"/>
    <n v="19"/>
    <x v="1"/>
  </r>
  <r>
    <d v="2025-05-06T00:00:00"/>
    <x v="216"/>
    <s v="F2F"/>
    <s v="Corporate"/>
    <x v="77"/>
    <s v="Srinivas"/>
    <m/>
    <n v="1752"/>
    <n v="1752"/>
    <d v="2025-05-01T00:00:00"/>
    <x v="0"/>
    <x v="4"/>
    <s v="Warm"/>
    <m/>
    <m/>
    <m/>
    <m/>
    <m/>
    <x v="9"/>
    <n v="19"/>
    <x v="1"/>
  </r>
  <r>
    <d v="2025-05-07T00:00:00"/>
    <x v="200"/>
    <s v="Call"/>
    <s v="Corporate"/>
    <x v="12"/>
    <s v="Mohammed"/>
    <s v="Received Bulk Order, following for more requirements"/>
    <n v="37918"/>
    <n v="37918"/>
    <d v="2025-05-01T00:00:00"/>
    <x v="0"/>
    <x v="4"/>
    <s v="Warm"/>
    <m/>
    <m/>
    <m/>
    <m/>
    <m/>
    <x v="9"/>
    <n v="19"/>
    <x v="1"/>
  </r>
  <r>
    <d v="2025-05-07T00:00:00"/>
    <x v="240"/>
    <s v="F2F"/>
    <s v="Corporate"/>
    <x v="10"/>
    <s v="Deepika"/>
    <m/>
    <n v="26000"/>
    <n v="26000"/>
    <d v="2025-05-01T00:00:00"/>
    <x v="0"/>
    <x v="4"/>
    <s v="Warm"/>
    <m/>
    <m/>
    <m/>
    <m/>
    <m/>
    <x v="9"/>
    <n v="19"/>
    <x v="1"/>
  </r>
  <r>
    <d v="2025-05-08T00:00:00"/>
    <x v="243"/>
    <s v="F2F"/>
    <s v="Aggregator"/>
    <x v="10"/>
    <s v="Nupur"/>
    <m/>
    <n v="26316"/>
    <n v="26316"/>
    <d v="2025-05-01T00:00:00"/>
    <x v="0"/>
    <x v="4"/>
    <s v="Warm"/>
    <m/>
    <m/>
    <m/>
    <m/>
    <m/>
    <x v="9"/>
    <n v="19"/>
    <x v="1"/>
  </r>
  <r>
    <d v="2025-05-08T00:00:00"/>
    <x v="217"/>
    <s v="F2F"/>
    <s v="Corporate"/>
    <x v="77"/>
    <s v="Anjum"/>
    <m/>
    <n v="20034"/>
    <n v="20034"/>
    <d v="2025-05-01T00:00:00"/>
    <x v="0"/>
    <x v="4"/>
    <s v="Warm"/>
    <m/>
    <m/>
    <m/>
    <m/>
    <m/>
    <x v="9"/>
    <n v="19"/>
    <x v="1"/>
  </r>
  <r>
    <d v="2025-05-08T00:00:00"/>
    <x v="19"/>
    <s v="F2F"/>
    <s v="Aggregator"/>
    <x v="67"/>
    <s v="Tuhina"/>
    <m/>
    <n v="38090"/>
    <n v="38090"/>
    <d v="2025-05-01T00:00:00"/>
    <x v="0"/>
    <x v="4"/>
    <s v="Warm"/>
    <m/>
    <m/>
    <m/>
    <m/>
    <m/>
    <x v="9"/>
    <n v="19"/>
    <x v="1"/>
  </r>
  <r>
    <d v="2025-05-09T00:00:00"/>
    <x v="246"/>
    <s v="F2F"/>
    <s v="Corporate"/>
    <x v="58"/>
    <s v="Suman"/>
    <m/>
    <n v="40179"/>
    <n v="40179"/>
    <d v="2025-05-01T00:00:00"/>
    <x v="0"/>
    <x v="4"/>
    <s v="Warm"/>
    <m/>
    <m/>
    <m/>
    <m/>
    <m/>
    <x v="9"/>
    <n v="19"/>
    <x v="1"/>
  </r>
  <r>
    <d v="2025-05-09T00:00:00"/>
    <x v="247"/>
    <s v="F2F"/>
    <s v="Corporate"/>
    <x v="10"/>
    <s v="Preeti"/>
    <m/>
    <n v="9354"/>
    <n v="9354"/>
    <d v="2025-05-01T00:00:00"/>
    <x v="0"/>
    <x v="4"/>
    <s v="Warm"/>
    <m/>
    <m/>
    <m/>
    <m/>
    <m/>
    <x v="9"/>
    <n v="19"/>
    <x v="1"/>
  </r>
  <r>
    <d v="2025-05-11T00:00:00"/>
    <x v="245"/>
    <s v="F2F"/>
    <s v="Events"/>
    <x v="67"/>
    <s v="Satyam"/>
    <m/>
    <n v="479220"/>
    <n v="479220"/>
    <d v="2025-05-01T00:00:00"/>
    <x v="0"/>
    <x v="4"/>
    <s v="Warm"/>
    <m/>
    <m/>
    <m/>
    <m/>
    <m/>
    <x v="9"/>
    <n v="19"/>
    <x v="1"/>
  </r>
  <r>
    <d v="2025-05-12T00:00:00"/>
    <x v="111"/>
    <s v="F2F"/>
    <s v="Corporate"/>
    <x v="30"/>
    <s v="Ritesh"/>
    <s v="Business Closed"/>
    <n v="43525"/>
    <n v="43525"/>
    <d v="2025-05-01T00:00:00"/>
    <x v="0"/>
    <x v="4"/>
    <s v="Warm"/>
    <m/>
    <m/>
    <m/>
    <m/>
    <m/>
    <x v="9"/>
    <n v="20"/>
    <x v="1"/>
  </r>
  <r>
    <d v="2025-05-14T00:00:00"/>
    <x v="248"/>
    <s v="F2F"/>
    <s v="Corporate"/>
    <x v="48"/>
    <s v="Edwin"/>
    <m/>
    <n v="48990"/>
    <n v="48990"/>
    <d v="2025-05-01T00:00:00"/>
    <x v="0"/>
    <x v="4"/>
    <s v="Warm"/>
    <m/>
    <m/>
    <m/>
    <m/>
    <m/>
    <x v="9"/>
    <n v="20"/>
    <x v="1"/>
  </r>
  <r>
    <d v="2025-05-15T00:00:00"/>
    <x v="240"/>
    <s v="F2F"/>
    <s v="Corporate"/>
    <x v="10"/>
    <s v="Deepika"/>
    <m/>
    <n v="28240"/>
    <n v="28240"/>
    <d v="2025-05-01T00:00:00"/>
    <x v="0"/>
    <x v="4"/>
    <s v="Warm"/>
    <m/>
    <m/>
    <m/>
    <m/>
    <m/>
    <x v="9"/>
    <n v="20"/>
    <x v="1"/>
  </r>
  <r>
    <d v="2025-05-20T00:00:00"/>
    <x v="217"/>
    <s v="F2F"/>
    <s v="Corporate"/>
    <x v="77"/>
    <s v="Anjum"/>
    <m/>
    <n v="15926"/>
    <n v="15926"/>
    <d v="2025-05-01T00:00:00"/>
    <x v="0"/>
    <x v="4"/>
    <s v="Warm"/>
    <m/>
    <m/>
    <m/>
    <m/>
    <m/>
    <x v="9"/>
    <n v="21"/>
    <x v="1"/>
  </r>
  <r>
    <d v="2025-05-21T00:00:00"/>
    <x v="249"/>
    <s v="F2F"/>
    <s v="Corporate"/>
    <x v="77"/>
    <s v="Vinod"/>
    <m/>
    <n v="16128"/>
    <n v="16128"/>
    <d v="2025-05-01T00:00:00"/>
    <x v="0"/>
    <x v="4"/>
    <s v="Warm"/>
    <m/>
    <m/>
    <m/>
    <m/>
    <m/>
    <x v="9"/>
    <n v="21"/>
    <x v="1"/>
  </r>
  <r>
    <d v="2025-05-22T00:00:00"/>
    <x v="240"/>
    <s v="F2F"/>
    <s v="Corporate"/>
    <x v="10"/>
    <s v="Deepika"/>
    <m/>
    <n v="20745"/>
    <n v="20745"/>
    <d v="2025-05-01T00:00:00"/>
    <x v="0"/>
    <x v="4"/>
    <s v="Warm"/>
    <m/>
    <m/>
    <m/>
    <m/>
    <m/>
    <x v="9"/>
    <n v="21"/>
    <x v="1"/>
  </r>
  <r>
    <d v="2025-05-26T00:00:00"/>
    <x v="250"/>
    <s v="Call"/>
    <s v="Corporate"/>
    <x v="51"/>
    <s v="Rathan Gowda"/>
    <s v="Corporate ODC"/>
    <n v="1237"/>
    <n v="1237"/>
    <d v="2025-05-01T00:00:00"/>
    <x v="0"/>
    <x v="4"/>
    <s v="Warm"/>
    <m/>
    <m/>
    <m/>
    <m/>
    <m/>
    <x v="9"/>
    <n v="22"/>
    <x v="1"/>
  </r>
  <r>
    <d v="2025-05-27T00:00:00"/>
    <x v="251"/>
    <s v="F2F"/>
    <s v="Corporate"/>
    <x v="77"/>
    <s v="Ramanan"/>
    <m/>
    <n v="6879"/>
    <n v="6879"/>
    <d v="2025-05-01T00:00:00"/>
    <x v="0"/>
    <x v="4"/>
    <s v="Warm"/>
    <m/>
    <m/>
    <m/>
    <m/>
    <m/>
    <x v="9"/>
    <n v="22"/>
    <x v="1"/>
  </r>
  <r>
    <d v="2025-05-27T00:00:00"/>
    <x v="252"/>
    <s v="Call"/>
    <s v="Corporate"/>
    <x v="51"/>
    <s v="Rathan Gowda"/>
    <s v="Corporate ODC"/>
    <n v="8376"/>
    <n v="8376"/>
    <d v="2025-05-01T00:00:00"/>
    <x v="0"/>
    <x v="4"/>
    <s v="Warm"/>
    <m/>
    <m/>
    <m/>
    <m/>
    <m/>
    <x v="9"/>
    <n v="22"/>
    <x v="1"/>
  </r>
  <r>
    <d v="2025-05-28T00:00:00"/>
    <x v="253"/>
    <s v="F2F"/>
    <s v="Corporate"/>
    <x v="77"/>
    <s v="Ramanan"/>
    <m/>
    <n v="8966"/>
    <n v="8966"/>
    <d v="2025-05-01T00:00:00"/>
    <x v="0"/>
    <x v="4"/>
    <s v="Warm"/>
    <m/>
    <m/>
    <m/>
    <m/>
    <m/>
    <x v="9"/>
    <n v="22"/>
    <x v="1"/>
  </r>
  <r>
    <d v="2025-05-28T00:00:00"/>
    <x v="254"/>
    <s v="Call"/>
    <s v="Corporate"/>
    <x v="51"/>
    <s v="Rathan Gowda"/>
    <s v="Corporate ODC"/>
    <n v="11954"/>
    <n v="11954"/>
    <d v="2025-05-01T00:00:00"/>
    <x v="0"/>
    <x v="4"/>
    <s v="Warm"/>
    <m/>
    <m/>
    <m/>
    <m/>
    <m/>
    <x v="9"/>
    <n v="22"/>
    <x v="1"/>
  </r>
  <r>
    <d v="2025-05-28T00:00:00"/>
    <x v="202"/>
    <s v="Call"/>
    <s v="Corporate"/>
    <x v="10"/>
    <s v="Pankaj"/>
    <s v="Received Bulk Order, following for more requirements"/>
    <n v="59053"/>
    <n v="59053"/>
    <d v="2025-05-01T00:00:00"/>
    <x v="0"/>
    <x v="4"/>
    <s v="Warm"/>
    <m/>
    <m/>
    <m/>
    <m/>
    <m/>
    <x v="9"/>
    <n v="22"/>
    <x v="1"/>
  </r>
  <r>
    <d v="2025-05-28T00:00:00"/>
    <x v="200"/>
    <s v="Call"/>
    <s v="Corporate"/>
    <x v="12"/>
    <s v="Mohammed"/>
    <s v="Received Bulk Order, following for more requirements"/>
    <n v="38929"/>
    <n v="38929"/>
    <d v="2025-05-01T00:00:00"/>
    <x v="0"/>
    <x v="4"/>
    <s v="Warm"/>
    <m/>
    <m/>
    <m/>
    <m/>
    <m/>
    <x v="9"/>
    <n v="22"/>
    <x v="1"/>
  </r>
  <r>
    <d v="2025-05-29T00:00:00"/>
    <x v="240"/>
    <s v="F2F"/>
    <s v="Corporate"/>
    <x v="10"/>
    <s v="Deepika"/>
    <m/>
    <n v="19420"/>
    <n v="19420"/>
    <d v="2025-05-01T00:00:00"/>
    <x v="0"/>
    <x v="4"/>
    <s v="Warm"/>
    <m/>
    <m/>
    <m/>
    <m/>
    <m/>
    <x v="9"/>
    <n v="22"/>
    <x v="1"/>
  </r>
  <r>
    <d v="2025-05-29T00:00:00"/>
    <x v="255"/>
    <s v="Call"/>
    <s v="Corporate"/>
    <x v="51"/>
    <s v="Rathan Gowda"/>
    <s v="Corporate ODC"/>
    <n v="6004"/>
    <n v="6004"/>
    <d v="2025-05-01T00:00:00"/>
    <x v="0"/>
    <x v="4"/>
    <s v="Warm"/>
    <m/>
    <m/>
    <m/>
    <m/>
    <m/>
    <x v="9"/>
    <n v="22"/>
    <x v="1"/>
  </r>
  <r>
    <d v="2025-05-29T00:00:00"/>
    <x v="217"/>
    <s v="F2F"/>
    <s v="Corporate"/>
    <x v="77"/>
    <s v="Anjum"/>
    <m/>
    <n v="12400"/>
    <n v="12400"/>
    <d v="2025-05-01T00:00:00"/>
    <x v="0"/>
    <x v="4"/>
    <s v="Warm"/>
    <m/>
    <m/>
    <m/>
    <m/>
    <m/>
    <x v="9"/>
    <n v="22"/>
    <x v="1"/>
  </r>
  <r>
    <d v="2025-05-30T00:00:00"/>
    <x v="256"/>
    <s v="Call"/>
    <s v="Corporate"/>
    <x v="51"/>
    <s v="Rathan Gowda"/>
    <s v="Corporate ODC"/>
    <n v="6200"/>
    <n v="6200"/>
    <d v="2025-05-01T00:00:00"/>
    <x v="0"/>
    <x v="4"/>
    <s v="Warm"/>
    <m/>
    <m/>
    <m/>
    <m/>
    <m/>
    <x v="9"/>
    <n v="22"/>
    <x v="1"/>
  </r>
  <r>
    <d v="2025-06-01T00:00:00"/>
    <x v="257"/>
    <s v="F2F"/>
    <s v="Corporate"/>
    <x v="10"/>
    <s v="Rajan"/>
    <m/>
    <n v="9355"/>
    <n v="9355"/>
    <d v="2025-06-01T00:00:00"/>
    <x v="0"/>
    <x v="4"/>
    <s v="Warm"/>
    <m/>
    <m/>
    <m/>
    <m/>
    <m/>
    <x v="10"/>
    <n v="22"/>
    <x v="1"/>
  </r>
  <r>
    <d v="2025-06-03T00:00:00"/>
    <x v="258"/>
    <s v="F2F"/>
    <s v="Corporate"/>
    <x v="10"/>
    <s v="Seeralan"/>
    <m/>
    <n v="7430"/>
    <n v="7430"/>
    <d v="2025-06-01T00:00:00"/>
    <x v="0"/>
    <x v="4"/>
    <s v="Warm"/>
    <m/>
    <m/>
    <m/>
    <m/>
    <m/>
    <x v="10"/>
    <n v="23"/>
    <x v="1"/>
  </r>
  <r>
    <d v="2025-06-04T00:00:00"/>
    <x v="200"/>
    <s v="Call"/>
    <s v="Corporate"/>
    <x v="12"/>
    <s v="Mohammed"/>
    <s v="Received Bulk Order, following for more requirements"/>
    <n v="42974"/>
    <n v="42974"/>
    <d v="2025-06-01T00:00:00"/>
    <x v="0"/>
    <x v="4"/>
    <s v="Warm"/>
    <m/>
    <m/>
    <m/>
    <m/>
    <m/>
    <x v="10"/>
    <n v="23"/>
    <x v="1"/>
  </r>
  <r>
    <d v="2025-06-05T00:00:00"/>
    <x v="259"/>
    <s v="F2F"/>
    <s v="Corporate"/>
    <x v="10"/>
    <s v="Akram"/>
    <m/>
    <m/>
    <m/>
    <d v="2025-06-01T00:00:00"/>
    <x v="0"/>
    <x v="1"/>
    <s v="Cold"/>
    <m/>
    <m/>
    <m/>
    <m/>
    <m/>
    <x v="10"/>
    <n v="23"/>
    <x v="1"/>
  </r>
  <r>
    <d v="2025-06-05T00:00:00"/>
    <x v="240"/>
    <s v="F2F"/>
    <s v="Corporate"/>
    <x v="10"/>
    <s v="Deepika"/>
    <m/>
    <n v="15398"/>
    <n v="15398"/>
    <d v="2025-06-01T00:00:00"/>
    <x v="0"/>
    <x v="4"/>
    <s v="Warm"/>
    <m/>
    <m/>
    <m/>
    <m/>
    <m/>
    <x v="10"/>
    <n v="23"/>
    <x v="1"/>
  </r>
  <r>
    <d v="2025-06-10T00:00:00"/>
    <x v="111"/>
    <s v="F2F"/>
    <s v="Corporate"/>
    <x v="30"/>
    <s v="Ritesh"/>
    <s v="Business Closed"/>
    <n v="43525"/>
    <n v="43525"/>
    <d v="2025-06-01T00:00:00"/>
    <x v="0"/>
    <x v="4"/>
    <s v="Warm"/>
    <m/>
    <m/>
    <m/>
    <m/>
    <m/>
    <x v="10"/>
    <n v="24"/>
    <x v="1"/>
  </r>
  <r>
    <d v="2025-06-10T00:00:00"/>
    <x v="260"/>
    <s v="F2F"/>
    <s v="Corporate"/>
    <x v="77"/>
    <s v="Anjum"/>
    <m/>
    <n v="15742"/>
    <n v="15742"/>
    <d v="2025-06-01T00:00:00"/>
    <x v="0"/>
    <x v="4"/>
    <s v="Warm"/>
    <m/>
    <m/>
    <m/>
    <m/>
    <m/>
    <x v="10"/>
    <n v="24"/>
    <x v="1"/>
  </r>
  <r>
    <d v="2025-06-11T00:00:00"/>
    <x v="169"/>
    <s v="F2F"/>
    <s v="Corporate"/>
    <x v="10"/>
    <s v="Amit"/>
    <m/>
    <m/>
    <m/>
    <d v="2025-06-01T00:00:00"/>
    <x v="0"/>
    <x v="1"/>
    <s v="Cold"/>
    <m/>
    <m/>
    <m/>
    <m/>
    <m/>
    <x v="10"/>
    <n v="24"/>
    <x v="1"/>
  </r>
  <r>
    <d v="2025-06-11T00:00:00"/>
    <x v="253"/>
    <s v="F2F"/>
    <s v="Corporate"/>
    <x v="77"/>
    <s v="Srinivas"/>
    <m/>
    <n v="8112"/>
    <n v="8112"/>
    <d v="2025-06-01T00:00:00"/>
    <x v="0"/>
    <x v="4"/>
    <s v="Warm"/>
    <m/>
    <m/>
    <m/>
    <m/>
    <m/>
    <x v="10"/>
    <n v="24"/>
    <x v="1"/>
  </r>
  <r>
    <d v="2025-06-11T00:00:00"/>
    <x v="200"/>
    <s v="Call"/>
    <s v="Corporate"/>
    <x v="12"/>
    <s v="Mohammed"/>
    <s v="Received Bulk Order, following for more requirements"/>
    <n v="28818"/>
    <n v="28818"/>
    <d v="2025-06-01T00:00:00"/>
    <x v="0"/>
    <x v="4"/>
    <s v="Warm"/>
    <m/>
    <m/>
    <m/>
    <m/>
    <m/>
    <x v="10"/>
    <n v="24"/>
    <x v="1"/>
  </r>
  <r>
    <d v="2025-06-11T00:00:00"/>
    <x v="202"/>
    <s v="Call"/>
    <s v="Corporate"/>
    <x v="10"/>
    <s v="Pankaj"/>
    <s v="Received Bulk Order, following for more requirements"/>
    <n v="62072"/>
    <n v="62072"/>
    <d v="2025-06-01T00:00:00"/>
    <x v="0"/>
    <x v="4"/>
    <s v="Warm"/>
    <m/>
    <m/>
    <m/>
    <m/>
    <m/>
    <x v="10"/>
    <n v="24"/>
    <x v="1"/>
  </r>
  <r>
    <d v="2025-06-12T00:00:00"/>
    <x v="261"/>
    <s v="Call"/>
    <s v="Corporate"/>
    <x v="79"/>
    <s v="Vaishak"/>
    <s v="Proposed for Corporate events, Bulk Orders"/>
    <m/>
    <m/>
    <d v="2025-07-01T00:00:00"/>
    <x v="0"/>
    <x v="1"/>
    <s v="Cold"/>
    <m/>
    <m/>
    <m/>
    <m/>
    <m/>
    <x v="10"/>
    <n v="24"/>
    <x v="1"/>
  </r>
  <r>
    <d v="2025-06-12T00:00:00"/>
    <x v="262"/>
    <s v="F2F"/>
    <s v="Corporate"/>
    <x v="77"/>
    <s v="Ramanan"/>
    <m/>
    <n v="12164"/>
    <n v="12164"/>
    <d v="2025-06-01T00:00:00"/>
    <x v="0"/>
    <x v="4"/>
    <s v="Warm"/>
    <m/>
    <m/>
    <m/>
    <m/>
    <m/>
    <x v="10"/>
    <n v="24"/>
    <x v="1"/>
  </r>
  <r>
    <d v="2025-06-12T00:00:00"/>
    <x v="240"/>
    <s v="F2F"/>
    <s v="Corporate"/>
    <x v="10"/>
    <s v="Deepika"/>
    <m/>
    <n v="17398"/>
    <n v="17398"/>
    <d v="2025-06-01T00:00:00"/>
    <x v="0"/>
    <x v="4"/>
    <s v="Warm"/>
    <m/>
    <m/>
    <m/>
    <m/>
    <m/>
    <x v="10"/>
    <n v="24"/>
    <x v="1"/>
  </r>
  <r>
    <d v="2025-06-13T00:00:00"/>
    <x v="256"/>
    <s v="Call"/>
    <s v="Corporate"/>
    <x v="51"/>
    <s v="Rathan Gowda"/>
    <s v="Corporate ODC"/>
    <n v="8500"/>
    <n v="8500"/>
    <d v="2025-06-01T00:00:00"/>
    <x v="0"/>
    <x v="4"/>
    <s v="Warm"/>
    <m/>
    <m/>
    <m/>
    <m/>
    <m/>
    <x v="10"/>
    <n v="24"/>
    <x v="1"/>
  </r>
  <r>
    <d v="2025-06-16T00:00:00"/>
    <x v="263"/>
    <s v="Call"/>
    <s v="Corporate"/>
    <x v="10"/>
    <s v="Kariappa"/>
    <s v="Proposed for Corporate events, Bulk Orders"/>
    <m/>
    <m/>
    <d v="2025-07-01T00:00:00"/>
    <x v="0"/>
    <x v="1"/>
    <s v="Cold"/>
    <m/>
    <m/>
    <m/>
    <m/>
    <m/>
    <x v="10"/>
    <n v="25"/>
    <x v="1"/>
  </r>
  <r>
    <d v="2025-06-16T00:00:00"/>
    <x v="33"/>
    <s v="Call"/>
    <s v="Corporate"/>
    <x v="5"/>
    <s v="Shreyas"/>
    <s v="Proposed for Corporate events, Bulk Orders"/>
    <m/>
    <m/>
    <d v="2025-07-01T00:00:00"/>
    <x v="0"/>
    <x v="1"/>
    <s v="Cold"/>
    <m/>
    <m/>
    <m/>
    <m/>
    <m/>
    <x v="10"/>
    <n v="25"/>
    <x v="1"/>
  </r>
  <r>
    <d v="2025-06-16T00:00:00"/>
    <x v="252"/>
    <s v="Call"/>
    <s v="Corporate"/>
    <x v="51"/>
    <s v="Rathan Gowda"/>
    <s v="Corporate ODC"/>
    <n v="3087"/>
    <n v="3087"/>
    <d v="2025-06-01T00:00:00"/>
    <x v="0"/>
    <x v="4"/>
    <s v="Warm"/>
    <m/>
    <m/>
    <m/>
    <m/>
    <m/>
    <x v="10"/>
    <n v="25"/>
    <x v="1"/>
  </r>
  <r>
    <d v="2025-06-17T00:00:00"/>
    <x v="250"/>
    <s v="Call"/>
    <s v="Corporate"/>
    <x v="51"/>
    <s v="Rathan Gowda"/>
    <s v="Corporate ODC"/>
    <n v="6679"/>
    <n v="6679"/>
    <d v="2025-06-01T00:00:00"/>
    <x v="0"/>
    <x v="4"/>
    <s v="Warm"/>
    <m/>
    <m/>
    <m/>
    <m/>
    <m/>
    <x v="10"/>
    <n v="25"/>
    <x v="1"/>
  </r>
  <r>
    <d v="2025-06-17T00:00:00"/>
    <x v="260"/>
    <s v="F2F"/>
    <s v="Corporate"/>
    <x v="77"/>
    <s v="Anjum"/>
    <m/>
    <n v="16958"/>
    <n v="16958"/>
    <d v="2025-06-01T00:00:00"/>
    <x v="0"/>
    <x v="4"/>
    <s v="Warm"/>
    <m/>
    <m/>
    <m/>
    <m/>
    <m/>
    <x v="10"/>
    <n v="25"/>
    <x v="1"/>
  </r>
  <r>
    <d v="2025-06-18T00:00:00"/>
    <x v="200"/>
    <s v="Call"/>
    <s v="Corporate"/>
    <x v="12"/>
    <s v="Mohammed"/>
    <s v="Received Bulk Order, following for more requirements"/>
    <n v="42974"/>
    <n v="42974"/>
    <d v="2025-06-01T00:00:00"/>
    <x v="0"/>
    <x v="4"/>
    <s v="Warm"/>
    <m/>
    <m/>
    <m/>
    <m/>
    <m/>
    <x v="10"/>
    <n v="25"/>
    <x v="1"/>
  </r>
  <r>
    <d v="2025-06-18T00:00:00"/>
    <x v="169"/>
    <s v="F2F"/>
    <s v="Corporate"/>
    <x v="10"/>
    <s v="Amit"/>
    <m/>
    <n v="10080"/>
    <n v="10080"/>
    <d v="2025-06-01T00:00:00"/>
    <x v="0"/>
    <x v="4"/>
    <s v="Warm"/>
    <m/>
    <m/>
    <m/>
    <m/>
    <m/>
    <x v="10"/>
    <n v="25"/>
    <x v="1"/>
  </r>
  <r>
    <d v="2025-06-18T00:00:00"/>
    <x v="264"/>
    <s v="Call"/>
    <s v="Corporate"/>
    <x v="51"/>
    <s v="Rathan Gowda"/>
    <s v="Corporate ODC"/>
    <n v="4329"/>
    <n v="4329"/>
    <d v="2025-06-01T00:00:00"/>
    <x v="0"/>
    <x v="4"/>
    <s v="Warm"/>
    <m/>
    <m/>
    <m/>
    <m/>
    <m/>
    <x v="10"/>
    <n v="25"/>
    <x v="1"/>
  </r>
  <r>
    <d v="2025-06-18T00:00:00"/>
    <x v="253"/>
    <s v="F2F"/>
    <s v="Corporate"/>
    <x v="77"/>
    <s v="Srinivas"/>
    <m/>
    <n v="8331"/>
    <n v="8331"/>
    <d v="2025-06-01T00:00:00"/>
    <x v="0"/>
    <x v="4"/>
    <s v="Warm"/>
    <m/>
    <m/>
    <m/>
    <m/>
    <m/>
    <x v="10"/>
    <n v="25"/>
    <x v="1"/>
  </r>
  <r>
    <d v="2025-06-19T00:00:00"/>
    <x v="265"/>
    <s v="Call"/>
    <s v="Corporate"/>
    <x v="6"/>
    <s v="Anshuman"/>
    <s v="Proposed for Corporate events, Bulk Orders"/>
    <m/>
    <m/>
    <d v="2025-06-01T00:00:00"/>
    <x v="0"/>
    <x v="1"/>
    <s v="Cold"/>
    <m/>
    <m/>
    <m/>
    <m/>
    <m/>
    <x v="10"/>
    <n v="25"/>
    <x v="1"/>
  </r>
  <r>
    <d v="2025-06-19T00:00:00"/>
    <x v="104"/>
    <s v="Call"/>
    <s v="Corporate"/>
    <x v="10"/>
    <s v="Prasad"/>
    <s v="Proposed for Corporate events, Bulk Orders"/>
    <m/>
    <m/>
    <d v="2025-07-01T00:00:00"/>
    <x v="0"/>
    <x v="1"/>
    <s v="Cold"/>
    <m/>
    <m/>
    <m/>
    <m/>
    <m/>
    <x v="10"/>
    <n v="25"/>
    <x v="1"/>
  </r>
  <r>
    <d v="2025-06-19T00:00:00"/>
    <x v="185"/>
    <s v="Call"/>
    <s v="Corporate"/>
    <x v="70"/>
    <s v="Dhaval"/>
    <s v="Proposed for Corporate events, Bulk Orders"/>
    <m/>
    <m/>
    <d v="2025-07-01T00:00:00"/>
    <x v="0"/>
    <x v="1"/>
    <s v="Cold"/>
    <m/>
    <m/>
    <m/>
    <m/>
    <m/>
    <x v="10"/>
    <n v="25"/>
    <x v="1"/>
  </r>
  <r>
    <d v="2025-06-19T00:00:00"/>
    <x v="98"/>
    <s v="Call"/>
    <s v="Aggregator"/>
    <x v="4"/>
    <s v="Aditya"/>
    <s v="Proposed for Corporate events, Bulk Orders"/>
    <m/>
    <m/>
    <d v="2025-06-01T00:00:00"/>
    <x v="0"/>
    <x v="1"/>
    <s v="Cold"/>
    <m/>
    <m/>
    <m/>
    <m/>
    <m/>
    <x v="10"/>
    <n v="25"/>
    <x v="1"/>
  </r>
  <r>
    <d v="2025-06-19T00:00:00"/>
    <x v="240"/>
    <s v="F2F"/>
    <s v="Corporate"/>
    <x v="10"/>
    <s v="Deepika"/>
    <m/>
    <n v="15238"/>
    <n v="15238"/>
    <d v="2025-06-01T00:00:00"/>
    <x v="0"/>
    <x v="4"/>
    <s v="Warm"/>
    <m/>
    <m/>
    <m/>
    <m/>
    <m/>
    <x v="10"/>
    <n v="25"/>
    <x v="1"/>
  </r>
  <r>
    <d v="2025-06-19T00:00:00"/>
    <x v="257"/>
    <s v="F2F"/>
    <s v="Corporate"/>
    <x v="10"/>
    <s v="Srinu"/>
    <m/>
    <n v="12660"/>
    <n v="12660"/>
    <d v="2025-06-01T00:00:00"/>
    <x v="0"/>
    <x v="4"/>
    <s v="Warm"/>
    <m/>
    <m/>
    <m/>
    <m/>
    <m/>
    <x v="10"/>
    <n v="25"/>
    <x v="1"/>
  </r>
  <r>
    <d v="2025-06-20T00:00:00"/>
    <x v="7"/>
    <s v="Call"/>
    <s v="Corporate"/>
    <x v="2"/>
    <s v="Arnav"/>
    <s v="Details shared awating orders for Blr, Hyd, Chennai"/>
    <m/>
    <m/>
    <d v="2025-06-01T00:00:00"/>
    <x v="0"/>
    <x v="1"/>
    <s v="Cold"/>
    <m/>
    <m/>
    <m/>
    <m/>
    <m/>
    <x v="10"/>
    <n v="25"/>
    <x v="1"/>
  </r>
  <r>
    <d v="2025-06-20T00:00:00"/>
    <x v="184"/>
    <s v="F2F"/>
    <s v="Corporate"/>
    <x v="31"/>
    <s v="Swathi"/>
    <s v="Proposed for Corporate events, Bulk Orders"/>
    <m/>
    <m/>
    <d v="2025-07-01T00:00:00"/>
    <x v="0"/>
    <x v="1"/>
    <s v="Cold"/>
    <m/>
    <m/>
    <m/>
    <m/>
    <m/>
    <x v="10"/>
    <n v="25"/>
    <x v="1"/>
  </r>
  <r>
    <d v="2025-06-20T00:00:00"/>
    <x v="18"/>
    <s v="Call"/>
    <s v="Corporate"/>
    <x v="10"/>
    <s v="Lalitha"/>
    <s v="Confirmed 2 day corporate counter"/>
    <m/>
    <m/>
    <d v="2025-06-01T00:00:00"/>
    <x v="0"/>
    <x v="1"/>
    <s v="Cold"/>
    <m/>
    <m/>
    <m/>
    <m/>
    <m/>
    <x v="10"/>
    <n v="25"/>
    <x v="1"/>
  </r>
  <r>
    <d v="2025-06-20T00:00:00"/>
    <x v="266"/>
    <s v="F2F"/>
    <s v="Corporate"/>
    <x v="10"/>
    <s v="Amit"/>
    <m/>
    <n v="9702"/>
    <n v="9702"/>
    <d v="2025-06-01T00:00:00"/>
    <x v="0"/>
    <x v="4"/>
    <s v="Warm"/>
    <m/>
    <m/>
    <m/>
    <m/>
    <m/>
    <x v="10"/>
    <n v="25"/>
    <x v="1"/>
  </r>
  <r>
    <d v="2025-06-20T00:00:00"/>
    <x v="267"/>
    <s v="F2F"/>
    <s v="Corporate"/>
    <x v="46"/>
    <s v="Patil"/>
    <m/>
    <n v="7305"/>
    <n v="7305"/>
    <d v="2025-06-01T00:00:00"/>
    <x v="0"/>
    <x v="4"/>
    <s v="Warm"/>
    <m/>
    <m/>
    <m/>
    <m/>
    <m/>
    <x v="10"/>
    <n v="25"/>
    <x v="1"/>
  </r>
  <r>
    <d v="2025-06-21T00:00:00"/>
    <x v="169"/>
    <s v="F2F"/>
    <s v="Corporate"/>
    <x v="10"/>
    <s v="Srinivas"/>
    <m/>
    <n v="11533"/>
    <n v="11533"/>
    <d v="2025-06-01T00:00:00"/>
    <x v="0"/>
    <x v="4"/>
    <s v="Warm"/>
    <m/>
    <m/>
    <m/>
    <m/>
    <m/>
    <x v="10"/>
    <n v="25"/>
    <x v="1"/>
  </r>
  <r>
    <d v="2025-06-22T00:00:00"/>
    <x v="15"/>
    <s v="F2F"/>
    <s v="Corporate"/>
    <x v="58"/>
    <s v="Shripathi"/>
    <s v="Proposed for Corporate events, Bulk Orders"/>
    <m/>
    <m/>
    <d v="2025-06-01T00:00:00"/>
    <x v="0"/>
    <x v="1"/>
    <s v="Hot"/>
    <m/>
    <m/>
    <m/>
    <m/>
    <m/>
    <x v="10"/>
    <n v="25"/>
    <x v="1"/>
  </r>
  <r>
    <d v="2025-06-22T00:00:00"/>
    <x v="176"/>
    <s v="Call"/>
    <s v="Corporate"/>
    <x v="62"/>
    <s v="Sharon"/>
    <s v="Proposed for Corporate events, Bulk Orders"/>
    <m/>
    <m/>
    <d v="2025-07-01T00:00:00"/>
    <x v="0"/>
    <x v="1"/>
    <s v="Hot"/>
    <m/>
    <m/>
    <m/>
    <m/>
    <m/>
    <x v="10"/>
    <n v="25"/>
    <x v="1"/>
  </r>
  <r>
    <d v="2025-06-23T00:00:00"/>
    <x v="52"/>
    <s v="F2F"/>
    <s v="Aggregator"/>
    <x v="67"/>
    <s v="Rohit"/>
    <m/>
    <m/>
    <m/>
    <d v="2025-06-01T00:00:00"/>
    <x v="0"/>
    <x v="1"/>
    <s v="Cold"/>
    <m/>
    <m/>
    <m/>
    <m/>
    <m/>
    <x v="10"/>
    <n v="26"/>
    <x v="1"/>
  </r>
  <r>
    <d v="2025-06-23T00:00:00"/>
    <x v="205"/>
    <s v="F2F"/>
    <s v="Corporate"/>
    <x v="53"/>
    <s v="Lokesh"/>
    <s v="Proposed for Corporate events, Bulk Orders"/>
    <m/>
    <m/>
    <d v="2025-07-01T00:00:00"/>
    <x v="0"/>
    <x v="1"/>
    <s v="Cold"/>
    <m/>
    <m/>
    <m/>
    <m/>
    <m/>
    <x v="10"/>
    <n v="26"/>
    <x v="1"/>
  </r>
  <r>
    <d v="2025-06-23T00:00:00"/>
    <x v="268"/>
    <s v="F2F"/>
    <s v="Corporate"/>
    <x v="10"/>
    <s v="Arjun"/>
    <m/>
    <m/>
    <m/>
    <d v="2025-06-01T00:00:00"/>
    <x v="0"/>
    <x v="1"/>
    <s v="Cold"/>
    <m/>
    <m/>
    <m/>
    <m/>
    <m/>
    <x v="10"/>
    <n v="26"/>
    <x v="1"/>
  </r>
  <r>
    <d v="2025-06-24T00:00:00"/>
    <x v="7"/>
    <s v="Call"/>
    <s v="Corporate"/>
    <x v="2"/>
    <s v="Arnav"/>
    <s v="Details shared awating orders for Blr, Hyd, Chennai"/>
    <m/>
    <m/>
    <d v="2025-06-01T00:00:00"/>
    <x v="0"/>
    <x v="1"/>
    <s v="Cold"/>
    <m/>
    <m/>
    <m/>
    <m/>
    <m/>
    <x v="10"/>
    <n v="26"/>
    <x v="1"/>
  </r>
  <r>
    <d v="2025-06-24T00:00:00"/>
    <x v="18"/>
    <s v="Call"/>
    <s v="Corporate"/>
    <x v="10"/>
    <s v="Lalitha"/>
    <s v="Confirmed 2 day corporate counter"/>
    <m/>
    <m/>
    <d v="2025-06-01T00:00:00"/>
    <x v="0"/>
    <x v="1"/>
    <s v="Cold"/>
    <m/>
    <m/>
    <m/>
    <m/>
    <m/>
    <x v="10"/>
    <n v="26"/>
    <x v="1"/>
  </r>
  <r>
    <d v="2025-06-24T00:00:00"/>
    <x v="19"/>
    <s v="F2F"/>
    <s v="Aggregator"/>
    <x v="78"/>
    <s v="Tuhina"/>
    <m/>
    <n v="23874"/>
    <n v="23874"/>
    <d v="2025-06-01T00:00:00"/>
    <x v="0"/>
    <x v="4"/>
    <s v="Hot"/>
    <m/>
    <m/>
    <m/>
    <m/>
    <m/>
    <x v="10"/>
    <n v="26"/>
    <x v="1"/>
  </r>
  <r>
    <d v="2025-06-24T00:00:00"/>
    <x v="269"/>
    <s v="F2F"/>
    <s v="Corporate"/>
    <x v="67"/>
    <s v="Rajnikanth"/>
    <m/>
    <m/>
    <m/>
    <d v="2025-06-01T00:00:00"/>
    <x v="0"/>
    <x v="1"/>
    <s v="Cold"/>
    <m/>
    <m/>
    <m/>
    <m/>
    <m/>
    <x v="10"/>
    <n v="26"/>
    <x v="1"/>
  </r>
  <r>
    <d v="2025-06-25T00:00:00"/>
    <x v="270"/>
    <s v="F2F"/>
    <s v="Corporate"/>
    <x v="10"/>
    <s v="Shariff"/>
    <m/>
    <m/>
    <m/>
    <d v="2025-06-01T00:00:00"/>
    <x v="0"/>
    <x v="1"/>
    <s v="Cold"/>
    <m/>
    <m/>
    <m/>
    <m/>
    <m/>
    <x v="10"/>
    <n v="26"/>
    <x v="1"/>
  </r>
  <r>
    <d v="2025-06-26T00:00:00"/>
    <x v="269"/>
    <s v="F2F"/>
    <s v="Aggregator"/>
    <x v="67"/>
    <s v="Rajnikanth"/>
    <m/>
    <m/>
    <m/>
    <d v="2025-06-01T00:00:00"/>
    <x v="0"/>
    <x v="1"/>
    <s v="Cold"/>
    <m/>
    <m/>
    <m/>
    <m/>
    <m/>
    <x v="10"/>
    <n v="26"/>
    <x v="1"/>
  </r>
  <r>
    <d v="2025-06-26T00:00:00"/>
    <x v="240"/>
    <s v="F2F"/>
    <s v="Corporate"/>
    <x v="10"/>
    <s v="Deepika"/>
    <m/>
    <n v="14095"/>
    <n v="14095"/>
    <d v="2025-06-01T00:00:00"/>
    <x v="0"/>
    <x v="4"/>
    <s v="Warm"/>
    <m/>
    <m/>
    <m/>
    <m/>
    <m/>
    <x v="10"/>
    <n v="26"/>
    <x v="1"/>
  </r>
  <r>
    <d v="2025-06-28T00:00:00"/>
    <x v="64"/>
    <s v="Call"/>
    <s v="Corporate"/>
    <x v="80"/>
    <s v="SaiPrasad"/>
    <s v="Business Closed"/>
    <n v="9010"/>
    <n v="9010"/>
    <d v="2025-06-01T00:00:00"/>
    <x v="0"/>
    <x v="4"/>
    <s v="Warm"/>
    <m/>
    <m/>
    <m/>
    <m/>
    <m/>
    <x v="10"/>
    <n v="26"/>
    <x v="1"/>
  </r>
  <r>
    <d v="2025-06-30T00:00:00"/>
    <x v="111"/>
    <s v="F2F"/>
    <s v="Corporate"/>
    <x v="30"/>
    <s v="Ritesh"/>
    <s v="Business Closed"/>
    <n v="43525"/>
    <n v="43525"/>
    <d v="2025-06-01T00:00:00"/>
    <x v="0"/>
    <x v="4"/>
    <s v="Warm"/>
    <m/>
    <m/>
    <m/>
    <m/>
    <m/>
    <x v="10"/>
    <n v="27"/>
    <x v="1"/>
  </r>
  <r>
    <d v="2025-06-30T00:00:00"/>
    <x v="54"/>
    <s v="F2F"/>
    <s v="Corporate"/>
    <x v="10"/>
    <s v="Sudipto"/>
    <s v="Business Closed"/>
    <m/>
    <m/>
    <d v="2025-07-01T00:00:00"/>
    <x v="0"/>
    <x v="3"/>
    <s v="Hot"/>
    <m/>
    <m/>
    <m/>
    <m/>
    <m/>
    <x v="10"/>
    <n v="27"/>
    <x v="1"/>
  </r>
  <r>
    <d v="2025-06-30T00:00:00"/>
    <x v="232"/>
    <s v="F2F"/>
    <s v="Corporate"/>
    <x v="48"/>
    <s v="Gopal"/>
    <m/>
    <n v="80000"/>
    <n v="80000"/>
    <d v="2025-07-01T00:00:00"/>
    <x v="0"/>
    <x v="4"/>
    <s v="Hot"/>
    <m/>
    <m/>
    <m/>
    <m/>
    <m/>
    <x v="10"/>
    <n v="27"/>
    <x v="1"/>
  </r>
  <r>
    <d v="2025-07-01T00:00:00"/>
    <x v="260"/>
    <s v="F2F"/>
    <s v="Corporate"/>
    <x v="77"/>
    <s v="Anjum"/>
    <m/>
    <n v="17430"/>
    <n v="17430"/>
    <d v="2025-07-01T00:00:00"/>
    <x v="0"/>
    <x v="4"/>
    <s v="Hot"/>
    <m/>
    <m/>
    <m/>
    <m/>
    <m/>
    <x v="11"/>
    <n v="27"/>
    <x v="1"/>
  </r>
  <r>
    <d v="2025-07-01T00:00:00"/>
    <x v="252"/>
    <s v="Call"/>
    <s v="Corporate"/>
    <x v="51"/>
    <s v="Raju"/>
    <m/>
    <n v="3087"/>
    <n v="3087"/>
    <d v="2025-07-01T00:00:00"/>
    <x v="0"/>
    <x v="4"/>
    <s v="Hot"/>
    <m/>
    <s v="Jul-2025"/>
    <s v="2025"/>
    <m/>
    <m/>
    <x v="11"/>
    <n v="27"/>
    <x v="1"/>
  </r>
  <r>
    <d v="2025-07-02T00:00:00"/>
    <x v="6"/>
    <s v="F2F"/>
    <s v="Aggregator"/>
    <x v="67"/>
    <s v="Indraneil"/>
    <m/>
    <m/>
    <m/>
    <d v="2025-07-01T00:00:00"/>
    <x v="0"/>
    <x v="1"/>
    <s v="Cold"/>
    <m/>
    <m/>
    <m/>
    <m/>
    <m/>
    <x v="11"/>
    <n v="27"/>
    <x v="1"/>
  </r>
  <r>
    <d v="2025-07-02T00:00:00"/>
    <x v="61"/>
    <s v="F2F"/>
    <s v="Corporate"/>
    <x v="77"/>
    <s v="Ranjeet"/>
    <m/>
    <m/>
    <m/>
    <d v="2025-07-01T00:00:00"/>
    <x v="0"/>
    <x v="1"/>
    <s v="Cold"/>
    <m/>
    <m/>
    <m/>
    <m/>
    <m/>
    <x v="11"/>
    <n v="27"/>
    <x v="1"/>
  </r>
  <r>
    <d v="2025-07-02T00:00:00"/>
    <x v="54"/>
    <s v="F2F"/>
    <s v="Corporate"/>
    <x v="10"/>
    <s v="Sudipto"/>
    <m/>
    <n v="33400"/>
    <n v="33400"/>
    <d v="2025-07-01T00:00:00"/>
    <x v="0"/>
    <x v="4"/>
    <s v="Hot"/>
    <m/>
    <s v="Jul-2025"/>
    <s v="2025"/>
    <m/>
    <m/>
    <x v="11"/>
    <n v="27"/>
    <x v="1"/>
  </r>
  <r>
    <d v="2025-07-02T00:00:00"/>
    <x v="19"/>
    <s v="F2F"/>
    <s v="Aggregator"/>
    <x v="78"/>
    <s v="Tuhina"/>
    <m/>
    <n v="11799"/>
    <n v="11799"/>
    <d v="2025-07-01T00:00:00"/>
    <x v="1"/>
    <x v="4"/>
    <s v="Hot"/>
    <m/>
    <m/>
    <m/>
    <m/>
    <m/>
    <x v="11"/>
    <n v="27"/>
    <x v="1"/>
  </r>
  <r>
    <d v="2025-07-02T00:00:00"/>
    <x v="262"/>
    <s v="F2F"/>
    <s v="Corporate"/>
    <x v="77"/>
    <s v="Ramanan"/>
    <m/>
    <n v="9418"/>
    <n v="9418"/>
    <d v="2025-07-01T00:00:00"/>
    <x v="0"/>
    <x v="4"/>
    <s v="Hot"/>
    <m/>
    <s v="Jul-2025"/>
    <s v="2025"/>
    <m/>
    <m/>
    <x v="11"/>
    <n v="27"/>
    <x v="1"/>
  </r>
  <r>
    <d v="2025-07-02T00:00:00"/>
    <x v="51"/>
    <s v="Call"/>
    <s v="Aggregator"/>
    <x v="67"/>
    <s v="Palna"/>
    <s v="Proposed for Corporate events, Bulk Orders"/>
    <m/>
    <m/>
    <d v="2025-06-01T00:00:00"/>
    <x v="0"/>
    <x v="1"/>
    <s v="Cold"/>
    <m/>
    <m/>
    <m/>
    <m/>
    <m/>
    <x v="11"/>
    <n v="27"/>
    <x v="1"/>
  </r>
  <r>
    <d v="2025-07-03T00:00:00"/>
    <x v="18"/>
    <s v="F2F"/>
    <s v="Corporate"/>
    <x v="10"/>
    <s v="Latha"/>
    <s v="Proposed for Corporate events, Bulk Orders"/>
    <m/>
    <m/>
    <d v="2025-07-01T00:00:00"/>
    <x v="0"/>
    <x v="1"/>
    <s v="Cold"/>
    <m/>
    <m/>
    <m/>
    <m/>
    <m/>
    <x v="11"/>
    <n v="27"/>
    <x v="1"/>
  </r>
  <r>
    <d v="2025-07-03T00:00:00"/>
    <x v="134"/>
    <s v="F2F"/>
    <s v="Corporate"/>
    <x v="50"/>
    <s v="Shyju"/>
    <m/>
    <m/>
    <m/>
    <d v="2025-07-01T00:00:00"/>
    <x v="0"/>
    <x v="0"/>
    <s v="Warm"/>
    <m/>
    <m/>
    <m/>
    <m/>
    <m/>
    <x v="11"/>
    <n v="27"/>
    <x v="1"/>
  </r>
  <r>
    <d v="2025-07-03T00:00:00"/>
    <x v="240"/>
    <s v="F2F"/>
    <s v="Corporate"/>
    <x v="10"/>
    <s v="Deepika"/>
    <m/>
    <n v="12653"/>
    <n v="12653"/>
    <d v="2025-07-01T00:00:00"/>
    <x v="0"/>
    <x v="4"/>
    <s v="Warm"/>
    <m/>
    <m/>
    <m/>
    <m/>
    <m/>
    <x v="11"/>
    <n v="27"/>
    <x v="1"/>
  </r>
  <r>
    <d v="2025-07-03T00:00:00"/>
    <x v="14"/>
    <s v="F2F"/>
    <s v="Corporate"/>
    <x v="9"/>
    <s v="Pradeep"/>
    <s v="Proposed for Corporate events, Bulk Orders"/>
    <m/>
    <m/>
    <d v="2025-07-01T00:00:00"/>
    <x v="0"/>
    <x v="0"/>
    <s v="Warm"/>
    <m/>
    <m/>
    <m/>
    <m/>
    <m/>
    <x v="11"/>
    <n v="27"/>
    <x v="1"/>
  </r>
  <r>
    <d v="2025-07-03T00:00:00"/>
    <x v="59"/>
    <s v="F2F"/>
    <s v="Corporate"/>
    <x v="77"/>
    <s v="Mayur"/>
    <m/>
    <m/>
    <m/>
    <d v="2025-07-01T00:00:00"/>
    <x v="0"/>
    <x v="3"/>
    <s v="Hot"/>
    <m/>
    <m/>
    <m/>
    <m/>
    <m/>
    <x v="11"/>
    <n v="27"/>
    <x v="1"/>
  </r>
  <r>
    <d v="2025-07-03T00:00:00"/>
    <x v="271"/>
    <s v="F2F"/>
    <s v="Aggregator"/>
    <x v="67"/>
    <s v="Jatin"/>
    <m/>
    <m/>
    <m/>
    <d v="2025-07-01T00:00:00"/>
    <x v="0"/>
    <x v="0"/>
    <s v="Warm"/>
    <m/>
    <m/>
    <m/>
    <m/>
    <m/>
    <x v="11"/>
    <n v="27"/>
    <x v="1"/>
  </r>
  <r>
    <d v="2025-07-03T00:00:00"/>
    <x v="171"/>
    <s v="Call"/>
    <s v="Corporate"/>
    <x v="51"/>
    <s v="Rathan Gowda"/>
    <m/>
    <n v="25000"/>
    <n v="25000"/>
    <d v="2025-07-01T00:00:00"/>
    <x v="0"/>
    <x v="4"/>
    <s v="Warm"/>
    <m/>
    <m/>
    <m/>
    <m/>
    <m/>
    <x v="11"/>
    <n v="27"/>
    <x v="1"/>
  </r>
  <r>
    <d v="2025-07-03T00:00:00"/>
    <x v="105"/>
    <s v="Call"/>
    <s v="Corporate"/>
    <x v="58"/>
    <s v="Ruchi"/>
    <s v="Proposed for Corporate events, Bulk Orders"/>
    <m/>
    <m/>
    <d v="2025-06-01T00:00:00"/>
    <x v="0"/>
    <x v="1"/>
    <s v="Hot"/>
    <m/>
    <m/>
    <m/>
    <m/>
    <m/>
    <x v="11"/>
    <n v="27"/>
    <x v="1"/>
  </r>
  <r>
    <d v="2025-07-03T00:00:00"/>
    <x v="4"/>
    <s v="F2F"/>
    <s v="Aggregator"/>
    <x v="78"/>
    <s v="Nupur"/>
    <m/>
    <m/>
    <m/>
    <d v="2025-06-01T00:00:00"/>
    <x v="0"/>
    <x v="1"/>
    <s v="Cold"/>
    <m/>
    <m/>
    <m/>
    <m/>
    <m/>
    <x v="11"/>
    <n v="27"/>
    <x v="1"/>
  </r>
  <r>
    <d v="2025-07-03T00:00:00"/>
    <x v="6"/>
    <s v="F2F"/>
    <s v="Aggregator"/>
    <x v="67"/>
    <s v="Indraneil"/>
    <m/>
    <m/>
    <m/>
    <d v="2025-06-01T00:00:00"/>
    <x v="0"/>
    <x v="1"/>
    <s v="Cold"/>
    <m/>
    <m/>
    <m/>
    <m/>
    <m/>
    <x v="11"/>
    <n v="27"/>
    <x v="1"/>
  </r>
  <r>
    <d v="2025-07-04T00:00:00"/>
    <x v="270"/>
    <s v="F2F"/>
    <s v="Corporate"/>
    <x v="10"/>
    <s v="Shariff"/>
    <m/>
    <m/>
    <m/>
    <d v="2025-07-01T00:00:00"/>
    <x v="0"/>
    <x v="1"/>
    <s v="Cold"/>
    <m/>
    <m/>
    <m/>
    <m/>
    <m/>
    <x v="11"/>
    <n v="27"/>
    <x v="1"/>
  </r>
  <r>
    <d v="2025-07-07T00:00:00"/>
    <x v="272"/>
    <s v="F2F"/>
    <s v="Aggregator"/>
    <x v="67"/>
    <s v="Arun"/>
    <m/>
    <m/>
    <m/>
    <d v="2025-07-01T00:00:00"/>
    <x v="0"/>
    <x v="1"/>
    <s v="Cold"/>
    <m/>
    <m/>
    <m/>
    <m/>
    <m/>
    <x v="11"/>
    <n v="28"/>
    <x v="1"/>
  </r>
  <r>
    <d v="2025-07-07T00:00:00"/>
    <x v="176"/>
    <s v="F2F"/>
    <s v="Corporate"/>
    <x v="10"/>
    <s v="Saran"/>
    <m/>
    <m/>
    <m/>
    <d v="2025-07-01T00:00:00"/>
    <x v="0"/>
    <x v="1"/>
    <s v="Cold"/>
    <m/>
    <m/>
    <m/>
    <m/>
    <m/>
    <x v="11"/>
    <n v="28"/>
    <x v="1"/>
  </r>
  <r>
    <d v="2025-07-07T00:00:00"/>
    <x v="273"/>
    <s v="F2F"/>
    <s v="Corporate"/>
    <x v="10"/>
    <s v="Aruna"/>
    <m/>
    <m/>
    <m/>
    <d v="2025-08-01T00:00:00"/>
    <x v="0"/>
    <x v="1"/>
    <s v="Cold"/>
    <m/>
    <m/>
    <m/>
    <m/>
    <m/>
    <x v="11"/>
    <n v="28"/>
    <x v="1"/>
  </r>
  <r>
    <d v="2025-07-07T00:00:00"/>
    <x v="152"/>
    <s v="Call"/>
    <s v="Corporate"/>
    <x v="16"/>
    <s v="Mohammed"/>
    <s v="Proposed for Corporate events, Bulk Orders"/>
    <m/>
    <m/>
    <d v="2025-08-01T00:00:00"/>
    <x v="0"/>
    <x v="1"/>
    <s v="Hot"/>
    <m/>
    <m/>
    <m/>
    <m/>
    <m/>
    <x v="11"/>
    <n v="28"/>
    <x v="1"/>
  </r>
  <r>
    <d v="2025-07-08T00:00:00"/>
    <x v="1"/>
    <s v="F2F"/>
    <s v="Corporate"/>
    <x v="10"/>
    <s v="Jeethan"/>
    <m/>
    <m/>
    <m/>
    <d v="2025-08-01T00:00:00"/>
    <x v="0"/>
    <x v="1"/>
    <s v="Cold"/>
    <m/>
    <m/>
    <m/>
    <m/>
    <m/>
    <x v="11"/>
    <n v="28"/>
    <x v="1"/>
  </r>
  <r>
    <d v="2025-07-08T00:00:00"/>
    <x v="29"/>
    <s v="F2F"/>
    <s v="Corporate"/>
    <x v="10"/>
    <s v="Kiran"/>
    <m/>
    <m/>
    <m/>
    <d v="2025-07-01T00:00:00"/>
    <x v="0"/>
    <x v="0"/>
    <s v="Warm"/>
    <m/>
    <m/>
    <m/>
    <m/>
    <m/>
    <x v="11"/>
    <n v="28"/>
    <x v="1"/>
  </r>
  <r>
    <d v="2025-07-08T00:00:00"/>
    <x v="274"/>
    <s v="F2F"/>
    <s v="Corporate"/>
    <x v="10"/>
    <s v="Deb"/>
    <m/>
    <m/>
    <m/>
    <d v="2025-07-01T00:00:00"/>
    <x v="0"/>
    <x v="0"/>
    <s v="Warm"/>
    <m/>
    <m/>
    <m/>
    <m/>
    <m/>
    <x v="11"/>
    <n v="28"/>
    <x v="1"/>
  </r>
  <r>
    <d v="2025-07-08T00:00:00"/>
    <x v="24"/>
    <s v="Call"/>
    <s v="Corporate"/>
    <x v="51"/>
    <s v="Abhijit"/>
    <s v="Proposed for Corporate events, Bulk Orders"/>
    <m/>
    <m/>
    <d v="2025-06-01T00:00:00"/>
    <x v="0"/>
    <x v="1"/>
    <s v="Hot"/>
    <m/>
    <m/>
    <m/>
    <m/>
    <m/>
    <x v="11"/>
    <n v="28"/>
    <x v="1"/>
  </r>
  <r>
    <d v="2025-07-08T00:00:00"/>
    <x v="51"/>
    <s v="Call"/>
    <s v="Aggregator"/>
    <x v="67"/>
    <s v="Palna"/>
    <s v="Proposed for Corporate events, Bulk Orders"/>
    <m/>
    <m/>
    <d v="2025-06-01T00:00:00"/>
    <x v="0"/>
    <x v="1"/>
    <s v="Hot"/>
    <m/>
    <m/>
    <m/>
    <m/>
    <m/>
    <x v="11"/>
    <n v="28"/>
    <x v="1"/>
  </r>
  <r>
    <d v="2025-07-09T00:00:00"/>
    <x v="51"/>
    <s v="F2F"/>
    <s v="Aggregator"/>
    <x v="67"/>
    <s v="Palna"/>
    <m/>
    <m/>
    <m/>
    <d v="2025-08-01T00:00:00"/>
    <x v="0"/>
    <x v="1"/>
    <s v="Hot"/>
    <m/>
    <m/>
    <m/>
    <m/>
    <m/>
    <x v="11"/>
    <n v="28"/>
    <x v="1"/>
  </r>
  <r>
    <d v="2025-07-09T00:00:00"/>
    <x v="242"/>
    <s v="F2F"/>
    <s v="Corporate"/>
    <x v="10"/>
    <s v="Tuhina"/>
    <m/>
    <n v="1500"/>
    <n v="1500"/>
    <d v="2025-07-01T00:00:00"/>
    <x v="0"/>
    <x v="4"/>
    <s v="Hot"/>
    <m/>
    <m/>
    <m/>
    <m/>
    <m/>
    <x v="11"/>
    <n v="28"/>
    <x v="1"/>
  </r>
  <r>
    <d v="2025-07-09T00:00:00"/>
    <x v="275"/>
    <s v="F2F"/>
    <s v="Corporate"/>
    <x v="10"/>
    <s v="Shankar"/>
    <m/>
    <m/>
    <m/>
    <d v="2025-07-01T00:00:00"/>
    <x v="0"/>
    <x v="0"/>
    <s v="Warm"/>
    <m/>
    <m/>
    <m/>
    <m/>
    <m/>
    <x v="11"/>
    <n v="28"/>
    <x v="1"/>
  </r>
  <r>
    <d v="2025-07-09T00:00:00"/>
    <x v="9"/>
    <s v="Call"/>
    <s v="Corporate"/>
    <x v="6"/>
    <s v="Arul"/>
    <s v="Proposed for bulk order requirement."/>
    <m/>
    <m/>
    <d v="2025-08-01T00:00:00"/>
    <x v="0"/>
    <x v="1"/>
    <s v="Cold"/>
    <m/>
    <m/>
    <m/>
    <m/>
    <m/>
    <x v="11"/>
    <n v="28"/>
    <x v="1"/>
  </r>
  <r>
    <d v="2025-07-10T00:00:00"/>
    <x v="276"/>
    <s v="F2F"/>
    <s v="Corporate"/>
    <x v="10"/>
    <s v="Deepika"/>
    <s v="Low sale, could do more."/>
    <n v="18000"/>
    <n v="18000"/>
    <d v="2025-07-01T00:00:00"/>
    <x v="0"/>
    <x v="4"/>
    <s v="Hot"/>
    <m/>
    <m/>
    <m/>
    <m/>
    <m/>
    <x v="11"/>
    <n v="28"/>
    <x v="1"/>
  </r>
  <r>
    <d v="2025-07-10T00:00:00"/>
    <x v="277"/>
    <s v="Call"/>
    <s v="Corporate"/>
    <x v="10"/>
    <s v="Ashok"/>
    <s v="Sampling Done, working on a bulk order confirmation"/>
    <n v="750000"/>
    <n v="750000"/>
    <d v="2025-07-01T00:00:00"/>
    <x v="1"/>
    <x v="2"/>
    <s v="Warm"/>
    <s v="Non availibility of Agreement"/>
    <m/>
    <m/>
    <m/>
    <m/>
    <x v="11"/>
    <n v="28"/>
    <x v="1"/>
  </r>
  <r>
    <d v="2025-07-10T00:00:00"/>
    <x v="278"/>
    <s v="Call"/>
    <s v="Corporate"/>
    <x v="27"/>
    <s v="Nupur"/>
    <s v="Proposed for Corporate events, Bulk Orders"/>
    <m/>
    <m/>
    <d v="2025-08-01T00:00:00"/>
    <x v="0"/>
    <x v="1"/>
    <s v="Cold"/>
    <m/>
    <m/>
    <m/>
    <m/>
    <m/>
    <x v="11"/>
    <n v="28"/>
    <x v="1"/>
  </r>
  <r>
    <d v="2025-07-12T00:00:00"/>
    <x v="279"/>
    <s v="Call"/>
    <s v="Event Management"/>
    <x v="21"/>
    <s v="Hemant"/>
    <s v="Proposed for Corporate events, Bulk Orders"/>
    <m/>
    <m/>
    <d v="2025-06-01T00:00:00"/>
    <x v="0"/>
    <x v="1"/>
    <s v="Cold"/>
    <m/>
    <m/>
    <m/>
    <m/>
    <m/>
    <x v="11"/>
    <n v="28"/>
    <x v="1"/>
  </r>
  <r>
    <d v="2025-07-12T00:00:00"/>
    <x v="280"/>
    <s v="Call"/>
    <s v="Co-working space"/>
    <x v="45"/>
    <s v="Gaurav"/>
    <s v="Proposed for Corporate events, Bulk Orders"/>
    <m/>
    <m/>
    <d v="2025-08-01T00:00:00"/>
    <x v="0"/>
    <x v="1"/>
    <s v="Cold"/>
    <m/>
    <m/>
    <m/>
    <m/>
    <m/>
    <x v="11"/>
    <n v="28"/>
    <x v="1"/>
  </r>
  <r>
    <d v="2025-07-14T00:00:00"/>
    <x v="1"/>
    <s v="Call"/>
    <s v="Corporate"/>
    <x v="1"/>
    <s v="Jeethan"/>
    <s v="Possible opportunity for the bulk orders, menu shared."/>
    <m/>
    <m/>
    <d v="2025-08-01T00:00:00"/>
    <x v="0"/>
    <x v="1"/>
    <s v="Cold"/>
    <m/>
    <m/>
    <m/>
    <m/>
    <m/>
    <x v="11"/>
    <n v="29"/>
    <x v="1"/>
  </r>
  <r>
    <d v="2025-07-14T00:00:00"/>
    <x v="51"/>
    <s v="Call"/>
    <s v="Aggregator"/>
    <x v="4"/>
    <s v="Palna"/>
    <s v="Possible opportunity for the corporate counters and bulk orders."/>
    <m/>
    <m/>
    <d v="2025-08-01T00:00:00"/>
    <x v="0"/>
    <x v="1"/>
    <s v="Cold"/>
    <m/>
    <m/>
    <m/>
    <m/>
    <m/>
    <x v="11"/>
    <n v="29"/>
    <x v="1"/>
  </r>
  <r>
    <d v="2025-07-14T00:00:00"/>
    <x v="17"/>
    <s v="F2F"/>
    <s v="Corporate"/>
    <x v="2"/>
    <s v="Vivek"/>
    <s v="Discussed on the service for the bulk order requirement."/>
    <m/>
    <m/>
    <d v="2025-08-01T00:00:00"/>
    <x v="0"/>
    <x v="1"/>
    <s v="Cold"/>
    <m/>
    <m/>
    <m/>
    <m/>
    <m/>
    <x v="11"/>
    <n v="29"/>
    <x v="1"/>
  </r>
  <r>
    <d v="2025-07-15T00:00:00"/>
    <x v="232"/>
    <s v="F2F"/>
    <s v="Corporate"/>
    <x v="48"/>
    <s v="Gopal"/>
    <s v="Did not meet expected sale, few raised price concern"/>
    <n v="42724"/>
    <n v="42724"/>
    <d v="2025-07-01T00:00:00"/>
    <x v="0"/>
    <x v="4"/>
    <s v="Hot"/>
    <m/>
    <m/>
    <m/>
    <m/>
    <m/>
    <x v="11"/>
    <n v="29"/>
    <x v="1"/>
  </r>
  <r>
    <d v="2025-07-15T00:00:00"/>
    <x v="260"/>
    <s v="F2F"/>
    <s v="Corporate"/>
    <x v="77"/>
    <s v="Anjum"/>
    <s v="Sale as expected"/>
    <n v="17387"/>
    <n v="17387"/>
    <d v="2025-07-01T00:00:00"/>
    <x v="0"/>
    <x v="4"/>
    <s v="Hot"/>
    <m/>
    <m/>
    <m/>
    <m/>
    <m/>
    <x v="11"/>
    <n v="29"/>
    <x v="1"/>
  </r>
  <r>
    <d v="2025-07-16T00:00:00"/>
    <x v="281"/>
    <s v="Call"/>
    <s v="Corporate"/>
    <x v="10"/>
    <s v="Nitin Pai"/>
    <s v="Proposed for Corporate events, Bulk Orders"/>
    <m/>
    <m/>
    <d v="2025-06-01T00:00:00"/>
    <x v="0"/>
    <x v="1"/>
    <s v="Cold"/>
    <m/>
    <m/>
    <m/>
    <m/>
    <m/>
    <x v="11"/>
    <n v="29"/>
    <x v="1"/>
  </r>
  <r>
    <d v="2025-07-16T00:00:00"/>
    <x v="52"/>
    <s v="Call"/>
    <s v="Aggregator"/>
    <x v="4"/>
    <s v="Saurabh"/>
    <s v="Proposed for Corporate events, Bulk Orders"/>
    <m/>
    <m/>
    <d v="2025-08-01T00:00:00"/>
    <x v="0"/>
    <x v="1"/>
    <s v="Cold"/>
    <m/>
    <m/>
    <m/>
    <m/>
    <m/>
    <x v="11"/>
    <n v="29"/>
    <x v="1"/>
  </r>
  <r>
    <d v="2025-07-16T00:00:00"/>
    <x v="72"/>
    <s v="Call"/>
    <s v="Corporate"/>
    <x v="24"/>
    <s v="Salil Karan"/>
    <s v="Proposed for Corporate events, Bulk Orders"/>
    <m/>
    <m/>
    <d v="2025-08-01T00:00:00"/>
    <x v="0"/>
    <x v="1"/>
    <s v="Cold"/>
    <m/>
    <m/>
    <m/>
    <m/>
    <m/>
    <x v="11"/>
    <n v="29"/>
    <x v="1"/>
  </r>
  <r>
    <d v="2025-07-16T00:00:00"/>
    <x v="249"/>
    <s v="F2F"/>
    <s v="Corporate"/>
    <x v="77"/>
    <s v="Vinod"/>
    <s v="Product sold out, could do more sale."/>
    <n v="18120"/>
    <n v="18120"/>
    <d v="2025-07-01T00:00:00"/>
    <x v="0"/>
    <x v="4"/>
    <s v="Hot"/>
    <m/>
    <m/>
    <m/>
    <m/>
    <m/>
    <x v="11"/>
    <n v="29"/>
    <x v="1"/>
  </r>
  <r>
    <d v="2025-07-16T00:00:00"/>
    <x v="200"/>
    <s v="Call"/>
    <s v="Corporate"/>
    <x v="12"/>
    <s v="Mohammed"/>
    <s v="Received Bulk Order, following for more requirements"/>
    <n v="46007"/>
    <n v="46007"/>
    <d v="2025-07-01T00:00:00"/>
    <x v="0"/>
    <x v="4"/>
    <s v="Hot"/>
    <m/>
    <m/>
    <m/>
    <m/>
    <m/>
    <x v="11"/>
    <n v="29"/>
    <x v="1"/>
  </r>
  <r>
    <d v="2025-07-17T00:00:00"/>
    <x v="262"/>
    <s v="F2F"/>
    <s v="Corporate"/>
    <x v="77"/>
    <s v="Mayur"/>
    <s v="Product sold out, could do more sale."/>
    <n v="11406"/>
    <n v="11406"/>
    <d v="2025-07-01T00:00:00"/>
    <x v="0"/>
    <x v="4"/>
    <s v="Hot"/>
    <m/>
    <m/>
    <m/>
    <m/>
    <m/>
    <x v="11"/>
    <n v="29"/>
    <x v="1"/>
  </r>
  <r>
    <d v="2025-07-17T00:00:00"/>
    <x v="282"/>
    <s v="F2F"/>
    <s v="Travel Agent"/>
    <x v="67"/>
    <s v="Shyam"/>
    <s v="Good Feedback"/>
    <n v="8036"/>
    <n v="8036"/>
    <d v="2025-07-01T00:00:00"/>
    <x v="0"/>
    <x v="4"/>
    <s v="Hot"/>
    <m/>
    <m/>
    <m/>
    <m/>
    <m/>
    <x v="11"/>
    <n v="29"/>
    <x v="1"/>
  </r>
  <r>
    <d v="2025-07-17T00:00:00"/>
    <x v="276"/>
    <s v="F2F"/>
    <s v="Corporate"/>
    <x v="10"/>
    <s v="Deepika"/>
    <s v="Low sale, could do more."/>
    <n v="6919"/>
    <n v="6919"/>
    <d v="2025-07-01T00:00:00"/>
    <x v="0"/>
    <x v="4"/>
    <s v="Hot"/>
    <m/>
    <m/>
    <m/>
    <m/>
    <m/>
    <x v="11"/>
    <n v="29"/>
    <x v="1"/>
  </r>
  <r>
    <d v="2025-07-18T00:00:00"/>
    <x v="11"/>
    <s v="F2F"/>
    <s v="Corporate"/>
    <x v="10"/>
    <s v="Anil"/>
    <s v="Proposed for Corporate events, Bulk Orders"/>
    <m/>
    <m/>
    <d v="2025-08-01T00:00:00"/>
    <x v="0"/>
    <x v="1"/>
    <s v="Cold"/>
    <m/>
    <m/>
    <m/>
    <m/>
    <m/>
    <x v="11"/>
    <n v="29"/>
    <x v="1"/>
  </r>
  <r>
    <d v="2025-07-18T00:00:00"/>
    <x v="101"/>
    <s v="F2F"/>
    <s v="Corporate"/>
    <x v="10"/>
    <s v="Dinesh"/>
    <s v="Proposed for Corporate events, Bulk Orders"/>
    <m/>
    <m/>
    <d v="2025-08-01T00:00:00"/>
    <x v="0"/>
    <x v="1"/>
    <s v="Cold"/>
    <m/>
    <m/>
    <m/>
    <m/>
    <m/>
    <x v="11"/>
    <n v="29"/>
    <x v="1"/>
  </r>
  <r>
    <d v="2025-07-22T00:00:00"/>
    <x v="171"/>
    <s v="F2F"/>
    <s v="Corporate"/>
    <x v="10"/>
    <s v="Gowda"/>
    <m/>
    <n v="12400"/>
    <n v="12400"/>
    <d v="2025-07-01T00:00:00"/>
    <x v="0"/>
    <x v="4"/>
    <s v="Warm"/>
    <m/>
    <m/>
    <m/>
    <m/>
    <m/>
    <x v="11"/>
    <n v="30"/>
    <x v="1"/>
  </r>
  <r>
    <d v="2025-07-22T00:00:00"/>
    <x v="283"/>
    <s v="F2F"/>
    <s v="Corporate"/>
    <x v="10"/>
    <s v="Chandrika"/>
    <s v="Proposed for Corporate events, Bulk Orders"/>
    <m/>
    <m/>
    <d v="2025-08-01T00:00:00"/>
    <x v="0"/>
    <x v="1"/>
    <s v="Cold"/>
    <m/>
    <m/>
    <m/>
    <m/>
    <m/>
    <x v="11"/>
    <n v="30"/>
    <x v="1"/>
  </r>
  <r>
    <d v="2025-07-22T00:00:00"/>
    <x v="169"/>
    <s v="F2F"/>
    <s v="Corporate"/>
    <x v="10"/>
    <s v="Nupur"/>
    <m/>
    <m/>
    <m/>
    <d v="2025-08-01T00:00:00"/>
    <x v="0"/>
    <x v="1"/>
    <s v="Cold"/>
    <m/>
    <m/>
    <m/>
    <m/>
    <m/>
    <x v="11"/>
    <n v="30"/>
    <x v="1"/>
  </r>
  <r>
    <d v="2025-07-23T00:00:00"/>
    <x v="171"/>
    <s v="F2F"/>
    <s v="Corporate"/>
    <x v="10"/>
    <s v="Gowda"/>
    <m/>
    <n v="6500"/>
    <n v="6500"/>
    <d v="2025-07-01T00:00:00"/>
    <x v="0"/>
    <x v="4"/>
    <s v="Warm"/>
    <m/>
    <m/>
    <m/>
    <m/>
    <m/>
    <x v="11"/>
    <n v="30"/>
    <x v="1"/>
  </r>
  <r>
    <d v="2025-07-24T00:00:00"/>
    <x v="276"/>
    <s v="F2F"/>
    <s v="Corporate"/>
    <x v="10"/>
    <s v="Deepika"/>
    <s v="Low sale, could do more."/>
    <n v="7415"/>
    <n v="7415"/>
    <d v="2025-07-01T00:00:00"/>
    <x v="0"/>
    <x v="4"/>
    <s v="Warm"/>
    <m/>
    <m/>
    <m/>
    <m/>
    <m/>
    <x v="11"/>
    <n v="30"/>
    <x v="1"/>
  </r>
  <r>
    <d v="2025-07-24T00:00:00"/>
    <x v="111"/>
    <s v="F2F"/>
    <s v="Corporate"/>
    <x v="30"/>
    <s v="Ritesh"/>
    <s v="Business Closed"/>
    <n v="43525"/>
    <n v="43525"/>
    <d v="2025-07-01T00:00:00"/>
    <x v="0"/>
    <x v="4"/>
    <s v="Warm"/>
    <m/>
    <m/>
    <m/>
    <m/>
    <m/>
    <x v="11"/>
    <n v="30"/>
    <x v="1"/>
  </r>
  <r>
    <d v="2025-07-24T00:00:00"/>
    <x v="284"/>
    <s v="F2F"/>
    <s v="Corporate"/>
    <x v="10"/>
    <s v="Mathais"/>
    <m/>
    <m/>
    <m/>
    <d v="2025-07-01T00:00:00"/>
    <x v="0"/>
    <x v="0"/>
    <s v="Warm"/>
    <m/>
    <m/>
    <m/>
    <m/>
    <m/>
    <x v="11"/>
    <n v="30"/>
    <x v="1"/>
  </r>
  <r>
    <d v="2025-07-24T00:00:00"/>
    <x v="171"/>
    <s v="F2F"/>
    <s v="Corporate"/>
    <x v="10"/>
    <s v="Gowda"/>
    <m/>
    <n v="11400"/>
    <n v="11400"/>
    <d v="2025-07-01T00:00:00"/>
    <x v="0"/>
    <x v="4"/>
    <s v="Warm"/>
    <m/>
    <m/>
    <m/>
    <m/>
    <m/>
    <x v="11"/>
    <n v="30"/>
    <x v="1"/>
  </r>
  <r>
    <d v="2025-07-24T00:00:00"/>
    <x v="59"/>
    <s v="F2F"/>
    <s v="Corporate"/>
    <x v="77"/>
    <s v="Mayur"/>
    <m/>
    <m/>
    <m/>
    <d v="2025-07-01T00:00:00"/>
    <x v="0"/>
    <x v="3"/>
    <s v="Warm"/>
    <m/>
    <m/>
    <m/>
    <m/>
    <m/>
    <x v="11"/>
    <n v="30"/>
    <x v="1"/>
  </r>
  <r>
    <d v="2025-07-28T00:00:00"/>
    <x v="216"/>
    <s v="F2F"/>
    <s v="Corporate"/>
    <x v="77"/>
    <s v="Srinivas"/>
    <m/>
    <n v="9294"/>
    <n v="9294"/>
    <d v="2025-07-01T00:00:00"/>
    <x v="0"/>
    <x v="4"/>
    <s v="Warm"/>
    <m/>
    <m/>
    <m/>
    <m/>
    <m/>
    <x v="11"/>
    <n v="31"/>
    <x v="1"/>
  </r>
  <r>
    <d v="2025-07-28T00:00:00"/>
    <x v="276"/>
    <s v="F2F"/>
    <s v="Corporate"/>
    <x v="10"/>
    <s v="Deepika"/>
    <m/>
    <n v="5000"/>
    <n v="5000"/>
    <d v="2025-07-01T00:00:00"/>
    <x v="0"/>
    <x v="4"/>
    <s v="Warm"/>
    <m/>
    <m/>
    <m/>
    <m/>
    <m/>
    <x v="11"/>
    <n v="31"/>
    <x v="1"/>
  </r>
  <r>
    <d v="2025-07-29T00:00:00"/>
    <x v="260"/>
    <s v="F2F"/>
    <s v="Corporate"/>
    <x v="77"/>
    <s v="Anjum"/>
    <s v="Sale as expected"/>
    <n v="19253"/>
    <n v="19253"/>
    <d v="2025-07-01T00:00:00"/>
    <x v="0"/>
    <x v="4"/>
    <s v="Hot"/>
    <m/>
    <m/>
    <m/>
    <m/>
    <m/>
    <x v="11"/>
    <n v="31"/>
    <x v="1"/>
  </r>
  <r>
    <d v="2025-07-29T00:00:00"/>
    <x v="1"/>
    <s v="Call"/>
    <s v="Corporate"/>
    <x v="1"/>
    <s v="Jeethan"/>
    <m/>
    <n v="13047"/>
    <n v="13047"/>
    <d v="2025-07-01T00:00:00"/>
    <x v="0"/>
    <x v="4"/>
    <s v="Warm"/>
    <m/>
    <m/>
    <m/>
    <m/>
    <m/>
    <x v="11"/>
    <n v="31"/>
    <x v="1"/>
  </r>
  <r>
    <d v="2025-07-30T00:00:00"/>
    <x v="249"/>
    <s v="F2F"/>
    <s v="Corporate"/>
    <x v="77"/>
    <s v="Vinod"/>
    <s v="Product sold out, could do more sale."/>
    <n v="23180"/>
    <n v="23180"/>
    <d v="2025-07-01T00:00:00"/>
    <x v="0"/>
    <x v="4"/>
    <s v="Hot"/>
    <m/>
    <m/>
    <m/>
    <m/>
    <m/>
    <x v="11"/>
    <n v="31"/>
    <x v="1"/>
  </r>
  <r>
    <d v="2025-07-31T00:00:00"/>
    <x v="262"/>
    <s v="F2F"/>
    <s v="Corporate"/>
    <x v="77"/>
    <s v="Ramanan"/>
    <m/>
    <n v="17123"/>
    <n v="17123"/>
    <d v="2025-07-01T00:00:00"/>
    <x v="0"/>
    <x v="4"/>
    <s v="Hot"/>
    <m/>
    <m/>
    <m/>
    <m/>
    <m/>
    <x v="11"/>
    <n v="31"/>
    <x v="1"/>
  </r>
  <r>
    <d v="2025-08-01T00:00:00"/>
    <x v="4"/>
    <s v="F2F"/>
    <s v="Corporate"/>
    <x v="81"/>
    <s v="Taranjot"/>
    <s v="Business Closed"/>
    <m/>
    <m/>
    <d v="2025-08-01T00:00:00"/>
    <x v="0"/>
    <x v="1"/>
    <s v="Hot"/>
    <m/>
    <m/>
    <m/>
    <m/>
    <m/>
    <x v="12"/>
    <n v="31"/>
    <x v="1"/>
  </r>
  <r>
    <d v="2025-08-01T00:00:00"/>
    <x v="283"/>
    <s v="F2F"/>
    <s v="Corporate"/>
    <x v="10"/>
    <s v="Chandrika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52"/>
    <s v="Call"/>
    <s v="Aggregator"/>
    <x v="4"/>
    <s v="Saurabh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284"/>
    <s v="Call"/>
    <s v="Corporate"/>
    <x v="10"/>
    <s v="Mathais"/>
    <m/>
    <m/>
    <m/>
    <d v="2025-08-01T00:00:00"/>
    <x v="0"/>
    <x v="1"/>
    <s v="Cold"/>
    <m/>
    <m/>
    <m/>
    <m/>
    <m/>
    <x v="12"/>
    <n v="31"/>
    <x v="1"/>
  </r>
  <r>
    <d v="2025-08-01T00:00:00"/>
    <x v="9"/>
    <s v="Call"/>
    <s v="Corporate"/>
    <x v="6"/>
    <s v="Arul"/>
    <s v="Proposed for bulk order requirement."/>
    <m/>
    <m/>
    <d v="2025-08-01T00:00:00"/>
    <x v="0"/>
    <x v="3"/>
    <s v="Warm"/>
    <m/>
    <m/>
    <m/>
    <m/>
    <m/>
    <x v="12"/>
    <n v="31"/>
    <x v="1"/>
  </r>
  <r>
    <d v="2025-08-01T00:00:00"/>
    <x v="280"/>
    <s v="Call"/>
    <s v="Co-working space"/>
    <x v="45"/>
    <s v="Gaurav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152"/>
    <s v="Call"/>
    <s v="Corporate"/>
    <x v="16"/>
    <s v="Mohammed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4"/>
    <s v="Call"/>
    <s v="Corporate"/>
    <x v="81"/>
    <s v="Taranjot"/>
    <s v="Business Closed"/>
    <m/>
    <m/>
    <d v="2025-08-01T00:00:00"/>
    <x v="0"/>
    <x v="3"/>
    <s v="Warm"/>
    <m/>
    <m/>
    <m/>
    <m/>
    <m/>
    <x v="12"/>
    <n v="31"/>
    <x v="1"/>
  </r>
  <r>
    <d v="2025-08-01T00:00:00"/>
    <x v="275"/>
    <s v="Call"/>
    <s v="Corporate"/>
    <x v="10"/>
    <s v="Shankar"/>
    <m/>
    <m/>
    <m/>
    <d v="2025-08-01T00:00:00"/>
    <x v="0"/>
    <x v="1"/>
    <s v="Cold"/>
    <m/>
    <m/>
    <m/>
    <m/>
    <m/>
    <x v="12"/>
    <n v="31"/>
    <x v="1"/>
  </r>
  <r>
    <d v="2025-08-01T00:00:00"/>
    <x v="1"/>
    <s v="Call"/>
    <s v="Corporate"/>
    <x v="1"/>
    <s v="Jeethan"/>
    <s v="Possible opportunity for the bulk orders, menu shared."/>
    <m/>
    <m/>
    <d v="2025-08-01T00:00:00"/>
    <x v="0"/>
    <x v="1"/>
    <s v="Cold"/>
    <m/>
    <m/>
    <m/>
    <m/>
    <m/>
    <x v="12"/>
    <n v="31"/>
    <x v="1"/>
  </r>
  <r>
    <d v="2025-08-01T00:00:00"/>
    <x v="29"/>
    <s v="Call"/>
    <s v="Corporate"/>
    <x v="10"/>
    <s v="Kiran"/>
    <m/>
    <m/>
    <m/>
    <d v="2025-08-01T00:00:00"/>
    <x v="0"/>
    <x v="1"/>
    <s v="Cold"/>
    <m/>
    <m/>
    <m/>
    <m/>
    <m/>
    <x v="12"/>
    <n v="31"/>
    <x v="1"/>
  </r>
  <r>
    <d v="2025-08-01T00:00:00"/>
    <x v="169"/>
    <s v="Call"/>
    <s v="Corporate"/>
    <x v="10"/>
    <s v="Nupur"/>
    <m/>
    <m/>
    <m/>
    <d v="2025-08-01T00:00:00"/>
    <x v="0"/>
    <x v="1"/>
    <s v="Cold"/>
    <m/>
    <m/>
    <m/>
    <m/>
    <m/>
    <x v="12"/>
    <n v="31"/>
    <x v="1"/>
  </r>
  <r>
    <d v="2025-08-01T00:00:00"/>
    <x v="51"/>
    <s v="Call"/>
    <s v="Aggregator"/>
    <x v="4"/>
    <s v="Palna"/>
    <s v="Possible opportunity for the corporate counters and bulk orders."/>
    <m/>
    <m/>
    <d v="2025-08-01T00:00:00"/>
    <x v="0"/>
    <x v="1"/>
    <s v="Cold"/>
    <m/>
    <m/>
    <m/>
    <m/>
    <m/>
    <x v="12"/>
    <n v="31"/>
    <x v="1"/>
  </r>
  <r>
    <d v="2025-08-01T00:00:00"/>
    <x v="72"/>
    <s v="Call"/>
    <s v="Corporate"/>
    <x v="24"/>
    <s v="Salil Karan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101"/>
    <s v="Call"/>
    <s v="Corporate"/>
    <x v="10"/>
    <s v="Dinesh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17"/>
    <s v="Call"/>
    <s v="Corporate"/>
    <x v="2"/>
    <s v="Vivek"/>
    <s v="Discussed on the service for the bulk order requirement."/>
    <m/>
    <m/>
    <d v="2025-08-01T00:00:00"/>
    <x v="0"/>
    <x v="1"/>
    <s v="Cold"/>
    <m/>
    <m/>
    <m/>
    <m/>
    <m/>
    <x v="12"/>
    <n v="31"/>
    <x v="1"/>
  </r>
  <r>
    <d v="2025-08-01T00:00:00"/>
    <x v="273"/>
    <s v="Call"/>
    <s v="Corporate"/>
    <x v="10"/>
    <s v="Aruna"/>
    <m/>
    <m/>
    <m/>
    <d v="2025-08-01T00:00:00"/>
    <x v="0"/>
    <x v="1"/>
    <s v="Cold"/>
    <m/>
    <m/>
    <m/>
    <m/>
    <m/>
    <x v="12"/>
    <n v="31"/>
    <x v="1"/>
  </r>
  <r>
    <d v="2025-08-01T00:00:00"/>
    <x v="274"/>
    <s v="Call"/>
    <s v="Corporate"/>
    <x v="10"/>
    <s v="Deb"/>
    <m/>
    <m/>
    <m/>
    <d v="2025-08-01T00:00:00"/>
    <x v="0"/>
    <x v="1"/>
    <s v="Cold"/>
    <m/>
    <m/>
    <m/>
    <m/>
    <m/>
    <x v="12"/>
    <n v="31"/>
    <x v="1"/>
  </r>
  <r>
    <d v="2025-08-01T00:00:00"/>
    <x v="11"/>
    <s v="Call"/>
    <s v="Corporate"/>
    <x v="10"/>
    <s v="Anil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283"/>
    <s v="Call"/>
    <s v="Corporate"/>
    <x v="10"/>
    <s v="Chandrika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52"/>
    <s v="Call"/>
    <s v="Aggregator"/>
    <x v="4"/>
    <s v="Saurabh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278"/>
    <s v="Call"/>
    <s v="Corporate"/>
    <x v="27"/>
    <s v="Nupur"/>
    <s v="Proposed for Corporate events, Bulk Orders"/>
    <m/>
    <m/>
    <d v="2025-08-01T00:00:00"/>
    <x v="0"/>
    <x v="1"/>
    <s v="Cold"/>
    <m/>
    <m/>
    <m/>
    <m/>
    <m/>
    <x v="12"/>
    <n v="31"/>
    <x v="1"/>
  </r>
  <r>
    <d v="2025-08-01T00:00:00"/>
    <x v="59"/>
    <s v="Call"/>
    <s v="Corporate"/>
    <x v="77"/>
    <s v="Mayur"/>
    <m/>
    <m/>
    <m/>
    <d v="2025-08-01T00:00:00"/>
    <x v="0"/>
    <x v="3"/>
    <s v="Warm"/>
    <m/>
    <m/>
    <m/>
    <m/>
    <m/>
    <x v="12"/>
    <n v="31"/>
    <x v="1"/>
  </r>
  <r>
    <d v="2025-08-04T00:00:00"/>
    <x v="285"/>
    <s v="Call"/>
    <s v="Corporate"/>
    <x v="81"/>
    <s v="Taranjot"/>
    <s v="Business Closed"/>
    <n v="12847"/>
    <n v="12847"/>
    <d v="2025-08-01T00:00:00"/>
    <x v="1"/>
    <x v="4"/>
    <s v="Warm"/>
    <m/>
    <m/>
    <m/>
    <m/>
    <m/>
    <x v="12"/>
    <n v="32"/>
    <x v="1"/>
  </r>
  <r>
    <d v="2025-08-05T00:00:00"/>
    <x v="285"/>
    <s v="Call"/>
    <s v="Corporate"/>
    <x v="81"/>
    <s v="Taranjot"/>
    <s v="Business Closed"/>
    <n v="18797"/>
    <n v="18797"/>
    <d v="2025-08-01T00:00:00"/>
    <x v="1"/>
    <x v="4"/>
    <s v="Warm"/>
    <m/>
    <m/>
    <m/>
    <m/>
    <m/>
    <x v="12"/>
    <n v="32"/>
    <x v="1"/>
  </r>
  <r>
    <d v="2025-08-05T00:00:00"/>
    <x v="15"/>
    <s v="F2F"/>
    <s v="Corporate"/>
    <x v="2"/>
    <s v="Santosh"/>
    <s v="Proposed for Corporate events, Bulk Orders"/>
    <m/>
    <m/>
    <d v="2025-08-01T00:00:00"/>
    <x v="0"/>
    <x v="1"/>
    <s v="Cold"/>
    <m/>
    <m/>
    <m/>
    <m/>
    <m/>
    <x v="12"/>
    <n v="32"/>
    <x v="1"/>
  </r>
  <r>
    <d v="2025-08-06T00:00:00"/>
    <x v="285"/>
    <s v="Call"/>
    <s v="Corporate"/>
    <x v="81"/>
    <s v="Taranjot"/>
    <s v="Business Closed"/>
    <n v="29751"/>
    <n v="29751"/>
    <d v="2025-08-01T00:00:00"/>
    <x v="1"/>
    <x v="4"/>
    <s v="Warm"/>
    <m/>
    <m/>
    <m/>
    <m/>
    <m/>
    <x v="12"/>
    <n v="32"/>
    <x v="1"/>
  </r>
  <r>
    <d v="2025-08-06T00:00:00"/>
    <x v="9"/>
    <s v="Call"/>
    <s v="Corporate"/>
    <x v="6"/>
    <s v="Nagendra"/>
    <s v="Proposed for bulk order requirement."/>
    <n v="200000"/>
    <n v="200000"/>
    <d v="2025-08-01T00:00:00"/>
    <x v="1"/>
    <x v="2"/>
    <s v="Warm"/>
    <s v="Requirement Postponed"/>
    <m/>
    <m/>
    <m/>
    <m/>
    <x v="12"/>
    <n v="32"/>
    <x v="1"/>
  </r>
  <r>
    <d v="2025-08-06T00:00:00"/>
    <x v="242"/>
    <s v="Call"/>
    <s v="Corporate"/>
    <x v="81"/>
    <s v="Yogendra"/>
    <s v="Business Closed"/>
    <n v="16497"/>
    <n v="16497"/>
    <d v="2025-08-01T00:00:00"/>
    <x v="0"/>
    <x v="4"/>
    <s v="Warm"/>
    <m/>
    <m/>
    <m/>
    <m/>
    <m/>
    <x v="12"/>
    <n v="32"/>
    <x v="1"/>
  </r>
  <r>
    <d v="2025-08-06T00:00:00"/>
    <x v="200"/>
    <s v="Call"/>
    <s v="Corporate"/>
    <x v="12"/>
    <s v="Mohammed"/>
    <s v="Received Bulk Order, following for more requirements"/>
    <n v="65582"/>
    <n v="65582"/>
    <d v="2025-08-01T00:00:00"/>
    <x v="0"/>
    <x v="4"/>
    <s v="Warm"/>
    <m/>
    <m/>
    <m/>
    <m/>
    <m/>
    <x v="12"/>
    <n v="32"/>
    <x v="1"/>
  </r>
  <r>
    <d v="2025-08-07T00:00:00"/>
    <x v="285"/>
    <s v="Call"/>
    <s v="Corporate"/>
    <x v="81"/>
    <s v="Taranjot"/>
    <s v="Business Closed"/>
    <n v="26043"/>
    <n v="26043"/>
    <d v="2025-08-01T00:00:00"/>
    <x v="1"/>
    <x v="4"/>
    <s v="Warm"/>
    <m/>
    <m/>
    <m/>
    <m/>
    <m/>
    <x v="12"/>
    <n v="32"/>
    <x v="1"/>
  </r>
  <r>
    <d v="2025-08-07T00:00:00"/>
    <x v="286"/>
    <s v="F2F"/>
    <s v="Corporate"/>
    <x v="10"/>
    <s v="Yashi"/>
    <s v="Proposed for ODC and Bulk orders"/>
    <n v="15000"/>
    <m/>
    <d v="2025-09-01T00:00:00"/>
    <x v="0"/>
    <x v="0"/>
    <s v="Warm"/>
    <m/>
    <m/>
    <m/>
    <m/>
    <m/>
    <x v="12"/>
    <n v="32"/>
    <x v="1"/>
  </r>
  <r>
    <d v="2025-08-08T00:00:00"/>
    <x v="285"/>
    <s v="Call"/>
    <s v="Corporate"/>
    <x v="81"/>
    <s v="Taranjot"/>
    <s v="Business Closed"/>
    <n v="11495"/>
    <n v="11495"/>
    <d v="2025-08-01T00:00:00"/>
    <x v="1"/>
    <x v="4"/>
    <s v="Warm"/>
    <m/>
    <m/>
    <m/>
    <m/>
    <m/>
    <x v="12"/>
    <n v="32"/>
    <x v="1"/>
  </r>
  <r>
    <d v="2025-08-08T00:00:00"/>
    <x v="287"/>
    <s v="F2F"/>
    <s v="Corporate"/>
    <x v="10"/>
    <s v="Yashi"/>
    <s v="Proposed for ODC and Bulk orders"/>
    <n v="15000"/>
    <m/>
    <d v="2025-09-01T00:00:00"/>
    <x v="0"/>
    <x v="0"/>
    <s v="Warm"/>
    <m/>
    <m/>
    <m/>
    <m/>
    <m/>
    <x v="12"/>
    <n v="32"/>
    <x v="1"/>
  </r>
  <r>
    <d v="2025-08-08T00:00:00"/>
    <x v="288"/>
    <s v="F2F"/>
    <s v="Corporate"/>
    <x v="10"/>
    <s v="Yashi"/>
    <s v="Proposed for ODC and Bulk orders"/>
    <n v="13000"/>
    <m/>
    <d v="2025-09-01T00:00:00"/>
    <x v="0"/>
    <x v="0"/>
    <s v="Warm"/>
    <m/>
    <m/>
    <m/>
    <m/>
    <m/>
    <x v="12"/>
    <n v="32"/>
    <x v="1"/>
  </r>
  <r>
    <d v="2025-08-11T00:00:00"/>
    <x v="289"/>
    <s v="Call"/>
    <s v="Corporate"/>
    <x v="81"/>
    <s v="Sandhya"/>
    <s v="Business Closed"/>
    <n v="69300"/>
    <n v="69300"/>
    <d v="2025-08-01T00:00:00"/>
    <x v="4"/>
    <x v="4"/>
    <s v="Warm"/>
    <m/>
    <m/>
    <m/>
    <m/>
    <m/>
    <x v="12"/>
    <n v="33"/>
    <x v="1"/>
  </r>
  <r>
    <d v="2025-08-11T00:00:00"/>
    <x v="285"/>
    <s v="Call"/>
    <s v="Corporate"/>
    <x v="81"/>
    <s v="Taranjot"/>
    <s v="Business Closed"/>
    <n v="13405"/>
    <n v="13405"/>
    <d v="2025-08-01T00:00:00"/>
    <x v="1"/>
    <x v="4"/>
    <s v="Warm"/>
    <m/>
    <m/>
    <m/>
    <m/>
    <m/>
    <x v="12"/>
    <n v="33"/>
    <x v="1"/>
  </r>
  <r>
    <d v="2025-08-12T00:00:00"/>
    <x v="285"/>
    <s v="Call"/>
    <s v="Corporate"/>
    <x v="81"/>
    <s v="Taranjot"/>
    <s v="Business Closed"/>
    <n v="20800"/>
    <n v="20800"/>
    <d v="2025-08-01T00:00:00"/>
    <x v="1"/>
    <x v="4"/>
    <s v="Warm"/>
    <m/>
    <m/>
    <m/>
    <m/>
    <m/>
    <x v="12"/>
    <n v="33"/>
    <x v="1"/>
  </r>
  <r>
    <d v="2025-08-13T00:00:00"/>
    <x v="9"/>
    <s v="F2F"/>
    <s v="Corporate"/>
    <x v="6"/>
    <s v="Arul"/>
    <s v="Business Closed"/>
    <n v="152460"/>
    <n v="152460"/>
    <d v="2025-08-01T00:00:00"/>
    <x v="0"/>
    <x v="4"/>
    <s v="Warm"/>
    <m/>
    <m/>
    <m/>
    <m/>
    <m/>
    <x v="12"/>
    <n v="33"/>
    <x v="1"/>
  </r>
  <r>
    <d v="2025-08-13T00:00:00"/>
    <x v="285"/>
    <s v="Call"/>
    <s v="Corporate"/>
    <x v="81"/>
    <s v="Taranjot"/>
    <s v="Business Closed"/>
    <n v="19058"/>
    <n v="19058"/>
    <d v="2025-08-01T00:00:00"/>
    <x v="1"/>
    <x v="4"/>
    <s v="Warm"/>
    <m/>
    <m/>
    <m/>
    <m/>
    <m/>
    <x v="12"/>
    <n v="33"/>
    <x v="1"/>
  </r>
  <r>
    <d v="2025-08-13T00:00:00"/>
    <x v="290"/>
    <s v="F2F"/>
    <s v="Corporate"/>
    <x v="10"/>
    <s v="Yashi"/>
    <s v="Proposed for ODC and Bulk orders"/>
    <n v="15000"/>
    <m/>
    <d v="2025-09-01T00:00:00"/>
    <x v="0"/>
    <x v="0"/>
    <s v="Warm"/>
    <m/>
    <m/>
    <m/>
    <m/>
    <m/>
    <x v="12"/>
    <n v="33"/>
    <x v="1"/>
  </r>
  <r>
    <d v="2025-08-13T00:00:00"/>
    <x v="291"/>
    <s v="F2F"/>
    <s v="Corporate"/>
    <x v="10"/>
    <s v="Yashi"/>
    <s v="Proposed for ODC and Bulk orders"/>
    <n v="15000"/>
    <m/>
    <d v="2025-09-01T00:00:00"/>
    <x v="0"/>
    <x v="0"/>
    <s v="Warm"/>
    <m/>
    <m/>
    <m/>
    <m/>
    <m/>
    <x v="12"/>
    <n v="33"/>
    <x v="1"/>
  </r>
  <r>
    <d v="2025-08-18T00:00:00"/>
    <x v="111"/>
    <s v="F2F"/>
    <s v="Corporate"/>
    <x v="6"/>
    <s v="Nupur"/>
    <s v="Confirmed"/>
    <n v="46000"/>
    <n v="46000"/>
    <d v="2025-08-01T00:00:00"/>
    <x v="0"/>
    <x v="4"/>
    <s v="Warm"/>
    <m/>
    <m/>
    <m/>
    <m/>
    <m/>
    <x v="12"/>
    <n v="34"/>
    <x v="1"/>
  </r>
  <r>
    <d v="2025-08-18T00:00:00"/>
    <x v="59"/>
    <s v="Call"/>
    <s v="Corporate"/>
    <x v="77"/>
    <s v="Mayur"/>
    <m/>
    <m/>
    <m/>
    <d v="2025-08-01T00:00:00"/>
    <x v="0"/>
    <x v="3"/>
    <s v="Warm"/>
    <m/>
    <m/>
    <m/>
    <m/>
    <m/>
    <x v="12"/>
    <n v="34"/>
    <x v="1"/>
  </r>
  <r>
    <d v="2025-08-18T00:00:00"/>
    <x v="227"/>
    <s v="F2F"/>
    <s v="Corporate"/>
    <x v="82"/>
    <s v="Vishwanath"/>
    <s v="Proposed for Bulk orders"/>
    <n v="30000"/>
    <m/>
    <d v="2025-08-01T00:00:00"/>
    <x v="0"/>
    <x v="0"/>
    <s v="Warm"/>
    <m/>
    <m/>
    <m/>
    <m/>
    <m/>
    <x v="12"/>
    <n v="34"/>
    <x v="1"/>
  </r>
  <r>
    <d v="2025-08-18T00:00:00"/>
    <x v="292"/>
    <s v="F2F"/>
    <s v="Corporate"/>
    <x v="6"/>
    <s v="Suraj"/>
    <s v="Proposed for Bulk orders"/>
    <n v="25000"/>
    <m/>
    <d v="2025-08-01T00:00:00"/>
    <x v="0"/>
    <x v="0"/>
    <s v="Warm"/>
    <m/>
    <m/>
    <m/>
    <m/>
    <m/>
    <x v="12"/>
    <n v="34"/>
    <x v="1"/>
  </r>
  <r>
    <d v="2025-08-18T00:00:00"/>
    <x v="293"/>
    <s v="F2F"/>
    <s v="Corporate"/>
    <x v="10"/>
    <s v="Yashi"/>
    <s v="Proposed for ODC and Bulk orders"/>
    <n v="13000"/>
    <m/>
    <d v="2025-09-01T00:00:00"/>
    <x v="0"/>
    <x v="0"/>
    <s v="Warm"/>
    <m/>
    <m/>
    <m/>
    <m/>
    <m/>
    <x v="12"/>
    <n v="34"/>
    <x v="1"/>
  </r>
  <r>
    <d v="2025-08-18T00:00:00"/>
    <x v="294"/>
    <s v="F2F"/>
    <s v="Corporate"/>
    <x v="10"/>
    <s v="Yashi"/>
    <s v="Proposed for ODC and Bulk orders"/>
    <n v="18000"/>
    <m/>
    <d v="2025-09-01T00:00:00"/>
    <x v="0"/>
    <x v="0"/>
    <s v="Warm"/>
    <m/>
    <m/>
    <m/>
    <m/>
    <m/>
    <x v="12"/>
    <n v="34"/>
    <x v="1"/>
  </r>
  <r>
    <d v="2025-08-19T00:00:00"/>
    <x v="262"/>
    <s v="F2F"/>
    <s v="Corporate"/>
    <x v="77"/>
    <s v="Ramanan"/>
    <m/>
    <n v="18182"/>
    <n v="18182"/>
    <d v="2025-08-01T00:00:00"/>
    <x v="0"/>
    <x v="4"/>
    <s v="Warm"/>
    <m/>
    <m/>
    <m/>
    <m/>
    <m/>
    <x v="12"/>
    <n v="34"/>
    <x v="1"/>
  </r>
  <r>
    <d v="2025-08-19T00:00:00"/>
    <x v="295"/>
    <s v="F2F"/>
    <s v="Corporate"/>
    <x v="10"/>
    <s v="Yashi"/>
    <s v="Proposed for ODC and Bulk orders"/>
    <n v="18000"/>
    <m/>
    <d v="2025-09-01T00:00:00"/>
    <x v="0"/>
    <x v="0"/>
    <s v="Warm"/>
    <m/>
    <m/>
    <m/>
    <m/>
    <m/>
    <x v="12"/>
    <n v="34"/>
    <x v="1"/>
  </r>
  <r>
    <d v="2025-08-19T00:00:00"/>
    <x v="294"/>
    <s v="F2F"/>
    <s v="Corporate"/>
    <x v="10"/>
    <s v="Yashi"/>
    <s v="Proposed for ODC and Bulk orders"/>
    <n v="18000"/>
    <m/>
    <d v="2025-09-01T00:00:00"/>
    <x v="0"/>
    <x v="0"/>
    <s v="Warm"/>
    <m/>
    <m/>
    <m/>
    <m/>
    <m/>
    <x v="12"/>
    <n v="34"/>
    <x v="1"/>
  </r>
  <r>
    <d v="2025-08-20T00:00:00"/>
    <x v="249"/>
    <s v="F2F"/>
    <s v="Corporate"/>
    <x v="77"/>
    <s v="Vinod"/>
    <m/>
    <n v="25126"/>
    <n v="25126"/>
    <d v="2025-08-01T00:00:00"/>
    <x v="0"/>
    <x v="4"/>
    <s v="Warm"/>
    <m/>
    <m/>
    <m/>
    <m/>
    <m/>
    <x v="12"/>
    <n v="34"/>
    <x v="1"/>
  </r>
  <r>
    <d v="2025-08-20T00:00:00"/>
    <x v="202"/>
    <s v="Call"/>
    <s v="Corporate"/>
    <x v="10"/>
    <s v="Pankaj"/>
    <s v="Received Bulk Order, following for more requirements"/>
    <n v="62072"/>
    <n v="62072"/>
    <d v="2025-08-01T00:00:00"/>
    <x v="0"/>
    <x v="4"/>
    <s v="Warm"/>
    <m/>
    <m/>
    <m/>
    <m/>
    <m/>
    <x v="12"/>
    <n v="34"/>
    <x v="1"/>
  </r>
  <r>
    <d v="2025-08-21T00:00:00"/>
    <x v="46"/>
    <s v="Call"/>
    <s v="Corporate"/>
    <x v="10"/>
    <s v="Arun"/>
    <m/>
    <n v="8900"/>
    <n v="8900"/>
    <d v="2025-08-01T00:00:00"/>
    <x v="0"/>
    <x v="4"/>
    <s v="Warm"/>
    <m/>
    <m/>
    <m/>
    <m/>
    <m/>
    <x v="12"/>
    <n v="34"/>
    <x v="1"/>
  </r>
  <r>
    <d v="2025-08-21T00:00:00"/>
    <x v="260"/>
    <s v="F2F"/>
    <s v="Corporate"/>
    <x v="77"/>
    <s v="Anjum"/>
    <s v="Sale as expected"/>
    <n v="18962"/>
    <n v="18962"/>
    <d v="2025-08-01T00:00:00"/>
    <x v="0"/>
    <x v="4"/>
    <s v="Warm"/>
    <m/>
    <m/>
    <m/>
    <m/>
    <m/>
    <x v="12"/>
    <n v="34"/>
    <x v="1"/>
  </r>
  <r>
    <d v="2025-08-21T00:00:00"/>
    <x v="285"/>
    <s v="Call"/>
    <s v="Corporate"/>
    <x v="81"/>
    <s v="Taranjot"/>
    <s v="Business Closed"/>
    <n v="49400"/>
    <n v="49400"/>
    <d v="2025-08-01T00:00:00"/>
    <x v="1"/>
    <x v="4"/>
    <s v="Warm"/>
    <m/>
    <m/>
    <m/>
    <m/>
    <m/>
    <x v="12"/>
    <n v="34"/>
    <x v="1"/>
  </r>
  <r>
    <d v="2025-08-22T00:00:00"/>
    <x v="64"/>
    <s v="F2F"/>
    <s v="Corporate"/>
    <x v="10"/>
    <s v="Adithya"/>
    <m/>
    <n v="10264"/>
    <n v="10264"/>
    <d v="2025-08-01T00:00:00"/>
    <x v="0"/>
    <x v="4"/>
    <s v="Warm"/>
    <m/>
    <m/>
    <m/>
    <m/>
    <m/>
    <x v="12"/>
    <n v="34"/>
    <x v="1"/>
  </r>
  <r>
    <d v="2025-08-25T00:00:00"/>
    <x v="296"/>
    <s v="F2F"/>
    <s v="Corporate"/>
    <x v="10"/>
    <s v="Manish"/>
    <s v="Proposed for Bulk orders"/>
    <n v="15000"/>
    <m/>
    <d v="2025-09-01T00:00:00"/>
    <x v="0"/>
    <x v="0"/>
    <s v="Warm"/>
    <m/>
    <m/>
    <m/>
    <m/>
    <m/>
    <x v="12"/>
    <n v="35"/>
    <x v="1"/>
  </r>
  <r>
    <d v="2025-08-25T00:00:00"/>
    <x v="297"/>
    <s v="F2F"/>
    <s v="Corporate"/>
    <x v="83"/>
    <s v="Deepak"/>
    <s v="Proposed for Bulk orders"/>
    <n v="15000"/>
    <m/>
    <d v="2025-09-01T00:00:00"/>
    <x v="0"/>
    <x v="0"/>
    <s v="Warm"/>
    <m/>
    <m/>
    <m/>
    <m/>
    <m/>
    <x v="12"/>
    <n v="35"/>
    <x v="1"/>
  </r>
  <r>
    <d v="2025-08-28T00:00:00"/>
    <x v="298"/>
    <s v="F2F"/>
    <s v="Corporate"/>
    <x v="53"/>
    <s v="Srinivas"/>
    <s v="Confirmed"/>
    <n v="29475"/>
    <n v="29475"/>
    <d v="2025-08-01T00:00:00"/>
    <x v="0"/>
    <x v="4"/>
    <s v="Warm"/>
    <m/>
    <m/>
    <m/>
    <m/>
    <m/>
    <x v="12"/>
    <n v="35"/>
    <x v="1"/>
  </r>
  <r>
    <d v="2025-08-29T00:00:00"/>
    <x v="299"/>
    <s v="F2F"/>
    <s v="Corporate"/>
    <x v="10"/>
    <s v="Shaheer"/>
    <s v="Confirmed"/>
    <n v="23315"/>
    <n v="23315"/>
    <d v="2025-08-01T00:00:00"/>
    <x v="0"/>
    <x v="4"/>
    <s v="Warm"/>
    <m/>
    <m/>
    <m/>
    <m/>
    <m/>
    <x v="12"/>
    <n v="35"/>
    <x v="1"/>
  </r>
  <r>
    <d v="2025-09-01T00:00:00"/>
    <x v="290"/>
    <s v="F2F"/>
    <s v="Corporate"/>
    <x v="10"/>
    <s v="Yashi"/>
    <s v="Confirmed"/>
    <m/>
    <m/>
    <d v="2025-09-01T00:00:00"/>
    <x v="0"/>
    <x v="3"/>
    <s v="Warm"/>
    <m/>
    <m/>
    <m/>
    <m/>
    <m/>
    <x v="13"/>
    <n v="36"/>
    <x v="1"/>
  </r>
  <r>
    <d v="2025-09-01T00:00:00"/>
    <x v="291"/>
    <s v="F2F"/>
    <s v="Corporate"/>
    <x v="10"/>
    <s v="Yashi"/>
    <s v="Confirmed"/>
    <m/>
    <m/>
    <d v="2025-09-01T00:00:00"/>
    <x v="0"/>
    <x v="3"/>
    <s v="Warm"/>
    <m/>
    <m/>
    <m/>
    <m/>
    <m/>
    <x v="13"/>
    <n v="36"/>
    <x v="1"/>
  </r>
  <r>
    <d v="2025-09-01T00:00:00"/>
    <x v="293"/>
    <s v="F2F"/>
    <s v="Corporate"/>
    <x v="10"/>
    <s v="Yashi"/>
    <s v="Confirmed"/>
    <m/>
    <m/>
    <d v="2025-09-01T00:00:00"/>
    <x v="0"/>
    <x v="3"/>
    <s v="Warm"/>
    <m/>
    <m/>
    <m/>
    <m/>
    <m/>
    <x v="13"/>
    <n v="36"/>
    <x v="1"/>
  </r>
  <r>
    <d v="2025-09-01T00:00:00"/>
    <x v="294"/>
    <s v="F2F"/>
    <s v="Corporate"/>
    <x v="10"/>
    <s v="Yashi"/>
    <s v="Confirmed"/>
    <m/>
    <m/>
    <d v="2025-09-01T00:00:00"/>
    <x v="0"/>
    <x v="3"/>
    <s v="Warm"/>
    <m/>
    <m/>
    <m/>
    <m/>
    <m/>
    <x v="13"/>
    <n v="36"/>
    <x v="1"/>
  </r>
  <r>
    <d v="2025-09-01T00:00:00"/>
    <x v="295"/>
    <s v="F2F"/>
    <s v="Corporate"/>
    <x v="10"/>
    <s v="Yashi"/>
    <s v="Confirmed"/>
    <m/>
    <m/>
    <d v="2025-09-01T00:00:00"/>
    <x v="0"/>
    <x v="3"/>
    <s v="Warm"/>
    <m/>
    <m/>
    <m/>
    <m/>
    <m/>
    <x v="13"/>
    <n v="36"/>
    <x v="1"/>
  </r>
  <r>
    <d v="2025-09-01T00:00:00"/>
    <x v="294"/>
    <s v="F2F"/>
    <s v="Corporate"/>
    <x v="10"/>
    <s v="Yashi"/>
    <s v="Confirmed"/>
    <m/>
    <m/>
    <d v="2025-09-01T00:00:00"/>
    <x v="0"/>
    <x v="3"/>
    <s v="Warm"/>
    <m/>
    <m/>
    <m/>
    <m/>
    <m/>
    <x v="13"/>
    <n v="36"/>
    <x v="1"/>
  </r>
  <r>
    <d v="2025-09-01T00:00:00"/>
    <x v="286"/>
    <s v="F2F"/>
    <s v="Corporate"/>
    <x v="10"/>
    <s v="Yashi"/>
    <s v="Confirmed"/>
    <m/>
    <m/>
    <d v="2025-09-01T00:00:00"/>
    <x v="0"/>
    <x v="3"/>
    <s v="Warm"/>
    <m/>
    <m/>
    <m/>
    <m/>
    <m/>
    <x v="13"/>
    <n v="36"/>
    <x v="1"/>
  </r>
  <r>
    <d v="2025-09-01T00:00:00"/>
    <x v="287"/>
    <s v="F2F"/>
    <s v="Corporate"/>
    <x v="10"/>
    <s v="Yashi"/>
    <s v="Confirmed"/>
    <m/>
    <m/>
    <d v="2025-09-01T00:00:00"/>
    <x v="0"/>
    <x v="3"/>
    <s v="Warm"/>
    <m/>
    <m/>
    <m/>
    <m/>
    <m/>
    <x v="13"/>
    <n v="36"/>
    <x v="1"/>
  </r>
  <r>
    <d v="2025-09-01T00:00:00"/>
    <x v="288"/>
    <s v="F2F"/>
    <s v="Corporate"/>
    <x v="10"/>
    <s v="Yashi"/>
    <s v="Confirmed"/>
    <m/>
    <m/>
    <d v="2025-09-01T00:00:00"/>
    <x v="0"/>
    <x v="3"/>
    <s v="Warm"/>
    <m/>
    <m/>
    <m/>
    <m/>
    <m/>
    <x v="13"/>
    <n v="36"/>
    <x v="1"/>
  </r>
  <r>
    <d v="2025-09-01T00:00:00"/>
    <x v="171"/>
    <s v="F2F"/>
    <s v="Corporate"/>
    <x v="10"/>
    <s v="Gowda"/>
    <s v="Confirmed"/>
    <m/>
    <m/>
    <d v="2025-09-01T00:00:00"/>
    <x v="0"/>
    <x v="3"/>
    <s v="Warm"/>
    <m/>
    <m/>
    <m/>
    <m/>
    <m/>
    <x v="13"/>
    <n v="36"/>
    <x v="1"/>
  </r>
  <r>
    <d v="2025-09-01T00:00:00"/>
    <x v="59"/>
    <s v="F2F"/>
    <s v="Corporate"/>
    <x v="77"/>
    <s v="Mayur"/>
    <s v="Confirmed"/>
    <m/>
    <m/>
    <d v="2025-09-01T00:00:00"/>
    <x v="0"/>
    <x v="3"/>
    <s v="Warm"/>
    <m/>
    <m/>
    <m/>
    <m/>
    <m/>
    <x v="13"/>
    <n v="36"/>
    <x v="1"/>
  </r>
  <r>
    <d v="2025-09-01T00:00:00"/>
    <x v="300"/>
    <s v="F2F"/>
    <s v="Aggregator"/>
    <x v="4"/>
    <s v="Devendar"/>
    <s v="Confirmed"/>
    <m/>
    <m/>
    <d v="2025-09-01T00:00:00"/>
    <x v="0"/>
    <x v="3"/>
    <s v="Warm"/>
    <m/>
    <m/>
    <m/>
    <m/>
    <m/>
    <x v="13"/>
    <n v="36"/>
    <x v="1"/>
  </r>
  <r>
    <d v="2025-09-01T00:00:00"/>
    <x v="301"/>
    <s v="F2F"/>
    <s v="Aggregator"/>
    <x v="4"/>
    <s v="Devendar"/>
    <s v="Confirmed"/>
    <m/>
    <m/>
    <d v="2025-09-01T00:00:00"/>
    <x v="0"/>
    <x v="3"/>
    <s v="Warm"/>
    <m/>
    <m/>
    <m/>
    <m/>
    <m/>
    <x v="13"/>
    <n v="36"/>
    <x v="1"/>
  </r>
  <r>
    <d v="2025-09-01T00:00:00"/>
    <x v="4"/>
    <s v="F2F"/>
    <s v="Aggregator"/>
    <x v="4"/>
    <s v="Taranjot"/>
    <s v="Confirmed"/>
    <m/>
    <m/>
    <d v="2025-09-01T00:00:00"/>
    <x v="0"/>
    <x v="3"/>
    <s v="Warm"/>
    <m/>
    <m/>
    <m/>
    <m/>
    <m/>
    <x v="13"/>
    <n v="36"/>
    <x v="1"/>
  </r>
  <r>
    <d v="2025-09-01T00:00:00"/>
    <x v="4"/>
    <s v="F2F"/>
    <s v="Corporate"/>
    <x v="81"/>
    <s v="Taranjot"/>
    <s v="Business Closed"/>
    <m/>
    <m/>
    <d v="2025-09-01T00:00:00"/>
    <x v="0"/>
    <x v="1"/>
    <s v="Cold"/>
    <m/>
    <m/>
    <m/>
    <m/>
    <m/>
    <x v="13"/>
    <n v="36"/>
    <x v="1"/>
  </r>
  <r>
    <d v="2025-09-01T00:00:00"/>
    <x v="283"/>
    <s v="F2F"/>
    <s v="Corporate"/>
    <x v="10"/>
    <s v="Chandrika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52"/>
    <s v="Call"/>
    <s v="Aggregator"/>
    <x v="4"/>
    <s v="Saurabh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284"/>
    <s v="Call"/>
    <s v="Corporate"/>
    <x v="10"/>
    <s v="Mathais"/>
    <m/>
    <m/>
    <m/>
    <d v="2025-09-01T00:00:00"/>
    <x v="0"/>
    <x v="1"/>
    <s v="Cold"/>
    <m/>
    <m/>
    <m/>
    <m/>
    <m/>
    <x v="13"/>
    <n v="36"/>
    <x v="1"/>
  </r>
  <r>
    <d v="2025-09-01T00:00:00"/>
    <x v="280"/>
    <s v="Call"/>
    <s v="Co-working space"/>
    <x v="45"/>
    <s v="Gaurav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152"/>
    <s v="Call"/>
    <s v="Corporate"/>
    <x v="16"/>
    <s v="Mohammed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275"/>
    <s v="Call"/>
    <s v="Corporate"/>
    <x v="10"/>
    <s v="Shankar"/>
    <m/>
    <m/>
    <m/>
    <d v="2025-09-01T00:00:00"/>
    <x v="0"/>
    <x v="1"/>
    <s v="Cold"/>
    <m/>
    <m/>
    <m/>
    <m/>
    <m/>
    <x v="13"/>
    <n v="36"/>
    <x v="1"/>
  </r>
  <r>
    <d v="2025-09-01T00:00:00"/>
    <x v="1"/>
    <s v="Call"/>
    <s v="Corporate"/>
    <x v="1"/>
    <s v="Jeethan"/>
    <s v="Possible opportunity for the bulk orders, menu shared."/>
    <m/>
    <m/>
    <d v="2025-09-01T00:00:00"/>
    <x v="0"/>
    <x v="1"/>
    <s v="Cold"/>
    <m/>
    <m/>
    <m/>
    <m/>
    <m/>
    <x v="13"/>
    <n v="36"/>
    <x v="1"/>
  </r>
  <r>
    <d v="2025-09-01T00:00:00"/>
    <x v="29"/>
    <s v="Call"/>
    <s v="Corporate"/>
    <x v="10"/>
    <s v="Kiran"/>
    <m/>
    <m/>
    <m/>
    <d v="2025-09-01T00:00:00"/>
    <x v="0"/>
    <x v="1"/>
    <s v="Cold"/>
    <m/>
    <m/>
    <m/>
    <m/>
    <m/>
    <x v="13"/>
    <n v="36"/>
    <x v="1"/>
  </r>
  <r>
    <d v="2025-09-01T00:00:00"/>
    <x v="169"/>
    <s v="Call"/>
    <s v="Corporate"/>
    <x v="10"/>
    <s v="Nupur"/>
    <m/>
    <m/>
    <m/>
    <d v="2025-09-01T00:00:00"/>
    <x v="0"/>
    <x v="1"/>
    <s v="Cold"/>
    <m/>
    <m/>
    <m/>
    <m/>
    <m/>
    <x v="13"/>
    <n v="36"/>
    <x v="1"/>
  </r>
  <r>
    <d v="2025-09-01T00:00:00"/>
    <x v="51"/>
    <s v="Call"/>
    <s v="Aggregator"/>
    <x v="4"/>
    <s v="Palna"/>
    <s v="Possible opportunity for the corporate counters and bulk orders."/>
    <m/>
    <m/>
    <d v="2025-09-01T00:00:00"/>
    <x v="0"/>
    <x v="1"/>
    <s v="Cold"/>
    <m/>
    <m/>
    <m/>
    <m/>
    <m/>
    <x v="13"/>
    <n v="36"/>
    <x v="1"/>
  </r>
  <r>
    <d v="2025-09-01T00:00:00"/>
    <x v="72"/>
    <s v="Call"/>
    <s v="Corporate"/>
    <x v="24"/>
    <s v="Salil Karan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101"/>
    <s v="Call"/>
    <s v="Corporate"/>
    <x v="10"/>
    <s v="Dinesh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17"/>
    <s v="Call"/>
    <s v="Corporate"/>
    <x v="2"/>
    <s v="Vivek"/>
    <s v="Discussed on the service for the bulk order requirement."/>
    <m/>
    <m/>
    <d v="2025-09-01T00:00:00"/>
    <x v="0"/>
    <x v="1"/>
    <s v="Cold"/>
    <m/>
    <m/>
    <m/>
    <m/>
    <m/>
    <x v="13"/>
    <n v="36"/>
    <x v="1"/>
  </r>
  <r>
    <d v="2025-09-01T00:00:00"/>
    <x v="273"/>
    <s v="Call"/>
    <s v="Corporate"/>
    <x v="10"/>
    <s v="Aruna"/>
    <m/>
    <m/>
    <m/>
    <d v="2025-09-01T00:00:00"/>
    <x v="0"/>
    <x v="1"/>
    <s v="Cold"/>
    <m/>
    <m/>
    <m/>
    <m/>
    <m/>
    <x v="13"/>
    <n v="36"/>
    <x v="1"/>
  </r>
  <r>
    <d v="2025-09-01T00:00:00"/>
    <x v="274"/>
    <s v="Call"/>
    <s v="Corporate"/>
    <x v="10"/>
    <s v="Deb"/>
    <m/>
    <m/>
    <m/>
    <d v="2025-09-01T00:00:00"/>
    <x v="0"/>
    <x v="1"/>
    <s v="Cold"/>
    <m/>
    <m/>
    <m/>
    <m/>
    <m/>
    <x v="13"/>
    <n v="36"/>
    <x v="1"/>
  </r>
  <r>
    <d v="2025-09-01T00:00:00"/>
    <x v="11"/>
    <s v="Call"/>
    <s v="Corporate"/>
    <x v="10"/>
    <s v="Anil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283"/>
    <s v="Call"/>
    <s v="Corporate"/>
    <x v="10"/>
    <s v="Chandrika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52"/>
    <s v="Call"/>
    <s v="Aggregator"/>
    <x v="4"/>
    <s v="Saurabh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278"/>
    <s v="Call"/>
    <s v="Corporate"/>
    <x v="27"/>
    <s v="Nupur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15"/>
    <s v="F2F"/>
    <s v="Corporate"/>
    <x v="2"/>
    <s v="Santosh"/>
    <s v="Proposed for Corporate events, Bulk Orders"/>
    <m/>
    <m/>
    <d v="2025-09-01T00:00:00"/>
    <x v="0"/>
    <x v="1"/>
    <s v="Cold"/>
    <m/>
    <m/>
    <m/>
    <m/>
    <m/>
    <x v="13"/>
    <n v="36"/>
    <x v="1"/>
  </r>
  <r>
    <d v="2025-09-01T00:00:00"/>
    <x v="262"/>
    <s v="F2F"/>
    <s v="Corporate"/>
    <x v="77"/>
    <s v="Ramanan"/>
    <s v="Business Closed"/>
    <n v="13109"/>
    <n v="13109"/>
    <d v="2025-09-01T00:00:00"/>
    <x v="0"/>
    <x v="4"/>
    <s v="Warm"/>
    <m/>
    <m/>
    <m/>
    <m/>
    <m/>
    <x v="13"/>
    <n v="36"/>
    <x v="1"/>
  </r>
  <r>
    <d v="2025-09-02T00:00:00"/>
    <x v="51"/>
    <s v="F2F"/>
    <s v="Aggregator"/>
    <x v="4"/>
    <s v="Rajkumar"/>
    <s v="Proposed for Corporate events, Bulk Orders"/>
    <n v="60000"/>
    <m/>
    <d v="2025-09-01T00:00:00"/>
    <x v="2"/>
    <x v="0"/>
    <s v="Warm"/>
    <m/>
    <m/>
    <m/>
    <m/>
    <m/>
    <x v="13"/>
    <n v="36"/>
    <x v="1"/>
  </r>
  <r>
    <d v="2025-09-02T00:00:00"/>
    <x v="302"/>
    <s v="F2F"/>
    <s v="Corporate"/>
    <x v="10"/>
    <s v="Ellora"/>
    <s v="Business Closed"/>
    <n v="4850"/>
    <n v="4850"/>
    <d v="2025-09-01T00:00:00"/>
    <x v="0"/>
    <x v="4"/>
    <s v="Warm"/>
    <m/>
    <m/>
    <m/>
    <m/>
    <m/>
    <x v="13"/>
    <n v="36"/>
    <x v="1"/>
  </r>
  <r>
    <d v="2025-09-03T00:00:00"/>
    <x v="253"/>
    <s v="F2F"/>
    <s v="Corporate"/>
    <x v="77"/>
    <s v="Srinivas"/>
    <s v="Business Closed"/>
    <n v="8152"/>
    <n v="8152"/>
    <d v="2025-09-01T00:00:00"/>
    <x v="0"/>
    <x v="4"/>
    <s v="Warm"/>
    <m/>
    <m/>
    <m/>
    <m/>
    <m/>
    <x v="13"/>
    <n v="36"/>
    <x v="1"/>
  </r>
  <r>
    <d v="2025-09-03T00:00:00"/>
    <x v="250"/>
    <s v="F2F"/>
    <s v="Corporate"/>
    <x v="10"/>
    <s v="Ellora"/>
    <s v="Business Closed"/>
    <n v="4575"/>
    <n v="4575"/>
    <d v="2025-09-01T00:00:00"/>
    <x v="0"/>
    <x v="4"/>
    <s v="Warm"/>
    <m/>
    <m/>
    <m/>
    <m/>
    <m/>
    <x v="13"/>
    <n v="36"/>
    <x v="1"/>
  </r>
  <r>
    <d v="2025-09-04T00:00:00"/>
    <x v="260"/>
    <s v="F2F"/>
    <s v="Corporate"/>
    <x v="77"/>
    <s v="Anjum"/>
    <s v="Business Closed"/>
    <n v="17684"/>
    <n v="17684"/>
    <d v="2025-09-01T00:00:00"/>
    <x v="0"/>
    <x v="4"/>
    <s v="Warm"/>
    <m/>
    <m/>
    <m/>
    <m/>
    <m/>
    <x v="13"/>
    <n v="36"/>
    <x v="1"/>
  </r>
  <r>
    <d v="2025-09-04T00:00:00"/>
    <x v="252"/>
    <s v="F2F"/>
    <s v="Corporate"/>
    <x v="10"/>
    <s v="Ellora"/>
    <s v="Business Closed"/>
    <n v="5345"/>
    <n v="5345"/>
    <d v="2025-09-01T00:00:00"/>
    <x v="0"/>
    <x v="4"/>
    <s v="Warm"/>
    <m/>
    <m/>
    <m/>
    <m/>
    <m/>
    <x v="13"/>
    <n v="36"/>
    <x v="1"/>
  </r>
  <r>
    <d v="2025-09-05T00:00:00"/>
    <x v="303"/>
    <s v="F2F"/>
    <s v="Corporate"/>
    <x v="6"/>
    <s v="Yashi"/>
    <s v="Business Closed"/>
    <n v="20310"/>
    <n v="20310"/>
    <d v="2025-09-01T00:00:00"/>
    <x v="0"/>
    <x v="4"/>
    <s v="Warm"/>
    <m/>
    <m/>
    <m/>
    <m/>
    <m/>
    <x v="13"/>
    <n v="36"/>
    <x v="1"/>
  </r>
  <r>
    <d v="2025-09-08T00:00:00"/>
    <x v="111"/>
    <s v="F2F"/>
    <s v="Corporate"/>
    <x v="6"/>
    <s v="Nupur"/>
    <s v="Business Closed"/>
    <n v="46000"/>
    <n v="46000"/>
    <d v="2025-09-01T00:00:00"/>
    <x v="0"/>
    <x v="4"/>
    <s v="Warm"/>
    <m/>
    <m/>
    <m/>
    <m/>
    <m/>
    <x v="13"/>
    <n v="37"/>
    <x v="1"/>
  </r>
  <r>
    <d v="2025-09-08T00:00:00"/>
    <x v="285"/>
    <s v="Call"/>
    <s v="Corporate"/>
    <x v="81"/>
    <s v="Taranjot"/>
    <s v="Business Closed"/>
    <n v="11489"/>
    <n v="11489"/>
    <d v="2025-09-01T00:00:00"/>
    <x v="1"/>
    <x v="4"/>
    <s v="Warm"/>
    <m/>
    <m/>
    <m/>
    <m/>
    <m/>
    <x v="13"/>
    <n v="37"/>
    <x v="1"/>
  </r>
  <r>
    <d v="2025-09-08T00:00:00"/>
    <x v="280"/>
    <s v="Call"/>
    <s v="Co-working space"/>
    <x v="45"/>
    <s v="Gaurav"/>
    <s v="Proposed for Corporate events, Bulk Orders"/>
    <m/>
    <m/>
    <d v="2025-09-01T00:00:00"/>
    <x v="0"/>
    <x v="1"/>
    <s v="Cold"/>
    <m/>
    <m/>
    <m/>
    <m/>
    <m/>
    <x v="13"/>
    <n v="37"/>
    <x v="1"/>
  </r>
  <r>
    <d v="2025-09-08T00:00:00"/>
    <x v="304"/>
    <s v="F2F"/>
    <s v="Corporate"/>
    <x v="10"/>
    <s v="Ratheesh"/>
    <s v="Proposed for Corporate events, Bulk Orders"/>
    <m/>
    <m/>
    <d v="2025-09-01T00:00:00"/>
    <x v="0"/>
    <x v="1"/>
    <s v="Cold"/>
    <m/>
    <m/>
    <m/>
    <m/>
    <m/>
    <x v="13"/>
    <n v="37"/>
    <x v="1"/>
  </r>
  <r>
    <d v="2025-09-08T00:00:00"/>
    <x v="19"/>
    <s v="F2F"/>
    <s v="Aggregator"/>
    <x v="78"/>
    <s v="Tuhina"/>
    <s v="Proposed for Corporate events, Bulk Orders"/>
    <n v="15000"/>
    <m/>
    <d v="2025-09-01T00:00:00"/>
    <x v="0"/>
    <x v="1"/>
    <s v="Cold"/>
    <m/>
    <m/>
    <m/>
    <m/>
    <m/>
    <x v="13"/>
    <n v="37"/>
    <x v="1"/>
  </r>
  <r>
    <d v="2025-09-09T00:00:00"/>
    <x v="290"/>
    <s v="F2F"/>
    <s v="Corporate"/>
    <x v="10"/>
    <s v="Yashi"/>
    <s v="Closed"/>
    <n v="7260"/>
    <n v="7260"/>
    <d v="2025-09-01T00:00:00"/>
    <x v="0"/>
    <x v="4"/>
    <s v="Warm"/>
    <m/>
    <m/>
    <m/>
    <m/>
    <m/>
    <x v="13"/>
    <n v="37"/>
    <x v="1"/>
  </r>
  <r>
    <d v="2025-09-09T00:00:00"/>
    <x v="285"/>
    <s v="Call"/>
    <s v="Corporate"/>
    <x v="81"/>
    <s v="Sandhya"/>
    <s v="Business Closed"/>
    <n v="43490"/>
    <n v="43490"/>
    <d v="2025-09-01T00:00:00"/>
    <x v="1"/>
    <x v="4"/>
    <s v="Warm"/>
    <m/>
    <m/>
    <m/>
    <m/>
    <m/>
    <x v="13"/>
    <n v="37"/>
    <x v="1"/>
  </r>
  <r>
    <d v="2025-09-09T00:00:00"/>
    <x v="254"/>
    <s v="Call"/>
    <s v="Corporate"/>
    <x v="51"/>
    <s v="Ellora"/>
    <s v="Corporate ODC"/>
    <n v="6834"/>
    <n v="6834"/>
    <d v="2025-09-01T00:00:00"/>
    <x v="0"/>
    <x v="4"/>
    <s v="Warm"/>
    <m/>
    <m/>
    <m/>
    <m/>
    <m/>
    <x v="13"/>
    <n v="37"/>
    <x v="1"/>
  </r>
  <r>
    <d v="2025-09-10T00:00:00"/>
    <x v="305"/>
    <s v="Call"/>
    <s v="Corporate"/>
    <x v="10"/>
    <s v="Rajkumar"/>
    <s v="Business Closed"/>
    <n v="41318"/>
    <n v="41318"/>
    <d v="2025-09-01T00:00:00"/>
    <x v="2"/>
    <x v="4"/>
    <s v="Warm"/>
    <m/>
    <m/>
    <m/>
    <m/>
    <m/>
    <x v="13"/>
    <n v="37"/>
    <x v="1"/>
  </r>
  <r>
    <d v="2025-09-10T00:00:00"/>
    <x v="285"/>
    <s v="Call"/>
    <s v="Corporate"/>
    <x v="81"/>
    <s v="Sandhya"/>
    <s v="Business Closed"/>
    <n v="74476"/>
    <n v="74476"/>
    <d v="2025-09-01T00:00:00"/>
    <x v="1"/>
    <x v="4"/>
    <s v="Warm"/>
    <m/>
    <m/>
    <m/>
    <m/>
    <m/>
    <x v="13"/>
    <n v="37"/>
    <x v="1"/>
  </r>
  <r>
    <d v="2025-09-10T00:00:00"/>
    <x v="256"/>
    <s v="Call"/>
    <s v="Corporate"/>
    <x v="51"/>
    <s v="Ellora"/>
    <s v="Corporate ODC"/>
    <n v="6734"/>
    <n v="6734"/>
    <d v="2025-09-01T00:00:00"/>
    <x v="0"/>
    <x v="4"/>
    <s v="Warm"/>
    <m/>
    <m/>
    <m/>
    <m/>
    <m/>
    <x v="13"/>
    <n v="37"/>
    <x v="1"/>
  </r>
  <r>
    <d v="2025-09-10T00:00:00"/>
    <x v="306"/>
    <s v="F2F"/>
    <s v="Corporate"/>
    <x v="10"/>
    <s v="Yashi"/>
    <s v="Closed"/>
    <n v="6790"/>
    <n v="6790"/>
    <d v="2025-09-01T00:00:00"/>
    <x v="0"/>
    <x v="4"/>
    <s v="Warm"/>
    <m/>
    <m/>
    <m/>
    <m/>
    <m/>
    <x v="13"/>
    <n v="37"/>
    <x v="1"/>
  </r>
  <r>
    <d v="2025-09-10T00:00:00"/>
    <x v="200"/>
    <s v="Call"/>
    <s v="Corporate"/>
    <x v="12"/>
    <s v="Mohammed"/>
    <s v="Received Bulk Order, following for more requirements"/>
    <n v="53085"/>
    <n v="53085"/>
    <d v="2025-09-01T00:00:00"/>
    <x v="0"/>
    <x v="4"/>
    <s v="Warm"/>
    <m/>
    <m/>
    <m/>
    <m/>
    <m/>
    <x v="13"/>
    <n v="37"/>
    <x v="1"/>
  </r>
  <r>
    <d v="2025-09-11T00:00:00"/>
    <x v="300"/>
    <s v="F2F"/>
    <s v="Aggregator"/>
    <x v="4"/>
    <s v="Devendar"/>
    <s v="Closed"/>
    <n v="51200"/>
    <n v="51200"/>
    <d v="2025-09-01T00:00:00"/>
    <x v="0"/>
    <x v="4"/>
    <s v="Warm"/>
    <m/>
    <m/>
    <m/>
    <m/>
    <m/>
    <x v="13"/>
    <n v="37"/>
    <x v="1"/>
  </r>
  <r>
    <d v="2025-09-11T00:00:00"/>
    <x v="305"/>
    <s v="Call"/>
    <s v="Corporate"/>
    <x v="10"/>
    <s v="Rajkumar"/>
    <s v="Business Closed"/>
    <n v="43208"/>
    <n v="43208"/>
    <d v="2025-09-01T00:00:00"/>
    <x v="2"/>
    <x v="4"/>
    <s v="Warm"/>
    <m/>
    <m/>
    <m/>
    <m/>
    <m/>
    <x v="13"/>
    <n v="37"/>
    <x v="1"/>
  </r>
  <r>
    <d v="2025-09-11T00:00:00"/>
    <x v="264"/>
    <s v="Call"/>
    <s v="Corporate"/>
    <x v="51"/>
    <s v="Ellora"/>
    <s v="Corporate ODC"/>
    <n v="7200"/>
    <n v="7200"/>
    <d v="2025-09-01T00:00:00"/>
    <x v="0"/>
    <x v="4"/>
    <s v="Warm"/>
    <m/>
    <m/>
    <m/>
    <m/>
    <m/>
    <x v="13"/>
    <n v="37"/>
    <x v="1"/>
  </r>
  <r>
    <d v="2025-09-11T00:00:00"/>
    <x v="285"/>
    <s v="Call"/>
    <s v="Corporate"/>
    <x v="81"/>
    <s v="Sandhya"/>
    <s v="Business Closed"/>
    <n v="43110"/>
    <n v="43110"/>
    <d v="2025-09-01T00:00:00"/>
    <x v="1"/>
    <x v="4"/>
    <s v="Warm"/>
    <m/>
    <m/>
    <m/>
    <m/>
    <m/>
    <x v="13"/>
    <n v="37"/>
    <x v="1"/>
  </r>
  <r>
    <d v="2025-09-11T00:00:00"/>
    <x v="307"/>
    <s v="F2F"/>
    <s v="Corporate"/>
    <x v="10"/>
    <s v="Yashi"/>
    <s v="Closed"/>
    <n v="9044"/>
    <n v="9044"/>
    <d v="2025-09-01T00:00:00"/>
    <x v="0"/>
    <x v="4"/>
    <s v="Warm"/>
    <m/>
    <m/>
    <m/>
    <m/>
    <m/>
    <x v="13"/>
    <n v="37"/>
    <x v="1"/>
  </r>
  <r>
    <d v="2025-09-12T00:00:00"/>
    <x v="246"/>
    <s v="F2F"/>
    <s v="Corporate"/>
    <x v="58"/>
    <s v="Suman"/>
    <m/>
    <n v="81422"/>
    <n v="81422"/>
    <d v="2025-09-01T00:00:00"/>
    <x v="0"/>
    <x v="4"/>
    <s v="Warm"/>
    <m/>
    <m/>
    <m/>
    <m/>
    <m/>
    <x v="13"/>
    <n v="37"/>
    <x v="1"/>
  </r>
  <r>
    <d v="2025-09-12T00:00:00"/>
    <x v="300"/>
    <s v="F2F"/>
    <s v="Aggregator"/>
    <x v="4"/>
    <s v="Devendar"/>
    <s v="Closed"/>
    <n v="78800"/>
    <n v="78800"/>
    <d v="2025-09-01T00:00:00"/>
    <x v="0"/>
    <x v="4"/>
    <s v="Warm"/>
    <m/>
    <m/>
    <m/>
    <m/>
    <m/>
    <x v="13"/>
    <n v="37"/>
    <x v="1"/>
  </r>
  <r>
    <d v="2025-09-13T00:00:00"/>
    <x v="300"/>
    <s v="F2F"/>
    <s v="Aggregator"/>
    <x v="4"/>
    <s v="Devendar"/>
    <s v="Closed"/>
    <n v="58050"/>
    <n v="58050"/>
    <d v="2025-09-01T00:00:00"/>
    <x v="0"/>
    <x v="4"/>
    <s v="Warm"/>
    <m/>
    <m/>
    <m/>
    <m/>
    <m/>
    <x v="13"/>
    <n v="37"/>
    <x v="1"/>
  </r>
  <r>
    <d v="2025-09-15T00:00:00"/>
    <x v="308"/>
    <s v="Call"/>
    <s v="Corporate"/>
    <x v="51"/>
    <s v="Ellora"/>
    <s v="Corporate ODC"/>
    <n v="1500"/>
    <n v="1500"/>
    <d v="2025-09-01T00:00:00"/>
    <x v="0"/>
    <x v="4"/>
    <s v="Warm"/>
    <m/>
    <m/>
    <m/>
    <m/>
    <m/>
    <x v="13"/>
    <n v="38"/>
    <x v="1"/>
  </r>
  <r>
    <d v="2025-09-16T00:00:00"/>
    <x v="295"/>
    <s v="F2F"/>
    <s v="Corporate"/>
    <x v="10"/>
    <s v="Yashi"/>
    <s v="Closed"/>
    <n v="14347"/>
    <n v="14347"/>
    <d v="2025-09-01T00:00:00"/>
    <x v="0"/>
    <x v="4"/>
    <s v="Warm"/>
    <m/>
    <m/>
    <m/>
    <m/>
    <m/>
    <x v="13"/>
    <n v="38"/>
    <x v="1"/>
  </r>
  <r>
    <d v="2025-09-17T00:00:00"/>
    <x v="309"/>
    <s v="F2F"/>
    <s v="Corporate"/>
    <x v="16"/>
    <s v="Anand"/>
    <s v="Closed"/>
    <n v="22924"/>
    <n v="22924"/>
    <d v="2025-09-01T00:00:00"/>
    <x v="0"/>
    <x v="4"/>
    <s v="Warm"/>
    <m/>
    <m/>
    <m/>
    <m/>
    <m/>
    <x v="13"/>
    <n v="38"/>
    <x v="1"/>
  </r>
  <r>
    <d v="2025-09-17T00:00:00"/>
    <x v="294"/>
    <s v="F2F"/>
    <s v="Corporate"/>
    <x v="10"/>
    <s v="Yashi"/>
    <s v="Closed"/>
    <n v="16245"/>
    <n v="16245"/>
    <d v="2025-09-01T00:00:00"/>
    <x v="0"/>
    <x v="4"/>
    <s v="Warm"/>
    <m/>
    <m/>
    <m/>
    <m/>
    <m/>
    <x v="13"/>
    <n v="38"/>
    <x v="1"/>
  </r>
  <r>
    <d v="2025-09-17T00:00:00"/>
    <x v="301"/>
    <s v="F2F"/>
    <s v="Aggregator"/>
    <x v="84"/>
    <s v="Devendar"/>
    <s v="Closed"/>
    <n v="126845"/>
    <n v="126845"/>
    <d v="2025-09-01T00:00:00"/>
    <x v="0"/>
    <x v="4"/>
    <s v="Warm"/>
    <m/>
    <m/>
    <m/>
    <m/>
    <m/>
    <x v="13"/>
    <n v="38"/>
    <x v="1"/>
  </r>
  <r>
    <d v="2025-09-17T00:00:00"/>
    <x v="305"/>
    <s v="Call"/>
    <s v="Corporate"/>
    <x v="10"/>
    <s v="Rajkumar"/>
    <s v="Business Closed"/>
    <n v="56136"/>
    <n v="56136"/>
    <d v="2025-09-01T00:00:00"/>
    <x v="2"/>
    <x v="4"/>
    <s v="Warm"/>
    <m/>
    <m/>
    <m/>
    <m/>
    <m/>
    <x v="13"/>
    <n v="38"/>
    <x v="1"/>
  </r>
  <r>
    <d v="2025-09-18T00:00:00"/>
    <x v="301"/>
    <s v="F2F"/>
    <s v="Aggregator"/>
    <x v="84"/>
    <s v="Devendar"/>
    <s v="Closed"/>
    <n v="204840"/>
    <n v="204840"/>
    <d v="2025-09-01T00:00:00"/>
    <x v="0"/>
    <x v="4"/>
    <s v="Warm"/>
    <m/>
    <m/>
    <m/>
    <m/>
    <m/>
    <x v="13"/>
    <n v="38"/>
    <x v="1"/>
  </r>
  <r>
    <d v="2025-09-18T00:00:00"/>
    <x v="52"/>
    <s v="F2F"/>
    <s v="Aggregator"/>
    <x v="84"/>
    <s v="Naveen"/>
    <s v="Closed"/>
    <n v="43500"/>
    <n v="43500"/>
    <d v="2025-09-01T00:00:00"/>
    <x v="0"/>
    <x v="4"/>
    <s v="Warm"/>
    <m/>
    <m/>
    <m/>
    <m/>
    <m/>
    <x v="13"/>
    <n v="38"/>
    <x v="1"/>
  </r>
  <r>
    <d v="2025-09-18T00:00:00"/>
    <x v="310"/>
    <s v="F2F"/>
    <s v="Aggregator"/>
    <x v="84"/>
    <s v="Anand"/>
    <s v="Closed"/>
    <n v="15718"/>
    <n v="15718"/>
    <d v="2025-09-01T00:00:00"/>
    <x v="0"/>
    <x v="4"/>
    <s v="Warm"/>
    <m/>
    <m/>
    <m/>
    <m/>
    <m/>
    <x v="13"/>
    <n v="38"/>
    <x v="1"/>
  </r>
  <r>
    <d v="2025-09-18T00:00:00"/>
    <x v="311"/>
    <s v="F2F"/>
    <s v="Aggregator"/>
    <x v="84"/>
    <s v="Anand"/>
    <s v="Closed"/>
    <n v="12444"/>
    <n v="12444"/>
    <d v="2025-09-01T00:00:00"/>
    <x v="0"/>
    <x v="4"/>
    <s v="Warm"/>
    <m/>
    <m/>
    <m/>
    <m/>
    <m/>
    <x v="13"/>
    <n v="38"/>
    <x v="1"/>
  </r>
  <r>
    <d v="2025-09-18T00:00:00"/>
    <x v="305"/>
    <s v="Call"/>
    <s v="Corporate"/>
    <x v="10"/>
    <s v="Rajkumar"/>
    <s v="Business Closed"/>
    <n v="35448"/>
    <n v="35448"/>
    <d v="2025-09-01T00:00:00"/>
    <x v="2"/>
    <x v="4"/>
    <s v="Warm"/>
    <m/>
    <m/>
    <m/>
    <m/>
    <m/>
    <x v="13"/>
    <n v="38"/>
    <x v="1"/>
  </r>
  <r>
    <d v="2025-09-19T00:00:00"/>
    <x v="301"/>
    <s v="F2F"/>
    <s v="Aggregator"/>
    <x v="84"/>
    <s v="Devendar"/>
    <s v="Closed"/>
    <n v="213749"/>
    <n v="213749"/>
    <d v="2025-09-01T00:00:00"/>
    <x v="0"/>
    <x v="4"/>
    <s v="Warm"/>
    <m/>
    <m/>
    <m/>
    <m/>
    <m/>
    <x v="13"/>
    <n v="38"/>
    <x v="1"/>
  </r>
  <r>
    <d v="2025-09-22T00:00:00"/>
    <x v="285"/>
    <s v="Call"/>
    <s v="Corporate"/>
    <x v="81"/>
    <s v="Sandhya"/>
    <s v="Business Closed"/>
    <n v="11270"/>
    <n v="11270"/>
    <d v="2025-09-01T00:00:00"/>
    <x v="1"/>
    <x v="4"/>
    <s v="Warm"/>
    <m/>
    <m/>
    <m/>
    <m/>
    <m/>
    <x v="13"/>
    <n v="39"/>
    <x v="1"/>
  </r>
  <r>
    <d v="2025-09-23T00:00:00"/>
    <x v="312"/>
    <s v="F2F"/>
    <s v="Corporate"/>
    <x v="85"/>
    <s v="Ajay"/>
    <s v="Business Closed"/>
    <n v="81342"/>
    <n v="81342"/>
    <d v="2025-09-01T00:00:00"/>
    <x v="0"/>
    <x v="4"/>
    <s v="Warm"/>
    <m/>
    <m/>
    <m/>
    <m/>
    <m/>
    <x v="13"/>
    <n v="39"/>
    <x v="1"/>
  </r>
  <r>
    <d v="2025-09-23T00:00:00"/>
    <x v="285"/>
    <s v="Call"/>
    <s v="Corporate"/>
    <x v="81"/>
    <s v="Sandhya"/>
    <s v="Business Closed"/>
    <n v="13065"/>
    <n v="13065"/>
    <d v="2025-09-01T00:00:00"/>
    <x v="1"/>
    <x v="4"/>
    <s v="Warm"/>
    <m/>
    <m/>
    <m/>
    <m/>
    <m/>
    <x v="13"/>
    <n v="39"/>
    <x v="1"/>
  </r>
  <r>
    <d v="2025-09-23T00:00:00"/>
    <x v="249"/>
    <s v="F2F"/>
    <s v="Corporate"/>
    <x v="77"/>
    <s v="Vinod"/>
    <s v="Business Closed"/>
    <n v="6368"/>
    <n v="6368"/>
    <d v="2025-09-01T00:00:00"/>
    <x v="0"/>
    <x v="4"/>
    <s v="Warm"/>
    <m/>
    <m/>
    <m/>
    <m/>
    <m/>
    <x v="13"/>
    <n v="39"/>
    <x v="1"/>
  </r>
  <r>
    <d v="2025-09-24T00:00:00"/>
    <x v="262"/>
    <s v="F2F"/>
    <s v="Corporate"/>
    <x v="77"/>
    <s v="Mayur"/>
    <s v="Business Closed"/>
    <n v="10047"/>
    <n v="10047"/>
    <d v="2025-09-01T00:00:00"/>
    <x v="0"/>
    <x v="4"/>
    <s v="Warm"/>
    <m/>
    <m/>
    <m/>
    <m/>
    <m/>
    <x v="13"/>
    <n v="39"/>
    <x v="1"/>
  </r>
  <r>
    <d v="2025-09-24T00:00:00"/>
    <x v="285"/>
    <s v="Call"/>
    <s v="Corporate"/>
    <x v="81"/>
    <s v="Sandhya"/>
    <s v="Business Closed"/>
    <n v="16330"/>
    <n v="16330"/>
    <d v="2025-09-01T00:00:00"/>
    <x v="1"/>
    <x v="4"/>
    <s v="Warm"/>
    <m/>
    <m/>
    <m/>
    <m/>
    <m/>
    <x v="13"/>
    <n v="39"/>
    <x v="1"/>
  </r>
  <r>
    <d v="2025-09-25T00:00:00"/>
    <x v="285"/>
    <s v="Call"/>
    <s v="Corporate"/>
    <x v="81"/>
    <s v="Sandhya"/>
    <s v="Business Closed"/>
    <n v="14319"/>
    <n v="14319"/>
    <d v="2025-09-01T00:00:00"/>
    <x v="1"/>
    <x v="4"/>
    <s v="Warm"/>
    <m/>
    <m/>
    <m/>
    <m/>
    <m/>
    <x v="13"/>
    <n v="39"/>
    <x v="1"/>
  </r>
  <r>
    <d v="2025-09-25T00:00:00"/>
    <x v="253"/>
    <s v="F2F"/>
    <s v="Corporate"/>
    <x v="77"/>
    <s v="Srinivas"/>
    <s v="Business Closed"/>
    <n v="11809"/>
    <n v="11809"/>
    <d v="2025-09-01T00:00:00"/>
    <x v="0"/>
    <x v="4"/>
    <s v="Warm"/>
    <m/>
    <m/>
    <m/>
    <m/>
    <m/>
    <x v="13"/>
    <n v="39"/>
    <x v="1"/>
  </r>
  <r>
    <d v="2025-09-29T00:00:00"/>
    <x v="111"/>
    <s v="F2F"/>
    <s v="Corporate"/>
    <x v="6"/>
    <s v="Nupur"/>
    <s v="Confirmed"/>
    <n v="47200"/>
    <n v="47200"/>
    <d v="2025-09-01T00:00:00"/>
    <x v="0"/>
    <x v="4"/>
    <s v="Warm"/>
    <m/>
    <m/>
    <m/>
    <m/>
    <m/>
    <x v="13"/>
    <n v="40"/>
    <x v="1"/>
  </r>
  <r>
    <d v="2025-09-29T00:00:00"/>
    <x v="285"/>
    <s v="Call"/>
    <s v="Corporate"/>
    <x v="81"/>
    <s v="Sandhya"/>
    <s v="Business Closed"/>
    <n v="10267"/>
    <n v="10267"/>
    <d v="2025-09-01T00:00:00"/>
    <x v="1"/>
    <x v="4"/>
    <s v="Warm"/>
    <m/>
    <m/>
    <m/>
    <m/>
    <m/>
    <x v="13"/>
    <n v="40"/>
    <x v="1"/>
  </r>
  <r>
    <d v="2025-09-30T00:00:00"/>
    <x v="285"/>
    <s v="Call"/>
    <s v="Corporate"/>
    <x v="81"/>
    <s v="Sandhya"/>
    <s v="Business Closed"/>
    <n v="9550"/>
    <n v="9550"/>
    <d v="2025-09-01T00:00:00"/>
    <x v="1"/>
    <x v="4"/>
    <s v="Warm"/>
    <m/>
    <m/>
    <m/>
    <m/>
    <m/>
    <x v="13"/>
    <n v="40"/>
    <x v="1"/>
  </r>
  <r>
    <d v="2025-10-01T00:00:00"/>
    <x v="295"/>
    <s v="F2F"/>
    <s v="Corporate"/>
    <x v="10"/>
    <s v="Yashi"/>
    <s v="Closed"/>
    <m/>
    <m/>
    <d v="2025-10-01T00:00:00"/>
    <x v="0"/>
    <x v="3"/>
    <s v="Warm"/>
    <m/>
    <m/>
    <m/>
    <m/>
    <m/>
    <x v="14"/>
    <n v="40"/>
    <x v="1"/>
  </r>
  <r>
    <d v="2025-10-01T00:00:00"/>
    <x v="293"/>
    <s v="F2F"/>
    <s v="Corporate"/>
    <x v="10"/>
    <s v="Yashi"/>
    <s v="Proposed for ODC and Bulk orders"/>
    <n v="13000"/>
    <m/>
    <d v="2025-10-01T00:00:00"/>
    <x v="0"/>
    <x v="3"/>
    <s v="Warm"/>
    <m/>
    <m/>
    <m/>
    <m/>
    <m/>
    <x v="14"/>
    <n v="40"/>
    <x v="1"/>
  </r>
  <r>
    <d v="2025-10-01T00:00:00"/>
    <x v="294"/>
    <s v="F2F"/>
    <s v="Corporate"/>
    <x v="10"/>
    <s v="Yashi"/>
    <s v="Proposed for ODC and Bulk orders"/>
    <n v="18000"/>
    <m/>
    <d v="2025-10-01T00:00:00"/>
    <x v="0"/>
    <x v="3"/>
    <s v="Warm"/>
    <m/>
    <m/>
    <m/>
    <m/>
    <m/>
    <x v="14"/>
    <n v="40"/>
    <x v="1"/>
  </r>
  <r>
    <d v="2025-10-01T00:00:00"/>
    <x v="26"/>
    <s v="F2F"/>
    <s v="Corporate"/>
    <x v="15"/>
    <m/>
    <m/>
    <n v="15000"/>
    <m/>
    <d v="2025-10-01T00:00:00"/>
    <x v="0"/>
    <x v="1"/>
    <s v="Cold"/>
    <m/>
    <m/>
    <m/>
    <m/>
    <m/>
    <x v="14"/>
    <n v="40"/>
    <x v="1"/>
  </r>
  <r>
    <d v="2025-10-01T00:00:00"/>
    <x v="278"/>
    <s v="F2F"/>
    <s v="Corporate"/>
    <x v="27"/>
    <m/>
    <m/>
    <n v="15000"/>
    <m/>
    <d v="2025-10-01T00:00:00"/>
    <x v="0"/>
    <x v="6"/>
    <s v="Warm"/>
    <m/>
    <m/>
    <m/>
    <m/>
    <m/>
    <x v="14"/>
    <n v="40"/>
    <x v="1"/>
  </r>
  <r>
    <d v="2025-10-01T00:00:00"/>
    <x v="84"/>
    <s v="F2F"/>
    <s v="Corporate"/>
    <x v="10"/>
    <m/>
    <m/>
    <n v="15000"/>
    <m/>
    <d v="2025-10-01T00:00:00"/>
    <x v="0"/>
    <x v="6"/>
    <s v="Warm"/>
    <m/>
    <m/>
    <m/>
    <m/>
    <m/>
    <x v="14"/>
    <n v="40"/>
    <x v="1"/>
  </r>
  <r>
    <d v="2025-10-01T00:00:00"/>
    <x v="117"/>
    <s v="F2F"/>
    <s v="Corporate"/>
    <x v="44"/>
    <m/>
    <m/>
    <n v="20000"/>
    <m/>
    <d v="2025-10-01T00:00:00"/>
    <x v="0"/>
    <x v="1"/>
    <s v="Cold"/>
    <m/>
    <m/>
    <m/>
    <m/>
    <m/>
    <x v="14"/>
    <n v="40"/>
    <x v="1"/>
  </r>
  <r>
    <d v="2025-10-01T00:00:00"/>
    <x v="104"/>
    <s v="F2F"/>
    <s v="Corporate"/>
    <x v="10"/>
    <m/>
    <m/>
    <n v="20000"/>
    <m/>
    <d v="2025-10-01T00:00:00"/>
    <x v="0"/>
    <x v="1"/>
    <s v="Cold"/>
    <m/>
    <m/>
    <m/>
    <m/>
    <m/>
    <x v="14"/>
    <n v="40"/>
    <x v="1"/>
  </r>
  <r>
    <d v="2025-10-01T00:00:00"/>
    <x v="27"/>
    <s v="F2F"/>
    <s v="Corporate"/>
    <x v="2"/>
    <m/>
    <m/>
    <n v="20000"/>
    <m/>
    <d v="2025-10-01T00:00:00"/>
    <x v="0"/>
    <x v="1"/>
    <s v="Cold"/>
    <m/>
    <m/>
    <m/>
    <m/>
    <m/>
    <x v="14"/>
    <n v="40"/>
    <x v="1"/>
  </r>
  <r>
    <d v="2025-10-01T00:00:00"/>
    <x v="69"/>
    <s v="F2F"/>
    <s v="Corporate"/>
    <x v="31"/>
    <m/>
    <m/>
    <n v="20000"/>
    <m/>
    <d v="2025-10-01T00:00:00"/>
    <x v="0"/>
    <x v="1"/>
    <s v="Cold"/>
    <m/>
    <m/>
    <m/>
    <m/>
    <m/>
    <x v="14"/>
    <n v="40"/>
    <x v="1"/>
  </r>
  <r>
    <d v="2025-10-01T00:00:00"/>
    <x v="148"/>
    <s v="F2F"/>
    <s v="Corporate"/>
    <x v="57"/>
    <m/>
    <m/>
    <n v="20000"/>
    <m/>
    <d v="2025-10-01T00:00:00"/>
    <x v="0"/>
    <x v="1"/>
    <s v="Cold"/>
    <m/>
    <m/>
    <m/>
    <m/>
    <m/>
    <x v="14"/>
    <n v="40"/>
    <x v="1"/>
  </r>
  <r>
    <d v="2025-10-01T00:00:00"/>
    <x v="79"/>
    <s v="F2F"/>
    <s v="Corporate"/>
    <x v="2"/>
    <m/>
    <m/>
    <n v="20000"/>
    <m/>
    <d v="2025-10-01T00:00:00"/>
    <x v="0"/>
    <x v="1"/>
    <s v="Cold"/>
    <m/>
    <m/>
    <m/>
    <m/>
    <m/>
    <x v="14"/>
    <n v="40"/>
    <x v="1"/>
  </r>
  <r>
    <d v="2025-10-01T00:00:00"/>
    <x v="280"/>
    <s v="F2F"/>
    <s v="Co-working space"/>
    <x v="45"/>
    <m/>
    <m/>
    <n v="20000"/>
    <m/>
    <d v="2025-10-01T00:00:00"/>
    <x v="0"/>
    <x v="6"/>
    <s v="Warm"/>
    <m/>
    <m/>
    <m/>
    <m/>
    <m/>
    <x v="14"/>
    <n v="40"/>
    <x v="1"/>
  </r>
  <r>
    <d v="2025-10-01T00:00:00"/>
    <x v="63"/>
    <s v="F2F"/>
    <s v="Corporate"/>
    <x v="10"/>
    <m/>
    <m/>
    <n v="25000"/>
    <m/>
    <d v="2025-10-01T00:00:00"/>
    <x v="0"/>
    <x v="6"/>
    <s v="Warm"/>
    <m/>
    <m/>
    <m/>
    <m/>
    <m/>
    <x v="14"/>
    <n v="40"/>
    <x v="1"/>
  </r>
  <r>
    <d v="2025-10-01T00:00:00"/>
    <x v="6"/>
    <s v="F2F"/>
    <s v="Aggregator"/>
    <x v="67"/>
    <m/>
    <m/>
    <n v="30000"/>
    <m/>
    <d v="2025-10-01T00:00:00"/>
    <x v="0"/>
    <x v="6"/>
    <s v="Hot"/>
    <m/>
    <m/>
    <m/>
    <m/>
    <m/>
    <x v="14"/>
    <n v="40"/>
    <x v="1"/>
  </r>
  <r>
    <d v="2025-10-01T00:00:00"/>
    <x v="98"/>
    <s v="F2F"/>
    <s v="Aggregator"/>
    <x v="86"/>
    <m/>
    <m/>
    <n v="30000"/>
    <m/>
    <d v="2025-10-01T00:00:00"/>
    <x v="0"/>
    <x v="6"/>
    <s v="Hot"/>
    <m/>
    <m/>
    <m/>
    <m/>
    <m/>
    <x v="14"/>
    <n v="40"/>
    <x v="1"/>
  </r>
  <r>
    <d v="2025-10-01T00:00:00"/>
    <x v="19"/>
    <s v="F2F"/>
    <s v="Aggregator"/>
    <x v="86"/>
    <m/>
    <m/>
    <n v="30000"/>
    <m/>
    <d v="2025-10-01T00:00:00"/>
    <x v="0"/>
    <x v="6"/>
    <s v="Hot"/>
    <m/>
    <m/>
    <m/>
    <m/>
    <m/>
    <x v="14"/>
    <n v="40"/>
    <x v="1"/>
  </r>
  <r>
    <d v="2025-10-01T00:00:00"/>
    <x v="271"/>
    <s v="F2F"/>
    <s v="Aggregator"/>
    <x v="67"/>
    <m/>
    <m/>
    <n v="30000"/>
    <m/>
    <d v="2025-10-01T00:00:00"/>
    <x v="0"/>
    <x v="6"/>
    <s v="Warm"/>
    <m/>
    <m/>
    <m/>
    <m/>
    <m/>
    <x v="14"/>
    <n v="40"/>
    <x v="1"/>
  </r>
  <r>
    <d v="2025-10-01T00:00:00"/>
    <x v="206"/>
    <s v="F2F"/>
    <s v="Corporate"/>
    <x v="16"/>
    <m/>
    <m/>
    <n v="30000"/>
    <m/>
    <d v="2025-10-01T00:00:00"/>
    <x v="0"/>
    <x v="1"/>
    <s v="Cold"/>
    <m/>
    <m/>
    <m/>
    <m/>
    <m/>
    <x v="14"/>
    <n v="40"/>
    <x v="1"/>
  </r>
  <r>
    <d v="2025-10-01T00:00:00"/>
    <x v="28"/>
    <s v="F2F"/>
    <s v="Corporate"/>
    <x v="65"/>
    <m/>
    <m/>
    <n v="30000"/>
    <m/>
    <d v="2025-10-01T00:00:00"/>
    <x v="0"/>
    <x v="1"/>
    <s v="Cold"/>
    <m/>
    <m/>
    <m/>
    <m/>
    <m/>
    <x v="14"/>
    <n v="40"/>
    <x v="1"/>
  </r>
  <r>
    <d v="2025-10-01T00:00:00"/>
    <x v="17"/>
    <s v="F2F"/>
    <s v="Corporate"/>
    <x v="2"/>
    <m/>
    <m/>
    <n v="30000"/>
    <m/>
    <d v="2025-10-01T00:00:00"/>
    <x v="0"/>
    <x v="1"/>
    <s v="Cold"/>
    <m/>
    <m/>
    <m/>
    <m/>
    <m/>
    <x v="14"/>
    <n v="40"/>
    <x v="1"/>
  </r>
  <r>
    <d v="2025-10-01T00:00:00"/>
    <x v="108"/>
    <s v="F2F"/>
    <s v="Corporate"/>
    <x v="10"/>
    <m/>
    <m/>
    <n v="30000"/>
    <m/>
    <d v="2025-10-01T00:00:00"/>
    <x v="0"/>
    <x v="1"/>
    <s v="Cold"/>
    <m/>
    <m/>
    <m/>
    <m/>
    <m/>
    <x v="14"/>
    <n v="40"/>
    <x v="1"/>
  </r>
  <r>
    <d v="2025-10-01T00:00:00"/>
    <x v="25"/>
    <s v="F2F"/>
    <s v="Corporate"/>
    <x v="14"/>
    <m/>
    <m/>
    <n v="30000"/>
    <m/>
    <d v="2025-10-01T00:00:00"/>
    <x v="0"/>
    <x v="6"/>
    <s v="Hot"/>
    <m/>
    <m/>
    <m/>
    <m/>
    <m/>
    <x v="14"/>
    <n v="40"/>
    <x v="1"/>
  </r>
  <r>
    <d v="2025-10-01T00:00:00"/>
    <x v="16"/>
    <s v="F2F"/>
    <s v="Corporate"/>
    <x v="16"/>
    <m/>
    <m/>
    <n v="30000"/>
    <m/>
    <d v="2025-10-01T00:00:00"/>
    <x v="0"/>
    <x v="6"/>
    <s v="Hot"/>
    <m/>
    <m/>
    <m/>
    <m/>
    <m/>
    <x v="14"/>
    <n v="40"/>
    <x v="1"/>
  </r>
  <r>
    <d v="2025-10-01T00:00:00"/>
    <x v="21"/>
    <s v="F2F"/>
    <s v="Corporate"/>
    <x v="12"/>
    <m/>
    <m/>
    <n v="35000"/>
    <m/>
    <d v="2025-10-01T00:00:00"/>
    <x v="0"/>
    <x v="1"/>
    <s v="Cold"/>
    <m/>
    <m/>
    <m/>
    <m/>
    <m/>
    <x v="14"/>
    <n v="40"/>
    <x v="1"/>
  </r>
  <r>
    <d v="2025-10-01T00:00:00"/>
    <x v="265"/>
    <s v="F2F"/>
    <s v="Corporate"/>
    <x v="6"/>
    <m/>
    <m/>
    <n v="40000"/>
    <m/>
    <d v="2025-10-01T00:00:00"/>
    <x v="0"/>
    <x v="1"/>
    <s v="Cold"/>
    <m/>
    <m/>
    <m/>
    <m/>
    <m/>
    <x v="14"/>
    <n v="40"/>
    <x v="1"/>
  </r>
  <r>
    <d v="2025-10-01T00:00:00"/>
    <x v="279"/>
    <s v="F2F"/>
    <s v="Event Management"/>
    <x v="21"/>
    <m/>
    <m/>
    <n v="40000"/>
    <m/>
    <d v="2025-10-01T00:00:00"/>
    <x v="0"/>
    <x v="1"/>
    <s v="Cold"/>
    <m/>
    <m/>
    <m/>
    <m/>
    <m/>
    <x v="14"/>
    <n v="40"/>
    <x v="1"/>
  </r>
  <r>
    <d v="2025-10-01T00:00:00"/>
    <x v="52"/>
    <s v="F2F"/>
    <s v="Aggregator"/>
    <x v="86"/>
    <m/>
    <m/>
    <n v="50000"/>
    <m/>
    <d v="2025-10-01T00:00:00"/>
    <x v="0"/>
    <x v="3"/>
    <s v="Hot"/>
    <m/>
    <m/>
    <m/>
    <m/>
    <m/>
    <x v="14"/>
    <n v="40"/>
    <x v="1"/>
  </r>
  <r>
    <d v="2025-10-01T00:00:00"/>
    <x v="58"/>
    <s v="F2F"/>
    <s v="Corporate"/>
    <x v="16"/>
    <m/>
    <m/>
    <n v="50000"/>
    <m/>
    <d v="2025-10-01T00:00:00"/>
    <x v="0"/>
    <x v="1"/>
    <s v="Cold"/>
    <m/>
    <m/>
    <m/>
    <m/>
    <m/>
    <x v="14"/>
    <n v="40"/>
    <x v="1"/>
  </r>
  <r>
    <d v="2025-10-01T00:00:00"/>
    <x v="23"/>
    <s v="F2F"/>
    <s v="Corporate"/>
    <x v="10"/>
    <m/>
    <m/>
    <n v="50000"/>
    <m/>
    <d v="2025-10-01T00:00:00"/>
    <x v="0"/>
    <x v="1"/>
    <s v="Cold"/>
    <m/>
    <m/>
    <m/>
    <m/>
    <m/>
    <x v="14"/>
    <n v="40"/>
    <x v="1"/>
  </r>
  <r>
    <d v="2025-10-01T00:00:00"/>
    <x v="29"/>
    <s v="F2F"/>
    <s v="Corporate"/>
    <x v="10"/>
    <m/>
    <m/>
    <n v="50000"/>
    <m/>
    <d v="2025-10-01T00:00:00"/>
    <x v="0"/>
    <x v="1"/>
    <s v="Cold"/>
    <m/>
    <m/>
    <m/>
    <m/>
    <m/>
    <x v="14"/>
    <n v="40"/>
    <x v="1"/>
  </r>
  <r>
    <d v="2025-10-01T00:00:00"/>
    <x v="126"/>
    <s v="F2F"/>
    <s v="Corporate"/>
    <x v="6"/>
    <m/>
    <m/>
    <n v="50000"/>
    <m/>
    <d v="2025-10-01T00:00:00"/>
    <x v="0"/>
    <x v="1"/>
    <s v="Cold"/>
    <m/>
    <m/>
    <m/>
    <m/>
    <m/>
    <x v="14"/>
    <n v="40"/>
    <x v="1"/>
  </r>
  <r>
    <d v="2025-10-01T00:00:00"/>
    <x v="72"/>
    <s v="F2F"/>
    <s v="Corporate"/>
    <x v="24"/>
    <m/>
    <m/>
    <n v="50000"/>
    <m/>
    <d v="2025-10-01T00:00:00"/>
    <x v="0"/>
    <x v="6"/>
    <s v="Warm"/>
    <m/>
    <m/>
    <m/>
    <m/>
    <m/>
    <x v="14"/>
    <n v="40"/>
    <x v="1"/>
  </r>
  <r>
    <d v="2025-10-01T00:00:00"/>
    <x v="15"/>
    <s v="F2F"/>
    <s v="Corporate"/>
    <x v="2"/>
    <m/>
    <m/>
    <n v="20000"/>
    <m/>
    <d v="2025-10-01T00:00:00"/>
    <x v="0"/>
    <x v="6"/>
    <s v="Hot"/>
    <m/>
    <m/>
    <m/>
    <m/>
    <m/>
    <x v="14"/>
    <n v="40"/>
    <x v="1"/>
  </r>
  <r>
    <d v="2025-10-01T00:00:00"/>
    <x v="1"/>
    <s v="F2F"/>
    <s v="Corporate"/>
    <x v="1"/>
    <m/>
    <m/>
    <n v="100000"/>
    <m/>
    <d v="2025-10-01T00:00:00"/>
    <x v="0"/>
    <x v="1"/>
    <s v="Cold"/>
    <m/>
    <m/>
    <m/>
    <m/>
    <m/>
    <x v="14"/>
    <n v="40"/>
    <x v="1"/>
  </r>
  <r>
    <d v="2025-10-01T00:00:00"/>
    <x v="232"/>
    <s v="F2F"/>
    <s v="Corporate"/>
    <x v="10"/>
    <m/>
    <m/>
    <n v="100000"/>
    <m/>
    <d v="2025-10-01T00:00:00"/>
    <x v="0"/>
    <x v="1"/>
    <s v="Cold"/>
    <m/>
    <m/>
    <m/>
    <m/>
    <m/>
    <x v="14"/>
    <n v="40"/>
    <x v="1"/>
  </r>
  <r>
    <d v="2025-10-01T00:00:00"/>
    <x v="268"/>
    <s v="F2F"/>
    <s v="Corporate"/>
    <x v="10"/>
    <m/>
    <m/>
    <n v="100000"/>
    <m/>
    <d v="2025-10-01T00:00:00"/>
    <x v="0"/>
    <x v="6"/>
    <s v="Warm"/>
    <m/>
    <m/>
    <m/>
    <m/>
    <m/>
    <x v="14"/>
    <n v="40"/>
    <x v="1"/>
  </r>
  <r>
    <d v="2025-10-01T00:00:00"/>
    <x v="105"/>
    <s v="F2F"/>
    <s v="Corporate"/>
    <x v="58"/>
    <m/>
    <m/>
    <n v="100000"/>
    <m/>
    <d v="2025-10-01T00:00:00"/>
    <x v="0"/>
    <x v="1"/>
    <s v="Cold"/>
    <m/>
    <m/>
    <m/>
    <m/>
    <m/>
    <x v="14"/>
    <n v="40"/>
    <x v="1"/>
  </r>
  <r>
    <d v="2025-10-01T00:00:00"/>
    <x v="183"/>
    <s v="F2F"/>
    <s v="Gifting"/>
    <x v="68"/>
    <m/>
    <m/>
    <n v="100000"/>
    <m/>
    <d v="2025-10-01T00:00:00"/>
    <x v="0"/>
    <x v="1"/>
    <s v="Warm"/>
    <m/>
    <m/>
    <m/>
    <m/>
    <m/>
    <x v="14"/>
    <n v="40"/>
    <x v="1"/>
  </r>
  <r>
    <d v="2025-10-01T00:00:00"/>
    <x v="56"/>
    <s v="F2F"/>
    <s v="Corporate"/>
    <x v="24"/>
    <m/>
    <m/>
    <n v="150000"/>
    <m/>
    <d v="2025-10-01T00:00:00"/>
    <x v="0"/>
    <x v="6"/>
    <s v="Cold"/>
    <m/>
    <m/>
    <m/>
    <m/>
    <m/>
    <x v="14"/>
    <n v="40"/>
    <x v="1"/>
  </r>
  <r>
    <d v="2025-10-01T00:00:00"/>
    <x v="313"/>
    <s v="F2F"/>
    <s v="Aggregator"/>
    <x v="67"/>
    <s v="Satyam"/>
    <m/>
    <n v="200000"/>
    <m/>
    <d v="2025-10-01T00:00:00"/>
    <x v="0"/>
    <x v="6"/>
    <s v="Hot"/>
    <m/>
    <m/>
    <m/>
    <m/>
    <m/>
    <x v="14"/>
    <n v="40"/>
    <x v="1"/>
  </r>
  <r>
    <d v="2025-10-01T00:00:00"/>
    <x v="314"/>
    <s v="F2F"/>
    <s v="Aggregator"/>
    <x v="67"/>
    <s v="Devendar"/>
    <m/>
    <n v="200000"/>
    <m/>
    <d v="2025-10-01T00:00:00"/>
    <x v="0"/>
    <x v="3"/>
    <s v="Hot"/>
    <m/>
    <m/>
    <m/>
    <m/>
    <m/>
    <x v="14"/>
    <n v="40"/>
    <x v="1"/>
  </r>
  <r>
    <d v="2025-10-01T00:00:00"/>
    <x v="4"/>
    <s v="F2F"/>
    <s v="Aggregator"/>
    <x v="86"/>
    <s v="Nupur"/>
    <m/>
    <n v="300000"/>
    <m/>
    <d v="2025-10-01T00:00:00"/>
    <x v="0"/>
    <x v="3"/>
    <s v="Hot"/>
    <m/>
    <m/>
    <m/>
    <m/>
    <m/>
    <x v="14"/>
    <n v="40"/>
    <x v="1"/>
  </r>
  <r>
    <d v="2025-10-01T00:00:00"/>
    <x v="51"/>
    <s v="F2F"/>
    <s v="Aggregator"/>
    <x v="86"/>
    <s v="Yashi"/>
    <m/>
    <n v="400000"/>
    <m/>
    <d v="2025-10-01T00:00:00"/>
    <x v="0"/>
    <x v="6"/>
    <s v="Hot"/>
    <m/>
    <m/>
    <m/>
    <m/>
    <m/>
    <x v="14"/>
    <n v="40"/>
    <x v="1"/>
  </r>
  <r>
    <d v="2025-10-01T00:00:00"/>
    <x v="278"/>
    <s v="F2F"/>
    <s v="Corporate"/>
    <x v="87"/>
    <s v="Santosh"/>
    <m/>
    <n v="15000"/>
    <m/>
    <d v="2025-11-01T00:00:00"/>
    <x v="0"/>
    <x v="1"/>
    <s v="Cold"/>
    <m/>
    <m/>
    <m/>
    <m/>
    <m/>
    <x v="14"/>
    <n v="40"/>
    <x v="1"/>
  </r>
  <r>
    <d v="2025-10-01T00:00:00"/>
    <x v="84"/>
    <s v="F2F"/>
    <s v="Corporate"/>
    <x v="87"/>
    <s v="Mukund"/>
    <m/>
    <n v="15000"/>
    <m/>
    <d v="2025-11-01T00:00:00"/>
    <x v="0"/>
    <x v="1"/>
    <s v="Cold"/>
    <m/>
    <m/>
    <m/>
    <m/>
    <m/>
    <x v="14"/>
    <n v="40"/>
    <x v="1"/>
  </r>
  <r>
    <d v="2025-10-01T00:00:00"/>
    <x v="104"/>
    <s v="F2F"/>
    <s v="Corporate"/>
    <x v="87"/>
    <s v="Renuka"/>
    <m/>
    <n v="20000"/>
    <m/>
    <d v="2025-11-01T00:00:00"/>
    <x v="0"/>
    <x v="1"/>
    <s v="Cold"/>
    <m/>
    <m/>
    <m/>
    <m/>
    <m/>
    <x v="14"/>
    <n v="40"/>
    <x v="1"/>
  </r>
  <r>
    <d v="2025-10-01T00:00:00"/>
    <x v="69"/>
    <s v="F2F"/>
    <s v="Corporate"/>
    <x v="87"/>
    <s v="Arun"/>
    <m/>
    <n v="20000"/>
    <m/>
    <d v="2025-11-01T00:00:00"/>
    <x v="0"/>
    <x v="1"/>
    <s v="Cold"/>
    <m/>
    <m/>
    <m/>
    <m/>
    <m/>
    <x v="14"/>
    <n v="40"/>
    <x v="1"/>
  </r>
  <r>
    <d v="2025-10-01T00:00:00"/>
    <x v="280"/>
    <s v="F2F"/>
    <s v="Corporate"/>
    <x v="45"/>
    <s v="Gaurav"/>
    <m/>
    <n v="20000"/>
    <m/>
    <d v="2025-11-01T00:00:00"/>
    <x v="0"/>
    <x v="1"/>
    <s v="Cold"/>
    <m/>
    <m/>
    <m/>
    <m/>
    <m/>
    <x v="14"/>
    <n v="40"/>
    <x v="1"/>
  </r>
  <r>
    <d v="2025-10-01T00:00:00"/>
    <x v="63"/>
    <s v="F2F"/>
    <s v="Corporate"/>
    <x v="87"/>
    <s v="Sandesh"/>
    <m/>
    <n v="25000"/>
    <m/>
    <d v="2025-11-01T00:00:00"/>
    <x v="0"/>
    <x v="1"/>
    <s v="Cold"/>
    <m/>
    <m/>
    <m/>
    <m/>
    <m/>
    <x v="14"/>
    <n v="40"/>
    <x v="1"/>
  </r>
  <r>
    <d v="2025-10-01T00:00:00"/>
    <x v="6"/>
    <s v="F2F"/>
    <s v="Corporate"/>
    <x v="81"/>
    <s v="Indraneel"/>
    <m/>
    <n v="30000"/>
    <m/>
    <d v="2025-11-01T00:00:00"/>
    <x v="0"/>
    <x v="1"/>
    <s v="Cold"/>
    <m/>
    <m/>
    <m/>
    <m/>
    <m/>
    <x v="14"/>
    <n v="40"/>
    <x v="1"/>
  </r>
  <r>
    <d v="2025-10-01T00:00:00"/>
    <x v="98"/>
    <s v="F2F"/>
    <s v="Corporate"/>
    <x v="81"/>
    <s v="Adithya"/>
    <m/>
    <n v="30000"/>
    <m/>
    <d v="2025-11-01T00:00:00"/>
    <x v="0"/>
    <x v="1"/>
    <s v="Cold"/>
    <m/>
    <m/>
    <m/>
    <m/>
    <m/>
    <x v="14"/>
    <n v="40"/>
    <x v="1"/>
  </r>
  <r>
    <d v="2025-10-01T00:00:00"/>
    <x v="19"/>
    <s v="F2F"/>
    <s v="Corporate"/>
    <x v="81"/>
    <s v="Sahana"/>
    <m/>
    <n v="50000"/>
    <m/>
    <d v="2025-11-01T00:00:00"/>
    <x v="0"/>
    <x v="1"/>
    <s v="Cold"/>
    <m/>
    <m/>
    <m/>
    <m/>
    <m/>
    <x v="14"/>
    <n v="40"/>
    <x v="1"/>
  </r>
  <r>
    <d v="2025-10-01T00:00:00"/>
    <x v="271"/>
    <s v="F2F"/>
    <s v="Corporate"/>
    <x v="81"/>
    <s v="Gaurishankar"/>
    <m/>
    <n v="30000"/>
    <m/>
    <d v="2025-11-01T00:00:00"/>
    <x v="0"/>
    <x v="1"/>
    <s v="Cold"/>
    <m/>
    <m/>
    <m/>
    <m/>
    <m/>
    <x v="14"/>
    <n v="40"/>
    <x v="1"/>
  </r>
  <r>
    <d v="2025-10-01T00:00:00"/>
    <x v="28"/>
    <s v="F2F"/>
    <s v="Corporate"/>
    <x v="87"/>
    <s v="Nandan"/>
    <m/>
    <n v="30000"/>
    <m/>
    <d v="2025-11-01T00:00:00"/>
    <x v="0"/>
    <x v="1"/>
    <s v="Cold"/>
    <m/>
    <m/>
    <m/>
    <m/>
    <m/>
    <x v="14"/>
    <n v="40"/>
    <x v="1"/>
  </r>
  <r>
    <d v="2025-10-01T00:00:00"/>
    <x v="17"/>
    <s v="F2F"/>
    <s v="Corporate"/>
    <x v="87"/>
    <s v="Raymond"/>
    <m/>
    <n v="30000"/>
    <m/>
    <d v="2025-11-01T00:00:00"/>
    <x v="0"/>
    <x v="1"/>
    <s v="Cold"/>
    <m/>
    <m/>
    <m/>
    <m/>
    <m/>
    <x v="14"/>
    <n v="40"/>
    <x v="1"/>
  </r>
  <r>
    <d v="2025-10-01T00:00:00"/>
    <x v="25"/>
    <s v="F2F"/>
    <s v="Corporate"/>
    <x v="87"/>
    <s v="Shrikishan"/>
    <m/>
    <n v="30000"/>
    <m/>
    <d v="2025-11-01T00:00:00"/>
    <x v="0"/>
    <x v="1"/>
    <s v="Cold"/>
    <m/>
    <m/>
    <m/>
    <m/>
    <m/>
    <x v="14"/>
    <n v="40"/>
    <x v="1"/>
  </r>
  <r>
    <d v="2025-10-01T00:00:00"/>
    <x v="16"/>
    <s v="F2F"/>
    <s v="Corporate"/>
    <x v="87"/>
    <s v="Santosh"/>
    <m/>
    <n v="30000"/>
    <m/>
    <d v="2025-11-01T00:00:00"/>
    <x v="0"/>
    <x v="1"/>
    <s v="Cold"/>
    <m/>
    <m/>
    <m/>
    <m/>
    <m/>
    <x v="14"/>
    <n v="40"/>
    <x v="1"/>
  </r>
  <r>
    <d v="2025-10-01T00:00:00"/>
    <x v="52"/>
    <s v="F2F"/>
    <s v="Corporate"/>
    <x v="81"/>
    <s v="Naveen"/>
    <m/>
    <n v="50000"/>
    <m/>
    <d v="2025-11-01T00:00:00"/>
    <x v="0"/>
    <x v="1"/>
    <s v="Cold"/>
    <m/>
    <m/>
    <m/>
    <m/>
    <m/>
    <x v="14"/>
    <n v="40"/>
    <x v="1"/>
  </r>
  <r>
    <d v="2025-10-01T00:00:00"/>
    <x v="72"/>
    <s v="F2F"/>
    <s v="Corporate"/>
    <x v="87"/>
    <s v="Shaju"/>
    <m/>
    <n v="50000"/>
    <m/>
    <d v="2025-11-01T00:00:00"/>
    <x v="0"/>
    <x v="1"/>
    <s v="Cold"/>
    <m/>
    <m/>
    <m/>
    <m/>
    <m/>
    <x v="14"/>
    <n v="40"/>
    <x v="1"/>
  </r>
  <r>
    <d v="2025-10-01T00:00:00"/>
    <x v="15"/>
    <s v="F2F"/>
    <s v="Corporate"/>
    <x v="87"/>
    <s v="Santosh"/>
    <m/>
    <n v="100000"/>
    <m/>
    <d v="2025-11-01T00:00:00"/>
    <x v="0"/>
    <x v="1"/>
    <s v="Cold"/>
    <m/>
    <m/>
    <m/>
    <m/>
    <m/>
    <x v="14"/>
    <n v="40"/>
    <x v="1"/>
  </r>
  <r>
    <d v="2025-10-01T00:00:00"/>
    <x v="1"/>
    <s v="F2F"/>
    <s v="Corporate"/>
    <x v="87"/>
    <s v="Jeethan"/>
    <m/>
    <n v="100000"/>
    <m/>
    <d v="2025-11-01T00:00:00"/>
    <x v="0"/>
    <x v="1"/>
    <s v="Cold"/>
    <m/>
    <m/>
    <m/>
    <m/>
    <m/>
    <x v="14"/>
    <n v="40"/>
    <x v="1"/>
  </r>
  <r>
    <d v="2025-10-01T00:00:00"/>
    <x v="268"/>
    <s v="F2F"/>
    <s v="Corporate"/>
    <x v="87"/>
    <s v="Arjun"/>
    <m/>
    <n v="100000"/>
    <m/>
    <d v="2025-11-01T00:00:00"/>
    <x v="0"/>
    <x v="1"/>
    <s v="Cold"/>
    <m/>
    <m/>
    <m/>
    <m/>
    <m/>
    <x v="14"/>
    <n v="40"/>
    <x v="1"/>
  </r>
  <r>
    <d v="2025-10-01T00:00:00"/>
    <x v="183"/>
    <s v="F2F"/>
    <s v="Corporate"/>
    <x v="68"/>
    <m/>
    <m/>
    <n v="100000"/>
    <m/>
    <d v="2025-11-01T00:00:00"/>
    <x v="0"/>
    <x v="1"/>
    <s v="Cold"/>
    <m/>
    <m/>
    <m/>
    <m/>
    <m/>
    <x v="14"/>
    <n v="40"/>
    <x v="1"/>
  </r>
  <r>
    <d v="2025-10-01T00:00:00"/>
    <x v="313"/>
    <s v="F2F"/>
    <s v="Corporate"/>
    <x v="81"/>
    <s v="Satyam"/>
    <m/>
    <n v="300000"/>
    <m/>
    <d v="2025-11-01T00:00:00"/>
    <x v="0"/>
    <x v="1"/>
    <s v="Cold"/>
    <m/>
    <m/>
    <m/>
    <m/>
    <m/>
    <x v="14"/>
    <n v="40"/>
    <x v="1"/>
  </r>
  <r>
    <d v="2025-10-01T00:00:00"/>
    <x v="314"/>
    <s v="F2F"/>
    <s v="Corporate"/>
    <x v="81"/>
    <s v="Devendar"/>
    <m/>
    <n v="300000"/>
    <m/>
    <d v="2025-11-01T00:00:00"/>
    <x v="0"/>
    <x v="1"/>
    <s v="Cold"/>
    <m/>
    <m/>
    <m/>
    <m/>
    <m/>
    <x v="14"/>
    <n v="40"/>
    <x v="1"/>
  </r>
  <r>
    <d v="2025-10-01T00:00:00"/>
    <x v="4"/>
    <s v="F2F"/>
    <s v="Corporate"/>
    <x v="81"/>
    <s v="Taranjot"/>
    <m/>
    <n v="300000"/>
    <m/>
    <d v="2025-11-01T00:00:00"/>
    <x v="0"/>
    <x v="1"/>
    <s v="Cold"/>
    <m/>
    <m/>
    <m/>
    <m/>
    <m/>
    <x v="14"/>
    <n v="40"/>
    <x v="1"/>
  </r>
  <r>
    <d v="2025-10-01T00:00:00"/>
    <x v="51"/>
    <s v="F2F"/>
    <s v="Corporate"/>
    <x v="81"/>
    <s v="Palna"/>
    <m/>
    <n v="400000"/>
    <m/>
    <d v="2025-11-01T00:00:00"/>
    <x v="0"/>
    <x v="1"/>
    <s v="Cold"/>
    <m/>
    <m/>
    <m/>
    <m/>
    <m/>
    <x v="14"/>
    <n v="40"/>
    <x v="1"/>
  </r>
  <r>
    <d v="2025-10-07T00:00:00"/>
    <x v="307"/>
    <s v="F2F"/>
    <s v="Corporate"/>
    <x v="10"/>
    <s v="Yashi"/>
    <s v="Closed"/>
    <n v="9044"/>
    <n v="9044"/>
    <d v="2025-10-01T00:00:00"/>
    <x v="0"/>
    <x v="4"/>
    <s v="Hot"/>
    <m/>
    <m/>
    <m/>
    <m/>
    <m/>
    <x v="14"/>
    <n v="41"/>
    <x v="1"/>
  </r>
  <r>
    <d v="2025-10-07T00:00:00"/>
    <x v="285"/>
    <s v="Call"/>
    <s v="Corporate"/>
    <x v="81"/>
    <s v="Sandhya"/>
    <s v="Business Closed"/>
    <n v="24947"/>
    <n v="24947"/>
    <d v="2025-10-01T00:00:00"/>
    <x v="1"/>
    <x v="4"/>
    <s v="Warm"/>
    <m/>
    <m/>
    <m/>
    <m/>
    <m/>
    <x v="14"/>
    <n v="41"/>
    <x v="1"/>
  </r>
  <r>
    <d v="2025-10-08T00:00:00"/>
    <x v="285"/>
    <s v="Call"/>
    <s v="Corporate"/>
    <x v="81"/>
    <s v="Sandhya"/>
    <s v="Business Closed"/>
    <n v="12634"/>
    <n v="12634"/>
    <d v="2025-10-01T00:00:00"/>
    <x v="1"/>
    <x v="4"/>
    <s v="Warm"/>
    <m/>
    <m/>
    <m/>
    <m/>
    <m/>
    <x v="14"/>
    <n v="41"/>
    <x v="1"/>
  </r>
  <r>
    <d v="2025-10-08T00:00:00"/>
    <x v="294"/>
    <s v="F2F"/>
    <s v="Corporate"/>
    <x v="10"/>
    <s v="Yashi"/>
    <s v="Business Closed"/>
    <n v="12135"/>
    <n v="12135"/>
    <d v="2025-10-01T00:00:00"/>
    <x v="0"/>
    <x v="4"/>
    <s v="Warm"/>
    <m/>
    <m/>
    <m/>
    <m/>
    <m/>
    <x v="14"/>
    <n v="41"/>
    <x v="1"/>
  </r>
  <r>
    <d v="2025-10-09T00:00:00"/>
    <x v="285"/>
    <s v="Call"/>
    <s v="Corporate"/>
    <x v="81"/>
    <s v="Sandhya"/>
    <s v="Business Closed"/>
    <n v="13242"/>
    <n v="13242"/>
    <d v="2025-10-01T00:00:00"/>
    <x v="1"/>
    <x v="4"/>
    <s v="Warm"/>
    <m/>
    <m/>
    <m/>
    <m/>
    <m/>
    <x v="14"/>
    <n v="41"/>
    <x v="1"/>
  </r>
  <r>
    <d v="2025-10-09T00:00:00"/>
    <x v="315"/>
    <s v="Call"/>
    <s v="Corporate"/>
    <x v="10"/>
    <s v="Murali"/>
    <s v="Proposed for Bulk Orders"/>
    <n v="60000"/>
    <m/>
    <d v="2025-10-01T00:00:00"/>
    <x v="5"/>
    <x v="0"/>
    <s v="Warm"/>
    <m/>
    <m/>
    <m/>
    <m/>
    <m/>
    <x v="14"/>
    <n v="41"/>
    <x v="1"/>
  </r>
  <r>
    <d v="2025-10-09T00:00:00"/>
    <x v="316"/>
    <s v="F2F"/>
    <s v="Corporate"/>
    <x v="33"/>
    <s v="Shajeena"/>
    <s v="Proposed for Bulk Orders"/>
    <n v="50000"/>
    <m/>
    <d v="2025-10-01T00:00:00"/>
    <x v="0"/>
    <x v="0"/>
    <s v="Warm"/>
    <m/>
    <m/>
    <m/>
    <m/>
    <m/>
    <x v="14"/>
    <n v="41"/>
    <x v="1"/>
  </r>
  <r>
    <d v="2025-10-10T00:00:00"/>
    <x v="285"/>
    <s v="Call"/>
    <s v="Corporate"/>
    <x v="81"/>
    <s v="Sandhya"/>
    <s v="Business Closed"/>
    <n v="13850"/>
    <n v="13850"/>
    <d v="2025-10-01T00:00:00"/>
    <x v="1"/>
    <x v="4"/>
    <s v="Warm"/>
    <m/>
    <m/>
    <m/>
    <m/>
    <m/>
    <x v="14"/>
    <n v="41"/>
    <x v="1"/>
  </r>
  <r>
    <d v="2025-10-13T00:00:00"/>
    <x v="285"/>
    <s v="Call"/>
    <s v="Corporate"/>
    <x v="81"/>
    <s v="Sandhya"/>
    <s v="Business Closed"/>
    <n v="11830"/>
    <n v="11830"/>
    <d v="2025-10-01T00:00:00"/>
    <x v="1"/>
    <x v="4"/>
    <s v="Warm"/>
    <m/>
    <m/>
    <m/>
    <m/>
    <m/>
    <x v="14"/>
    <n v="42"/>
    <x v="1"/>
  </r>
  <r>
    <d v="2025-10-13T00:00:00"/>
    <x v="305"/>
    <s v="Call"/>
    <s v="Corporate"/>
    <x v="81"/>
    <s v="Rajkumar"/>
    <s v="Proposed for Bulk Orders"/>
    <n v="100500"/>
    <m/>
    <d v="2025-10-01T00:00:00"/>
    <x v="2"/>
    <x v="6"/>
    <s v="Warm"/>
    <m/>
    <m/>
    <m/>
    <m/>
    <m/>
    <x v="14"/>
    <n v="42"/>
    <x v="1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  <r>
    <m/>
    <x v="317"/>
    <m/>
    <m/>
    <x v="88"/>
    <m/>
    <m/>
    <m/>
    <m/>
    <m/>
    <x v="6"/>
    <x v="5"/>
    <m/>
    <m/>
    <m/>
    <m/>
    <m/>
    <m/>
    <x v="15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AE036-3DD3-4591-968D-A815603D3B20}" name="PivotTable3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Status">
  <location ref="L3:O250" firstHeaderRow="0" firstDataRow="1" firstDataCol="2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4">
        <item m="1" x="106"/>
        <item m="1" x="103"/>
        <item x="5"/>
        <item sd="0" m="1" x="105"/>
        <item sd="0" m="1" x="95"/>
        <item sd="0" m="1" x="108"/>
        <item sd="0" m="1" x="107"/>
        <item sd="0" m="1" x="101"/>
        <item sd="0" m="1" x="91"/>
        <item sd="0" m="1" x="94"/>
        <item x="21"/>
        <item sd="0" x="67"/>
        <item sd="0" m="1" x="102"/>
        <item sd="0" m="1" x="96"/>
        <item m="1" x="110"/>
        <item x="55"/>
        <item sd="0" x="30"/>
        <item sd="0" m="1" x="98"/>
        <item sd="0" m="1" x="104"/>
        <item sd="0" x="16"/>
        <item m="1" x="93"/>
        <item sd="0" x="82"/>
        <item sd="0" m="1" x="99"/>
        <item sd="0" x="22"/>
        <item sd="0" m="1" x="90"/>
        <item m="1" x="100"/>
        <item m="1" x="109"/>
        <item x="12"/>
        <item m="1" x="97"/>
        <item sd="0" m="1" x="89"/>
        <item sd="0" m="1" x="92"/>
        <item x="88"/>
        <item m="1" x="111"/>
        <item x="56"/>
        <item m="1" x="112"/>
        <item x="0"/>
        <item x="1"/>
        <item x="36"/>
        <item x="2"/>
        <item x="4"/>
        <item x="3"/>
        <item x="6"/>
        <item x="9"/>
        <item x="8"/>
        <item x="7"/>
        <item x="10"/>
        <item x="11"/>
        <item x="13"/>
        <item x="14"/>
        <item x="15"/>
        <item x="19"/>
        <item x="18"/>
        <item x="17"/>
        <item x="79"/>
        <item x="45"/>
        <item x="20"/>
        <item x="25"/>
        <item x="23"/>
        <item x="24"/>
        <item x="26"/>
        <item x="27"/>
        <item x="28"/>
        <item x="29"/>
        <item x="70"/>
        <item x="32"/>
        <item x="31"/>
        <item x="33"/>
        <item x="34"/>
        <item x="35"/>
        <item x="37"/>
        <item x="38"/>
        <item x="39"/>
        <item x="40"/>
        <item x="41"/>
        <item x="42"/>
        <item x="43"/>
        <item x="47"/>
        <item x="44"/>
        <item x="46"/>
        <item x="48"/>
        <item x="50"/>
        <item x="49"/>
        <item x="51"/>
        <item x="52"/>
        <item x="53"/>
        <item x="54"/>
        <item x="57"/>
        <item x="58"/>
        <item x="59"/>
        <item x="60"/>
        <item x="61"/>
        <item x="62"/>
        <item x="63"/>
        <item x="64"/>
        <item x="66"/>
        <item x="65"/>
        <item x="68"/>
        <item x="69"/>
        <item x="71"/>
        <item x="72"/>
        <item x="73"/>
        <item x="74"/>
        <item x="75"/>
        <item x="76"/>
        <item x="77"/>
        <item x="78"/>
        <item x="81"/>
        <item x="80"/>
        <item x="83"/>
        <item x="84"/>
        <item x="85"/>
        <item x="86"/>
        <item x="8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1">
        <item m="1" x="19"/>
        <item x="2"/>
        <item m="1" x="12"/>
        <item m="1" x="13"/>
        <item m="1" x="18"/>
        <item m="1" x="10"/>
        <item m="1" x="14"/>
        <item x="5"/>
        <item m="1" x="17"/>
        <item m="1" x="16"/>
        <item m="1" x="15"/>
        <item m="1" x="11"/>
        <item x="0"/>
        <item x="1"/>
        <item m="1" x="7"/>
        <item m="1" x="8"/>
        <item m="1" x="9"/>
        <item x="4"/>
        <item x="3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1"/>
  </rowFields>
  <rowItems count="247">
    <i>
      <x v="2"/>
      <x v="12"/>
    </i>
    <i r="1">
      <x v="13"/>
    </i>
    <i r="1">
      <x v="17"/>
    </i>
    <i t="default">
      <x v="2"/>
    </i>
    <i>
      <x v="10"/>
      <x v="12"/>
    </i>
    <i r="1">
      <x v="13"/>
    </i>
    <i t="default">
      <x v="10"/>
    </i>
    <i>
      <x v="11"/>
    </i>
    <i>
      <x v="15"/>
      <x v="12"/>
    </i>
    <i t="default">
      <x v="15"/>
    </i>
    <i>
      <x v="16"/>
    </i>
    <i>
      <x v="19"/>
    </i>
    <i>
      <x v="21"/>
    </i>
    <i>
      <x v="23"/>
    </i>
    <i>
      <x v="27"/>
      <x v="12"/>
    </i>
    <i r="1">
      <x v="13"/>
    </i>
    <i r="1">
      <x v="17"/>
    </i>
    <i t="default">
      <x v="27"/>
    </i>
    <i>
      <x v="31"/>
      <x v="7"/>
    </i>
    <i t="default">
      <x v="31"/>
    </i>
    <i>
      <x v="33"/>
      <x v="12"/>
    </i>
    <i r="1">
      <x v="13"/>
    </i>
    <i t="default">
      <x v="33"/>
    </i>
    <i>
      <x v="35"/>
      <x v="12"/>
    </i>
    <i t="default">
      <x v="35"/>
    </i>
    <i>
      <x v="36"/>
      <x v="12"/>
    </i>
    <i r="1">
      <x v="13"/>
    </i>
    <i r="1">
      <x v="17"/>
    </i>
    <i t="default">
      <x v="36"/>
    </i>
    <i>
      <x v="37"/>
      <x v="17"/>
    </i>
    <i r="1">
      <x v="18"/>
    </i>
    <i t="default">
      <x v="37"/>
    </i>
    <i>
      <x v="38"/>
      <x v="1"/>
    </i>
    <i r="1">
      <x v="12"/>
    </i>
    <i r="1">
      <x v="13"/>
    </i>
    <i r="1">
      <x v="19"/>
    </i>
    <i t="default">
      <x v="38"/>
    </i>
    <i>
      <x v="39"/>
      <x v="12"/>
    </i>
    <i r="1">
      <x v="13"/>
    </i>
    <i r="1">
      <x v="17"/>
    </i>
    <i r="1">
      <x v="18"/>
    </i>
    <i t="default">
      <x v="39"/>
    </i>
    <i>
      <x v="40"/>
      <x v="12"/>
    </i>
    <i t="default">
      <x v="40"/>
    </i>
    <i>
      <x v="41"/>
      <x v="1"/>
    </i>
    <i r="1">
      <x v="12"/>
    </i>
    <i r="1">
      <x v="13"/>
    </i>
    <i r="1">
      <x v="17"/>
    </i>
    <i r="1">
      <x v="18"/>
    </i>
    <i t="default">
      <x v="41"/>
    </i>
    <i>
      <x v="42"/>
      <x v="12"/>
    </i>
    <i r="1">
      <x v="13"/>
    </i>
    <i t="default">
      <x v="42"/>
    </i>
    <i>
      <x v="43"/>
      <x v="12"/>
    </i>
    <i r="1">
      <x v="13"/>
    </i>
    <i t="default">
      <x v="43"/>
    </i>
    <i>
      <x v="44"/>
      <x v="12"/>
    </i>
    <i r="1">
      <x v="13"/>
    </i>
    <i t="default">
      <x v="44"/>
    </i>
    <i>
      <x v="45"/>
      <x v="1"/>
    </i>
    <i r="1">
      <x v="12"/>
    </i>
    <i r="1">
      <x v="13"/>
    </i>
    <i r="1">
      <x v="17"/>
    </i>
    <i r="1">
      <x v="18"/>
    </i>
    <i r="1">
      <x v="19"/>
    </i>
    <i t="default">
      <x v="45"/>
    </i>
    <i>
      <x v="46"/>
      <x v="12"/>
    </i>
    <i r="1">
      <x v="13"/>
    </i>
    <i t="default">
      <x v="46"/>
    </i>
    <i>
      <x v="47"/>
      <x v="12"/>
    </i>
    <i r="1">
      <x v="13"/>
    </i>
    <i t="default">
      <x v="47"/>
    </i>
    <i>
      <x v="48"/>
      <x v="1"/>
    </i>
    <i r="1">
      <x v="12"/>
    </i>
    <i r="1">
      <x v="13"/>
    </i>
    <i r="1">
      <x v="19"/>
    </i>
    <i t="default">
      <x v="48"/>
    </i>
    <i>
      <x v="49"/>
      <x v="1"/>
    </i>
    <i r="1">
      <x v="12"/>
    </i>
    <i r="1">
      <x v="13"/>
    </i>
    <i t="default">
      <x v="49"/>
    </i>
    <i>
      <x v="50"/>
      <x v="12"/>
    </i>
    <i r="1">
      <x v="13"/>
    </i>
    <i t="default">
      <x v="50"/>
    </i>
    <i>
      <x v="51"/>
      <x v="12"/>
    </i>
    <i t="default">
      <x v="51"/>
    </i>
    <i>
      <x v="52"/>
      <x v="12"/>
    </i>
    <i r="1">
      <x v="13"/>
    </i>
    <i t="default">
      <x v="52"/>
    </i>
    <i>
      <x v="53"/>
      <x v="13"/>
    </i>
    <i t="default">
      <x v="53"/>
    </i>
    <i>
      <x v="54"/>
      <x v="12"/>
    </i>
    <i r="1">
      <x v="13"/>
    </i>
    <i r="1">
      <x v="19"/>
    </i>
    <i t="default">
      <x v="54"/>
    </i>
    <i>
      <x v="55"/>
      <x v="12"/>
    </i>
    <i r="1">
      <x v="13"/>
    </i>
    <i r="1">
      <x v="17"/>
    </i>
    <i r="1">
      <x v="18"/>
    </i>
    <i t="default">
      <x v="55"/>
    </i>
    <i>
      <x v="56"/>
      <x v="12"/>
    </i>
    <i t="default">
      <x v="56"/>
    </i>
    <i>
      <x v="57"/>
      <x v="13"/>
    </i>
    <i t="default">
      <x v="57"/>
    </i>
    <i>
      <x v="58"/>
      <x v="12"/>
    </i>
    <i r="1">
      <x v="13"/>
    </i>
    <i r="1">
      <x v="19"/>
    </i>
    <i t="default">
      <x v="58"/>
    </i>
    <i>
      <x v="59"/>
      <x v="12"/>
    </i>
    <i t="default">
      <x v="59"/>
    </i>
    <i>
      <x v="60"/>
      <x v="12"/>
    </i>
    <i r="1">
      <x v="13"/>
    </i>
    <i r="1">
      <x v="19"/>
    </i>
    <i t="default">
      <x v="60"/>
    </i>
    <i>
      <x v="61"/>
      <x v="12"/>
    </i>
    <i t="default">
      <x v="61"/>
    </i>
    <i>
      <x v="62"/>
      <x v="13"/>
    </i>
    <i t="default">
      <x v="62"/>
    </i>
    <i>
      <x v="63"/>
      <x v="13"/>
    </i>
    <i t="default">
      <x v="63"/>
    </i>
    <i>
      <x v="64"/>
      <x v="12"/>
    </i>
    <i r="1">
      <x v="13"/>
    </i>
    <i t="default">
      <x v="64"/>
    </i>
    <i>
      <x v="65"/>
      <x v="12"/>
    </i>
    <i r="1">
      <x v="13"/>
    </i>
    <i t="default">
      <x v="65"/>
    </i>
    <i>
      <x v="66"/>
      <x v="12"/>
    </i>
    <i r="1">
      <x v="13"/>
    </i>
    <i r="1">
      <x v="17"/>
    </i>
    <i t="default">
      <x v="66"/>
    </i>
    <i>
      <x v="67"/>
      <x v="12"/>
    </i>
    <i r="1">
      <x v="13"/>
    </i>
    <i t="default">
      <x v="67"/>
    </i>
    <i>
      <x v="68"/>
      <x v="12"/>
    </i>
    <i t="default">
      <x v="68"/>
    </i>
    <i>
      <x v="69"/>
      <x v="12"/>
    </i>
    <i t="default">
      <x v="69"/>
    </i>
    <i>
      <x v="70"/>
      <x v="12"/>
    </i>
    <i t="default">
      <x v="70"/>
    </i>
    <i>
      <x v="71"/>
      <x v="13"/>
    </i>
    <i t="default">
      <x v="71"/>
    </i>
    <i>
      <x v="72"/>
      <x v="13"/>
    </i>
    <i t="default">
      <x v="72"/>
    </i>
    <i>
      <x v="73"/>
      <x v="12"/>
    </i>
    <i t="default">
      <x v="73"/>
    </i>
    <i>
      <x v="74"/>
      <x v="12"/>
    </i>
    <i r="1">
      <x v="13"/>
    </i>
    <i t="default">
      <x v="74"/>
    </i>
    <i>
      <x v="75"/>
      <x v="13"/>
    </i>
    <i t="default">
      <x v="75"/>
    </i>
    <i>
      <x v="76"/>
      <x v="12"/>
    </i>
    <i t="default">
      <x v="76"/>
    </i>
    <i>
      <x v="77"/>
      <x v="12"/>
    </i>
    <i r="1">
      <x v="13"/>
    </i>
    <i t="default">
      <x v="77"/>
    </i>
    <i>
      <x v="78"/>
      <x v="12"/>
    </i>
    <i r="1">
      <x v="17"/>
    </i>
    <i t="default">
      <x v="78"/>
    </i>
    <i>
      <x v="79"/>
      <x v="12"/>
    </i>
    <i r="1">
      <x v="13"/>
    </i>
    <i r="1">
      <x v="17"/>
    </i>
    <i t="default">
      <x v="79"/>
    </i>
    <i>
      <x v="80"/>
      <x v="12"/>
    </i>
    <i t="default">
      <x v="80"/>
    </i>
    <i>
      <x v="81"/>
      <x v="12"/>
    </i>
    <i t="default">
      <x v="81"/>
    </i>
    <i>
      <x v="82"/>
      <x v="12"/>
    </i>
    <i r="1">
      <x v="13"/>
    </i>
    <i r="1">
      <x v="17"/>
    </i>
    <i t="default">
      <x v="82"/>
    </i>
    <i>
      <x v="83"/>
      <x v="12"/>
    </i>
    <i t="default">
      <x v="83"/>
    </i>
    <i>
      <x v="84"/>
      <x v="12"/>
    </i>
    <i r="1">
      <x v="13"/>
    </i>
    <i r="1">
      <x v="17"/>
    </i>
    <i t="default">
      <x v="84"/>
    </i>
    <i>
      <x v="85"/>
      <x v="12"/>
    </i>
    <i r="1">
      <x v="13"/>
    </i>
    <i t="default">
      <x v="85"/>
    </i>
    <i>
      <x v="86"/>
      <x v="12"/>
    </i>
    <i r="1">
      <x v="13"/>
    </i>
    <i t="default">
      <x v="86"/>
    </i>
    <i>
      <x v="87"/>
      <x v="12"/>
    </i>
    <i r="1">
      <x v="13"/>
    </i>
    <i r="1">
      <x v="17"/>
    </i>
    <i t="default">
      <x v="87"/>
    </i>
    <i>
      <x v="88"/>
      <x v="12"/>
    </i>
    <i t="default">
      <x v="88"/>
    </i>
    <i>
      <x v="89"/>
      <x v="12"/>
    </i>
    <i t="default">
      <x v="89"/>
    </i>
    <i>
      <x v="90"/>
      <x v="12"/>
    </i>
    <i t="default">
      <x v="90"/>
    </i>
    <i>
      <x v="91"/>
      <x v="12"/>
    </i>
    <i r="1">
      <x v="13"/>
    </i>
    <i t="default">
      <x v="91"/>
    </i>
    <i>
      <x v="92"/>
      <x v="12"/>
    </i>
    <i t="default">
      <x v="92"/>
    </i>
    <i>
      <x v="93"/>
      <x v="12"/>
    </i>
    <i r="1">
      <x v="13"/>
    </i>
    <i t="default">
      <x v="93"/>
    </i>
    <i>
      <x v="94"/>
      <x v="17"/>
    </i>
    <i t="default">
      <x v="94"/>
    </i>
    <i>
      <x v="95"/>
      <x v="13"/>
    </i>
    <i t="default">
      <x v="95"/>
    </i>
    <i>
      <x v="96"/>
      <x v="13"/>
    </i>
    <i t="default">
      <x v="96"/>
    </i>
    <i>
      <x v="97"/>
      <x v="1"/>
    </i>
    <i t="default">
      <x v="97"/>
    </i>
    <i>
      <x v="98"/>
      <x v="17"/>
    </i>
    <i t="default">
      <x v="98"/>
    </i>
    <i>
      <x v="99"/>
      <x v="13"/>
    </i>
    <i t="default">
      <x v="99"/>
    </i>
    <i>
      <x v="100"/>
      <x v="13"/>
    </i>
    <i t="default">
      <x v="100"/>
    </i>
    <i>
      <x v="101"/>
      <x v="17"/>
    </i>
    <i r="1">
      <x v="18"/>
    </i>
    <i t="default">
      <x v="101"/>
    </i>
    <i>
      <x v="102"/>
      <x v="13"/>
    </i>
    <i t="default">
      <x v="102"/>
    </i>
    <i>
      <x v="103"/>
      <x v="13"/>
    </i>
    <i t="default">
      <x v="103"/>
    </i>
    <i>
      <x v="104"/>
      <x v="13"/>
    </i>
    <i r="1">
      <x v="17"/>
    </i>
    <i r="1">
      <x v="18"/>
    </i>
    <i t="default">
      <x v="104"/>
    </i>
    <i>
      <x v="105"/>
      <x v="13"/>
    </i>
    <i r="1">
      <x v="17"/>
    </i>
    <i t="default">
      <x v="105"/>
    </i>
    <i>
      <x v="106"/>
      <x v="13"/>
    </i>
    <i r="1">
      <x v="17"/>
    </i>
    <i r="1">
      <x v="18"/>
    </i>
    <i r="1">
      <x v="19"/>
    </i>
    <i t="default">
      <x v="106"/>
    </i>
    <i>
      <x v="107"/>
      <x v="17"/>
    </i>
    <i t="default">
      <x v="107"/>
    </i>
    <i>
      <x v="108"/>
      <x v="12"/>
    </i>
    <i t="default">
      <x v="108"/>
    </i>
    <i>
      <x v="109"/>
      <x v="17"/>
    </i>
    <i t="default">
      <x v="109"/>
    </i>
    <i>
      <x v="110"/>
      <x v="17"/>
    </i>
    <i t="default">
      <x v="110"/>
    </i>
    <i>
      <x v="111"/>
      <x v="18"/>
    </i>
    <i r="1">
      <x v="19"/>
    </i>
    <i t="default">
      <x v="111"/>
    </i>
    <i>
      <x v="112"/>
      <x v="13"/>
    </i>
    <i t="default">
      <x v="112"/>
    </i>
    <i t="grand">
      <x/>
    </i>
  </rowItems>
  <colFields count="1">
    <field x="-2"/>
  </colFields>
  <colItems count="2">
    <i>
      <x/>
    </i>
    <i i="1">
      <x v="1"/>
    </i>
  </colItems>
  <dataFields count="2">
    <dataField name="A/Cs" fld="1" subtotal="count" baseField="0" baseItem="0"/>
    <dataField name="Expected Revenue" fld="7" baseField="0" baseItem="0" numFmtId="165"/>
  </dataFields>
  <formats count="2">
    <format dxfId="159">
      <pivotArea outline="0" collapsedLevelsAreSubtotals="1" fieldPosition="0"/>
    </format>
    <format dxfId="160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DAA68-3341-4333-B4E6-55D5AE72BEEB}" name="PivotTable2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Status">
  <location ref="F3:I38" firstHeaderRow="0" firstDataRow="1" firstDataCol="2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4">
        <item m="1" x="106"/>
        <item m="1" x="103"/>
        <item x="5"/>
        <item m="1" x="105"/>
        <item m="1" x="95"/>
        <item m="1" x="108"/>
        <item m="1" x="107"/>
        <item m="1" x="101"/>
        <item m="1" x="91"/>
        <item m="1" x="94"/>
        <item x="21"/>
        <item x="67"/>
        <item m="1" x="102"/>
        <item m="1" x="96"/>
        <item m="1" x="110"/>
        <item x="55"/>
        <item x="30"/>
        <item m="1" x="98"/>
        <item m="1" x="104"/>
        <item x="16"/>
        <item m="1" x="93"/>
        <item x="82"/>
        <item m="1" x="99"/>
        <item x="22"/>
        <item m="1" x="90"/>
        <item m="1" x="100"/>
        <item m="1" x="109"/>
        <item x="12"/>
        <item m="1" x="97"/>
        <item m="1" x="89"/>
        <item m="1" x="92"/>
        <item h="1" x="88"/>
        <item h="1" m="1" x="111"/>
        <item h="1" x="56"/>
        <item h="1" m="1" x="112"/>
        <item h="1" x="0"/>
        <item h="1" x="1"/>
        <item h="1" x="36"/>
        <item h="1" x="2"/>
        <item h="1" x="4"/>
        <item h="1" x="3"/>
        <item h="1" x="6"/>
        <item h="1" x="9"/>
        <item h="1" x="8"/>
        <item h="1" x="7"/>
        <item h="1" x="10"/>
        <item h="1" x="11"/>
        <item h="1" x="13"/>
        <item h="1" x="14"/>
        <item h="1" x="15"/>
        <item h="1" x="19"/>
        <item h="1" x="18"/>
        <item h="1" x="17"/>
        <item h="1" x="79"/>
        <item h="1" x="45"/>
        <item h="1" x="20"/>
        <item h="1" x="25"/>
        <item h="1" x="23"/>
        <item h="1" x="24"/>
        <item h="1" x="26"/>
        <item h="1" x="27"/>
        <item h="1" x="28"/>
        <item h="1" x="29"/>
        <item h="1" x="70"/>
        <item h="1" x="32"/>
        <item h="1" x="31"/>
        <item h="1" x="33"/>
        <item h="1" x="34"/>
        <item h="1" x="35"/>
        <item h="1" x="37"/>
        <item h="1" x="38"/>
        <item h="1" x="39"/>
        <item h="1" x="40"/>
        <item h="1" x="41"/>
        <item h="1" x="42"/>
        <item h="1" x="43"/>
        <item h="1" x="47"/>
        <item h="1" x="44"/>
        <item h="1" x="46"/>
        <item h="1" x="48"/>
        <item h="1" x="50"/>
        <item h="1" x="49"/>
        <item h="1" x="51"/>
        <item h="1" x="52"/>
        <item h="1" x="53"/>
        <item h="1" x="54"/>
        <item h="1" x="57"/>
        <item h="1" x="58"/>
        <item h="1" x="59"/>
        <item h="1" x="60"/>
        <item h="1" x="61"/>
        <item h="1" x="62"/>
        <item h="1" x="63"/>
        <item h="1" x="64"/>
        <item h="1" x="66"/>
        <item h="1" x="65"/>
        <item h="1" x="68"/>
        <item h="1" x="69"/>
        <item h="1" x="71"/>
        <item h="1" x="72"/>
        <item h="1" x="73"/>
        <item h="1" x="74"/>
        <item h="1" x="75"/>
        <item h="1" x="76"/>
        <item h="1" x="77"/>
        <item h="1" x="78"/>
        <item h="1" x="81"/>
        <item h="1" x="80"/>
        <item h="1" x="83"/>
        <item h="1" x="84"/>
        <item h="1" x="85"/>
        <item h="1" x="86"/>
        <item h="1" x="8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1">
        <item m="1" x="19"/>
        <item x="2"/>
        <item m="1" x="12"/>
        <item m="1" x="13"/>
        <item m="1" x="18"/>
        <item m="1" x="10"/>
        <item m="1" x="14"/>
        <item x="5"/>
        <item m="1" x="17"/>
        <item m="1" x="16"/>
        <item m="1" x="15"/>
        <item m="1" x="11"/>
        <item x="0"/>
        <item x="1"/>
        <item m="1" x="7"/>
        <item m="1" x="8"/>
        <item m="1" x="9"/>
        <item x="4"/>
        <item x="3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1"/>
  </rowFields>
  <rowItems count="35">
    <i>
      <x v="2"/>
      <x v="12"/>
    </i>
    <i r="1">
      <x v="13"/>
    </i>
    <i r="1">
      <x v="17"/>
    </i>
    <i t="default">
      <x v="2"/>
    </i>
    <i>
      <x v="10"/>
      <x v="12"/>
    </i>
    <i r="1">
      <x v="13"/>
    </i>
    <i t="default">
      <x v="10"/>
    </i>
    <i>
      <x v="11"/>
      <x v="1"/>
    </i>
    <i r="1">
      <x v="7"/>
    </i>
    <i r="1">
      <x v="12"/>
    </i>
    <i r="1">
      <x v="13"/>
    </i>
    <i r="1">
      <x v="17"/>
    </i>
    <i r="1">
      <x v="18"/>
    </i>
    <i r="1">
      <x v="19"/>
    </i>
    <i t="default">
      <x v="11"/>
    </i>
    <i>
      <x v="15"/>
      <x v="12"/>
    </i>
    <i t="default">
      <x v="15"/>
    </i>
    <i>
      <x v="16"/>
      <x v="12"/>
    </i>
    <i r="1">
      <x v="13"/>
    </i>
    <i r="1">
      <x v="17"/>
    </i>
    <i t="default">
      <x v="16"/>
    </i>
    <i>
      <x v="19"/>
      <x v="12"/>
    </i>
    <i r="1">
      <x v="13"/>
    </i>
    <i r="1">
      <x v="17"/>
    </i>
    <i r="1">
      <x v="19"/>
    </i>
    <i t="default">
      <x v="19"/>
    </i>
    <i>
      <x v="21"/>
      <x v="12"/>
    </i>
    <i t="default">
      <x v="21"/>
    </i>
    <i>
      <x v="23"/>
      <x v="12"/>
    </i>
    <i t="default">
      <x v="23"/>
    </i>
    <i>
      <x v="27"/>
      <x v="12"/>
    </i>
    <i r="1">
      <x v="13"/>
    </i>
    <i r="1">
      <x v="17"/>
    </i>
    <i t="default"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A/Cs" fld="1" subtotal="count" baseField="0" baseItem="0"/>
    <dataField name="Expexted Revenue" fld="7" baseField="0" baseItem="0"/>
  </dataFields>
  <formats count="1">
    <format dxfId="158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A4EFC-7377-4012-B645-BA6B96D788C1}" name="PivotTable1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3:D5" firstHeaderRow="0" firstDataRow="1" firstDataCol="1"/>
  <pivotFields count="21">
    <pivotField numFmtId="164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1">
        <item m="1" x="19"/>
        <item x="2"/>
        <item m="1" x="12"/>
        <item m="1" x="13"/>
        <item m="1" x="18"/>
        <item m="1" x="10"/>
        <item m="1" x="14"/>
        <item h="1" x="5"/>
        <item m="1" x="17"/>
        <item m="1" x="16"/>
        <item m="1" x="15"/>
        <item m="1" x="11"/>
        <item h="1" x="0"/>
        <item h="1" x="1"/>
        <item h="1" m="1" x="7"/>
        <item h="1" m="1" x="8"/>
        <item h="1" m="1" x="9"/>
        <item h="1" x="4"/>
        <item h="1" x="3"/>
        <item h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/Cs" fld="1" subtotal="count" baseField="0" baseItem="0"/>
    <dataField name="Sum of Actual Business" fld="15" baseField="0" baseItem="0"/>
    <dataField name="Sum of Expected Business" fld="7" baseField="0" baseItem="0"/>
  </dataFields>
  <formats count="1">
    <format dxfId="157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E0EFA-2770-47E4-8B48-30EFE1860176}" name="PivotTable4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Status">
  <location ref="R3:U4" firstHeaderRow="0" firstDataRow="1" firstDataCol="2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4">
        <item m="1" x="106"/>
        <item m="1" x="103"/>
        <item x="5"/>
        <item m="1" x="105"/>
        <item m="1" x="95"/>
        <item m="1" x="108"/>
        <item m="1" x="107"/>
        <item m="1" x="101"/>
        <item m="1" x="91"/>
        <item m="1" x="94"/>
        <item x="21"/>
        <item x="67"/>
        <item m="1" x="102"/>
        <item m="1" x="96"/>
        <item m="1" x="110"/>
        <item x="55"/>
        <item x="30"/>
        <item m="1" x="98"/>
        <item m="1" x="104"/>
        <item x="16"/>
        <item m="1" x="93"/>
        <item x="82"/>
        <item m="1" x="99"/>
        <item x="22"/>
        <item m="1" x="90"/>
        <item m="1" x="100"/>
        <item m="1" x="109"/>
        <item x="12"/>
        <item m="1" x="97"/>
        <item m="1" x="89"/>
        <item m="1" x="92"/>
        <item x="88"/>
        <item m="1" x="111"/>
        <item x="56"/>
        <item m="1" x="112"/>
        <item x="0"/>
        <item x="1"/>
        <item x="36"/>
        <item x="2"/>
        <item x="4"/>
        <item x="3"/>
        <item x="6"/>
        <item x="9"/>
        <item x="8"/>
        <item x="7"/>
        <item x="10"/>
        <item x="11"/>
        <item x="13"/>
        <item x="14"/>
        <item x="15"/>
        <item x="19"/>
        <item x="18"/>
        <item x="17"/>
        <item x="79"/>
        <item x="45"/>
        <item x="20"/>
        <item x="25"/>
        <item x="23"/>
        <item x="24"/>
        <item x="26"/>
        <item x="27"/>
        <item x="28"/>
        <item x="29"/>
        <item x="70"/>
        <item x="32"/>
        <item x="31"/>
        <item x="33"/>
        <item x="34"/>
        <item x="35"/>
        <item x="37"/>
        <item x="38"/>
        <item x="39"/>
        <item x="40"/>
        <item x="41"/>
        <item x="42"/>
        <item x="43"/>
        <item x="47"/>
        <item x="44"/>
        <item x="46"/>
        <item x="48"/>
        <item x="50"/>
        <item x="49"/>
        <item x="51"/>
        <item x="52"/>
        <item x="53"/>
        <item x="54"/>
        <item x="57"/>
        <item x="58"/>
        <item x="59"/>
        <item x="60"/>
        <item x="61"/>
        <item x="62"/>
        <item x="63"/>
        <item x="64"/>
        <item x="66"/>
        <item x="65"/>
        <item x="68"/>
        <item x="69"/>
        <item x="71"/>
        <item x="72"/>
        <item x="73"/>
        <item x="74"/>
        <item x="75"/>
        <item x="76"/>
        <item x="77"/>
        <item x="78"/>
        <item x="81"/>
        <item x="80"/>
        <item x="83"/>
        <item x="84"/>
        <item x="85"/>
        <item x="86"/>
        <item x="8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1">
        <item h="1" m="1" x="19"/>
        <item h="1" x="2"/>
        <item h="1" m="1" x="12"/>
        <item h="1" m="1" x="13"/>
        <item h="1" m="1" x="18"/>
        <item h="1" m="1" x="10"/>
        <item m="1" x="14"/>
        <item h="1" x="5"/>
        <item h="1" m="1" x="17"/>
        <item h="1" m="1" x="16"/>
        <item h="1" m="1" x="15"/>
        <item h="1" m="1" x="11"/>
        <item h="1" x="0"/>
        <item h="1" x="1"/>
        <item h="1" m="1" x="7"/>
        <item h="1" m="1" x="8"/>
        <item h="1" m="1" x="9"/>
        <item h="1" x="4"/>
        <item h="1" x="3"/>
        <item h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1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A/Cs" fld="1" subtotal="count" baseField="0" baseItem="0"/>
    <dataField name="Expected Revenue" fld="7" baseField="0" baseItem="0"/>
  </dataFields>
  <formats count="1">
    <format dxfId="156">
      <pivotArea outline="0" collapsedLevelsAreSubtotals="1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A6FC9-3129-47DE-8809-685BD2F581DA}" name="PivotTable2" cacheId="57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Status" colHeaderCaption="Month">
  <location ref="A4:F23" firstHeaderRow="1" firstDataRow="2" firstDataCol="1" rowPageCount="1" colPageCount="1"/>
  <pivotFields count="21"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0"/>
        <item x="2"/>
        <item x="3"/>
        <item x="1"/>
        <item x="6"/>
        <item x="4"/>
        <item x="5"/>
        <item t="default"/>
      </items>
    </pivotField>
    <pivotField axis="axisRow" showAll="0">
      <items count="21">
        <item m="1" x="10"/>
        <item m="1" x="19"/>
        <item m="1" x="11"/>
        <item m="1" x="14"/>
        <item m="1" x="18"/>
        <item m="1" x="13"/>
        <item x="5"/>
        <item m="1" x="17"/>
        <item m="1" x="16"/>
        <item m="1" x="15"/>
        <item m="1" x="12"/>
        <item x="2"/>
        <item x="0"/>
        <item x="1"/>
        <item m="1" x="9"/>
        <item m="1" x="8"/>
        <item m="1" x="7"/>
        <item x="6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multipleItemSelectionAllowed="1" showAll="0">
      <items count="18">
        <item x="14"/>
        <item x="13"/>
        <item x="12"/>
        <item x="11"/>
        <item h="1" x="0"/>
        <item h="1" x="4"/>
        <item h="1" x="6"/>
        <item h="1" m="1" x="16"/>
        <item h="1" x="5"/>
        <item h="1" x="10"/>
        <item h="1" x="7"/>
        <item h="1" x="9"/>
        <item h="1" x="8"/>
        <item h="1" x="3"/>
        <item h="1" x="2"/>
        <item h="1" x="1"/>
        <item h="1" x="15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</pivotFields>
  <rowFields count="2">
    <field x="10"/>
    <field x="11"/>
  </rowFields>
  <rowItems count="18">
    <i>
      <x/>
    </i>
    <i r="1">
      <x v="12"/>
    </i>
    <i r="1">
      <x v="13"/>
    </i>
    <i r="1">
      <x v="17"/>
    </i>
    <i r="1">
      <x v="18"/>
    </i>
    <i r="1">
      <x v="19"/>
    </i>
    <i>
      <x v="1"/>
    </i>
    <i r="1">
      <x v="12"/>
    </i>
    <i r="1">
      <x v="17"/>
    </i>
    <i r="1">
      <x v="19"/>
    </i>
    <i>
      <x v="3"/>
    </i>
    <i r="1">
      <x v="11"/>
    </i>
    <i r="1">
      <x v="19"/>
    </i>
    <i>
      <x v="5"/>
    </i>
    <i r="1">
      <x v="19"/>
    </i>
    <i>
      <x v="6"/>
    </i>
    <i r="1">
      <x v="12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pageFields count="1">
    <pageField fld="20" item="1" hier="-1"/>
  </pageFields>
  <dataFields count="1">
    <dataField name="Expected Business " fld="7" baseField="0" baseItem="0" numFmtId="3"/>
  </dataFields>
  <formats count="22">
    <format dxfId="134">
      <pivotArea outline="0" collapsedLevelsAreSubtotals="1" fieldPosition="0"/>
    </format>
    <format dxfId="135">
      <pivotArea type="all" dataOnly="0" outline="0" fieldPosition="0"/>
    </format>
    <format dxfId="136">
      <pivotArea outline="0" collapsedLevelsAreSubtotals="1" fieldPosition="0"/>
    </format>
    <format dxfId="137">
      <pivotArea type="origin" dataOnly="0" labelOnly="1" outline="0" fieldPosition="0"/>
    </format>
    <format dxfId="138">
      <pivotArea type="topRight" dataOnly="0" labelOnly="1" outline="0" fieldPosition="0"/>
    </format>
    <format dxfId="139">
      <pivotArea field="10" type="button" dataOnly="0" labelOnly="1" outline="0" axis="axisRow" fieldPosition="0"/>
    </format>
    <format dxfId="140">
      <pivotArea dataOnly="0" labelOnly="1" grandRow="1" outline="0" fieldPosition="0"/>
    </format>
    <format dxfId="141">
      <pivotArea dataOnly="0" labelOnly="1" grandCol="1" outline="0" fieldPosition="0"/>
    </format>
    <format dxfId="142">
      <pivotArea collapsedLevelsAreSubtotals="1" fieldPosition="0">
        <references count="2">
          <reference field="10" count="1" selected="0">
            <x v="0"/>
          </reference>
          <reference field="11" count="1">
            <x v="19"/>
          </reference>
        </references>
      </pivotArea>
    </format>
    <format dxfId="143">
      <pivotArea dataOnly="0" labelOnly="1" fieldPosition="0">
        <references count="2">
          <reference field="10" count="1" selected="0">
            <x v="0"/>
          </reference>
          <reference field="11" count="1">
            <x v="19"/>
          </reference>
        </references>
      </pivotArea>
    </format>
    <format dxfId="144">
      <pivotArea collapsedLevelsAreSubtotals="1" fieldPosition="0">
        <references count="2">
          <reference field="10" count="1" selected="0">
            <x v="0"/>
          </reference>
          <reference field="11" count="1">
            <x v="19"/>
          </reference>
        </references>
      </pivotArea>
    </format>
    <format dxfId="145">
      <pivotArea dataOnly="0" labelOnly="1" fieldPosition="0">
        <references count="2">
          <reference field="10" count="1" selected="0">
            <x v="0"/>
          </reference>
          <reference field="11" count="1">
            <x v="19"/>
          </reference>
        </references>
      </pivotArea>
    </format>
    <format dxfId="146">
      <pivotArea collapsedLevelsAreSubtotals="1" fieldPosition="0">
        <references count="2">
          <reference field="10" count="1" selected="0">
            <x v="3"/>
          </reference>
          <reference field="11" count="1">
            <x v="19"/>
          </reference>
        </references>
      </pivotArea>
    </format>
    <format dxfId="147">
      <pivotArea dataOnly="0" labelOnly="1" fieldPosition="0">
        <references count="2">
          <reference field="10" count="1" selected="0">
            <x v="3"/>
          </reference>
          <reference field="11" count="1">
            <x v="19"/>
          </reference>
        </references>
      </pivotArea>
    </format>
    <format dxfId="148">
      <pivotArea collapsedLevelsAreSubtotals="1" fieldPosition="0">
        <references count="2">
          <reference field="10" count="1" selected="0">
            <x v="3"/>
          </reference>
          <reference field="11" count="1">
            <x v="19"/>
          </reference>
        </references>
      </pivotArea>
    </format>
    <format dxfId="149">
      <pivotArea dataOnly="0" labelOnly="1" fieldPosition="0">
        <references count="2">
          <reference field="10" count="1" selected="0">
            <x v="3"/>
          </reference>
          <reference field="11" count="1">
            <x v="19"/>
          </reference>
        </references>
      </pivotArea>
    </format>
    <format dxfId="150">
      <pivotArea dataOnly="0" labelOnly="1" fieldPosition="0">
        <references count="2">
          <reference field="10" count="1" selected="0">
            <x v="5"/>
          </reference>
          <reference field="11" count="1">
            <x v="19"/>
          </reference>
        </references>
      </pivotArea>
    </format>
    <format dxfId="151">
      <pivotArea collapsedLevelsAreSubtotals="1" fieldPosition="0">
        <references count="3">
          <reference field="10" count="1" selected="0">
            <x v="5"/>
          </reference>
          <reference field="11" count="1">
            <x v="19"/>
          </reference>
          <reference field="18" count="1" selected="0">
            <x v="2"/>
          </reference>
        </references>
      </pivotArea>
    </format>
    <format dxfId="152">
      <pivotArea collapsedLevelsAreSubtotals="1" fieldPosition="0">
        <references count="3">
          <reference field="10" count="1" selected="0">
            <x v="5"/>
          </reference>
          <reference field="11" count="1">
            <x v="19"/>
          </reference>
          <reference field="18" count="1" selected="0">
            <x v="3"/>
          </reference>
        </references>
      </pivotArea>
    </format>
    <format dxfId="153">
      <pivotArea collapsedLevelsAreSubtotals="1" fieldPosition="0">
        <references count="3">
          <reference field="10" count="1" selected="0">
            <x v="5"/>
          </reference>
          <reference field="11" count="1">
            <x v="19"/>
          </reference>
          <reference field="18" count="1" selected="0">
            <x v="9"/>
          </reference>
        </references>
      </pivotArea>
    </format>
    <format dxfId="154">
      <pivotArea collapsedLevelsAreSubtotals="1" fieldPosition="0">
        <references count="3">
          <reference field="10" count="1" selected="0">
            <x v="5"/>
          </reference>
          <reference field="11" count="1">
            <x v="19"/>
          </reference>
          <reference field="18" count="2" selected="0">
            <x v="11"/>
            <x v="12"/>
          </reference>
        </references>
      </pivotArea>
    </format>
    <format dxfId="155">
      <pivotArea field="11" grandCol="1" collapsedLevelsAreSubtotals="1" axis="axisRow" fieldPosition="1">
        <references count="2">
          <reference field="10" count="1" selected="0">
            <x v="5"/>
          </reference>
          <reference field="11" count="1">
            <x v="19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FF871-7023-4B4E-A421-E02D7AE76F28}" name="PivotTable1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F35" firstHeaderRow="1" firstDataRow="2" firstDataCol="1" rowPageCount="1" colPageCount="1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1">
        <item m="1" x="10"/>
        <item m="1" x="19"/>
        <item x="2"/>
        <item m="1" x="16"/>
        <item m="1" x="11"/>
        <item m="1" x="18"/>
        <item m="1" x="14"/>
        <item m="1" x="13"/>
        <item m="1" x="12"/>
        <item m="1" x="17"/>
        <item m="1" x="15"/>
        <item x="5"/>
        <item x="0"/>
        <item x="1"/>
        <item m="1" x="9"/>
        <item m="1" x="8"/>
        <item m="1" x="7"/>
        <item x="6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multipleItemSelectionAllowed="1" showAll="0">
      <items count="18">
        <item x="14"/>
        <item x="13"/>
        <item x="12"/>
        <item x="11"/>
        <item h="1" x="10"/>
        <item h="1" x="9"/>
        <item h="1" x="8"/>
        <item h="1" x="0"/>
        <item h="1" x="4"/>
        <item h="1" x="6"/>
        <item h="1" m="1" x="16"/>
        <item h="1" x="5"/>
        <item h="1" x="7"/>
        <item h="1" x="3"/>
        <item h="1" x="2"/>
        <item h="1" x="1"/>
        <item h="1" x="15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1"/>
  </rowFields>
  <rowItems count="7">
    <i>
      <x v="2"/>
    </i>
    <i>
      <x v="12"/>
    </i>
    <i>
      <x v="13"/>
    </i>
    <i>
      <x v="17"/>
    </i>
    <i>
      <x v="18"/>
    </i>
    <i>
      <x v="19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pageFields count="1">
    <pageField fld="20" item="1" hier="-1"/>
  </pageFields>
  <dataFields count="1">
    <dataField name="Sum of Expected Business" fld="7" baseField="0" baseItem="0" numFmtId="165"/>
  </dataFields>
  <formats count="31">
    <format dxfId="103">
      <pivotArea outline="0" collapsedLevelsAreSubtotals="1" fieldPosition="0"/>
    </format>
    <format dxfId="104">
      <pivotArea collapsedLevelsAreSubtotals="1" fieldPosition="0">
        <references count="1">
          <reference field="11" count="1">
            <x v="8"/>
          </reference>
        </references>
      </pivotArea>
    </format>
    <format dxfId="105">
      <pivotArea dataOnly="0" labelOnly="1" fieldPosition="0">
        <references count="1">
          <reference field="11" count="1">
            <x v="8"/>
          </reference>
        </references>
      </pivotArea>
    </format>
    <format dxfId="106">
      <pivotArea collapsedLevelsAreSubtotals="1" fieldPosition="0">
        <references count="1">
          <reference field="11" count="1">
            <x v="8"/>
          </reference>
        </references>
      </pivotArea>
    </format>
    <format dxfId="107">
      <pivotArea dataOnly="0" labelOnly="1" fieldPosition="0">
        <references count="1">
          <reference field="11" count="1">
            <x v="8"/>
          </reference>
        </references>
      </pivotArea>
    </format>
    <format dxfId="108">
      <pivotArea outline="0" collapsedLevelsAreSubtotals="1" fieldPosition="0"/>
    </format>
    <format dxfId="109">
      <pivotArea field="11" type="button" dataOnly="0" labelOnly="1" outline="0" axis="axisRow" fieldPosition="0"/>
    </format>
    <format dxfId="110">
      <pivotArea dataOnly="0" labelOnly="1" fieldPosition="0">
        <references count="1">
          <reference field="11" count="5">
            <x v="0"/>
            <x v="4"/>
            <x v="6"/>
            <x v="7"/>
            <x v="8"/>
          </reference>
        </references>
      </pivotArea>
    </format>
    <format dxfId="111">
      <pivotArea dataOnly="0" labelOnly="1" grandRow="1" outline="0" fieldPosition="0"/>
    </format>
    <format dxfId="112">
      <pivotArea dataOnly="0" labelOnly="1" grandCol="1" outline="0" fieldPosition="0"/>
    </format>
    <format dxfId="113">
      <pivotArea collapsedLevelsAreSubtotals="1" fieldPosition="0">
        <references count="1">
          <reference field="11" count="1">
            <x v="16"/>
          </reference>
        </references>
      </pivotArea>
    </format>
    <format dxfId="114">
      <pivotArea dataOnly="0" labelOnly="1" fieldPosition="0">
        <references count="1">
          <reference field="11" count="1">
            <x v="16"/>
          </reference>
        </references>
      </pivotArea>
    </format>
    <format dxfId="115">
      <pivotArea collapsedLevelsAreSubtotals="1" fieldPosition="0">
        <references count="1">
          <reference field="11" count="1">
            <x v="16"/>
          </reference>
        </references>
      </pivotArea>
    </format>
    <format dxfId="116">
      <pivotArea dataOnly="0" labelOnly="1" fieldPosition="0">
        <references count="1">
          <reference field="11" count="1">
            <x v="16"/>
          </reference>
        </references>
      </pivotArea>
    </format>
    <format dxfId="117">
      <pivotArea dataOnly="0" fieldPosition="0">
        <references count="2">
          <reference field="11" count="1">
            <x v="19"/>
          </reference>
          <reference field="20" count="1" selected="0">
            <x v="1"/>
          </reference>
        </references>
      </pivotArea>
    </format>
    <format dxfId="118">
      <pivotArea dataOnly="0" fieldPosition="0">
        <references count="2">
          <reference field="11" count="1">
            <x v="19"/>
          </reference>
          <reference field="20" count="1" selected="0">
            <x v="1"/>
          </reference>
        </references>
      </pivotArea>
    </format>
    <format dxfId="119">
      <pivotArea type="all" dataOnly="0" outline="0" fieldPosition="0"/>
    </format>
    <format dxfId="120">
      <pivotArea outline="0" collapsedLevelsAreSubtotals="1" fieldPosition="0"/>
    </format>
    <format dxfId="121">
      <pivotArea type="origin" dataOnly="0" labelOnly="1" outline="0" fieldPosition="0"/>
    </format>
    <format dxfId="122">
      <pivotArea field="18" type="button" dataOnly="0" labelOnly="1" outline="0" axis="axisCol" fieldPosition="0"/>
    </format>
    <format dxfId="123">
      <pivotArea type="topRight" dataOnly="0" labelOnly="1" outline="0" fieldPosition="0"/>
    </format>
    <format dxfId="124">
      <pivotArea field="11" type="button" dataOnly="0" labelOnly="1" outline="0" axis="axisRow" fieldPosition="0"/>
    </format>
    <format dxfId="125">
      <pivotArea dataOnly="0" labelOnly="1" fieldPosition="0">
        <references count="1">
          <reference field="11" count="5">
            <x v="2"/>
            <x v="12"/>
            <x v="13"/>
            <x v="18"/>
            <x v="19"/>
          </reference>
        </references>
      </pivotArea>
    </format>
    <format dxfId="126">
      <pivotArea dataOnly="0" labelOnly="1" grandRow="1" outline="0" fieldPosition="0"/>
    </format>
    <format dxfId="127">
      <pivotArea dataOnly="0" labelOnly="1" fieldPosition="0">
        <references count="1">
          <reference field="18" count="0"/>
        </references>
      </pivotArea>
    </format>
    <format dxfId="128">
      <pivotArea dataOnly="0" labelOnly="1" grandCol="1" outline="0" fieldPosition="0"/>
    </format>
    <format dxfId="129">
      <pivotArea field="20" type="button" dataOnly="0" labelOnly="1" outline="0" axis="axisPage" fieldPosition="0"/>
    </format>
    <format dxfId="130">
      <pivotArea type="origin" dataOnly="0" labelOnly="1" outline="0" fieldPosition="0"/>
    </format>
    <format dxfId="131">
      <pivotArea field="11" type="button" dataOnly="0" labelOnly="1" outline="0" axis="axisRow" fieldPosition="0"/>
    </format>
    <format dxfId="132">
      <pivotArea dataOnly="0" labelOnly="1" fieldPosition="0">
        <references count="1">
          <reference field="11" count="5">
            <x v="2"/>
            <x v="12"/>
            <x v="13"/>
            <x v="18"/>
            <x v="19"/>
          </reference>
        </references>
      </pivotArea>
    </format>
    <format dxfId="133">
      <pivotArea dataOnly="0" labelOnly="1" grandRow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BFBAB-500F-474D-87A1-9A7EDF64E3EB}" name="PivotTable5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F48" firstHeaderRow="1" firstDataRow="2" firstDataCol="1" rowPageCount="1" colPageCount="1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m="1" x="10"/>
        <item m="1" x="19"/>
        <item x="2"/>
        <item m="1" x="16"/>
        <item m="1" x="11"/>
        <item m="1" x="18"/>
        <item m="1" x="14"/>
        <item m="1" x="13"/>
        <item m="1" x="12"/>
        <item m="1" x="17"/>
        <item m="1" x="15"/>
        <item x="5"/>
        <item x="0"/>
        <item x="1"/>
        <item m="1" x="9"/>
        <item m="1" x="8"/>
        <item m="1" x="7"/>
        <item x="6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multipleItemSelectionAllowed="1" showAll="0">
      <items count="18">
        <item x="14"/>
        <item x="13"/>
        <item x="12"/>
        <item x="11"/>
        <item h="1" x="0"/>
        <item h="1" x="4"/>
        <item h="1" x="6"/>
        <item h="1" m="1" x="16"/>
        <item h="1" x="5"/>
        <item h="1" x="10"/>
        <item h="1" x="7"/>
        <item h="1" x="9"/>
        <item h="1" x="8"/>
        <item h="1" x="3"/>
        <item h="1" x="2"/>
        <item h="1" x="1"/>
        <item h="1" x="15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1"/>
  </rowFields>
  <rowItems count="7">
    <i>
      <x v="2"/>
    </i>
    <i>
      <x v="12"/>
    </i>
    <i>
      <x v="13"/>
    </i>
    <i>
      <x v="17"/>
    </i>
    <i>
      <x v="18"/>
    </i>
    <i>
      <x v="19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pageFields count="1">
    <pageField fld="20" item="1" hier="-1"/>
  </pageFields>
  <dataFields count="1">
    <dataField name="Count of A/C Name" fld="1" subtotal="count" baseField="0" baseItem="0"/>
  </dataFields>
  <formats count="35">
    <format dxfId="68">
      <pivotArea outline="0" collapsedLevelsAreSubtotals="1" fieldPosition="0"/>
    </format>
    <format dxfId="69">
      <pivotArea collapsedLevelsAreSubtotals="1" fieldPosition="0">
        <references count="1">
          <reference field="11" count="1">
            <x v="8"/>
          </reference>
        </references>
      </pivotArea>
    </format>
    <format dxfId="70">
      <pivotArea dataOnly="0" labelOnly="1" fieldPosition="0">
        <references count="1">
          <reference field="11" count="1">
            <x v="8"/>
          </reference>
        </references>
      </pivotArea>
    </format>
    <format dxfId="71">
      <pivotArea collapsedLevelsAreSubtotals="1" fieldPosition="0">
        <references count="1">
          <reference field="11" count="1">
            <x v="8"/>
          </reference>
        </references>
      </pivotArea>
    </format>
    <format dxfId="72">
      <pivotArea dataOnly="0" labelOnly="1" fieldPosition="0">
        <references count="1">
          <reference field="11" count="1">
            <x v="8"/>
          </reference>
        </references>
      </pivotArea>
    </format>
    <format dxfId="73">
      <pivotArea outline="0" collapsedLevelsAreSubtotals="1" fieldPosition="0"/>
    </format>
    <format dxfId="74">
      <pivotArea field="11" type="button" dataOnly="0" labelOnly="1" outline="0" axis="axisRow" fieldPosition="0"/>
    </format>
    <format dxfId="75">
      <pivotArea dataOnly="0" labelOnly="1" fieldPosition="0">
        <references count="1">
          <reference field="11" count="5">
            <x v="0"/>
            <x v="4"/>
            <x v="6"/>
            <x v="7"/>
            <x v="8"/>
          </reference>
        </references>
      </pivotArea>
    </format>
    <format dxfId="76">
      <pivotArea dataOnly="0" labelOnly="1" grandRow="1" outline="0" fieldPosition="0"/>
    </format>
    <format dxfId="77">
      <pivotArea dataOnly="0" labelOnly="1" grandCol="1" outline="0" fieldPosition="0"/>
    </format>
    <format dxfId="78">
      <pivotArea collapsedLevelsAreSubtotals="1" fieldPosition="0">
        <references count="1">
          <reference field="11" count="1">
            <x v="16"/>
          </reference>
        </references>
      </pivotArea>
    </format>
    <format dxfId="79">
      <pivotArea dataOnly="0" labelOnly="1" fieldPosition="0">
        <references count="1">
          <reference field="11" count="1">
            <x v="16"/>
          </reference>
        </references>
      </pivotArea>
    </format>
    <format dxfId="80">
      <pivotArea collapsedLevelsAreSubtotals="1" fieldPosition="0">
        <references count="1">
          <reference field="11" count="1">
            <x v="16"/>
          </reference>
        </references>
      </pivotArea>
    </format>
    <format dxfId="81">
      <pivotArea dataOnly="0" labelOnly="1" fieldPosition="0">
        <references count="1">
          <reference field="11" count="1">
            <x v="16"/>
          </reference>
        </references>
      </pivotArea>
    </format>
    <format dxfId="82">
      <pivotArea outline="0" collapsedLevelsAreSubtotals="1" fieldPosition="0">
        <references count="1">
          <reference field="18" count="0" selected="0"/>
        </references>
      </pivotArea>
    </format>
    <format dxfId="83">
      <pivotArea dataOnly="0" labelOnly="1" fieldPosition="0">
        <references count="1">
          <reference field="11" count="0"/>
        </references>
      </pivotArea>
    </format>
    <format dxfId="84">
      <pivotArea collapsedLevelsAreSubtotals="1" fieldPosition="0">
        <references count="1">
          <reference field="11" count="1">
            <x v="19"/>
          </reference>
        </references>
      </pivotArea>
    </format>
    <format dxfId="85">
      <pivotArea dataOnly="0" labelOnly="1" fieldPosition="0">
        <references count="1">
          <reference field="11" count="1">
            <x v="19"/>
          </reference>
        </references>
      </pivotArea>
    </format>
    <format dxfId="86">
      <pivotArea collapsedLevelsAreSubtotals="1" fieldPosition="0">
        <references count="1">
          <reference field="11" count="1">
            <x v="19"/>
          </reference>
        </references>
      </pivotArea>
    </format>
    <format dxfId="87">
      <pivotArea dataOnly="0" labelOnly="1" fieldPosition="0">
        <references count="1">
          <reference field="11" count="1">
            <x v="19"/>
          </reference>
        </references>
      </pivotArea>
    </format>
    <format dxfId="88">
      <pivotArea type="all" dataOnly="0" outline="0" fieldPosition="0"/>
    </format>
    <format dxfId="89">
      <pivotArea outline="0" collapsedLevelsAreSubtotals="1" fieldPosition="0"/>
    </format>
    <format dxfId="90">
      <pivotArea type="origin" dataOnly="0" labelOnly="1" outline="0" fieldPosition="0"/>
    </format>
    <format dxfId="91">
      <pivotArea field="18" type="button" dataOnly="0" labelOnly="1" outline="0" axis="axisCol" fieldPosition="0"/>
    </format>
    <format dxfId="92">
      <pivotArea type="topRight" dataOnly="0" labelOnly="1" outline="0" fieldPosition="0"/>
    </format>
    <format dxfId="93">
      <pivotArea field="11" type="button" dataOnly="0" labelOnly="1" outline="0" axis="axisRow" fieldPosition="0"/>
    </format>
    <format dxfId="94">
      <pivotArea dataOnly="0" labelOnly="1" fieldPosition="0">
        <references count="1">
          <reference field="11" count="5">
            <x v="2"/>
            <x v="12"/>
            <x v="13"/>
            <x v="18"/>
            <x v="19"/>
          </reference>
        </references>
      </pivotArea>
    </format>
    <format dxfId="95">
      <pivotArea dataOnly="0" labelOnly="1" grandRow="1" outline="0" fieldPosition="0"/>
    </format>
    <format dxfId="96">
      <pivotArea dataOnly="0" labelOnly="1" fieldPosition="0">
        <references count="1">
          <reference field="18" count="0"/>
        </references>
      </pivotArea>
    </format>
    <format dxfId="97">
      <pivotArea dataOnly="0" labelOnly="1" grandCol="1" outline="0" fieldPosition="0"/>
    </format>
    <format dxfId="98">
      <pivotArea field="20" type="button" dataOnly="0" labelOnly="1" outline="0" axis="axisPage" fieldPosition="0"/>
    </format>
    <format dxfId="99">
      <pivotArea type="origin" dataOnly="0" labelOnly="1" outline="0" fieldPosition="0"/>
    </format>
    <format dxfId="100">
      <pivotArea field="11" type="button" dataOnly="0" labelOnly="1" outline="0" axis="axisRow" fieldPosition="0"/>
    </format>
    <format dxfId="101">
      <pivotArea dataOnly="0" labelOnly="1" fieldPosition="0">
        <references count="1">
          <reference field="11" count="5">
            <x v="2"/>
            <x v="12"/>
            <x v="13"/>
            <x v="18"/>
            <x v="19"/>
          </reference>
        </references>
      </pivotArea>
    </format>
    <format dxfId="102">
      <pivotArea dataOnly="0" labelOnly="1" grandRow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E4CBE-73CB-4CDE-8524-05F54B92B040}" name="PivotTable6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8:P347" firstHeaderRow="1" firstDataRow="2" firstDataCol="1" rowPageCount="1" colPageCount="1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21">
        <item m="1" x="10"/>
        <item m="1" x="19"/>
        <item x="2"/>
        <item m="1" x="16"/>
        <item m="1" x="11"/>
        <item m="1" x="18"/>
        <item m="1" x="14"/>
        <item m="1" x="13"/>
        <item m="1" x="12"/>
        <item m="1" x="17"/>
        <item m="1" x="15"/>
        <item x="5"/>
        <item x="0"/>
        <item x="1"/>
        <item m="1" x="9"/>
        <item m="1" x="8"/>
        <item m="1" x="7"/>
        <item x="6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multipleItemSelectionAllowed="1" showAll="0">
      <items count="18">
        <item x="14"/>
        <item x="13"/>
        <item x="12"/>
        <item x="11"/>
        <item x="10"/>
        <item x="9"/>
        <item x="8"/>
        <item x="0"/>
        <item x="4"/>
        <item x="6"/>
        <item m="1" x="16"/>
        <item x="5"/>
        <item x="7"/>
        <item x="3"/>
        <item x="2"/>
        <item x="1"/>
        <item x="15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1"/>
  </rowFields>
  <rowItems count="8">
    <i>
      <x v="2"/>
    </i>
    <i>
      <x v="11"/>
    </i>
    <i>
      <x v="12"/>
    </i>
    <i>
      <x v="13"/>
    </i>
    <i>
      <x v="17"/>
    </i>
    <i>
      <x v="18"/>
    </i>
    <i>
      <x v="19"/>
    </i>
    <i t="grand">
      <x/>
    </i>
  </rowItems>
  <colFields count="1">
    <field x="1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20" item="1" hier="-1"/>
  </pageFields>
  <dataFields count="1">
    <dataField name="Sum of Expected Business" fld="7" baseField="0" baseItem="0" numFmtId="165"/>
  </dataFields>
  <formats count="31">
    <format dxfId="37">
      <pivotArea outline="0" collapsedLevelsAreSubtotals="1" fieldPosition="0"/>
    </format>
    <format dxfId="38">
      <pivotArea collapsedLevelsAreSubtotals="1" fieldPosition="0">
        <references count="1">
          <reference field="11" count="1">
            <x v="8"/>
          </reference>
        </references>
      </pivotArea>
    </format>
    <format dxfId="39">
      <pivotArea dataOnly="0" labelOnly="1" fieldPosition="0">
        <references count="1">
          <reference field="11" count="1">
            <x v="8"/>
          </reference>
        </references>
      </pivotArea>
    </format>
    <format dxfId="40">
      <pivotArea collapsedLevelsAreSubtotals="1" fieldPosition="0">
        <references count="1">
          <reference field="11" count="1">
            <x v="8"/>
          </reference>
        </references>
      </pivotArea>
    </format>
    <format dxfId="41">
      <pivotArea dataOnly="0" labelOnly="1" fieldPosition="0">
        <references count="1">
          <reference field="11" count="1">
            <x v="8"/>
          </reference>
        </references>
      </pivotArea>
    </format>
    <format dxfId="42">
      <pivotArea outline="0" collapsedLevelsAreSubtotals="1" fieldPosition="0"/>
    </format>
    <format dxfId="43">
      <pivotArea field="11" type="button" dataOnly="0" labelOnly="1" outline="0" axis="axisRow" fieldPosition="0"/>
    </format>
    <format dxfId="44">
      <pivotArea dataOnly="0" labelOnly="1" fieldPosition="0">
        <references count="1">
          <reference field="11" count="5">
            <x v="0"/>
            <x v="4"/>
            <x v="6"/>
            <x v="7"/>
            <x v="8"/>
          </reference>
        </references>
      </pivotArea>
    </format>
    <format dxfId="45">
      <pivotArea dataOnly="0" labelOnly="1" grandRow="1" outline="0" fieldPosition="0"/>
    </format>
    <format dxfId="46">
      <pivotArea dataOnly="0" labelOnly="1" grandCol="1" outline="0" fieldPosition="0"/>
    </format>
    <format dxfId="47">
      <pivotArea collapsedLevelsAreSubtotals="1" fieldPosition="0">
        <references count="1">
          <reference field="11" count="1">
            <x v="16"/>
          </reference>
        </references>
      </pivotArea>
    </format>
    <format dxfId="48">
      <pivotArea dataOnly="0" labelOnly="1" fieldPosition="0">
        <references count="1">
          <reference field="11" count="1">
            <x v="16"/>
          </reference>
        </references>
      </pivotArea>
    </format>
    <format dxfId="49">
      <pivotArea collapsedLevelsAreSubtotals="1" fieldPosition="0">
        <references count="1">
          <reference field="11" count="1">
            <x v="16"/>
          </reference>
        </references>
      </pivotArea>
    </format>
    <format dxfId="50">
      <pivotArea dataOnly="0" labelOnly="1" fieldPosition="0">
        <references count="1">
          <reference field="11" count="1">
            <x v="16"/>
          </reference>
        </references>
      </pivotArea>
    </format>
    <format dxfId="51">
      <pivotArea dataOnly="0" fieldPosition="0">
        <references count="2">
          <reference field="11" count="1">
            <x v="19"/>
          </reference>
          <reference field="20" count="1" selected="0">
            <x v="1"/>
          </reference>
        </references>
      </pivotArea>
    </format>
    <format dxfId="52">
      <pivotArea dataOnly="0" fieldPosition="0">
        <references count="2">
          <reference field="11" count="1">
            <x v="19"/>
          </reference>
          <reference field="20" count="1" selected="0">
            <x v="1"/>
          </reference>
        </references>
      </pivotArea>
    </format>
    <format dxfId="53">
      <pivotArea type="all" dataOnly="0" outline="0" fieldPosition="0"/>
    </format>
    <format dxfId="54">
      <pivotArea outline="0" collapsedLevelsAreSubtotals="1" fieldPosition="0"/>
    </format>
    <format dxfId="55">
      <pivotArea type="origin" dataOnly="0" labelOnly="1" outline="0" fieldPosition="0"/>
    </format>
    <format dxfId="56">
      <pivotArea field="18" type="button" dataOnly="0" labelOnly="1" outline="0" axis="axisCol" fieldPosition="0"/>
    </format>
    <format dxfId="57">
      <pivotArea type="topRight" dataOnly="0" labelOnly="1" outline="0" fieldPosition="0"/>
    </format>
    <format dxfId="58">
      <pivotArea field="11" type="button" dataOnly="0" labelOnly="1" outline="0" axis="axisRow" fieldPosition="0"/>
    </format>
    <format dxfId="59">
      <pivotArea dataOnly="0" labelOnly="1" fieldPosition="0">
        <references count="1">
          <reference field="11" count="5">
            <x v="2"/>
            <x v="12"/>
            <x v="13"/>
            <x v="18"/>
            <x v="19"/>
          </reference>
        </references>
      </pivotArea>
    </format>
    <format dxfId="60">
      <pivotArea dataOnly="0" labelOnly="1" grandRow="1" outline="0" fieldPosition="0"/>
    </format>
    <format dxfId="61">
      <pivotArea dataOnly="0" labelOnly="1" fieldPosition="0">
        <references count="1">
          <reference field="18" count="0"/>
        </references>
      </pivotArea>
    </format>
    <format dxfId="62">
      <pivotArea dataOnly="0" labelOnly="1" grandCol="1" outline="0" fieldPosition="0"/>
    </format>
    <format dxfId="63">
      <pivotArea field="20" type="button" dataOnly="0" labelOnly="1" outline="0" axis="axisPage" fieldPosition="0"/>
    </format>
    <format dxfId="64">
      <pivotArea type="origin" dataOnly="0" labelOnly="1" outline="0" fieldPosition="0"/>
    </format>
    <format dxfId="65">
      <pivotArea field="11" type="button" dataOnly="0" labelOnly="1" outline="0" axis="axisRow" fieldPosition="0"/>
    </format>
    <format dxfId="66">
      <pivotArea dataOnly="0" labelOnly="1" fieldPosition="0">
        <references count="1">
          <reference field="11" count="5">
            <x v="2"/>
            <x v="12"/>
            <x v="13"/>
            <x v="18"/>
            <x v="19"/>
          </reference>
        </references>
      </pivotArea>
    </format>
    <format dxfId="67">
      <pivotArea dataOnly="0" labelOnly="1" grandRow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95E8E-3AC7-4738-8A9B-82469A9CC8E3}" name="PivotTable4" cacheId="57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Status" colHeaderCaption="Month">
  <location ref="P5:R7" firstHeaderRow="1" firstDataRow="2" firstDataCol="1" rowPageCount="1" colPageCount="1"/>
  <pivotFields count="21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x="0"/>
        <item h="1" x="2"/>
        <item h="1" x="3"/>
        <item h="1" x="1"/>
        <item h="1" x="6"/>
        <item h="1" x="4"/>
        <item h="1" x="5"/>
        <item t="default"/>
      </items>
    </pivotField>
    <pivotField axis="axisCol" dataField="1" showAll="0">
      <items count="21">
        <item m="1" x="10"/>
        <item m="1" x="19"/>
        <item m="1" x="11"/>
        <item m="1" x="14"/>
        <item m="1" x="18"/>
        <item m="1" x="13"/>
        <item h="1" x="5"/>
        <item m="1" x="17"/>
        <item m="1" x="16"/>
        <item m="1" x="15"/>
        <item m="1" x="12"/>
        <item x="2"/>
        <item h="1" x="0"/>
        <item h="1" x="1"/>
        <item h="1" m="1" x="7"/>
        <item h="1" m="1" x="8"/>
        <item h="1" m="1" x="9"/>
        <item h="1" x="4"/>
        <item h="1"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1"/>
  </colFields>
  <colItems count="2">
    <i>
      <x v="11"/>
    </i>
    <i t="grand">
      <x/>
    </i>
  </colItems>
  <pageFields count="1">
    <pageField fld="10" hier="-1"/>
  </pageFields>
  <dataFields count="1">
    <dataField name="Count of Status" fld="11" subtotal="count" baseField="0" baseItem="0"/>
  </dataFields>
  <formats count="11">
    <format dxfId="26">
      <pivotArea outline="0" collapsedLevelsAreSubtotals="1" fieldPosition="0"/>
    </format>
    <format dxfId="27">
      <pivotArea collapsedLevelsAreSubtotals="1" fieldPosition="0">
        <references count="2">
          <reference field="10" count="1" selected="0">
            <x v="3"/>
          </reference>
          <reference field="11" count="1">
            <x v="10"/>
          </reference>
        </references>
      </pivotArea>
    </format>
    <format dxfId="28">
      <pivotArea dataOnly="0" labelOnly="1" fieldPosition="0">
        <references count="2">
          <reference field="10" count="1" selected="0">
            <x v="3"/>
          </reference>
          <reference field="11" count="1">
            <x v="10"/>
          </reference>
        </references>
      </pivotArea>
    </format>
    <format dxfId="29">
      <pivotArea collapsedLevelsAreSubtotals="1" fieldPosition="0">
        <references count="2">
          <reference field="10" count="1" selected="0">
            <x v="0"/>
          </reference>
          <reference field="11" count="1">
            <x v="10"/>
          </reference>
        </references>
      </pivotArea>
    </format>
    <format dxfId="30">
      <pivotArea dataOnly="0" labelOnly="1" fieldPosition="0">
        <references count="2">
          <reference field="10" count="1" selected="0">
            <x v="0"/>
          </reference>
          <reference field="11" count="1">
            <x v="10"/>
          </reference>
        </references>
      </pivotArea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type="origin" dataOnly="0" labelOnly="1" outline="0" fieldPosition="0"/>
    </format>
    <format dxfId="34">
      <pivotArea dataOnly="0" labelOnly="1" outline="0" axis="axisValues" fieldPosition="0"/>
    </format>
    <format dxfId="35">
      <pivotArea field="11" type="button" dataOnly="0" labelOnly="1" outline="0" axis="axisCol" fieldPosition="0"/>
    </format>
    <format dxfId="36">
      <pivotArea type="topRight" dataOnly="0" labelOnly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12A45-9418-4984-B7A0-FA9F1BBC6DB2}" name="PivotTable3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L324" firstHeaderRow="0" firstDataRow="1" firstDataCol="1" rowPageCount="1" colPageCount="1"/>
  <pivotFields count="21">
    <pivotField showAll="0"/>
    <pivotField axis="axisRow" showAll="0" sortType="descending">
      <items count="327">
        <item x="198"/>
        <item x="220"/>
        <item x="100"/>
        <item x="181"/>
        <item x="85"/>
        <item x="227"/>
        <item x="200"/>
        <item x="147"/>
        <item x="157"/>
        <item x="175"/>
        <item x="38"/>
        <item x="54"/>
        <item x="88"/>
        <item x="213"/>
        <item x="177"/>
        <item x="57"/>
        <item x="267"/>
        <item x="80"/>
        <item x="99"/>
        <item x="193"/>
        <item x="138"/>
        <item x="59"/>
        <item x="216"/>
        <item x="253"/>
        <item x="249"/>
        <item x="251"/>
        <item x="217"/>
        <item x="260"/>
        <item x="218"/>
        <item x="262"/>
        <item x="221"/>
        <item x="24"/>
        <item x="41"/>
        <item x="192"/>
        <item x="176"/>
        <item x="211"/>
        <item x="173"/>
        <item x="9"/>
        <item x="280"/>
        <item x="60"/>
        <item x="117"/>
        <item x="179"/>
        <item x="104"/>
        <item x="205"/>
        <item x="93"/>
        <item x="94"/>
        <item x="0"/>
        <item x="266"/>
        <item x="113"/>
        <item x="81"/>
        <item x="12"/>
        <item x="123"/>
        <item x="239"/>
        <item x="15"/>
        <item x="3"/>
        <item x="166"/>
        <item x="112"/>
        <item x="142"/>
        <item x="106"/>
        <item x="44"/>
        <item x="66"/>
        <item x="160"/>
        <item x="231"/>
        <item x="209"/>
        <item x="64"/>
        <item x="241"/>
        <item x="270"/>
        <item x="75"/>
        <item x="6"/>
        <item x="259"/>
        <item x="30"/>
        <item x="164"/>
        <item x="263"/>
        <item x="219"/>
        <item x="5"/>
        <item x="31"/>
        <item x="58"/>
        <item x="279"/>
        <item x="32"/>
        <item x="170"/>
        <item x="67"/>
        <item x="183"/>
        <item x="118"/>
        <item x="86"/>
        <item x="109"/>
        <item x="150"/>
        <item x="156"/>
        <item x="111"/>
        <item x="153"/>
        <item x="33"/>
        <item x="242"/>
        <item x="130"/>
        <item x="248"/>
        <item x="230"/>
        <item x="258"/>
        <item x="23"/>
        <item x="89"/>
        <item x="247"/>
        <item x="152"/>
        <item x="168"/>
        <item x="119"/>
        <item x="196"/>
        <item x="234"/>
        <item x="124"/>
        <item x="244"/>
        <item x="141"/>
        <item x="246"/>
        <item x="55"/>
        <item x="187"/>
        <item x="154"/>
        <item x="18"/>
        <item x="215"/>
        <item x="206"/>
        <item x="61"/>
        <item x="237"/>
        <item x="225"/>
        <item x="197"/>
        <item x="202"/>
        <item x="50"/>
        <item x="199"/>
        <item x="76"/>
        <item x="4"/>
        <item x="158"/>
        <item x="137"/>
        <item x="28"/>
        <item x="7"/>
        <item x="34"/>
        <item x="1"/>
        <item x="236"/>
        <item x="87"/>
        <item x="70"/>
        <item x="90"/>
        <item x="125"/>
        <item x="120"/>
        <item x="29"/>
        <item x="281"/>
        <item x="151"/>
        <item x="107"/>
        <item x="159"/>
        <item x="210"/>
        <item x="36"/>
        <item x="56"/>
        <item x="169"/>
        <item x="238"/>
        <item x="51"/>
        <item x="126"/>
        <item x="27"/>
        <item x="165"/>
        <item x="48"/>
        <item x="189"/>
        <item x="145"/>
        <item x="98"/>
        <item x="114"/>
        <item x="39"/>
        <item x="190"/>
        <item x="171"/>
        <item x="264"/>
        <item x="256"/>
        <item x="254"/>
        <item x="255"/>
        <item x="252"/>
        <item x="250"/>
        <item x="180"/>
        <item x="214"/>
        <item x="163"/>
        <item x="131"/>
        <item x="243"/>
        <item x="71"/>
        <item x="40"/>
        <item x="72"/>
        <item x="207"/>
        <item x="69"/>
        <item x="101"/>
        <item x="235"/>
        <item x="20"/>
        <item x="223"/>
        <item x="178"/>
        <item x="224"/>
        <item x="17"/>
        <item x="2"/>
        <item x="10"/>
        <item x="233"/>
        <item x="21"/>
        <item x="74"/>
        <item x="115"/>
        <item x="22"/>
        <item x="42"/>
        <item x="45"/>
        <item x="167"/>
        <item x="139"/>
        <item x="103"/>
        <item x="155"/>
        <item x="108"/>
        <item x="65"/>
        <item x="184"/>
        <item x="232"/>
        <item x="128"/>
        <item x="146"/>
        <item x="162"/>
        <item x="201"/>
        <item x="269"/>
        <item x="204"/>
        <item x="77"/>
        <item x="194"/>
        <item x="161"/>
        <item x="132"/>
        <item x="135"/>
        <item x="25"/>
        <item x="222"/>
        <item x="43"/>
        <item x="82"/>
        <item x="140"/>
        <item x="185"/>
        <item x="62"/>
        <item x="245"/>
        <item x="95"/>
        <item x="26"/>
        <item x="195"/>
        <item x="203"/>
        <item x="133"/>
        <item x="134"/>
        <item x="53"/>
        <item x="96"/>
        <item x="188"/>
        <item x="208"/>
        <item x="78"/>
        <item x="121"/>
        <item x="11"/>
        <item x="261"/>
        <item x="229"/>
        <item x="35"/>
        <item x="110"/>
        <item x="129"/>
        <item x="46"/>
        <item x="37"/>
        <item x="226"/>
        <item x="47"/>
        <item x="91"/>
        <item x="148"/>
        <item x="228"/>
        <item x="52"/>
        <item x="122"/>
        <item x="83"/>
        <item x="174"/>
        <item x="97"/>
        <item x="240"/>
        <item x="172"/>
        <item x="268"/>
        <item x="13"/>
        <item x="212"/>
        <item x="191"/>
        <item x="105"/>
        <item x="136"/>
        <item x="116"/>
        <item x="257"/>
        <item x="265"/>
        <item x="49"/>
        <item x="68"/>
        <item x="143"/>
        <item x="182"/>
        <item x="102"/>
        <item x="63"/>
        <item x="16"/>
        <item x="149"/>
        <item x="144"/>
        <item x="14"/>
        <item x="73"/>
        <item x="8"/>
        <item x="19"/>
        <item x="278"/>
        <item x="79"/>
        <item x="84"/>
        <item x="186"/>
        <item x="127"/>
        <item x="92"/>
        <item x="317"/>
        <item x="271"/>
        <item x="272"/>
        <item x="273"/>
        <item x="274"/>
        <item x="275"/>
        <item x="276"/>
        <item x="282"/>
        <item x="277"/>
        <item x="283"/>
        <item x="284"/>
        <item x="285"/>
        <item x="289"/>
        <item x="292"/>
        <item x="299"/>
        <item x="296"/>
        <item x="297"/>
        <item x="298"/>
        <item m="1" x="321"/>
        <item m="1" x="322"/>
        <item m="1" x="323"/>
        <item m="1" x="324"/>
        <item m="1" x="325"/>
        <item m="1" x="318"/>
        <item m="1" x="319"/>
        <item m="1" x="320"/>
        <item x="300"/>
        <item x="301"/>
        <item x="302"/>
        <item x="303"/>
        <item x="304"/>
        <item x="286"/>
        <item x="287"/>
        <item x="288"/>
        <item x="290"/>
        <item x="291"/>
        <item x="293"/>
        <item x="294"/>
        <item x="295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dataField="1" multipleItemSelectionAllowed="1" showAll="0">
      <items count="21">
        <item m="1" x="10"/>
        <item m="1" x="19"/>
        <item x="2"/>
        <item m="1" x="16"/>
        <item m="1" x="11"/>
        <item m="1" x="18"/>
        <item m="1" x="14"/>
        <item m="1" x="13"/>
        <item m="1" x="12"/>
        <item m="1" x="17"/>
        <item m="1" x="15"/>
        <item x="5"/>
        <item x="0"/>
        <item x="1"/>
        <item m="1" x="7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9">
    <i>
      <x v="121"/>
    </i>
    <i>
      <x v="286"/>
    </i>
    <i>
      <x v="6"/>
    </i>
    <i>
      <x v="175"/>
    </i>
    <i>
      <x v="155"/>
    </i>
    <i>
      <x v="125"/>
    </i>
    <i>
      <x v="127"/>
    </i>
    <i>
      <x v="144"/>
    </i>
    <i>
      <x v="240"/>
    </i>
    <i>
      <x v="21"/>
    </i>
    <i>
      <x v="245"/>
    </i>
    <i>
      <x v="178"/>
    </i>
    <i>
      <x v="169"/>
    </i>
    <i>
      <x v="26"/>
    </i>
    <i>
      <x v="268"/>
    </i>
    <i>
      <x v="22"/>
    </i>
    <i>
      <x v="87"/>
    </i>
    <i>
      <x v="117"/>
    </i>
    <i>
      <x v="110"/>
    </i>
    <i>
      <x v="68"/>
    </i>
    <i>
      <x v="142"/>
    </i>
    <i>
      <x v="28"/>
    </i>
    <i>
      <x v="37"/>
    </i>
    <i>
      <x v="134"/>
    </i>
    <i>
      <x v="151"/>
    </i>
    <i>
      <x v="227"/>
    </i>
    <i>
      <x v="207"/>
    </i>
    <i>
      <x v="27"/>
    </i>
    <i>
      <x v="312"/>
    </i>
    <i>
      <x v="29"/>
    </i>
    <i>
      <x v="53"/>
    </i>
    <i>
      <x v="38"/>
    </i>
    <i>
      <x v="113"/>
    </i>
    <i>
      <x v="64"/>
    </i>
    <i>
      <x v="124"/>
    </i>
    <i>
      <x v="269"/>
    </i>
    <i>
      <x v="262"/>
    </i>
    <i>
      <x v="98"/>
    </i>
    <i>
      <x v="314"/>
    </i>
    <i>
      <x v="15"/>
    </i>
    <i>
      <x v="23"/>
    </i>
    <i>
      <x v="24"/>
    </i>
    <i>
      <x v="149"/>
    </i>
    <i>
      <x v="249"/>
    </i>
    <i>
      <x v="171"/>
    </i>
    <i>
      <x v="76"/>
    </i>
    <i>
      <x v="2"/>
    </i>
    <i>
      <x v="284"/>
    </i>
    <i>
      <x v="195"/>
    </i>
    <i>
      <x v="216"/>
    </i>
    <i>
      <x v="223"/>
    </i>
    <i>
      <x v="302"/>
    </i>
    <i>
      <x v="95"/>
    </i>
    <i>
      <x v="182"/>
    </i>
    <i>
      <x v="313"/>
    </i>
    <i>
      <x v="42"/>
    </i>
    <i>
      <x v="281"/>
    </i>
    <i>
      <x v="251"/>
    </i>
    <i>
      <x v="301"/>
    </i>
    <i>
      <x v="31"/>
    </i>
    <i>
      <x v="118"/>
    </i>
    <i>
      <x v="267"/>
    </i>
    <i>
      <x v="13"/>
    </i>
    <i>
      <x v="172"/>
    </i>
    <i>
      <x v="160"/>
    </i>
    <i>
      <x v="109"/>
    </i>
    <i>
      <x v="278"/>
    </i>
    <i>
      <x v="265"/>
    </i>
    <i>
      <x v="140"/>
    </i>
    <i>
      <x v="7"/>
    </i>
    <i>
      <x v="78"/>
    </i>
    <i>
      <x v="257"/>
    </i>
    <i>
      <x v="157"/>
    </i>
    <i>
      <x v="271"/>
    </i>
    <i>
      <x v="11"/>
    </i>
    <i>
      <x v="280"/>
    </i>
    <i>
      <x v="161"/>
    </i>
    <i>
      <x v="311"/>
    </i>
    <i>
      <x v="81"/>
    </i>
    <i>
      <x v="247"/>
    </i>
    <i>
      <x v="176"/>
    </i>
    <i>
      <x v="261"/>
    </i>
    <i>
      <x v="89"/>
    </i>
    <i>
      <x v="34"/>
    </i>
    <i>
      <x v="183"/>
    </i>
    <i>
      <x v="276"/>
    </i>
    <i>
      <x v="185"/>
    </i>
    <i>
      <x v="279"/>
    </i>
    <i>
      <x v="90"/>
    </i>
    <i>
      <x v="285"/>
    </i>
    <i>
      <x v="136"/>
    </i>
    <i>
      <x v="309"/>
    </i>
    <i>
      <x v="139"/>
    </i>
    <i>
      <x v="234"/>
    </i>
    <i>
      <x v="217"/>
    </i>
    <i>
      <x v="79"/>
    </i>
    <i>
      <x v="77"/>
    </i>
    <i>
      <x v="274"/>
    </i>
    <i>
      <x v="191"/>
    </i>
    <i>
      <x v="141"/>
    </i>
    <i>
      <x v="192"/>
    </i>
    <i>
      <x v="54"/>
    </i>
    <i>
      <x v="194"/>
    </i>
    <i>
      <x v="88"/>
    </i>
    <i>
      <x v="316"/>
    </i>
    <i>
      <x v="307"/>
    </i>
    <i>
      <x v="197"/>
    </i>
    <i>
      <x v="255"/>
    </i>
    <i>
      <x v="200"/>
    </i>
    <i>
      <x v="146"/>
    </i>
    <i>
      <x v="202"/>
    </i>
    <i>
      <x v="270"/>
    </i>
    <i>
      <x v="41"/>
    </i>
    <i>
      <x v="147"/>
    </i>
    <i>
      <x v="209"/>
    </i>
    <i>
      <x v="62"/>
    </i>
    <i>
      <x v="212"/>
    </i>
    <i>
      <x v="66"/>
    </i>
    <i>
      <x v="214"/>
    </i>
    <i>
      <x v="150"/>
    </i>
    <i>
      <x v="33"/>
    </i>
    <i>
      <x v="30"/>
    </i>
    <i>
      <x v="322"/>
    </i>
    <i>
      <x v="167"/>
    </i>
    <i>
      <x v="74"/>
    </i>
    <i>
      <x v="50"/>
    </i>
    <i>
      <x v="105"/>
    </i>
    <i>
      <x v="85"/>
    </i>
    <i>
      <x v="106"/>
    </i>
    <i>
      <x v="5"/>
    </i>
    <i>
      <x v="233"/>
    </i>
    <i>
      <x v="174"/>
    </i>
    <i>
      <x v="14"/>
    </i>
    <i>
      <x v="40"/>
    </i>
    <i>
      <x v="238"/>
    </i>
    <i>
      <x v="177"/>
    </i>
    <i>
      <x v="108"/>
    </i>
    <i>
      <x v="123"/>
    </i>
    <i>
      <x v="242"/>
    </i>
    <i>
      <x v="181"/>
    </i>
    <i>
      <x v="243"/>
    </i>
    <i>
      <x v="36"/>
    </i>
    <i>
      <x v="145"/>
    </i>
    <i>
      <x v="306"/>
    </i>
    <i>
      <x v="166"/>
    </i>
    <i>
      <x v="308"/>
    </i>
    <i>
      <x v="248"/>
    </i>
    <i>
      <x v="310"/>
    </i>
    <i>
      <x v="43"/>
    </i>
    <i>
      <x v="130"/>
    </i>
    <i>
      <x v="112"/>
    </i>
    <i>
      <x v="187"/>
    </i>
    <i>
      <x v="254"/>
    </i>
    <i>
      <x v="220"/>
    </i>
    <i>
      <x v="323"/>
    </i>
    <i>
      <x v="156"/>
    </i>
    <i>
      <x v="158"/>
    </i>
    <i>
      <x v="67"/>
    </i>
    <i>
      <x v="252"/>
    </i>
    <i>
      <x v="325"/>
    </i>
    <i>
      <x/>
    </i>
    <i>
      <x v="18"/>
    </i>
    <i>
      <x v="159"/>
    </i>
    <i>
      <x v="148"/>
    </i>
    <i>
      <x v="39"/>
    </i>
    <i>
      <x v="244"/>
    </i>
    <i>
      <x v="80"/>
    </i>
    <i>
      <x v="260"/>
    </i>
    <i>
      <x v="162"/>
    </i>
    <i>
      <x v="277"/>
    </i>
    <i>
      <x v="163"/>
    </i>
    <i>
      <x v="143"/>
    </i>
    <i>
      <x v="164"/>
    </i>
    <i>
      <x v="317"/>
    </i>
    <i>
      <x v="165"/>
    </i>
    <i>
      <x v="115"/>
    </i>
    <i>
      <x v="12"/>
    </i>
    <i>
      <x v="120"/>
    </i>
    <i>
      <x v="82"/>
    </i>
    <i>
      <x v="256"/>
    </i>
    <i>
      <x v="168"/>
    </i>
    <i>
      <x v="264"/>
    </i>
    <i>
      <x v="83"/>
    </i>
    <i>
      <x v="272"/>
    </i>
    <i>
      <x v="170"/>
    </i>
    <i>
      <x v="65"/>
    </i>
    <i>
      <x v="84"/>
    </i>
    <i>
      <x v="289"/>
    </i>
    <i>
      <x v="25"/>
    </i>
    <i>
      <x v="305"/>
    </i>
    <i>
      <x v="173"/>
    </i>
    <i>
      <x v="152"/>
    </i>
    <i>
      <x v="86"/>
    </i>
    <i>
      <x v="321"/>
    </i>
    <i>
      <x v="3"/>
    </i>
    <i>
      <x v="114"/>
    </i>
    <i>
      <x v="4"/>
    </i>
    <i>
      <x v="116"/>
    </i>
    <i>
      <x v="44"/>
    </i>
    <i>
      <x v="246"/>
    </i>
    <i>
      <x v="45"/>
    </i>
    <i>
      <x v="250"/>
    </i>
    <i>
      <x v="179"/>
    </i>
    <i>
      <x v="58"/>
    </i>
    <i>
      <x v="180"/>
    </i>
    <i>
      <x v="258"/>
    </i>
    <i>
      <x v="91"/>
    </i>
    <i>
      <x v="61"/>
    </i>
    <i>
      <x v="92"/>
    </i>
    <i>
      <x v="266"/>
    </i>
    <i>
      <x v="93"/>
    </i>
    <i>
      <x v="132"/>
    </i>
    <i>
      <x v="184"/>
    </i>
    <i>
      <x v="63"/>
    </i>
    <i>
      <x v="94"/>
    </i>
    <i>
      <x v="137"/>
    </i>
    <i>
      <x v="186"/>
    </i>
    <i>
      <x v="283"/>
    </i>
    <i>
      <x v="46"/>
    </i>
    <i>
      <x v="287"/>
    </i>
    <i>
      <x v="188"/>
    </i>
    <i>
      <x v="291"/>
    </i>
    <i>
      <x v="189"/>
    </i>
    <i>
      <x v="303"/>
    </i>
    <i>
      <x v="190"/>
    </i>
    <i>
      <x v="71"/>
    </i>
    <i>
      <x v="96"/>
    </i>
    <i>
      <x v="35"/>
    </i>
    <i>
      <x v="97"/>
    </i>
    <i>
      <x v="315"/>
    </i>
    <i>
      <x v="193"/>
    </i>
    <i>
      <x v="319"/>
    </i>
    <i>
      <x v="47"/>
    </i>
    <i>
      <x v="10"/>
    </i>
    <i>
      <x v="99"/>
    </i>
    <i>
      <x v="1"/>
    </i>
    <i>
      <x v="196"/>
    </i>
    <i>
      <x v="239"/>
    </i>
    <i>
      <x v="100"/>
    </i>
    <i>
      <x v="241"/>
    </i>
    <i>
      <x v="198"/>
    </i>
    <i>
      <x v="55"/>
    </i>
    <i>
      <x v="199"/>
    </i>
    <i>
      <x v="56"/>
    </i>
    <i>
      <x v="101"/>
    </i>
    <i>
      <x v="119"/>
    </i>
    <i>
      <x v="201"/>
    </i>
    <i>
      <x v="57"/>
    </i>
    <i>
      <x v="102"/>
    </i>
    <i>
      <x v="122"/>
    </i>
    <i>
      <x v="203"/>
    </i>
    <i>
      <x v="253"/>
    </i>
    <i>
      <x v="204"/>
    </i>
    <i>
      <x v="59"/>
    </i>
    <i>
      <x v="205"/>
    </i>
    <i>
      <x v="60"/>
    </i>
    <i>
      <x v="206"/>
    </i>
    <i>
      <x v="259"/>
    </i>
    <i>
      <x v="103"/>
    </i>
    <i>
      <x v="126"/>
    </i>
    <i>
      <x v="208"/>
    </i>
    <i>
      <x v="263"/>
    </i>
    <i>
      <x v="104"/>
    </i>
    <i>
      <x v="128"/>
    </i>
    <i>
      <x v="210"/>
    </i>
    <i>
      <x v="129"/>
    </i>
    <i>
      <x v="211"/>
    </i>
    <i>
      <x v="131"/>
    </i>
    <i>
      <x v="48"/>
    </i>
    <i>
      <x v="133"/>
    </i>
    <i>
      <x v="213"/>
    </i>
    <i>
      <x v="273"/>
    </i>
    <i>
      <x v="49"/>
    </i>
    <i>
      <x v="135"/>
    </i>
    <i>
      <x v="215"/>
    </i>
    <i>
      <x v="32"/>
    </i>
    <i>
      <x v="107"/>
    </i>
    <i>
      <x v="138"/>
    </i>
    <i>
      <x v="8"/>
    </i>
    <i>
      <x v="282"/>
    </i>
    <i>
      <x v="218"/>
    </i>
    <i>
      <x v="19"/>
    </i>
    <i>
      <x v="219"/>
    </i>
    <i>
      <x v="20"/>
    </i>
    <i>
      <x v="51"/>
    </i>
    <i>
      <x v="288"/>
    </i>
    <i>
      <x v="221"/>
    </i>
    <i>
      <x v="290"/>
    </i>
    <i>
      <x v="222"/>
    </i>
    <i>
      <x v="292"/>
    </i>
    <i>
      <x v="52"/>
    </i>
    <i>
      <x v="69"/>
    </i>
    <i>
      <x v="224"/>
    </i>
    <i>
      <x v="304"/>
    </i>
    <i>
      <x v="225"/>
    </i>
    <i>
      <x v="70"/>
    </i>
    <i>
      <x v="226"/>
    </i>
    <i>
      <x v="72"/>
    </i>
    <i>
      <x v="111"/>
    </i>
    <i>
      <x v="73"/>
    </i>
    <i>
      <x v="228"/>
    </i>
    <i>
      <x v="75"/>
    </i>
    <i>
      <x v="229"/>
    </i>
    <i>
      <x v="153"/>
    </i>
    <i>
      <x v="230"/>
    </i>
    <i>
      <x v="154"/>
    </i>
    <i>
      <x v="231"/>
    </i>
    <i>
      <x v="318"/>
    </i>
    <i>
      <x v="232"/>
    </i>
    <i>
      <x v="320"/>
    </i>
    <i>
      <x v="16"/>
    </i>
    <i>
      <x v="9"/>
    </i>
    <i>
      <x v="17"/>
    </i>
    <i>
      <x v="324"/>
    </i>
    <i>
      <x v="235"/>
    </i>
    <i>
      <x v="236"/>
    </i>
    <i>
      <x v="237"/>
    </i>
    <i>
      <x v="275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Count of Status" fld="11" subtotal="count" baseField="0" baseItem="0"/>
    <dataField name="Sum of Expected Business" fld="7" baseField="0" baseItem="0"/>
  </dataFields>
  <formats count="3">
    <format dxfId="23">
      <pivotArea outline="0" collapsedLevelsAreSubtotals="1" fieldPosition="0"/>
    </format>
    <format dxfId="24">
      <pivotArea collapsedLevelsAreSubtotals="1" fieldPosition="0">
        <references count="1">
          <reference field="1" count="1">
            <x v="22"/>
          </reference>
        </references>
      </pivotArea>
    </format>
    <format dxfId="25">
      <pivotArea dataOnly="0" labelOnly="1" fieldPosition="0">
        <references count="1">
          <reference field="1" count="1">
            <x v="22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A9417-6E1D-4DF5-BCC2-22820E11E7E4}" name="Table1" displayName="Table1" ref="A1:U978" totalsRowShown="0" headerRowDxfId="22" dataDxfId="21">
  <autoFilter ref="A1:U978" xr:uid="{C6AA9417-6E1D-4DF5-BCC2-22820E11E7E4}">
    <filterColumn colId="11">
      <filters>
        <filter val="Closed(C4)"/>
      </filters>
    </filterColumn>
  </autoFilter>
  <tableColumns count="21">
    <tableColumn id="1" xr3:uid="{8B55C09F-81E2-4FD0-B79F-7FAA48DC7172}" name="Date" dataDxfId="20"/>
    <tableColumn id="2" xr3:uid="{5F735C93-500A-4E50-BDB6-BD242EF9D872}" name="A/C Name" dataDxfId="19"/>
    <tableColumn id="3" xr3:uid="{7DA571E3-E422-4449-A7EE-3808AE10B16E}" name="Connect Status" dataDxfId="18"/>
    <tableColumn id="4" xr3:uid="{1B85CD18-B336-465B-B36E-FB775BCB59CC}" name="TYPE" dataDxfId="17"/>
    <tableColumn id="5" xr3:uid="{721F9644-8780-4FD7-8BDF-55D8616C1A84}" name="Industry" dataDxfId="16"/>
    <tableColumn id="6" xr3:uid="{06842065-CA50-454F-8D90-152129CB52C5}" name="Spoc Name" dataDxfId="15"/>
    <tableColumn id="7" xr3:uid="{3ECDFB47-A747-464E-AA7A-C22E9272FB71}" name="Conversation" dataDxfId="14"/>
    <tableColumn id="8" xr3:uid="{9D9871E6-EC53-4ED6-9800-2E5EFB177E79}" name="Expected Business" dataDxfId="13"/>
    <tableColumn id="23" xr3:uid="{AEFF3F97-180E-45EE-BBF1-645A657C67C4}" name="Actual Closed Business" dataDxfId="12"/>
    <tableColumn id="9" xr3:uid="{67009729-0E9C-4BFE-8716-280CD0FECCC0}" name="Expected Business Month" dataDxfId="11"/>
    <tableColumn id="20" xr3:uid="{5B26F0E9-FE41-430F-8A17-2EF3E16FA905}" name="Region" dataDxfId="10"/>
    <tableColumn id="10" xr3:uid="{7DF00E7C-BFA7-463D-92F3-208AEFDCC380}" name="Status" dataDxfId="9"/>
    <tableColumn id="11" xr3:uid="{FAAB5E5E-8A86-43D6-8180-D511037BC442}" name="Lead Status" dataDxfId="8"/>
    <tableColumn id="12" xr3:uid="{DB651602-CB8D-4514-A5F4-AEE9E29FA024}" name="Reason" dataDxfId="7"/>
    <tableColumn id="13" xr3:uid="{F14963E5-BF1E-4BA5-B9FB-A716EF6BC95D}" name="Expected sales of Haleem" dataDxfId="6"/>
    <tableColumn id="14" xr3:uid="{F42B0751-E193-46A5-B766-E01A00BA4EE4}" name="Actual Business" dataDxfId="5"/>
    <tableColumn id="15" xr3:uid="{445C6523-FCD9-49BE-979F-4CD1191712E7}" name="Punched Date" dataDxfId="4"/>
    <tableColumn id="16" xr3:uid="{BDFDB10A-D58E-405C-B8F7-8DCE63C2CC6C}" name="1st meeting Date" dataDxfId="3"/>
    <tableColumn id="21" xr3:uid="{0CA304A4-365E-4AB4-8852-38407E651CA4}" name="Month" dataDxfId="2">
      <calculatedColumnFormula>TEXT(Table1[[#This Row],[Date]],"MMM-YY")</calculatedColumnFormula>
    </tableColumn>
    <tableColumn id="24" xr3:uid="{AAACA906-0A74-4FF0-A2F1-2DF5EDDE7562}" name="Week" dataDxfId="1">
      <calculatedColumnFormula>_xlfn.ISOWEEKNUM(Table1[[#This Row],[Date]])</calculatedColumnFormula>
    </tableColumn>
    <tableColumn id="22" xr3:uid="{EF802A75-39E2-41D8-BF02-7EE2C5437A34}" name="Year" dataDxfId="0">
      <calculatedColumnFormula>TEXT(Table1[[#This Row],[Date]],"YYYY")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E24A-9F1D-47AC-8009-1CD4339EEB79}">
  <dimension ref="A2:X250"/>
  <sheetViews>
    <sheetView workbookViewId="0"/>
  </sheetViews>
  <sheetFormatPr defaultRowHeight="15"/>
  <cols>
    <col min="1" max="1" width="10.42578125" bestFit="1" customWidth="1"/>
    <col min="2" max="2" width="4.85546875" bestFit="1" customWidth="1"/>
    <col min="3" max="3" width="20.42578125" bestFit="1" customWidth="1"/>
    <col min="4" max="4" width="22.85546875" bestFit="1" customWidth="1"/>
    <col min="5" max="5" width="9.140625" bestFit="1" customWidth="1"/>
    <col min="6" max="6" width="28.85546875" bestFit="1" customWidth="1"/>
    <col min="7" max="7" width="14.28515625" bestFit="1" customWidth="1"/>
    <col min="8" max="8" width="4.85546875" bestFit="1" customWidth="1"/>
    <col min="9" max="9" width="16.140625" bestFit="1" customWidth="1"/>
    <col min="12" max="12" width="32" bestFit="1" customWidth="1"/>
    <col min="13" max="13" width="14.28515625" bestFit="1" customWidth="1"/>
    <col min="14" max="14" width="4.85546875" bestFit="1" customWidth="1"/>
    <col min="15" max="15" width="16.28515625" bestFit="1" customWidth="1"/>
    <col min="18" max="18" width="32" bestFit="1" customWidth="1"/>
    <col min="19" max="19" width="8.42578125" bestFit="1" customWidth="1"/>
    <col min="20" max="20" width="4.85546875" bestFit="1" customWidth="1"/>
    <col min="21" max="21" width="16.28515625" bestFit="1" customWidth="1"/>
  </cols>
  <sheetData>
    <row r="2" spans="1:24">
      <c r="A2" s="6" t="s">
        <v>0</v>
      </c>
      <c r="F2" s="6" t="s">
        <v>1</v>
      </c>
      <c r="L2" s="6" t="s">
        <v>2</v>
      </c>
      <c r="R2" s="6" t="s">
        <v>3</v>
      </c>
    </row>
    <row r="3" spans="1:24">
      <c r="A3" s="1" t="s">
        <v>4</v>
      </c>
      <c r="B3" t="s">
        <v>5</v>
      </c>
      <c r="C3" t="s">
        <v>6</v>
      </c>
      <c r="D3" t="s">
        <v>7</v>
      </c>
      <c r="F3" s="1" t="s">
        <v>8</v>
      </c>
      <c r="G3" s="1" t="s">
        <v>4</v>
      </c>
      <c r="H3" t="s">
        <v>5</v>
      </c>
      <c r="I3" t="s">
        <v>9</v>
      </c>
      <c r="L3" s="1" t="s">
        <v>8</v>
      </c>
      <c r="M3" s="1" t="s">
        <v>4</v>
      </c>
      <c r="N3" t="s">
        <v>5</v>
      </c>
      <c r="O3" t="s">
        <v>10</v>
      </c>
      <c r="R3" s="1" t="s">
        <v>8</v>
      </c>
      <c r="S3" s="1" t="s">
        <v>4</v>
      </c>
      <c r="T3" t="s">
        <v>5</v>
      </c>
      <c r="U3" t="s">
        <v>10</v>
      </c>
    </row>
    <row r="4" spans="1:24">
      <c r="A4" s="2" t="s">
        <v>11</v>
      </c>
      <c r="B4" s="5">
        <v>11</v>
      </c>
      <c r="C4" s="5"/>
      <c r="D4" s="5">
        <v>2061000</v>
      </c>
      <c r="F4" t="s">
        <v>12</v>
      </c>
      <c r="G4" t="s">
        <v>13</v>
      </c>
      <c r="H4" s="5">
        <v>2</v>
      </c>
      <c r="I4" s="5"/>
      <c r="L4" t="s">
        <v>12</v>
      </c>
      <c r="M4" t="s">
        <v>13</v>
      </c>
      <c r="N4" s="5">
        <v>2</v>
      </c>
      <c r="O4" s="3"/>
      <c r="R4" t="s">
        <v>14</v>
      </c>
      <c r="T4" s="5"/>
      <c r="U4" s="5"/>
      <c r="X4" t="s">
        <v>15</v>
      </c>
    </row>
    <row r="5" spans="1:24">
      <c r="A5" s="2" t="s">
        <v>14</v>
      </c>
      <c r="B5" s="5">
        <v>11</v>
      </c>
      <c r="C5" s="5"/>
      <c r="D5" s="5">
        <v>2061000</v>
      </c>
      <c r="F5" t="s">
        <v>12</v>
      </c>
      <c r="G5" t="s">
        <v>16</v>
      </c>
      <c r="H5" s="5">
        <v>8</v>
      </c>
      <c r="I5" s="5"/>
      <c r="L5" t="s">
        <v>12</v>
      </c>
      <c r="M5" t="s">
        <v>16</v>
      </c>
      <c r="N5" s="5">
        <v>8</v>
      </c>
      <c r="O5" s="3"/>
    </row>
    <row r="6" spans="1:24">
      <c r="F6" t="s">
        <v>12</v>
      </c>
      <c r="G6" t="s">
        <v>17</v>
      </c>
      <c r="H6" s="5">
        <v>1</v>
      </c>
      <c r="I6" s="5">
        <v>63225</v>
      </c>
      <c r="L6" t="s">
        <v>12</v>
      </c>
      <c r="M6" t="s">
        <v>17</v>
      </c>
      <c r="N6" s="5">
        <v>1</v>
      </c>
      <c r="O6" s="3">
        <v>63225</v>
      </c>
    </row>
    <row r="7" spans="1:24">
      <c r="F7" t="s">
        <v>18</v>
      </c>
      <c r="H7" s="5">
        <v>11</v>
      </c>
      <c r="I7" s="5">
        <v>63225</v>
      </c>
      <c r="L7" t="s">
        <v>18</v>
      </c>
      <c r="N7" s="5">
        <v>11</v>
      </c>
      <c r="O7" s="3">
        <v>63225</v>
      </c>
    </row>
    <row r="8" spans="1:24">
      <c r="F8" t="s">
        <v>19</v>
      </c>
      <c r="G8" t="s">
        <v>13</v>
      </c>
      <c r="H8" s="5">
        <v>3</v>
      </c>
      <c r="I8" s="5"/>
      <c r="L8" t="s">
        <v>19</v>
      </c>
      <c r="M8" t="s">
        <v>13</v>
      </c>
      <c r="N8" s="5">
        <v>3</v>
      </c>
      <c r="O8" s="3"/>
    </row>
    <row r="9" spans="1:24">
      <c r="F9" t="s">
        <v>19</v>
      </c>
      <c r="G9" t="s">
        <v>16</v>
      </c>
      <c r="H9" s="5">
        <v>11</v>
      </c>
      <c r="I9" s="5">
        <v>40000</v>
      </c>
      <c r="L9" t="s">
        <v>19</v>
      </c>
      <c r="M9" t="s">
        <v>16</v>
      </c>
      <c r="N9" s="5">
        <v>11</v>
      </c>
      <c r="O9" s="3">
        <v>40000</v>
      </c>
    </row>
    <row r="10" spans="1:24">
      <c r="F10" t="s">
        <v>20</v>
      </c>
      <c r="H10" s="5">
        <v>14</v>
      </c>
      <c r="I10" s="5">
        <v>40000</v>
      </c>
      <c r="L10" t="s">
        <v>20</v>
      </c>
      <c r="N10" s="5">
        <v>14</v>
      </c>
      <c r="O10" s="3">
        <v>40000</v>
      </c>
    </row>
    <row r="11" spans="1:24">
      <c r="F11" t="s">
        <v>21</v>
      </c>
      <c r="G11" t="s">
        <v>11</v>
      </c>
      <c r="H11" s="5">
        <v>2</v>
      </c>
      <c r="I11" s="5">
        <v>550000</v>
      </c>
      <c r="L11" t="s">
        <v>21</v>
      </c>
      <c r="N11" s="5">
        <v>133</v>
      </c>
      <c r="O11" s="3">
        <v>4536488</v>
      </c>
    </row>
    <row r="12" spans="1:24">
      <c r="F12" t="s">
        <v>21</v>
      </c>
      <c r="G12" t="s">
        <v>22</v>
      </c>
      <c r="H12" s="5">
        <v>1</v>
      </c>
      <c r="I12" s="5"/>
      <c r="L12" t="s">
        <v>23</v>
      </c>
      <c r="M12" t="s">
        <v>13</v>
      </c>
      <c r="N12" s="5">
        <v>1</v>
      </c>
      <c r="O12" s="3"/>
    </row>
    <row r="13" spans="1:24">
      <c r="F13" t="s">
        <v>21</v>
      </c>
      <c r="G13" t="s">
        <v>13</v>
      </c>
      <c r="H13" s="5">
        <v>1</v>
      </c>
      <c r="I13" s="5"/>
      <c r="L13" t="s">
        <v>24</v>
      </c>
      <c r="N13" s="5">
        <v>1</v>
      </c>
      <c r="O13" s="3"/>
    </row>
    <row r="14" spans="1:24">
      <c r="F14" t="s">
        <v>21</v>
      </c>
      <c r="G14" t="s">
        <v>16</v>
      </c>
      <c r="H14" s="5">
        <v>16</v>
      </c>
      <c r="I14" s="5"/>
      <c r="L14" t="s">
        <v>25</v>
      </c>
      <c r="N14" s="5">
        <v>9</v>
      </c>
      <c r="O14" s="3">
        <v>268910</v>
      </c>
    </row>
    <row r="15" spans="1:24">
      <c r="F15" t="s">
        <v>21</v>
      </c>
      <c r="G15" t="s">
        <v>17</v>
      </c>
      <c r="H15" s="5">
        <v>83</v>
      </c>
      <c r="I15" s="5">
        <v>3526488</v>
      </c>
      <c r="L15" t="s">
        <v>26</v>
      </c>
      <c r="N15" s="5">
        <v>23</v>
      </c>
      <c r="O15" s="3">
        <v>158924</v>
      </c>
    </row>
    <row r="16" spans="1:24">
      <c r="F16" t="s">
        <v>21</v>
      </c>
      <c r="G16" t="s">
        <v>27</v>
      </c>
      <c r="H16" s="5">
        <v>27</v>
      </c>
      <c r="I16" s="5">
        <v>200000</v>
      </c>
      <c r="L16" t="s">
        <v>28</v>
      </c>
      <c r="N16" s="5">
        <v>1</v>
      </c>
      <c r="O16" s="3">
        <v>30000</v>
      </c>
    </row>
    <row r="17" spans="6:15">
      <c r="F17" t="s">
        <v>21</v>
      </c>
      <c r="G17" t="s">
        <v>29</v>
      </c>
      <c r="H17" s="5">
        <v>3</v>
      </c>
      <c r="I17" s="5">
        <v>260000</v>
      </c>
      <c r="L17" t="s">
        <v>30</v>
      </c>
      <c r="N17" s="5">
        <v>1</v>
      </c>
      <c r="O17" s="3"/>
    </row>
    <row r="18" spans="6:15">
      <c r="F18" t="s">
        <v>31</v>
      </c>
      <c r="H18" s="5">
        <v>133</v>
      </c>
      <c r="I18" s="5">
        <v>4536488</v>
      </c>
      <c r="L18" t="s">
        <v>32</v>
      </c>
      <c r="M18" t="s">
        <v>13</v>
      </c>
      <c r="N18" s="5">
        <v>2</v>
      </c>
      <c r="O18" s="3"/>
    </row>
    <row r="19" spans="6:15">
      <c r="F19" t="s">
        <v>23</v>
      </c>
      <c r="G19" t="s">
        <v>13</v>
      </c>
      <c r="H19" s="5">
        <v>1</v>
      </c>
      <c r="I19" s="5"/>
      <c r="L19" t="s">
        <v>32</v>
      </c>
      <c r="M19" t="s">
        <v>16</v>
      </c>
      <c r="N19" s="5">
        <v>4</v>
      </c>
      <c r="O19" s="3">
        <v>35000</v>
      </c>
    </row>
    <row r="20" spans="6:15">
      <c r="F20" t="s">
        <v>24</v>
      </c>
      <c r="H20" s="5">
        <v>1</v>
      </c>
      <c r="I20" s="5"/>
      <c r="L20" t="s">
        <v>32</v>
      </c>
      <c r="M20" t="s">
        <v>17</v>
      </c>
      <c r="N20" s="5">
        <v>27</v>
      </c>
      <c r="O20" s="3">
        <v>1025405</v>
      </c>
    </row>
    <row r="21" spans="6:15">
      <c r="F21" t="s">
        <v>25</v>
      </c>
      <c r="G21" t="s">
        <v>13</v>
      </c>
      <c r="H21" s="5">
        <v>2</v>
      </c>
      <c r="I21" s="5"/>
      <c r="L21" t="s">
        <v>33</v>
      </c>
      <c r="N21" s="5">
        <v>33</v>
      </c>
      <c r="O21" s="3">
        <v>1060405</v>
      </c>
    </row>
    <row r="22" spans="6:15">
      <c r="F22" t="s">
        <v>25</v>
      </c>
      <c r="G22" t="s">
        <v>16</v>
      </c>
      <c r="H22" s="5">
        <v>1</v>
      </c>
      <c r="I22" s="5"/>
      <c r="L22" t="s">
        <v>22</v>
      </c>
      <c r="M22" t="s">
        <v>22</v>
      </c>
      <c r="N22" s="5"/>
      <c r="O22" s="3"/>
    </row>
    <row r="23" spans="6:15">
      <c r="F23" t="s">
        <v>25</v>
      </c>
      <c r="G23" t="s">
        <v>17</v>
      </c>
      <c r="H23" s="5">
        <v>6</v>
      </c>
      <c r="I23" s="5">
        <v>268910</v>
      </c>
      <c r="L23" t="s">
        <v>34</v>
      </c>
      <c r="N23" s="5"/>
      <c r="O23" s="3"/>
    </row>
    <row r="24" spans="6:15">
      <c r="F24" t="s">
        <v>35</v>
      </c>
      <c r="H24" s="5">
        <v>9</v>
      </c>
      <c r="I24" s="5">
        <v>268910</v>
      </c>
      <c r="L24" t="s">
        <v>36</v>
      </c>
      <c r="M24" t="s">
        <v>13</v>
      </c>
      <c r="N24" s="5">
        <v>1</v>
      </c>
      <c r="O24" s="3"/>
    </row>
    <row r="25" spans="6:15">
      <c r="F25" t="s">
        <v>26</v>
      </c>
      <c r="G25" t="s">
        <v>13</v>
      </c>
      <c r="H25" s="5">
        <v>2</v>
      </c>
      <c r="I25" s="5"/>
      <c r="L25" t="s">
        <v>36</v>
      </c>
      <c r="M25" t="s">
        <v>16</v>
      </c>
      <c r="N25" s="5">
        <v>1</v>
      </c>
      <c r="O25" s="3"/>
    </row>
    <row r="26" spans="6:15">
      <c r="F26" t="s">
        <v>26</v>
      </c>
      <c r="G26" t="s">
        <v>16</v>
      </c>
      <c r="H26" s="5">
        <v>18</v>
      </c>
      <c r="I26" s="5">
        <v>80000</v>
      </c>
      <c r="L26" t="s">
        <v>37</v>
      </c>
      <c r="N26" s="5">
        <v>2</v>
      </c>
      <c r="O26" s="3"/>
    </row>
    <row r="27" spans="6:15">
      <c r="F27" t="s">
        <v>26</v>
      </c>
      <c r="G27" t="s">
        <v>17</v>
      </c>
      <c r="H27" s="5">
        <v>2</v>
      </c>
      <c r="I27" s="5">
        <v>48924</v>
      </c>
      <c r="L27" t="s">
        <v>38</v>
      </c>
      <c r="M27" t="s">
        <v>13</v>
      </c>
      <c r="N27" s="5">
        <v>1</v>
      </c>
      <c r="O27" s="3"/>
    </row>
    <row r="28" spans="6:15">
      <c r="F28" t="s">
        <v>26</v>
      </c>
      <c r="G28" t="s">
        <v>29</v>
      </c>
      <c r="H28" s="5">
        <v>1</v>
      </c>
      <c r="I28" s="5">
        <v>30000</v>
      </c>
      <c r="L28" t="s">
        <v>39</v>
      </c>
      <c r="N28" s="5">
        <v>1</v>
      </c>
      <c r="O28" s="3"/>
    </row>
    <row r="29" spans="6:15">
      <c r="F29" t="s">
        <v>40</v>
      </c>
      <c r="H29" s="5">
        <v>23</v>
      </c>
      <c r="I29" s="5">
        <v>158924</v>
      </c>
      <c r="L29" t="s">
        <v>41</v>
      </c>
      <c r="M29" t="s">
        <v>13</v>
      </c>
      <c r="N29" s="5">
        <v>1</v>
      </c>
      <c r="O29" s="3"/>
    </row>
    <row r="30" spans="6:15">
      <c r="F30" t="s">
        <v>28</v>
      </c>
      <c r="G30" t="s">
        <v>13</v>
      </c>
      <c r="H30" s="5">
        <v>1</v>
      </c>
      <c r="I30" s="5">
        <v>30000</v>
      </c>
      <c r="L30" t="s">
        <v>41</v>
      </c>
      <c r="M30" t="s">
        <v>16</v>
      </c>
      <c r="N30" s="5">
        <v>8</v>
      </c>
      <c r="O30" s="3">
        <v>100000</v>
      </c>
    </row>
    <row r="31" spans="6:15">
      <c r="F31" t="s">
        <v>42</v>
      </c>
      <c r="H31" s="5">
        <v>1</v>
      </c>
      <c r="I31" s="5">
        <v>30000</v>
      </c>
      <c r="L31" t="s">
        <v>41</v>
      </c>
      <c r="M31" t="s">
        <v>17</v>
      </c>
      <c r="N31" s="5">
        <v>1</v>
      </c>
      <c r="O31" s="3">
        <v>13047</v>
      </c>
    </row>
    <row r="32" spans="6:15">
      <c r="F32" t="s">
        <v>30</v>
      </c>
      <c r="G32" t="s">
        <v>13</v>
      </c>
      <c r="H32" s="5">
        <v>1</v>
      </c>
      <c r="I32" s="5"/>
      <c r="L32" t="s">
        <v>43</v>
      </c>
      <c r="N32" s="5">
        <v>10</v>
      </c>
      <c r="O32" s="3">
        <v>113047</v>
      </c>
    </row>
    <row r="33" spans="6:15">
      <c r="F33" t="s">
        <v>44</v>
      </c>
      <c r="H33" s="5">
        <v>1</v>
      </c>
      <c r="I33" s="5"/>
      <c r="L33" t="s">
        <v>45</v>
      </c>
      <c r="M33" t="s">
        <v>17</v>
      </c>
      <c r="N33" s="5">
        <v>5</v>
      </c>
      <c r="O33" s="3">
        <v>207430</v>
      </c>
    </row>
    <row r="34" spans="6:15">
      <c r="F34" t="s">
        <v>32</v>
      </c>
      <c r="G34" t="s">
        <v>13</v>
      </c>
      <c r="H34" s="5">
        <v>2</v>
      </c>
      <c r="I34" s="5"/>
      <c r="L34" t="s">
        <v>45</v>
      </c>
      <c r="M34" t="s">
        <v>27</v>
      </c>
      <c r="N34" s="5">
        <v>2</v>
      </c>
      <c r="O34" s="3"/>
    </row>
    <row r="35" spans="6:15">
      <c r="F35" t="s">
        <v>32</v>
      </c>
      <c r="G35" t="s">
        <v>16</v>
      </c>
      <c r="H35" s="5">
        <v>4</v>
      </c>
      <c r="I35" s="5">
        <v>35000</v>
      </c>
      <c r="L35" t="s">
        <v>46</v>
      </c>
      <c r="N35" s="5">
        <v>7</v>
      </c>
      <c r="O35" s="3">
        <v>207430</v>
      </c>
    </row>
    <row r="36" spans="6:15">
      <c r="F36" t="s">
        <v>32</v>
      </c>
      <c r="G36" t="s">
        <v>17</v>
      </c>
      <c r="H36" s="5">
        <v>27</v>
      </c>
      <c r="I36" s="5">
        <v>1025405</v>
      </c>
      <c r="L36" t="s">
        <v>47</v>
      </c>
      <c r="M36" t="s">
        <v>11</v>
      </c>
      <c r="N36" s="5">
        <v>2</v>
      </c>
      <c r="O36" s="3">
        <v>27000</v>
      </c>
    </row>
    <row r="37" spans="6:15">
      <c r="F37" t="s">
        <v>33</v>
      </c>
      <c r="H37" s="5">
        <v>33</v>
      </c>
      <c r="I37" s="5">
        <v>1060405</v>
      </c>
      <c r="L37" t="s">
        <v>47</v>
      </c>
      <c r="M37" t="s">
        <v>13</v>
      </c>
      <c r="N37" s="5">
        <v>9</v>
      </c>
      <c r="O37" s="3"/>
    </row>
    <row r="38" spans="6:15">
      <c r="F38" t="s">
        <v>14</v>
      </c>
      <c r="H38" s="5">
        <v>226</v>
      </c>
      <c r="I38" s="5">
        <v>6157952</v>
      </c>
      <c r="L38" t="s">
        <v>47</v>
      </c>
      <c r="M38" t="s">
        <v>16</v>
      </c>
      <c r="N38" s="5">
        <v>19</v>
      </c>
      <c r="O38" s="3">
        <v>70000</v>
      </c>
    </row>
    <row r="39" spans="6:15">
      <c r="L39" t="s">
        <v>47</v>
      </c>
      <c r="M39" t="s">
        <v>29</v>
      </c>
      <c r="N39" s="5">
        <v>1</v>
      </c>
      <c r="O39" s="3">
        <v>20000</v>
      </c>
    </row>
    <row r="40" spans="6:15">
      <c r="L40" t="s">
        <v>48</v>
      </c>
      <c r="N40" s="5">
        <v>31</v>
      </c>
      <c r="O40" s="3">
        <v>117000</v>
      </c>
    </row>
    <row r="41" spans="6:15">
      <c r="L41" t="s">
        <v>49</v>
      </c>
      <c r="M41" t="s">
        <v>13</v>
      </c>
      <c r="N41" s="5">
        <v>12</v>
      </c>
      <c r="O41" s="3">
        <v>60000</v>
      </c>
    </row>
    <row r="42" spans="6:15">
      <c r="L42" t="s">
        <v>49</v>
      </c>
      <c r="M42" t="s">
        <v>16</v>
      </c>
      <c r="N42" s="5">
        <v>26</v>
      </c>
      <c r="O42" s="3"/>
    </row>
    <row r="43" spans="6:15">
      <c r="L43" t="s">
        <v>49</v>
      </c>
      <c r="M43" t="s">
        <v>17</v>
      </c>
      <c r="N43" s="5">
        <v>7</v>
      </c>
      <c r="O43" s="3">
        <v>353103</v>
      </c>
    </row>
    <row r="44" spans="6:15">
      <c r="L44" t="s">
        <v>49</v>
      </c>
      <c r="M44" t="s">
        <v>27</v>
      </c>
      <c r="N44" s="5">
        <v>4</v>
      </c>
      <c r="O44" s="3"/>
    </row>
    <row r="45" spans="6:15">
      <c r="L45" t="s">
        <v>50</v>
      </c>
      <c r="N45" s="5">
        <v>49</v>
      </c>
      <c r="O45" s="3">
        <v>413103</v>
      </c>
    </row>
    <row r="46" spans="6:15">
      <c r="L46" t="s">
        <v>51</v>
      </c>
      <c r="M46" t="s">
        <v>13</v>
      </c>
      <c r="N46" s="5">
        <v>1</v>
      </c>
      <c r="O46" s="3"/>
    </row>
    <row r="47" spans="6:15">
      <c r="L47" t="s">
        <v>52</v>
      </c>
      <c r="N47" s="5">
        <v>1</v>
      </c>
      <c r="O47" s="3"/>
    </row>
    <row r="48" spans="6:15">
      <c r="L48" t="s">
        <v>53</v>
      </c>
      <c r="M48" t="s">
        <v>11</v>
      </c>
      <c r="N48" s="5">
        <v>1</v>
      </c>
      <c r="O48" s="3">
        <v>200000</v>
      </c>
    </row>
    <row r="49" spans="12:15">
      <c r="L49" t="s">
        <v>53</v>
      </c>
      <c r="M49" t="s">
        <v>13</v>
      </c>
      <c r="N49" s="5">
        <v>9</v>
      </c>
      <c r="O49" s="3">
        <v>25000</v>
      </c>
    </row>
    <row r="50" spans="12:15">
      <c r="L50" t="s">
        <v>53</v>
      </c>
      <c r="M50" t="s">
        <v>16</v>
      </c>
      <c r="N50" s="5">
        <v>7</v>
      </c>
      <c r="O50" s="3">
        <v>90000</v>
      </c>
    </row>
    <row r="51" spans="12:15">
      <c r="L51" t="s">
        <v>53</v>
      </c>
      <c r="M51" t="s">
        <v>17</v>
      </c>
      <c r="N51" s="5">
        <v>6</v>
      </c>
      <c r="O51" s="3">
        <v>315120</v>
      </c>
    </row>
    <row r="52" spans="12:15">
      <c r="L52" t="s">
        <v>53</v>
      </c>
      <c r="M52" t="s">
        <v>27</v>
      </c>
      <c r="N52" s="5">
        <v>1</v>
      </c>
      <c r="O52" s="3"/>
    </row>
    <row r="53" spans="12:15">
      <c r="L53" t="s">
        <v>54</v>
      </c>
      <c r="N53" s="5">
        <v>24</v>
      </c>
      <c r="O53" s="3">
        <v>630120</v>
      </c>
    </row>
    <row r="54" spans="12:15">
      <c r="L54" t="s">
        <v>55</v>
      </c>
      <c r="M54" t="s">
        <v>13</v>
      </c>
      <c r="N54" s="5">
        <v>5</v>
      </c>
      <c r="O54" s="3"/>
    </row>
    <row r="55" spans="12:15">
      <c r="L55" t="s">
        <v>55</v>
      </c>
      <c r="M55" t="s">
        <v>16</v>
      </c>
      <c r="N55" s="5">
        <v>2</v>
      </c>
      <c r="O55" s="3"/>
    </row>
    <row r="56" spans="12:15">
      <c r="L56" t="s">
        <v>56</v>
      </c>
      <c r="N56" s="5">
        <v>7</v>
      </c>
      <c r="O56" s="3"/>
    </row>
    <row r="57" spans="12:15">
      <c r="L57" t="s">
        <v>57</v>
      </c>
      <c r="M57" t="s">
        <v>13</v>
      </c>
      <c r="N57" s="5">
        <v>3</v>
      </c>
      <c r="O57" s="3"/>
    </row>
    <row r="58" spans="12:15">
      <c r="L58" t="s">
        <v>57</v>
      </c>
      <c r="M58" t="s">
        <v>16</v>
      </c>
      <c r="N58" s="5">
        <v>1</v>
      </c>
      <c r="O58" s="3"/>
    </row>
    <row r="59" spans="12:15">
      <c r="L59" t="s">
        <v>58</v>
      </c>
      <c r="N59" s="5">
        <v>4</v>
      </c>
      <c r="O59" s="3"/>
    </row>
    <row r="60" spans="12:15">
      <c r="L60" t="s">
        <v>59</v>
      </c>
      <c r="M60" t="s">
        <v>13</v>
      </c>
      <c r="N60" s="5">
        <v>1</v>
      </c>
      <c r="O60" s="3"/>
    </row>
    <row r="61" spans="12:15">
      <c r="L61" t="s">
        <v>59</v>
      </c>
      <c r="M61" t="s">
        <v>16</v>
      </c>
      <c r="N61" s="5">
        <v>1</v>
      </c>
      <c r="O61" s="3"/>
    </row>
    <row r="62" spans="12:15">
      <c r="L62" t="s">
        <v>60</v>
      </c>
      <c r="N62" s="5">
        <v>2</v>
      </c>
      <c r="O62" s="3"/>
    </row>
    <row r="63" spans="12:15">
      <c r="L63" t="s">
        <v>61</v>
      </c>
      <c r="M63" t="s">
        <v>11</v>
      </c>
      <c r="N63" s="5">
        <v>2</v>
      </c>
      <c r="O63" s="3">
        <v>840000</v>
      </c>
    </row>
    <row r="64" spans="12:15">
      <c r="L64" t="s">
        <v>61</v>
      </c>
      <c r="M64" t="s">
        <v>13</v>
      </c>
      <c r="N64" s="5">
        <v>45</v>
      </c>
      <c r="O64" s="3">
        <v>215000</v>
      </c>
    </row>
    <row r="65" spans="12:15">
      <c r="L65" t="s">
        <v>61</v>
      </c>
      <c r="M65" t="s">
        <v>16</v>
      </c>
      <c r="N65" s="5">
        <v>61</v>
      </c>
      <c r="O65" s="3">
        <v>250000</v>
      </c>
    </row>
    <row r="66" spans="12:15">
      <c r="L66" t="s">
        <v>61</v>
      </c>
      <c r="M66" t="s">
        <v>17</v>
      </c>
      <c r="N66" s="5">
        <v>77</v>
      </c>
      <c r="O66" s="3">
        <v>1953060</v>
      </c>
    </row>
    <row r="67" spans="12:15">
      <c r="L67" t="s">
        <v>61</v>
      </c>
      <c r="M67" t="s">
        <v>27</v>
      </c>
      <c r="N67" s="5">
        <v>15</v>
      </c>
      <c r="O67" s="3">
        <v>31000</v>
      </c>
    </row>
    <row r="68" spans="12:15">
      <c r="L68" t="s">
        <v>61</v>
      </c>
      <c r="M68" t="s">
        <v>29</v>
      </c>
      <c r="N68" s="5">
        <v>3</v>
      </c>
      <c r="O68" s="3">
        <v>140000</v>
      </c>
    </row>
    <row r="69" spans="12:15">
      <c r="L69" t="s">
        <v>62</v>
      </c>
      <c r="N69" s="5">
        <v>203</v>
      </c>
      <c r="O69" s="3">
        <v>3429060</v>
      </c>
    </row>
    <row r="70" spans="12:15">
      <c r="L70" t="s">
        <v>63</v>
      </c>
      <c r="M70" t="s">
        <v>13</v>
      </c>
      <c r="N70" s="5">
        <v>1</v>
      </c>
      <c r="O70" s="3"/>
    </row>
    <row r="71" spans="12:15">
      <c r="L71" t="s">
        <v>63</v>
      </c>
      <c r="M71" t="s">
        <v>16</v>
      </c>
      <c r="N71" s="5">
        <v>1</v>
      </c>
      <c r="O71" s="3"/>
    </row>
    <row r="72" spans="12:15">
      <c r="L72" t="s">
        <v>64</v>
      </c>
      <c r="N72" s="5">
        <v>2</v>
      </c>
      <c r="O72" s="3"/>
    </row>
    <row r="73" spans="12:15">
      <c r="L73" t="s">
        <v>65</v>
      </c>
      <c r="M73" t="s">
        <v>13</v>
      </c>
      <c r="N73" s="5">
        <v>1</v>
      </c>
      <c r="O73" s="3"/>
    </row>
    <row r="74" spans="12:15">
      <c r="L74" t="s">
        <v>65</v>
      </c>
      <c r="M74" t="s">
        <v>16</v>
      </c>
      <c r="N74" s="5">
        <v>1</v>
      </c>
      <c r="O74" s="3"/>
    </row>
    <row r="75" spans="12:15">
      <c r="L75" t="s">
        <v>66</v>
      </c>
      <c r="N75" s="5">
        <v>2</v>
      </c>
      <c r="O75" s="3"/>
    </row>
    <row r="76" spans="12:15">
      <c r="L76" t="s">
        <v>67</v>
      </c>
      <c r="M76" t="s">
        <v>11</v>
      </c>
      <c r="N76" s="5">
        <v>2</v>
      </c>
      <c r="O76" s="3">
        <v>25000</v>
      </c>
    </row>
    <row r="77" spans="12:15">
      <c r="L77" t="s">
        <v>67</v>
      </c>
      <c r="M77" t="s">
        <v>13</v>
      </c>
      <c r="N77" s="5">
        <v>3</v>
      </c>
      <c r="O77" s="3"/>
    </row>
    <row r="78" spans="12:15">
      <c r="L78" t="s">
        <v>67</v>
      </c>
      <c r="M78" t="s">
        <v>16</v>
      </c>
      <c r="N78" s="5">
        <v>3</v>
      </c>
      <c r="O78" s="3"/>
    </row>
    <row r="79" spans="12:15">
      <c r="L79" t="s">
        <v>67</v>
      </c>
      <c r="M79" t="s">
        <v>29</v>
      </c>
      <c r="N79" s="5">
        <v>1</v>
      </c>
      <c r="O79" s="3">
        <v>30000</v>
      </c>
    </row>
    <row r="80" spans="12:15">
      <c r="L80" t="s">
        <v>68</v>
      </c>
      <c r="N80" s="5">
        <v>9</v>
      </c>
      <c r="O80" s="3">
        <v>55000</v>
      </c>
    </row>
    <row r="81" spans="12:15">
      <c r="L81" t="s">
        <v>69</v>
      </c>
      <c r="M81" t="s">
        <v>11</v>
      </c>
      <c r="N81" s="5">
        <v>1</v>
      </c>
      <c r="O81" s="3">
        <v>19000</v>
      </c>
    </row>
    <row r="82" spans="12:15">
      <c r="L82" t="s">
        <v>69</v>
      </c>
      <c r="M82" t="s">
        <v>13</v>
      </c>
      <c r="N82" s="5">
        <v>1</v>
      </c>
      <c r="O82" s="3"/>
    </row>
    <row r="83" spans="12:15">
      <c r="L83" t="s">
        <v>69</v>
      </c>
      <c r="M83" t="s">
        <v>16</v>
      </c>
      <c r="N83" s="5">
        <v>3</v>
      </c>
      <c r="O83" s="3">
        <v>15000</v>
      </c>
    </row>
    <row r="84" spans="12:15">
      <c r="L84" t="s">
        <v>70</v>
      </c>
      <c r="N84" s="5">
        <v>5</v>
      </c>
      <c r="O84" s="3">
        <v>34000</v>
      </c>
    </row>
    <row r="85" spans="12:15">
      <c r="L85" t="s">
        <v>71</v>
      </c>
      <c r="M85" t="s">
        <v>13</v>
      </c>
      <c r="N85" s="5">
        <v>3</v>
      </c>
      <c r="O85" s="3"/>
    </row>
    <row r="86" spans="12:15">
      <c r="L86" t="s">
        <v>71</v>
      </c>
      <c r="M86" t="s">
        <v>16</v>
      </c>
      <c r="N86" s="5">
        <v>6</v>
      </c>
      <c r="O86" s="3"/>
    </row>
    <row r="87" spans="12:15">
      <c r="L87" t="s">
        <v>72</v>
      </c>
      <c r="N87" s="5">
        <v>9</v>
      </c>
      <c r="O87" s="3"/>
    </row>
    <row r="88" spans="12:15">
      <c r="L88" t="s">
        <v>73</v>
      </c>
      <c r="M88" t="s">
        <v>13</v>
      </c>
      <c r="N88" s="5">
        <v>1</v>
      </c>
      <c r="O88" s="3"/>
    </row>
    <row r="89" spans="12:15">
      <c r="L89" t="s">
        <v>74</v>
      </c>
      <c r="N89" s="5">
        <v>1</v>
      </c>
      <c r="O89" s="3"/>
    </row>
    <row r="90" spans="12:15">
      <c r="L90" t="s">
        <v>75</v>
      </c>
      <c r="M90" t="s">
        <v>13</v>
      </c>
      <c r="N90" s="5">
        <v>2</v>
      </c>
      <c r="O90" s="3"/>
    </row>
    <row r="91" spans="12:15">
      <c r="L91" t="s">
        <v>75</v>
      </c>
      <c r="M91" t="s">
        <v>16</v>
      </c>
      <c r="N91" s="5">
        <v>1</v>
      </c>
      <c r="O91" s="3"/>
    </row>
    <row r="92" spans="12:15">
      <c r="L92" t="s">
        <v>76</v>
      </c>
      <c r="N92" s="5">
        <v>3</v>
      </c>
      <c r="O92" s="3"/>
    </row>
    <row r="93" spans="12:15">
      <c r="L93" t="s">
        <v>77</v>
      </c>
      <c r="M93" t="s">
        <v>16</v>
      </c>
      <c r="N93" s="5">
        <v>1</v>
      </c>
      <c r="O93" s="3"/>
    </row>
    <row r="94" spans="12:15">
      <c r="L94" t="s">
        <v>78</v>
      </c>
      <c r="N94" s="5">
        <v>1</v>
      </c>
      <c r="O94" s="3"/>
    </row>
    <row r="95" spans="12:15">
      <c r="L95" t="s">
        <v>79</v>
      </c>
      <c r="M95" t="s">
        <v>13</v>
      </c>
      <c r="N95" s="5">
        <v>1</v>
      </c>
      <c r="O95" s="3"/>
    </row>
    <row r="96" spans="12:15">
      <c r="L96" t="s">
        <v>79</v>
      </c>
      <c r="M96" t="s">
        <v>16</v>
      </c>
      <c r="N96" s="5">
        <v>5</v>
      </c>
      <c r="O96" s="3">
        <v>20000</v>
      </c>
    </row>
    <row r="97" spans="12:15">
      <c r="L97" t="s">
        <v>79</v>
      </c>
      <c r="M97" t="s">
        <v>29</v>
      </c>
      <c r="N97" s="5">
        <v>1</v>
      </c>
      <c r="O97" s="3">
        <v>20000</v>
      </c>
    </row>
    <row r="98" spans="12:15">
      <c r="L98" t="s">
        <v>80</v>
      </c>
      <c r="N98" s="5">
        <v>7</v>
      </c>
      <c r="O98" s="3">
        <v>40000</v>
      </c>
    </row>
    <row r="99" spans="12:15">
      <c r="L99" t="s">
        <v>81</v>
      </c>
      <c r="M99" t="s">
        <v>13</v>
      </c>
      <c r="N99" s="5">
        <v>1</v>
      </c>
      <c r="O99" s="3"/>
    </row>
    <row r="100" spans="12:15">
      <c r="L100" t="s">
        <v>81</v>
      </c>
      <c r="M100" t="s">
        <v>16</v>
      </c>
      <c r="N100" s="5">
        <v>8</v>
      </c>
      <c r="O100" s="3"/>
    </row>
    <row r="101" spans="12:15">
      <c r="L101" t="s">
        <v>81</v>
      </c>
      <c r="M101" t="s">
        <v>17</v>
      </c>
      <c r="N101" s="5">
        <v>1</v>
      </c>
      <c r="O101" s="3">
        <v>18500</v>
      </c>
    </row>
    <row r="102" spans="12:15">
      <c r="L102" t="s">
        <v>81</v>
      </c>
      <c r="M102" t="s">
        <v>27</v>
      </c>
      <c r="N102" s="5">
        <v>1</v>
      </c>
      <c r="O102" s="3"/>
    </row>
    <row r="103" spans="12:15">
      <c r="L103" t="s">
        <v>82</v>
      </c>
      <c r="N103" s="5">
        <v>11</v>
      </c>
      <c r="O103" s="3">
        <v>18500</v>
      </c>
    </row>
    <row r="104" spans="12:15">
      <c r="L104" t="s">
        <v>83</v>
      </c>
      <c r="M104" t="s">
        <v>13</v>
      </c>
      <c r="N104" s="5">
        <v>1</v>
      </c>
      <c r="O104" s="3"/>
    </row>
    <row r="105" spans="12:15">
      <c r="L105" t="s">
        <v>84</v>
      </c>
      <c r="N105" s="5">
        <v>1</v>
      </c>
      <c r="O105" s="3"/>
    </row>
    <row r="106" spans="12:15">
      <c r="L106" t="s">
        <v>85</v>
      </c>
      <c r="M106" t="s">
        <v>16</v>
      </c>
      <c r="N106" s="5">
        <v>1</v>
      </c>
      <c r="O106" s="3"/>
    </row>
    <row r="107" spans="12:15">
      <c r="L107" t="s">
        <v>86</v>
      </c>
      <c r="N107" s="5">
        <v>1</v>
      </c>
      <c r="O107" s="3"/>
    </row>
    <row r="108" spans="12:15">
      <c r="L108" t="s">
        <v>87</v>
      </c>
      <c r="M108" t="s">
        <v>13</v>
      </c>
      <c r="N108" s="5">
        <v>5</v>
      </c>
      <c r="O108" s="3"/>
    </row>
    <row r="109" spans="12:15">
      <c r="L109" t="s">
        <v>87</v>
      </c>
      <c r="M109" t="s">
        <v>16</v>
      </c>
      <c r="N109" s="5">
        <v>11</v>
      </c>
      <c r="O109" s="3"/>
    </row>
    <row r="110" spans="12:15">
      <c r="L110" t="s">
        <v>87</v>
      </c>
      <c r="M110" t="s">
        <v>29</v>
      </c>
      <c r="N110" s="5">
        <v>2</v>
      </c>
      <c r="O110" s="3">
        <v>200000</v>
      </c>
    </row>
    <row r="111" spans="12:15">
      <c r="L111" t="s">
        <v>88</v>
      </c>
      <c r="N111" s="5">
        <v>18</v>
      </c>
      <c r="O111" s="3">
        <v>200000</v>
      </c>
    </row>
    <row r="112" spans="12:15">
      <c r="L112" t="s">
        <v>89</v>
      </c>
      <c r="M112" t="s">
        <v>13</v>
      </c>
      <c r="N112" s="5">
        <v>1</v>
      </c>
      <c r="O112" s="3"/>
    </row>
    <row r="113" spans="12:15">
      <c r="L113" t="s">
        <v>90</v>
      </c>
      <c r="N113" s="5">
        <v>1</v>
      </c>
      <c r="O113" s="3"/>
    </row>
    <row r="114" spans="12:15">
      <c r="L114" t="s">
        <v>91</v>
      </c>
      <c r="M114" t="s">
        <v>13</v>
      </c>
      <c r="N114" s="5">
        <v>3</v>
      </c>
      <c r="O114" s="3"/>
    </row>
    <row r="115" spans="12:15">
      <c r="L115" t="s">
        <v>91</v>
      </c>
      <c r="M115" t="s">
        <v>16</v>
      </c>
      <c r="N115" s="5">
        <v>4</v>
      </c>
      <c r="O115" s="3"/>
    </row>
    <row r="116" spans="12:15">
      <c r="L116" t="s">
        <v>91</v>
      </c>
      <c r="M116" t="s">
        <v>29</v>
      </c>
      <c r="N116" s="5">
        <v>1</v>
      </c>
      <c r="O116" s="3">
        <v>15000</v>
      </c>
    </row>
    <row r="117" spans="12:15">
      <c r="L117" t="s">
        <v>92</v>
      </c>
      <c r="N117" s="5">
        <v>8</v>
      </c>
      <c r="O117" s="3">
        <v>15000</v>
      </c>
    </row>
    <row r="118" spans="12:15">
      <c r="L118" t="s">
        <v>93</v>
      </c>
      <c r="M118" t="s">
        <v>13</v>
      </c>
      <c r="N118" s="5">
        <v>3</v>
      </c>
      <c r="O118" s="3"/>
    </row>
    <row r="119" spans="12:15">
      <c r="L119" t="s">
        <v>94</v>
      </c>
      <c r="N119" s="5">
        <v>3</v>
      </c>
      <c r="O119" s="3"/>
    </row>
    <row r="120" spans="12:15">
      <c r="L120" t="s">
        <v>95</v>
      </c>
      <c r="M120" t="s">
        <v>16</v>
      </c>
      <c r="N120" s="5">
        <v>3</v>
      </c>
      <c r="O120" s="3"/>
    </row>
    <row r="121" spans="12:15">
      <c r="L121" t="s">
        <v>96</v>
      </c>
      <c r="N121" s="5">
        <v>3</v>
      </c>
      <c r="O121" s="3"/>
    </row>
    <row r="122" spans="12:15">
      <c r="L122" t="s">
        <v>97</v>
      </c>
      <c r="M122" t="s">
        <v>16</v>
      </c>
      <c r="N122" s="5">
        <v>2</v>
      </c>
      <c r="O122" s="3"/>
    </row>
    <row r="123" spans="12:15">
      <c r="L123" t="s">
        <v>98</v>
      </c>
      <c r="N123" s="5">
        <v>2</v>
      </c>
      <c r="O123" s="3"/>
    </row>
    <row r="124" spans="12:15">
      <c r="L124" t="s">
        <v>99</v>
      </c>
      <c r="M124" t="s">
        <v>13</v>
      </c>
      <c r="N124" s="5">
        <v>2</v>
      </c>
      <c r="O124" s="3"/>
    </row>
    <row r="125" spans="12:15">
      <c r="L125" t="s">
        <v>99</v>
      </c>
      <c r="M125" t="s">
        <v>16</v>
      </c>
      <c r="N125" s="5">
        <v>1</v>
      </c>
      <c r="O125" s="3"/>
    </row>
    <row r="126" spans="12:15">
      <c r="L126" t="s">
        <v>100</v>
      </c>
      <c r="N126" s="5">
        <v>3</v>
      </c>
      <c r="O126" s="3"/>
    </row>
    <row r="127" spans="12:15">
      <c r="L127" t="s">
        <v>101</v>
      </c>
      <c r="M127" t="s">
        <v>13</v>
      </c>
      <c r="N127" s="5">
        <v>1</v>
      </c>
      <c r="O127" s="3"/>
    </row>
    <row r="128" spans="12:15">
      <c r="L128" t="s">
        <v>101</v>
      </c>
      <c r="M128" t="s">
        <v>16</v>
      </c>
      <c r="N128" s="5">
        <v>5</v>
      </c>
      <c r="O128" s="3">
        <v>20000</v>
      </c>
    </row>
    <row r="129" spans="12:15">
      <c r="L129" t="s">
        <v>102</v>
      </c>
      <c r="N129" s="5">
        <v>6</v>
      </c>
      <c r="O129" s="3">
        <v>20000</v>
      </c>
    </row>
    <row r="130" spans="12:15">
      <c r="L130" t="s">
        <v>103</v>
      </c>
      <c r="M130" t="s">
        <v>13</v>
      </c>
      <c r="N130" s="5">
        <v>2</v>
      </c>
      <c r="O130" s="3">
        <v>50000</v>
      </c>
    </row>
    <row r="131" spans="12:15">
      <c r="L131" t="s">
        <v>103</v>
      </c>
      <c r="M131" t="s">
        <v>16</v>
      </c>
      <c r="N131" s="5">
        <v>1</v>
      </c>
      <c r="O131" s="3"/>
    </row>
    <row r="132" spans="12:15">
      <c r="L132" t="s">
        <v>103</v>
      </c>
      <c r="M132" t="s">
        <v>17</v>
      </c>
      <c r="N132" s="5">
        <v>2</v>
      </c>
      <c r="O132" s="3">
        <v>53102</v>
      </c>
    </row>
    <row r="133" spans="12:15">
      <c r="L133" t="s">
        <v>104</v>
      </c>
      <c r="N133" s="5">
        <v>5</v>
      </c>
      <c r="O133" s="3">
        <v>103102</v>
      </c>
    </row>
    <row r="134" spans="12:15">
      <c r="L134" t="s">
        <v>105</v>
      </c>
      <c r="M134" t="s">
        <v>13</v>
      </c>
      <c r="N134" s="5">
        <v>2</v>
      </c>
      <c r="O134" s="3"/>
    </row>
    <row r="135" spans="12:15">
      <c r="L135" t="s">
        <v>105</v>
      </c>
      <c r="M135" t="s">
        <v>16</v>
      </c>
      <c r="N135" s="5">
        <v>3</v>
      </c>
      <c r="O135" s="3"/>
    </row>
    <row r="136" spans="12:15">
      <c r="L136" t="s">
        <v>106</v>
      </c>
      <c r="N136" s="5">
        <v>5</v>
      </c>
      <c r="O136" s="3"/>
    </row>
    <row r="137" spans="12:15">
      <c r="L137" t="s">
        <v>107</v>
      </c>
      <c r="M137" t="s">
        <v>13</v>
      </c>
      <c r="N137" s="5">
        <v>1</v>
      </c>
      <c r="O137" s="3"/>
    </row>
    <row r="138" spans="12:15">
      <c r="L138" t="s">
        <v>108</v>
      </c>
      <c r="N138" s="5">
        <v>1</v>
      </c>
      <c r="O138" s="3"/>
    </row>
    <row r="139" spans="12:15">
      <c r="L139" t="s">
        <v>109</v>
      </c>
      <c r="M139" t="s">
        <v>13</v>
      </c>
      <c r="N139" s="5">
        <v>1</v>
      </c>
      <c r="O139" s="3"/>
    </row>
    <row r="140" spans="12:15">
      <c r="L140" t="s">
        <v>110</v>
      </c>
      <c r="N140" s="5">
        <v>1</v>
      </c>
      <c r="O140" s="3"/>
    </row>
    <row r="141" spans="12:15">
      <c r="L141" t="s">
        <v>111</v>
      </c>
      <c r="M141" t="s">
        <v>13</v>
      </c>
      <c r="N141" s="5">
        <v>1</v>
      </c>
      <c r="O141" s="3"/>
    </row>
    <row r="142" spans="12:15">
      <c r="L142" t="s">
        <v>112</v>
      </c>
      <c r="N142" s="5">
        <v>1</v>
      </c>
      <c r="O142" s="3"/>
    </row>
    <row r="143" spans="12:15">
      <c r="L143" t="s">
        <v>113</v>
      </c>
      <c r="M143" t="s">
        <v>16</v>
      </c>
      <c r="N143" s="5">
        <v>1</v>
      </c>
      <c r="O143" s="3"/>
    </row>
    <row r="144" spans="12:15">
      <c r="L144" t="s">
        <v>114</v>
      </c>
      <c r="N144" s="5">
        <v>1</v>
      </c>
      <c r="O144" s="3"/>
    </row>
    <row r="145" spans="12:15">
      <c r="L145" t="s">
        <v>115</v>
      </c>
      <c r="M145" t="s">
        <v>16</v>
      </c>
      <c r="N145" s="5">
        <v>1</v>
      </c>
      <c r="O145" s="3"/>
    </row>
    <row r="146" spans="12:15">
      <c r="L146" t="s">
        <v>116</v>
      </c>
      <c r="N146" s="5">
        <v>1</v>
      </c>
      <c r="O146" s="3"/>
    </row>
    <row r="147" spans="12:15">
      <c r="L147" t="s">
        <v>117</v>
      </c>
      <c r="M147" t="s">
        <v>13</v>
      </c>
      <c r="N147" s="5">
        <v>1</v>
      </c>
      <c r="O147" s="3"/>
    </row>
    <row r="148" spans="12:15">
      <c r="L148" t="s">
        <v>118</v>
      </c>
      <c r="N148" s="5">
        <v>1</v>
      </c>
      <c r="O148" s="3"/>
    </row>
    <row r="149" spans="12:15">
      <c r="L149" t="s">
        <v>119</v>
      </c>
      <c r="M149" t="s">
        <v>13</v>
      </c>
      <c r="N149" s="5">
        <v>2</v>
      </c>
      <c r="O149" s="3"/>
    </row>
    <row r="150" spans="12:15">
      <c r="L150" t="s">
        <v>119</v>
      </c>
      <c r="M150" t="s">
        <v>16</v>
      </c>
      <c r="N150" s="5">
        <v>2</v>
      </c>
      <c r="O150" s="3"/>
    </row>
    <row r="151" spans="12:15">
      <c r="L151" t="s">
        <v>120</v>
      </c>
      <c r="N151" s="5">
        <v>4</v>
      </c>
      <c r="O151" s="3"/>
    </row>
    <row r="152" spans="12:15">
      <c r="L152" t="s">
        <v>121</v>
      </c>
      <c r="M152" t="s">
        <v>16</v>
      </c>
      <c r="N152" s="5">
        <v>1</v>
      </c>
      <c r="O152" s="3"/>
    </row>
    <row r="153" spans="12:15">
      <c r="L153" t="s">
        <v>122</v>
      </c>
      <c r="N153" s="5">
        <v>1</v>
      </c>
      <c r="O153" s="3"/>
    </row>
    <row r="154" spans="12:15">
      <c r="L154" t="s">
        <v>123</v>
      </c>
      <c r="M154" t="s">
        <v>13</v>
      </c>
      <c r="N154" s="5">
        <v>1</v>
      </c>
      <c r="O154" s="3"/>
    </row>
    <row r="155" spans="12:15">
      <c r="L155" t="s">
        <v>124</v>
      </c>
      <c r="N155" s="5">
        <v>1</v>
      </c>
      <c r="O155" s="3"/>
    </row>
    <row r="156" spans="12:15">
      <c r="L156" t="s">
        <v>125</v>
      </c>
      <c r="M156" t="s">
        <v>13</v>
      </c>
      <c r="N156" s="5">
        <v>1</v>
      </c>
      <c r="O156" s="3"/>
    </row>
    <row r="157" spans="12:15">
      <c r="L157" t="s">
        <v>125</v>
      </c>
      <c r="M157" t="s">
        <v>16</v>
      </c>
      <c r="N157" s="5">
        <v>1</v>
      </c>
      <c r="O157" s="3">
        <v>20000</v>
      </c>
    </row>
    <row r="158" spans="12:15">
      <c r="L158" t="s">
        <v>126</v>
      </c>
      <c r="N158" s="5">
        <v>2</v>
      </c>
      <c r="O158" s="3">
        <v>20000</v>
      </c>
    </row>
    <row r="159" spans="12:15">
      <c r="L159" t="s">
        <v>127</v>
      </c>
      <c r="M159" t="s">
        <v>13</v>
      </c>
      <c r="N159" s="5">
        <v>1</v>
      </c>
      <c r="O159" s="3"/>
    </row>
    <row r="160" spans="12:15">
      <c r="L160" t="s">
        <v>127</v>
      </c>
      <c r="M160" t="s">
        <v>17</v>
      </c>
      <c r="N160" s="5">
        <v>1</v>
      </c>
      <c r="O160" s="3">
        <v>7305</v>
      </c>
    </row>
    <row r="161" spans="12:15">
      <c r="L161" t="s">
        <v>128</v>
      </c>
      <c r="N161" s="5">
        <v>2</v>
      </c>
      <c r="O161" s="3">
        <v>7305</v>
      </c>
    </row>
    <row r="162" spans="12:15">
      <c r="L162" t="s">
        <v>129</v>
      </c>
      <c r="M162" t="s">
        <v>13</v>
      </c>
      <c r="N162" s="5">
        <v>2</v>
      </c>
      <c r="O162" s="3"/>
    </row>
    <row r="163" spans="12:15">
      <c r="L163" t="s">
        <v>129</v>
      </c>
      <c r="M163" t="s">
        <v>16</v>
      </c>
      <c r="N163" s="5">
        <v>2</v>
      </c>
      <c r="O163" s="3"/>
    </row>
    <row r="164" spans="12:15">
      <c r="L164" t="s">
        <v>129</v>
      </c>
      <c r="M164" t="s">
        <v>17</v>
      </c>
      <c r="N164" s="5">
        <v>4</v>
      </c>
      <c r="O164" s="3">
        <v>182005</v>
      </c>
    </row>
    <row r="165" spans="12:15">
      <c r="L165" t="s">
        <v>130</v>
      </c>
      <c r="N165" s="5">
        <v>8</v>
      </c>
      <c r="O165" s="3">
        <v>182005</v>
      </c>
    </row>
    <row r="166" spans="12:15">
      <c r="L166" t="s">
        <v>131</v>
      </c>
      <c r="M166" t="s">
        <v>13</v>
      </c>
      <c r="N166" s="5">
        <v>2</v>
      </c>
      <c r="O166" s="3"/>
    </row>
    <row r="167" spans="12:15">
      <c r="L167" t="s">
        <v>132</v>
      </c>
      <c r="N167" s="5">
        <v>2</v>
      </c>
      <c r="O167" s="3"/>
    </row>
    <row r="168" spans="12:15">
      <c r="L168" t="s">
        <v>133</v>
      </c>
      <c r="M168" t="s">
        <v>13</v>
      </c>
      <c r="N168" s="5">
        <v>1</v>
      </c>
      <c r="O168" s="3"/>
    </row>
    <row r="169" spans="12:15">
      <c r="L169" t="s">
        <v>134</v>
      </c>
      <c r="N169" s="5">
        <v>1</v>
      </c>
      <c r="O169" s="3"/>
    </row>
    <row r="170" spans="12:15">
      <c r="L170" t="s">
        <v>135</v>
      </c>
      <c r="M170" t="s">
        <v>13</v>
      </c>
      <c r="N170" s="5">
        <v>3</v>
      </c>
      <c r="O170" s="3"/>
    </row>
    <row r="171" spans="12:15">
      <c r="L171" t="s">
        <v>135</v>
      </c>
      <c r="M171" t="s">
        <v>16</v>
      </c>
      <c r="N171" s="5">
        <v>4</v>
      </c>
      <c r="O171" s="3"/>
    </row>
    <row r="172" spans="12:15">
      <c r="L172" t="s">
        <v>135</v>
      </c>
      <c r="M172" t="s">
        <v>17</v>
      </c>
      <c r="N172" s="5">
        <v>26</v>
      </c>
      <c r="O172" s="3">
        <v>296109</v>
      </c>
    </row>
    <row r="173" spans="12:15">
      <c r="L173" t="s">
        <v>136</v>
      </c>
      <c r="N173" s="5">
        <v>33</v>
      </c>
      <c r="O173" s="3">
        <v>296109</v>
      </c>
    </row>
    <row r="174" spans="12:15">
      <c r="L174" t="s">
        <v>137</v>
      </c>
      <c r="M174" t="s">
        <v>13</v>
      </c>
      <c r="N174" s="5">
        <v>1</v>
      </c>
      <c r="O174" s="3"/>
    </row>
    <row r="175" spans="12:15">
      <c r="L175" t="s">
        <v>138</v>
      </c>
      <c r="N175" s="5">
        <v>1</v>
      </c>
      <c r="O175" s="3"/>
    </row>
    <row r="176" spans="12:15">
      <c r="L176" t="s">
        <v>139</v>
      </c>
      <c r="M176" t="s">
        <v>13</v>
      </c>
      <c r="N176" s="5">
        <v>2</v>
      </c>
      <c r="O176" s="3"/>
    </row>
    <row r="177" spans="12:15">
      <c r="L177" t="s">
        <v>139</v>
      </c>
      <c r="M177" t="s">
        <v>16</v>
      </c>
      <c r="N177" s="5">
        <v>2</v>
      </c>
      <c r="O177" s="3"/>
    </row>
    <row r="178" spans="12:15">
      <c r="L178" t="s">
        <v>139</v>
      </c>
      <c r="M178" t="s">
        <v>17</v>
      </c>
      <c r="N178" s="5">
        <v>2</v>
      </c>
      <c r="O178" s="3">
        <v>37392</v>
      </c>
    </row>
    <row r="179" spans="12:15">
      <c r="L179" t="s">
        <v>140</v>
      </c>
      <c r="N179" s="5">
        <v>6</v>
      </c>
      <c r="O179" s="3">
        <v>37392</v>
      </c>
    </row>
    <row r="180" spans="12:15">
      <c r="L180" t="s">
        <v>141</v>
      </c>
      <c r="M180" t="s">
        <v>13</v>
      </c>
      <c r="N180" s="5">
        <v>1</v>
      </c>
      <c r="O180" s="3"/>
    </row>
    <row r="181" spans="12:15">
      <c r="L181" t="s">
        <v>141</v>
      </c>
      <c r="M181" t="s">
        <v>16</v>
      </c>
      <c r="N181" s="5">
        <v>1</v>
      </c>
      <c r="O181" s="3"/>
    </row>
    <row r="182" spans="12:15">
      <c r="L182" t="s">
        <v>142</v>
      </c>
      <c r="N182" s="5">
        <v>2</v>
      </c>
      <c r="O182" s="3"/>
    </row>
    <row r="183" spans="12:15">
      <c r="L183" t="s">
        <v>143</v>
      </c>
      <c r="M183" t="s">
        <v>13</v>
      </c>
      <c r="N183" s="5">
        <v>1</v>
      </c>
      <c r="O183" s="3"/>
    </row>
    <row r="184" spans="12:15">
      <c r="L184" t="s">
        <v>143</v>
      </c>
      <c r="M184" t="s">
        <v>16</v>
      </c>
      <c r="N184" s="5">
        <v>1</v>
      </c>
      <c r="O184" s="3">
        <v>20000</v>
      </c>
    </row>
    <row r="185" spans="12:15">
      <c r="L185" t="s">
        <v>144</v>
      </c>
      <c r="N185" s="5">
        <v>2</v>
      </c>
      <c r="O185" s="3">
        <v>20000</v>
      </c>
    </row>
    <row r="186" spans="12:15">
      <c r="L186" t="s">
        <v>145</v>
      </c>
      <c r="M186" t="s">
        <v>13</v>
      </c>
      <c r="N186" s="5">
        <v>1</v>
      </c>
      <c r="O186" s="3"/>
    </row>
    <row r="187" spans="12:15">
      <c r="L187" t="s">
        <v>145</v>
      </c>
      <c r="M187" t="s">
        <v>16</v>
      </c>
      <c r="N187" s="5">
        <v>8</v>
      </c>
      <c r="O187" s="3">
        <v>100000</v>
      </c>
    </row>
    <row r="188" spans="12:15">
      <c r="L188" t="s">
        <v>145</v>
      </c>
      <c r="M188" t="s">
        <v>17</v>
      </c>
      <c r="N188" s="5">
        <v>9</v>
      </c>
      <c r="O188" s="3">
        <v>182438</v>
      </c>
    </row>
    <row r="189" spans="12:15">
      <c r="L189" t="s">
        <v>146</v>
      </c>
      <c r="N189" s="5">
        <v>18</v>
      </c>
      <c r="O189" s="3">
        <v>282438</v>
      </c>
    </row>
    <row r="190" spans="12:15">
      <c r="L190" t="s">
        <v>147</v>
      </c>
      <c r="M190" t="s">
        <v>13</v>
      </c>
      <c r="N190" s="5">
        <v>1</v>
      </c>
      <c r="O190" s="3"/>
    </row>
    <row r="191" spans="12:15">
      <c r="L191" t="s">
        <v>148</v>
      </c>
      <c r="N191" s="5">
        <v>1</v>
      </c>
      <c r="O191" s="3"/>
    </row>
    <row r="192" spans="12:15">
      <c r="L192" t="s">
        <v>149</v>
      </c>
      <c r="M192" t="s">
        <v>13</v>
      </c>
      <c r="N192" s="5">
        <v>2</v>
      </c>
      <c r="O192" s="3"/>
    </row>
    <row r="193" spans="12:15">
      <c r="L193" t="s">
        <v>150</v>
      </c>
      <c r="N193" s="5">
        <v>2</v>
      </c>
      <c r="O193" s="3"/>
    </row>
    <row r="194" spans="12:15">
      <c r="L194" t="s">
        <v>151</v>
      </c>
      <c r="M194" t="s">
        <v>13</v>
      </c>
      <c r="N194" s="5">
        <v>1</v>
      </c>
      <c r="O194" s="3"/>
    </row>
    <row r="195" spans="12:15">
      <c r="L195" t="s">
        <v>152</v>
      </c>
      <c r="N195" s="5">
        <v>1</v>
      </c>
      <c r="O195" s="3"/>
    </row>
    <row r="196" spans="12:15">
      <c r="L196" t="s">
        <v>153</v>
      </c>
      <c r="M196" t="s">
        <v>13</v>
      </c>
      <c r="N196" s="5">
        <v>2</v>
      </c>
      <c r="O196" s="3"/>
    </row>
    <row r="197" spans="12:15">
      <c r="L197" t="s">
        <v>153</v>
      </c>
      <c r="M197" t="s">
        <v>16</v>
      </c>
      <c r="N197" s="5">
        <v>2</v>
      </c>
      <c r="O197" s="3"/>
    </row>
    <row r="198" spans="12:15">
      <c r="L198" t="s">
        <v>154</v>
      </c>
      <c r="N198" s="5">
        <v>4</v>
      </c>
      <c r="O198" s="3"/>
    </row>
    <row r="199" spans="12:15">
      <c r="L199" t="s">
        <v>155</v>
      </c>
      <c r="M199" t="s">
        <v>13</v>
      </c>
      <c r="N199" s="5">
        <v>1</v>
      </c>
      <c r="O199" s="3"/>
    </row>
    <row r="200" spans="12:15">
      <c r="L200" t="s">
        <v>156</v>
      </c>
      <c r="N200" s="5">
        <v>1</v>
      </c>
      <c r="O200" s="3"/>
    </row>
    <row r="201" spans="12:15">
      <c r="L201" t="s">
        <v>157</v>
      </c>
      <c r="M201" t="s">
        <v>13</v>
      </c>
      <c r="N201" s="5">
        <v>1</v>
      </c>
      <c r="O201" s="3"/>
    </row>
    <row r="202" spans="12:15">
      <c r="L202" t="s">
        <v>157</v>
      </c>
      <c r="M202" t="s">
        <v>16</v>
      </c>
      <c r="N202" s="5">
        <v>1</v>
      </c>
      <c r="O202" s="3"/>
    </row>
    <row r="203" spans="12:15">
      <c r="L203" t="s">
        <v>158</v>
      </c>
      <c r="N203" s="5">
        <v>2</v>
      </c>
      <c r="O203" s="3"/>
    </row>
    <row r="204" spans="12:15">
      <c r="L204" t="s">
        <v>159</v>
      </c>
      <c r="M204" t="s">
        <v>17</v>
      </c>
      <c r="N204" s="5">
        <v>1</v>
      </c>
      <c r="O204" s="3">
        <v>22414</v>
      </c>
    </row>
    <row r="205" spans="12:15">
      <c r="L205" t="s">
        <v>160</v>
      </c>
      <c r="N205" s="5">
        <v>1</v>
      </c>
      <c r="O205" s="3">
        <v>22414</v>
      </c>
    </row>
    <row r="206" spans="12:15">
      <c r="L206" t="s">
        <v>161</v>
      </c>
      <c r="M206" t="s">
        <v>16</v>
      </c>
      <c r="N206" s="5">
        <v>2</v>
      </c>
      <c r="O206" s="3">
        <v>30000</v>
      </c>
    </row>
    <row r="207" spans="12:15">
      <c r="L207" t="s">
        <v>162</v>
      </c>
      <c r="N207" s="5">
        <v>2</v>
      </c>
      <c r="O207" s="3">
        <v>30000</v>
      </c>
    </row>
    <row r="208" spans="12:15">
      <c r="L208" t="s">
        <v>163</v>
      </c>
      <c r="M208" t="s">
        <v>16</v>
      </c>
      <c r="N208" s="5">
        <v>3</v>
      </c>
      <c r="O208" s="3">
        <v>200000</v>
      </c>
    </row>
    <row r="209" spans="12:15">
      <c r="L209" t="s">
        <v>164</v>
      </c>
      <c r="N209" s="5">
        <v>3</v>
      </c>
      <c r="O209" s="3">
        <v>200000</v>
      </c>
    </row>
    <row r="210" spans="12:15">
      <c r="L210" t="s">
        <v>165</v>
      </c>
      <c r="M210" t="s">
        <v>11</v>
      </c>
      <c r="N210" s="5">
        <v>1</v>
      </c>
      <c r="O210" s="3">
        <v>400000</v>
      </c>
    </row>
    <row r="211" spans="12:15">
      <c r="L211" t="s">
        <v>166</v>
      </c>
      <c r="N211" s="5">
        <v>1</v>
      </c>
      <c r="O211" s="3">
        <v>400000</v>
      </c>
    </row>
    <row r="212" spans="12:15">
      <c r="L212" t="s">
        <v>167</v>
      </c>
      <c r="M212" t="s">
        <v>17</v>
      </c>
      <c r="N212" s="5">
        <v>2</v>
      </c>
      <c r="O212" s="3">
        <v>54169</v>
      </c>
    </row>
    <row r="213" spans="12:15">
      <c r="L213" t="s">
        <v>168</v>
      </c>
      <c r="N213" s="5">
        <v>2</v>
      </c>
      <c r="O213" s="3">
        <v>54169</v>
      </c>
    </row>
    <row r="214" spans="12:15">
      <c r="L214" t="s">
        <v>169</v>
      </c>
      <c r="M214" t="s">
        <v>16</v>
      </c>
      <c r="N214" s="5">
        <v>1</v>
      </c>
      <c r="O214" s="3"/>
    </row>
    <row r="215" spans="12:15">
      <c r="L215" t="s">
        <v>170</v>
      </c>
      <c r="N215" s="5">
        <v>1</v>
      </c>
      <c r="O215" s="3"/>
    </row>
    <row r="216" spans="12:15">
      <c r="L216" t="s">
        <v>171</v>
      </c>
      <c r="M216" t="s">
        <v>16</v>
      </c>
      <c r="N216" s="5">
        <v>1</v>
      </c>
      <c r="O216" s="3"/>
    </row>
    <row r="217" spans="12:15">
      <c r="L217" t="s">
        <v>172</v>
      </c>
      <c r="N217" s="5">
        <v>1</v>
      </c>
      <c r="O217" s="3"/>
    </row>
    <row r="218" spans="12:15">
      <c r="L218" t="s">
        <v>173</v>
      </c>
      <c r="M218" t="s">
        <v>17</v>
      </c>
      <c r="N218" s="5">
        <v>2</v>
      </c>
      <c r="O218" s="3">
        <v>42000</v>
      </c>
    </row>
    <row r="219" spans="12:15">
      <c r="L219" t="s">
        <v>173</v>
      </c>
      <c r="M219" t="s">
        <v>27</v>
      </c>
      <c r="N219" s="5">
        <v>1</v>
      </c>
      <c r="O219" s="3"/>
    </row>
    <row r="220" spans="12:15">
      <c r="L220" t="s">
        <v>174</v>
      </c>
      <c r="N220" s="5">
        <v>3</v>
      </c>
      <c r="O220" s="3">
        <v>42000</v>
      </c>
    </row>
    <row r="221" spans="12:15">
      <c r="L221" t="s">
        <v>175</v>
      </c>
      <c r="M221" t="s">
        <v>16</v>
      </c>
      <c r="N221" s="5">
        <v>1</v>
      </c>
      <c r="O221" s="3"/>
    </row>
    <row r="222" spans="12:15">
      <c r="L222" t="s">
        <v>176</v>
      </c>
      <c r="N222" s="5">
        <v>1</v>
      </c>
      <c r="O222" s="3"/>
    </row>
    <row r="223" spans="12:15">
      <c r="L223" t="s">
        <v>177</v>
      </c>
      <c r="M223" t="s">
        <v>16</v>
      </c>
      <c r="N223" s="5">
        <v>1</v>
      </c>
      <c r="O223" s="3"/>
    </row>
    <row r="224" spans="12:15">
      <c r="L224" t="s">
        <v>178</v>
      </c>
      <c r="N224" s="5">
        <v>1</v>
      </c>
      <c r="O224" s="3"/>
    </row>
    <row r="225" spans="12:15">
      <c r="L225" t="s">
        <v>179</v>
      </c>
      <c r="M225" t="s">
        <v>16</v>
      </c>
      <c r="N225" s="5">
        <v>1</v>
      </c>
      <c r="O225" s="3"/>
    </row>
    <row r="226" spans="12:15">
      <c r="L226" t="s">
        <v>179</v>
      </c>
      <c r="M226" t="s">
        <v>17</v>
      </c>
      <c r="N226" s="5">
        <v>54</v>
      </c>
      <c r="O226" s="3">
        <v>652088</v>
      </c>
    </row>
    <row r="227" spans="12:15">
      <c r="L227" t="s">
        <v>179</v>
      </c>
      <c r="M227" t="s">
        <v>27</v>
      </c>
      <c r="N227" s="5">
        <v>5</v>
      </c>
      <c r="O227" s="3"/>
    </row>
    <row r="228" spans="12:15">
      <c r="L228" t="s">
        <v>180</v>
      </c>
      <c r="N228" s="5">
        <v>60</v>
      </c>
      <c r="O228" s="3">
        <v>652088</v>
      </c>
    </row>
    <row r="229" spans="12:15">
      <c r="L229" t="s">
        <v>181</v>
      </c>
      <c r="M229" t="s">
        <v>16</v>
      </c>
      <c r="N229" s="5">
        <v>3</v>
      </c>
      <c r="O229" s="3">
        <v>15000</v>
      </c>
    </row>
    <row r="230" spans="12:15">
      <c r="L230" t="s">
        <v>181</v>
      </c>
      <c r="M230" t="s">
        <v>17</v>
      </c>
      <c r="N230" s="5">
        <v>4</v>
      </c>
      <c r="O230" s="3">
        <v>57622</v>
      </c>
    </row>
    <row r="231" spans="12:15">
      <c r="L231" t="s">
        <v>182</v>
      </c>
      <c r="N231" s="5">
        <v>7</v>
      </c>
      <c r="O231" s="3">
        <v>72622</v>
      </c>
    </row>
    <row r="232" spans="12:15">
      <c r="L232" t="s">
        <v>183</v>
      </c>
      <c r="M232" t="s">
        <v>16</v>
      </c>
      <c r="N232" s="5">
        <v>11</v>
      </c>
      <c r="O232" s="3">
        <v>1490000</v>
      </c>
    </row>
    <row r="233" spans="12:15">
      <c r="L233" t="s">
        <v>183</v>
      </c>
      <c r="M233" t="s">
        <v>17</v>
      </c>
      <c r="N233" s="5">
        <v>26</v>
      </c>
      <c r="O233" s="3">
        <v>611262</v>
      </c>
    </row>
    <row r="234" spans="12:15">
      <c r="L234" t="s">
        <v>183</v>
      </c>
      <c r="M234" t="s">
        <v>27</v>
      </c>
      <c r="N234" s="5">
        <v>1</v>
      </c>
      <c r="O234" s="3"/>
    </row>
    <row r="235" spans="12:15">
      <c r="L235" t="s">
        <v>183</v>
      </c>
      <c r="M235" t="s">
        <v>29</v>
      </c>
      <c r="N235" s="5">
        <v>1</v>
      </c>
      <c r="O235" s="3">
        <v>100500</v>
      </c>
    </row>
    <row r="236" spans="12:15">
      <c r="L236" t="s">
        <v>184</v>
      </c>
      <c r="N236" s="5">
        <v>39</v>
      </c>
      <c r="O236" s="3">
        <v>2201762</v>
      </c>
    </row>
    <row r="237" spans="12:15">
      <c r="L237" t="s">
        <v>185</v>
      </c>
      <c r="M237" t="s">
        <v>17</v>
      </c>
      <c r="N237" s="5">
        <v>1</v>
      </c>
      <c r="O237" s="3">
        <v>9010</v>
      </c>
    </row>
    <row r="238" spans="12:15">
      <c r="L238" t="s">
        <v>186</v>
      </c>
      <c r="N238" s="5">
        <v>1</v>
      </c>
      <c r="O238" s="3">
        <v>9010</v>
      </c>
    </row>
    <row r="239" spans="12:15">
      <c r="L239" t="s">
        <v>187</v>
      </c>
      <c r="M239" t="s">
        <v>13</v>
      </c>
      <c r="N239" s="5">
        <v>1</v>
      </c>
      <c r="O239" s="3">
        <v>15000</v>
      </c>
    </row>
    <row r="240" spans="12:15">
      <c r="L240" t="s">
        <v>188</v>
      </c>
      <c r="N240" s="5">
        <v>1</v>
      </c>
      <c r="O240" s="3">
        <v>15000</v>
      </c>
    </row>
    <row r="241" spans="12:15">
      <c r="L241" t="s">
        <v>189</v>
      </c>
      <c r="M241" t="s">
        <v>17</v>
      </c>
      <c r="N241" s="5">
        <v>6</v>
      </c>
      <c r="O241" s="3">
        <v>617096</v>
      </c>
    </row>
    <row r="242" spans="12:15">
      <c r="L242" t="s">
        <v>190</v>
      </c>
      <c r="N242" s="5">
        <v>6</v>
      </c>
      <c r="O242" s="3">
        <v>617096</v>
      </c>
    </row>
    <row r="243" spans="12:15">
      <c r="L243" t="s">
        <v>191</v>
      </c>
      <c r="M243" t="s">
        <v>17</v>
      </c>
      <c r="N243" s="5">
        <v>1</v>
      </c>
      <c r="O243" s="3">
        <v>81342</v>
      </c>
    </row>
    <row r="244" spans="12:15">
      <c r="L244" t="s">
        <v>192</v>
      </c>
      <c r="N244" s="5">
        <v>1</v>
      </c>
      <c r="O244" s="3">
        <v>81342</v>
      </c>
    </row>
    <row r="245" spans="12:15">
      <c r="L245" t="s">
        <v>193</v>
      </c>
      <c r="M245" t="s">
        <v>27</v>
      </c>
      <c r="N245" s="5">
        <v>2</v>
      </c>
      <c r="O245" s="3">
        <v>350000</v>
      </c>
    </row>
    <row r="246" spans="12:15">
      <c r="L246" t="s">
        <v>193</v>
      </c>
      <c r="M246" t="s">
        <v>29</v>
      </c>
      <c r="N246" s="5">
        <v>3</v>
      </c>
      <c r="O246" s="3">
        <v>460000</v>
      </c>
    </row>
    <row r="247" spans="12:15">
      <c r="L247" t="s">
        <v>194</v>
      </c>
      <c r="N247" s="5">
        <v>5</v>
      </c>
      <c r="O247" s="3">
        <v>810000</v>
      </c>
    </row>
    <row r="248" spans="12:15">
      <c r="L248" t="s">
        <v>195</v>
      </c>
      <c r="M248" t="s">
        <v>16</v>
      </c>
      <c r="N248" s="5">
        <v>13</v>
      </c>
      <c r="O248" s="3">
        <v>565000</v>
      </c>
    </row>
    <row r="249" spans="12:15">
      <c r="L249" t="s">
        <v>196</v>
      </c>
      <c r="N249" s="5">
        <v>13</v>
      </c>
      <c r="O249" s="3">
        <v>565000</v>
      </c>
    </row>
    <row r="250" spans="12:15">
      <c r="L250" t="s">
        <v>14</v>
      </c>
      <c r="N250" s="5">
        <v>922</v>
      </c>
      <c r="O250" s="3">
        <v>18171066</v>
      </c>
    </row>
  </sheetData>
  <pageMargins left="0.7" right="0.7" top="0.75" bottom="0.75" header="0.3" footer="0.3"/>
  <pageSetup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0A54-B6E4-49B5-BBB9-647EC37C3CC2}">
  <dimension ref="A1:X978"/>
  <sheetViews>
    <sheetView tabSelected="1" topLeftCell="C1" zoomScaleNormal="100" workbookViewId="0">
      <pane ySplit="1" topLeftCell="A837" activePane="bottomLeft" state="frozen"/>
      <selection pane="bottomLeft" activeCell="J843" sqref="J843"/>
    </sheetView>
  </sheetViews>
  <sheetFormatPr defaultColWidth="8.7109375" defaultRowHeight="15"/>
  <cols>
    <col min="1" max="1" width="12" style="4" bestFit="1" customWidth="1"/>
    <col min="2" max="2" width="34.140625" style="4" customWidth="1"/>
    <col min="3" max="3" width="13" style="4" customWidth="1"/>
    <col min="4" max="4" width="15" style="4" customWidth="1"/>
    <col min="5" max="5" width="17" style="4" customWidth="1"/>
    <col min="6" max="6" width="16.85546875" style="4" customWidth="1"/>
    <col min="7" max="7" width="44.28515625" style="17" customWidth="1"/>
    <col min="8" max="9" width="11.85546875" style="4" customWidth="1"/>
    <col min="10" max="10" width="16.85546875" style="4" customWidth="1"/>
    <col min="11" max="11" width="10.7109375" style="4" customWidth="1"/>
    <col min="12" max="12" width="14.42578125" style="4" bestFit="1" customWidth="1"/>
    <col min="13" max="13" width="16" style="4" customWidth="1"/>
    <col min="14" max="14" width="37.85546875" style="4" customWidth="1"/>
    <col min="15" max="15" width="16.140625" style="4" customWidth="1"/>
    <col min="16" max="16" width="15.85546875" style="4" customWidth="1"/>
    <col min="17" max="17" width="14.28515625" style="4" customWidth="1"/>
    <col min="18" max="18" width="16.7109375" style="4" customWidth="1"/>
    <col min="19" max="19" width="8.7109375" style="4"/>
    <col min="20" max="20" width="10.85546875" style="4" customWidth="1"/>
    <col min="21" max="23" width="8.7109375" style="4"/>
    <col min="24" max="24" width="10.85546875" style="4" bestFit="1" customWidth="1"/>
    <col min="25" max="16384" width="8.7109375" style="4"/>
  </cols>
  <sheetData>
    <row r="1" spans="1:24" ht="45">
      <c r="A1" s="4" t="s">
        <v>197</v>
      </c>
      <c r="B1" s="4" t="s">
        <v>198</v>
      </c>
      <c r="C1" s="4" t="s">
        <v>199</v>
      </c>
      <c r="D1" s="4" t="s">
        <v>200</v>
      </c>
      <c r="E1" s="4" t="s">
        <v>8</v>
      </c>
      <c r="F1" s="4" t="s">
        <v>201</v>
      </c>
      <c r="G1" s="17" t="s">
        <v>202</v>
      </c>
      <c r="H1" s="20" t="s">
        <v>203</v>
      </c>
      <c r="I1" s="20" t="s">
        <v>204</v>
      </c>
      <c r="J1" s="20" t="s">
        <v>205</v>
      </c>
      <c r="K1" s="4" t="s">
        <v>206</v>
      </c>
      <c r="L1" s="4" t="s">
        <v>4</v>
      </c>
      <c r="M1" s="4" t="s">
        <v>207</v>
      </c>
      <c r="N1" s="4" t="s">
        <v>208</v>
      </c>
      <c r="O1" s="20" t="s">
        <v>209</v>
      </c>
      <c r="P1" s="4" t="s">
        <v>210</v>
      </c>
      <c r="Q1" s="4" t="s">
        <v>211</v>
      </c>
      <c r="R1" s="4" t="s">
        <v>212</v>
      </c>
      <c r="S1" s="4" t="s">
        <v>213</v>
      </c>
      <c r="T1" s="4" t="s">
        <v>214</v>
      </c>
      <c r="U1" s="4" t="s">
        <v>215</v>
      </c>
    </row>
    <row r="2" spans="1:24" hidden="1">
      <c r="A2" s="19">
        <v>45534</v>
      </c>
      <c r="B2" s="4" t="s">
        <v>216</v>
      </c>
      <c r="C2" s="4" t="s">
        <v>217</v>
      </c>
      <c r="D2" s="4" t="s">
        <v>195</v>
      </c>
      <c r="E2" s="4" t="s">
        <v>38</v>
      </c>
      <c r="F2" s="4" t="s">
        <v>218</v>
      </c>
      <c r="G2" s="17" t="s">
        <v>219</v>
      </c>
      <c r="J2" s="31">
        <v>45536</v>
      </c>
      <c r="K2" s="4" t="s">
        <v>220</v>
      </c>
      <c r="L2" s="4" t="s">
        <v>13</v>
      </c>
      <c r="M2" s="4" t="s">
        <v>221</v>
      </c>
      <c r="S2" s="4" t="str">
        <f>TEXT(Table1[[#This Row],[Date]],"MMM-YY")</f>
        <v>Aug-24</v>
      </c>
      <c r="T2" s="4">
        <f>_xlfn.ISOWEEKNUM(Table1[[#This Row],[Date]])</f>
        <v>35</v>
      </c>
      <c r="U2" s="4" t="str">
        <f>TEXT(Table1[[#This Row],[Expected Business Month]],"YYYY")</f>
        <v>2024</v>
      </c>
      <c r="X2" s="4" t="s">
        <v>13</v>
      </c>
    </row>
    <row r="3" spans="1:24" hidden="1">
      <c r="A3" s="19">
        <v>45537</v>
      </c>
      <c r="B3" s="4" t="s">
        <v>222</v>
      </c>
      <c r="C3" s="4" t="s">
        <v>217</v>
      </c>
      <c r="D3" s="4" t="s">
        <v>195</v>
      </c>
      <c r="E3" s="4" t="s">
        <v>41</v>
      </c>
      <c r="F3" s="4" t="s">
        <v>223</v>
      </c>
      <c r="G3" s="17" t="s">
        <v>219</v>
      </c>
      <c r="J3" s="31">
        <v>45536</v>
      </c>
      <c r="K3" s="4" t="s">
        <v>220</v>
      </c>
      <c r="L3" s="4" t="s">
        <v>13</v>
      </c>
      <c r="M3" s="4" t="s">
        <v>221</v>
      </c>
      <c r="S3" s="4" t="str">
        <f>TEXT(Table1[[#This Row],[Date]],"MMM-YY")</f>
        <v>Sep-24</v>
      </c>
      <c r="T3" s="4">
        <f>_xlfn.ISOWEEKNUM(Table1[[#This Row],[Date]])</f>
        <v>36</v>
      </c>
      <c r="U3" s="4" t="str">
        <f>TEXT(Table1[[#This Row],[Expected Business Month]],"YYYY")</f>
        <v>2024</v>
      </c>
      <c r="X3" s="4" t="s">
        <v>16</v>
      </c>
    </row>
    <row r="4" spans="1:24" hidden="1">
      <c r="A4" s="19">
        <v>45537</v>
      </c>
      <c r="B4" s="4" t="s">
        <v>224</v>
      </c>
      <c r="C4" s="4" t="s">
        <v>225</v>
      </c>
      <c r="D4" s="4" t="s">
        <v>195</v>
      </c>
      <c r="E4" s="4" t="s">
        <v>47</v>
      </c>
      <c r="F4" s="4" t="s">
        <v>226</v>
      </c>
      <c r="G4" s="17" t="s">
        <v>219</v>
      </c>
      <c r="J4" s="31">
        <v>45536</v>
      </c>
      <c r="K4" s="4" t="s">
        <v>220</v>
      </c>
      <c r="L4" s="4" t="s">
        <v>16</v>
      </c>
      <c r="M4" s="4" t="s">
        <v>221</v>
      </c>
      <c r="S4" s="4" t="str">
        <f>TEXT(Table1[[#This Row],[Date]],"MMM-YY")</f>
        <v>Sep-24</v>
      </c>
      <c r="T4" s="4">
        <f>_xlfn.ISOWEEKNUM(Table1[[#This Row],[Date]])</f>
        <v>36</v>
      </c>
      <c r="U4" s="4" t="str">
        <f>TEXT(Table1[[#This Row],[Expected Business Month]],"YYYY")</f>
        <v>2024</v>
      </c>
      <c r="X4" s="4" t="s">
        <v>29</v>
      </c>
    </row>
    <row r="5" spans="1:24" hidden="1">
      <c r="A5" s="19">
        <v>45538</v>
      </c>
      <c r="B5" s="4" t="s">
        <v>227</v>
      </c>
      <c r="C5" s="4" t="s">
        <v>217</v>
      </c>
      <c r="D5" s="4" t="s">
        <v>195</v>
      </c>
      <c r="E5" s="4" t="s">
        <v>51</v>
      </c>
      <c r="F5" s="4" t="s">
        <v>228</v>
      </c>
      <c r="G5" s="17" t="s">
        <v>229</v>
      </c>
      <c r="J5" s="31">
        <v>45627</v>
      </c>
      <c r="K5" s="4" t="s">
        <v>220</v>
      </c>
      <c r="L5" s="4" t="s">
        <v>13</v>
      </c>
      <c r="M5" s="4" t="s">
        <v>221</v>
      </c>
      <c r="S5" s="4" t="str">
        <f>TEXT(Table1[[#This Row],[Date]],"MMM-YY")</f>
        <v>Sep-24</v>
      </c>
      <c r="T5" s="4">
        <f>_xlfn.ISOWEEKNUM(Table1[[#This Row],[Date]])</f>
        <v>36</v>
      </c>
      <c r="U5" s="4" t="str">
        <f>TEXT(Table1[[#This Row],[Expected Business Month]],"YYYY")</f>
        <v>2024</v>
      </c>
      <c r="X5" s="4" t="s">
        <v>27</v>
      </c>
    </row>
    <row r="6" spans="1:24" hidden="1">
      <c r="A6" s="19">
        <v>45538</v>
      </c>
      <c r="B6" s="4" t="s">
        <v>230</v>
      </c>
      <c r="C6" s="4" t="s">
        <v>217</v>
      </c>
      <c r="D6" s="4" t="s">
        <v>183</v>
      </c>
      <c r="E6" s="4" t="s">
        <v>49</v>
      </c>
      <c r="F6" s="4" t="s">
        <v>231</v>
      </c>
      <c r="G6" s="17" t="s">
        <v>229</v>
      </c>
      <c r="J6" s="31">
        <v>45597</v>
      </c>
      <c r="K6" s="4" t="s">
        <v>220</v>
      </c>
      <c r="L6" s="4" t="s">
        <v>13</v>
      </c>
      <c r="M6" s="4" t="s">
        <v>221</v>
      </c>
      <c r="S6" s="4" t="str">
        <f>TEXT(Table1[[#This Row],[Date]],"MMM-YY")</f>
        <v>Sep-24</v>
      </c>
      <c r="T6" s="4">
        <f>_xlfn.ISOWEEKNUM(Table1[[#This Row],[Date]])</f>
        <v>36</v>
      </c>
      <c r="U6" s="4" t="str">
        <f>TEXT(Table1[[#This Row],[Expected Business Month]],"YYYY")</f>
        <v>2024</v>
      </c>
      <c r="X6" s="4" t="s">
        <v>17</v>
      </c>
    </row>
    <row r="7" spans="1:24" hidden="1">
      <c r="A7" s="19">
        <v>45538</v>
      </c>
      <c r="B7" s="4" t="s">
        <v>232</v>
      </c>
      <c r="C7" s="4" t="s">
        <v>225</v>
      </c>
      <c r="D7" s="4" t="s">
        <v>183</v>
      </c>
      <c r="E7" s="4" t="s">
        <v>49</v>
      </c>
      <c r="F7" s="4" t="s">
        <v>233</v>
      </c>
      <c r="G7" s="17" t="s">
        <v>229</v>
      </c>
      <c r="J7" s="31">
        <v>45536</v>
      </c>
      <c r="K7" s="4" t="s">
        <v>234</v>
      </c>
      <c r="L7" s="4" t="s">
        <v>13</v>
      </c>
      <c r="M7" s="4" t="s">
        <v>235</v>
      </c>
      <c r="S7" s="4" t="str">
        <f>TEXT(Table1[[#This Row],[Date]],"MMM-YY")</f>
        <v>Sep-24</v>
      </c>
      <c r="T7" s="4">
        <f>_xlfn.ISOWEEKNUM(Table1[[#This Row],[Date]])</f>
        <v>36</v>
      </c>
      <c r="U7" s="4" t="str">
        <f>TEXT(Table1[[#This Row],[Expected Business Month]],"YYYY")</f>
        <v>2024</v>
      </c>
      <c r="X7" s="4" t="s">
        <v>11</v>
      </c>
    </row>
    <row r="8" spans="1:24" hidden="1">
      <c r="A8" s="19">
        <v>45539</v>
      </c>
      <c r="B8" s="4" t="s">
        <v>236</v>
      </c>
      <c r="C8" s="4" t="s">
        <v>217</v>
      </c>
      <c r="D8" s="4" t="s">
        <v>183</v>
      </c>
      <c r="E8" s="4" t="s">
        <v>49</v>
      </c>
      <c r="F8" s="4" t="s">
        <v>237</v>
      </c>
      <c r="G8" s="17" t="s">
        <v>229</v>
      </c>
      <c r="J8" s="31">
        <v>45597</v>
      </c>
      <c r="K8" s="4" t="s">
        <v>220</v>
      </c>
      <c r="L8" s="4" t="s">
        <v>13</v>
      </c>
      <c r="M8" s="4" t="s">
        <v>221</v>
      </c>
      <c r="S8" s="4" t="str">
        <f>TEXT(Table1[[#This Row],[Date]],"MMM-YY")</f>
        <v>Sep-24</v>
      </c>
      <c r="T8" s="4">
        <f>_xlfn.ISOWEEKNUM(Table1[[#This Row],[Date]])</f>
        <v>36</v>
      </c>
      <c r="U8" s="4" t="str">
        <f>TEXT(Table1[[#This Row],[Expected Business Month]],"YYYY")</f>
        <v>2024</v>
      </c>
    </row>
    <row r="9" spans="1:24" hidden="1">
      <c r="A9" s="19">
        <v>45539</v>
      </c>
      <c r="B9" s="4" t="s">
        <v>238</v>
      </c>
      <c r="C9" s="4" t="s">
        <v>217</v>
      </c>
      <c r="D9" s="4" t="s">
        <v>195</v>
      </c>
      <c r="E9" s="4" t="s">
        <v>47</v>
      </c>
      <c r="F9" s="4" t="s">
        <v>239</v>
      </c>
      <c r="G9" s="17" t="s">
        <v>240</v>
      </c>
      <c r="J9" s="31">
        <v>45597</v>
      </c>
      <c r="K9" s="4" t="s">
        <v>220</v>
      </c>
      <c r="L9" s="4" t="s">
        <v>13</v>
      </c>
      <c r="M9" s="4" t="s">
        <v>221</v>
      </c>
      <c r="S9" s="4" t="str">
        <f>TEXT(Table1[[#This Row],[Date]],"MMM-YY")</f>
        <v>Sep-24</v>
      </c>
      <c r="T9" s="4">
        <f>_xlfn.ISOWEEKNUM(Table1[[#This Row],[Date]])</f>
        <v>36</v>
      </c>
      <c r="U9" s="4" t="str">
        <f>TEXT(Table1[[#This Row],[Expected Business Month]],"YYYY")</f>
        <v>2024</v>
      </c>
    </row>
    <row r="10" spans="1:24" hidden="1">
      <c r="A10" s="19">
        <v>45539</v>
      </c>
      <c r="B10" s="4" t="s">
        <v>241</v>
      </c>
      <c r="C10" s="4" t="s">
        <v>217</v>
      </c>
      <c r="D10" s="4" t="s">
        <v>195</v>
      </c>
      <c r="E10" s="4" t="s">
        <v>12</v>
      </c>
      <c r="F10" s="4" t="s">
        <v>242</v>
      </c>
      <c r="G10" s="17" t="s">
        <v>240</v>
      </c>
      <c r="J10" s="31">
        <v>45536</v>
      </c>
      <c r="K10" s="4" t="s">
        <v>220</v>
      </c>
      <c r="L10" s="4" t="s">
        <v>13</v>
      </c>
      <c r="M10" s="4" t="s">
        <v>221</v>
      </c>
      <c r="S10" s="4" t="str">
        <f>TEXT(Table1[[#This Row],[Date]],"MMM-YY")</f>
        <v>Sep-24</v>
      </c>
      <c r="T10" s="4">
        <f>_xlfn.ISOWEEKNUM(Table1[[#This Row],[Date]])</f>
        <v>36</v>
      </c>
      <c r="U10" s="4" t="str">
        <f>TEXT(Table1[[#This Row],[Expected Business Month]],"YYYY")</f>
        <v>2024</v>
      </c>
    </row>
    <row r="11" spans="1:24" hidden="1">
      <c r="A11" s="19">
        <v>45540</v>
      </c>
      <c r="B11" s="4" t="s">
        <v>243</v>
      </c>
      <c r="C11" s="4" t="s">
        <v>217</v>
      </c>
      <c r="D11" s="4" t="s">
        <v>195</v>
      </c>
      <c r="E11" s="4" t="s">
        <v>53</v>
      </c>
      <c r="F11" s="4" t="s">
        <v>244</v>
      </c>
      <c r="G11" s="17" t="s">
        <v>240</v>
      </c>
      <c r="J11" s="31">
        <v>45627</v>
      </c>
      <c r="K11" s="4" t="s">
        <v>220</v>
      </c>
      <c r="L11" s="4" t="s">
        <v>13</v>
      </c>
      <c r="M11" s="4" t="s">
        <v>221</v>
      </c>
      <c r="S11" s="4" t="str">
        <f>TEXT(Table1[[#This Row],[Date]],"MMM-YY")</f>
        <v>Sep-24</v>
      </c>
      <c r="T11" s="4">
        <f>_xlfn.ISOWEEKNUM(Table1[[#This Row],[Date]])</f>
        <v>36</v>
      </c>
      <c r="U11" s="4" t="str">
        <f>TEXT(Table1[[#This Row],[Expected Business Month]],"YYYY")</f>
        <v>2024</v>
      </c>
    </row>
    <row r="12" spans="1:24" hidden="1">
      <c r="A12" s="19">
        <v>45540</v>
      </c>
      <c r="B12" s="4" t="s">
        <v>245</v>
      </c>
      <c r="C12" s="4" t="s">
        <v>217</v>
      </c>
      <c r="D12" s="4" t="s">
        <v>195</v>
      </c>
      <c r="E12" s="4" t="s">
        <v>47</v>
      </c>
      <c r="F12" s="4" t="s">
        <v>246</v>
      </c>
      <c r="G12" s="17" t="s">
        <v>219</v>
      </c>
      <c r="J12" s="31">
        <v>45536</v>
      </c>
      <c r="K12" s="4" t="s">
        <v>220</v>
      </c>
      <c r="L12" s="4" t="s">
        <v>13</v>
      </c>
      <c r="M12" s="4" t="s">
        <v>221</v>
      </c>
      <c r="S12" s="4" t="str">
        <f>TEXT(Table1[[#This Row],[Date]],"MMM-YY")</f>
        <v>Sep-24</v>
      </c>
      <c r="T12" s="4">
        <f>_xlfn.ISOWEEKNUM(Table1[[#This Row],[Date]])</f>
        <v>36</v>
      </c>
      <c r="U12" s="4" t="str">
        <f>TEXT(Table1[[#This Row],[Expected Business Month]],"YYYY")</f>
        <v>2024</v>
      </c>
    </row>
    <row r="13" spans="1:24" hidden="1">
      <c r="A13" s="19">
        <v>45540</v>
      </c>
      <c r="B13" s="4" t="s">
        <v>247</v>
      </c>
      <c r="C13" s="4" t="s">
        <v>217</v>
      </c>
      <c r="D13" s="4" t="s">
        <v>195</v>
      </c>
      <c r="E13" s="4" t="s">
        <v>47</v>
      </c>
      <c r="F13" s="4" t="s">
        <v>248</v>
      </c>
      <c r="G13" s="17" t="s">
        <v>240</v>
      </c>
      <c r="J13" s="31">
        <v>45536</v>
      </c>
      <c r="K13" s="4" t="s">
        <v>220</v>
      </c>
      <c r="L13" s="4" t="s">
        <v>13</v>
      </c>
      <c r="M13" s="4" t="s">
        <v>221</v>
      </c>
      <c r="S13" s="4" t="str">
        <f>TEXT(Table1[[#This Row],[Date]],"MMM-YY")</f>
        <v>Sep-24</v>
      </c>
      <c r="T13" s="4">
        <f>_xlfn.ISOWEEKNUM(Table1[[#This Row],[Date]])</f>
        <v>36</v>
      </c>
      <c r="U13" s="4" t="str">
        <f>TEXT(Table1[[#This Row],[Expected Business Month]],"YYYY")</f>
        <v>2024</v>
      </c>
    </row>
    <row r="14" spans="1:24" hidden="1">
      <c r="A14" s="19">
        <v>45541</v>
      </c>
      <c r="B14" s="4" t="s">
        <v>249</v>
      </c>
      <c r="C14" s="4" t="s">
        <v>217</v>
      </c>
      <c r="D14" s="4" t="s">
        <v>195</v>
      </c>
      <c r="E14" s="4" t="s">
        <v>59</v>
      </c>
      <c r="F14" s="4" t="s">
        <v>250</v>
      </c>
      <c r="G14" s="17" t="s">
        <v>240</v>
      </c>
      <c r="J14" s="31">
        <v>45536</v>
      </c>
      <c r="K14" s="4" t="s">
        <v>220</v>
      </c>
      <c r="L14" s="4" t="s">
        <v>13</v>
      </c>
      <c r="M14" s="4" t="s">
        <v>221</v>
      </c>
      <c r="S14" s="4" t="str">
        <f>TEXT(Table1[[#This Row],[Date]],"MMM-YY")</f>
        <v>Sep-24</v>
      </c>
      <c r="T14" s="4">
        <f>_xlfn.ISOWEEKNUM(Table1[[#This Row],[Date]])</f>
        <v>36</v>
      </c>
      <c r="U14" s="4" t="str">
        <f>TEXT(Table1[[#This Row],[Expected Business Month]],"YYYY")</f>
        <v>2024</v>
      </c>
    </row>
    <row r="15" spans="1:24" hidden="1">
      <c r="A15" s="19">
        <v>45541</v>
      </c>
      <c r="B15" s="4" t="s">
        <v>251</v>
      </c>
      <c r="C15" s="4" t="s">
        <v>217</v>
      </c>
      <c r="D15" s="4" t="s">
        <v>195</v>
      </c>
      <c r="E15" s="4" t="s">
        <v>57</v>
      </c>
      <c r="F15" s="4" t="s">
        <v>252</v>
      </c>
      <c r="G15" s="17" t="s">
        <v>240</v>
      </c>
      <c r="J15" s="31">
        <v>45536</v>
      </c>
      <c r="K15" s="4" t="s">
        <v>220</v>
      </c>
      <c r="L15" s="4" t="s">
        <v>13</v>
      </c>
      <c r="M15" s="4" t="s">
        <v>221</v>
      </c>
      <c r="S15" s="4" t="str">
        <f>TEXT(Table1[[#This Row],[Date]],"MMM-YY")</f>
        <v>Sep-24</v>
      </c>
      <c r="T15" s="4">
        <f>_xlfn.ISOWEEKNUM(Table1[[#This Row],[Date]])</f>
        <v>36</v>
      </c>
      <c r="U15" s="4" t="str">
        <f>TEXT(Table1[[#This Row],[Expected Business Month]],"YYYY")</f>
        <v>2024</v>
      </c>
    </row>
    <row r="16" spans="1:24" hidden="1">
      <c r="A16" s="19">
        <v>45541</v>
      </c>
      <c r="B16" s="4" t="s">
        <v>253</v>
      </c>
      <c r="C16" s="4" t="s">
        <v>217</v>
      </c>
      <c r="D16" s="4" t="s">
        <v>195</v>
      </c>
      <c r="E16" s="4" t="s">
        <v>55</v>
      </c>
      <c r="F16" s="4" t="s">
        <v>250</v>
      </c>
      <c r="G16" s="17" t="s">
        <v>240</v>
      </c>
      <c r="J16" s="31">
        <v>45536</v>
      </c>
      <c r="K16" s="4" t="s">
        <v>220</v>
      </c>
      <c r="L16" s="4" t="s">
        <v>13</v>
      </c>
      <c r="M16" s="4" t="s">
        <v>221</v>
      </c>
      <c r="S16" s="4" t="str">
        <f>TEXT(Table1[[#This Row],[Date]],"MMM-YY")</f>
        <v>Sep-24</v>
      </c>
      <c r="T16" s="4">
        <f>_xlfn.ISOWEEKNUM(Table1[[#This Row],[Date]])</f>
        <v>36</v>
      </c>
      <c r="U16" s="4" t="str">
        <f>TEXT(Table1[[#This Row],[Expected Business Month]],"YYYY")</f>
        <v>2024</v>
      </c>
    </row>
    <row r="17" spans="1:21" hidden="1">
      <c r="A17" s="19">
        <v>45544</v>
      </c>
      <c r="B17" s="4" t="s">
        <v>254</v>
      </c>
      <c r="C17" s="4" t="s">
        <v>217</v>
      </c>
      <c r="D17" s="4" t="s">
        <v>195</v>
      </c>
      <c r="E17" s="4" t="s">
        <v>57</v>
      </c>
      <c r="F17" s="4" t="s">
        <v>255</v>
      </c>
      <c r="G17" s="17" t="s">
        <v>240</v>
      </c>
      <c r="J17" s="31">
        <v>45597</v>
      </c>
      <c r="K17" s="4" t="s">
        <v>220</v>
      </c>
      <c r="L17" s="4" t="s">
        <v>13</v>
      </c>
      <c r="M17" s="4" t="s">
        <v>221</v>
      </c>
      <c r="S17" s="4" t="str">
        <f>TEXT(Table1[[#This Row],[Date]],"MMM-YY")</f>
        <v>Sep-24</v>
      </c>
      <c r="T17" s="4">
        <f>_xlfn.ISOWEEKNUM(Table1[[#This Row],[Date]])</f>
        <v>37</v>
      </c>
      <c r="U17" s="4" t="str">
        <f>TEXT(Table1[[#This Row],[Expected Business Month]],"YYYY")</f>
        <v>2024</v>
      </c>
    </row>
    <row r="18" spans="1:21" hidden="1">
      <c r="A18" s="19">
        <v>45544</v>
      </c>
      <c r="B18" s="4" t="s">
        <v>256</v>
      </c>
      <c r="C18" s="4" t="s">
        <v>217</v>
      </c>
      <c r="D18" s="4" t="s">
        <v>195</v>
      </c>
      <c r="E18" s="4" t="s">
        <v>55</v>
      </c>
      <c r="F18" s="4" t="s">
        <v>257</v>
      </c>
      <c r="G18" s="17" t="s">
        <v>240</v>
      </c>
      <c r="J18" s="31">
        <v>45597</v>
      </c>
      <c r="K18" s="4" t="s">
        <v>220</v>
      </c>
      <c r="L18" s="4" t="s">
        <v>13</v>
      </c>
      <c r="M18" s="4" t="s">
        <v>221</v>
      </c>
      <c r="S18" s="4" t="str">
        <f>TEXT(Table1[[#This Row],[Date]],"MMM-YY")</f>
        <v>Sep-24</v>
      </c>
      <c r="T18" s="4">
        <f>_xlfn.ISOWEEKNUM(Table1[[#This Row],[Date]])</f>
        <v>37</v>
      </c>
      <c r="U18" s="4" t="str">
        <f>TEXT(Table1[[#This Row],[Expected Business Month]],"YYYY")</f>
        <v>2024</v>
      </c>
    </row>
    <row r="19" spans="1:21" hidden="1">
      <c r="A19" s="19">
        <v>45544</v>
      </c>
      <c r="B19" s="4" t="s">
        <v>258</v>
      </c>
      <c r="C19" s="4" t="s">
        <v>217</v>
      </c>
      <c r="D19" s="4" t="s">
        <v>195</v>
      </c>
      <c r="E19" s="4" t="s">
        <v>47</v>
      </c>
      <c r="F19" s="4" t="s">
        <v>259</v>
      </c>
      <c r="G19" s="17" t="s">
        <v>260</v>
      </c>
      <c r="H19" s="4">
        <v>27000</v>
      </c>
      <c r="J19" s="31">
        <v>45536</v>
      </c>
      <c r="K19" s="4" t="s">
        <v>220</v>
      </c>
      <c r="L19" s="4" t="s">
        <v>11</v>
      </c>
      <c r="M19" s="4" t="s">
        <v>235</v>
      </c>
      <c r="S19" s="4" t="str">
        <f>TEXT(Table1[[#This Row],[Date]],"MMM-YY")</f>
        <v>Sep-24</v>
      </c>
      <c r="T19" s="4">
        <f>_xlfn.ISOWEEKNUM(Table1[[#This Row],[Date]])</f>
        <v>37</v>
      </c>
      <c r="U19" s="4" t="str">
        <f>TEXT(Table1[[#This Row],[Expected Business Month]],"YYYY")</f>
        <v>2024</v>
      </c>
    </row>
    <row r="20" spans="1:21" hidden="1">
      <c r="A20" s="19">
        <v>45545</v>
      </c>
      <c r="B20" s="4" t="s">
        <v>261</v>
      </c>
      <c r="C20" s="4" t="s">
        <v>217</v>
      </c>
      <c r="D20" s="4" t="s">
        <v>195</v>
      </c>
      <c r="E20" s="4" t="s">
        <v>61</v>
      </c>
      <c r="F20" s="4" t="s">
        <v>262</v>
      </c>
      <c r="G20" s="17" t="s">
        <v>240</v>
      </c>
      <c r="J20" s="31">
        <v>45627</v>
      </c>
      <c r="K20" s="4" t="s">
        <v>220</v>
      </c>
      <c r="L20" s="4" t="s">
        <v>13</v>
      </c>
      <c r="M20" s="4" t="s">
        <v>221</v>
      </c>
      <c r="S20" s="4" t="str">
        <f>TEXT(Table1[[#This Row],[Date]],"MMM-YY")</f>
        <v>Sep-24</v>
      </c>
      <c r="T20" s="4">
        <f>_xlfn.ISOWEEKNUM(Table1[[#This Row],[Date]])</f>
        <v>37</v>
      </c>
      <c r="U20" s="4" t="str">
        <f>TEXT(Table1[[#This Row],[Expected Business Month]],"YYYY")</f>
        <v>2024</v>
      </c>
    </row>
    <row r="21" spans="1:21" hidden="1">
      <c r="A21" s="19">
        <v>45545</v>
      </c>
      <c r="B21" s="4" t="s">
        <v>263</v>
      </c>
      <c r="C21" s="4" t="s">
        <v>217</v>
      </c>
      <c r="D21" s="4" t="s">
        <v>183</v>
      </c>
      <c r="E21" s="4" t="s">
        <v>49</v>
      </c>
      <c r="F21" s="4" t="s">
        <v>264</v>
      </c>
      <c r="G21" s="17" t="s">
        <v>240</v>
      </c>
      <c r="J21" s="31">
        <v>45597</v>
      </c>
      <c r="K21" s="4" t="s">
        <v>220</v>
      </c>
      <c r="L21" s="4" t="s">
        <v>13</v>
      </c>
      <c r="M21" s="4" t="s">
        <v>221</v>
      </c>
      <c r="S21" s="4" t="str">
        <f>TEXT(Table1[[#This Row],[Date]],"MMM-YY")</f>
        <v>Sep-24</v>
      </c>
      <c r="T21" s="4">
        <f>_xlfn.ISOWEEKNUM(Table1[[#This Row],[Date]])</f>
        <v>37</v>
      </c>
      <c r="U21" s="4" t="str">
        <f>TEXT(Table1[[#This Row],[Expected Business Month]],"YYYY")</f>
        <v>2024</v>
      </c>
    </row>
    <row r="22" spans="1:21" hidden="1">
      <c r="A22" s="19">
        <v>45545</v>
      </c>
      <c r="B22" s="4" t="s">
        <v>265</v>
      </c>
      <c r="C22" s="4" t="s">
        <v>217</v>
      </c>
      <c r="D22" s="4" t="s">
        <v>195</v>
      </c>
      <c r="E22" s="4" t="s">
        <v>63</v>
      </c>
      <c r="F22" s="4" t="s">
        <v>266</v>
      </c>
      <c r="G22" s="17" t="s">
        <v>240</v>
      </c>
      <c r="J22" s="31">
        <v>45536</v>
      </c>
      <c r="K22" s="4" t="s">
        <v>220</v>
      </c>
      <c r="L22" s="4" t="s">
        <v>13</v>
      </c>
      <c r="M22" s="4" t="s">
        <v>221</v>
      </c>
      <c r="S22" s="4" t="str">
        <f>TEXT(Table1[[#This Row],[Date]],"MMM-YY")</f>
        <v>Sep-24</v>
      </c>
      <c r="T22" s="4">
        <f>_xlfn.ISOWEEKNUM(Table1[[#This Row],[Date]])</f>
        <v>37</v>
      </c>
      <c r="U22" s="4" t="str">
        <f>TEXT(Table1[[#This Row],[Expected Business Month]],"YYYY")</f>
        <v>2024</v>
      </c>
    </row>
    <row r="23" spans="1:21" hidden="1">
      <c r="A23" s="19">
        <v>45545</v>
      </c>
      <c r="B23" s="4" t="s">
        <v>267</v>
      </c>
      <c r="C23" s="4" t="s">
        <v>217</v>
      </c>
      <c r="D23" s="4" t="s">
        <v>195</v>
      </c>
      <c r="E23" s="4" t="s">
        <v>32</v>
      </c>
      <c r="F23" s="4" t="s">
        <v>268</v>
      </c>
      <c r="G23" s="17" t="s">
        <v>240</v>
      </c>
      <c r="J23" s="31">
        <v>45536</v>
      </c>
      <c r="K23" s="4" t="s">
        <v>220</v>
      </c>
      <c r="L23" s="4" t="s">
        <v>13</v>
      </c>
      <c r="M23" s="4" t="s">
        <v>221</v>
      </c>
      <c r="S23" s="4" t="str">
        <f>TEXT(Table1[[#This Row],[Date]],"MMM-YY")</f>
        <v>Sep-24</v>
      </c>
      <c r="T23" s="4">
        <f>_xlfn.ISOWEEKNUM(Table1[[#This Row],[Date]])</f>
        <v>37</v>
      </c>
      <c r="U23" s="4" t="str">
        <f>TEXT(Table1[[#This Row],[Expected Business Month]],"YYYY")</f>
        <v>2024</v>
      </c>
    </row>
    <row r="24" spans="1:21" hidden="1">
      <c r="A24" s="19">
        <v>45546</v>
      </c>
      <c r="B24" s="4" t="s">
        <v>258</v>
      </c>
      <c r="C24" s="4" t="s">
        <v>217</v>
      </c>
      <c r="D24" s="4" t="s">
        <v>195</v>
      </c>
      <c r="E24" s="4" t="s">
        <v>47</v>
      </c>
      <c r="F24" s="4" t="s">
        <v>269</v>
      </c>
      <c r="G24" s="17" t="s">
        <v>240</v>
      </c>
      <c r="J24" s="31">
        <v>45536</v>
      </c>
      <c r="K24" s="4" t="s">
        <v>220</v>
      </c>
      <c r="L24" s="4" t="s">
        <v>11</v>
      </c>
      <c r="M24" s="4" t="s">
        <v>235</v>
      </c>
      <c r="S24" s="4" t="str">
        <f>TEXT(Table1[[#This Row],[Date]],"MMM-YY")</f>
        <v>Sep-24</v>
      </c>
      <c r="T24" s="4">
        <f>_xlfn.ISOWEEKNUM(Table1[[#This Row],[Date]])</f>
        <v>37</v>
      </c>
      <c r="U24" s="4" t="str">
        <f>TEXT(Table1[[#This Row],[Expected Business Month]],"YYYY")</f>
        <v>2024</v>
      </c>
    </row>
    <row r="25" spans="1:21" hidden="1">
      <c r="A25" s="19">
        <v>45546</v>
      </c>
      <c r="B25" s="4" t="s">
        <v>270</v>
      </c>
      <c r="C25" s="4" t="s">
        <v>217</v>
      </c>
      <c r="D25" s="4" t="s">
        <v>195</v>
      </c>
      <c r="E25" s="4" t="s">
        <v>65</v>
      </c>
      <c r="F25" s="4" t="s">
        <v>271</v>
      </c>
      <c r="G25" s="17" t="s">
        <v>240</v>
      </c>
      <c r="J25" s="31">
        <v>45536</v>
      </c>
      <c r="K25" s="4" t="s">
        <v>220</v>
      </c>
      <c r="L25" s="4" t="s">
        <v>13</v>
      </c>
      <c r="M25" s="4" t="s">
        <v>221</v>
      </c>
      <c r="S25" s="4" t="str">
        <f>TEXT(Table1[[#This Row],[Date]],"MMM-YY")</f>
        <v>Sep-24</v>
      </c>
      <c r="T25" s="4">
        <f>_xlfn.ISOWEEKNUM(Table1[[#This Row],[Date]])</f>
        <v>37</v>
      </c>
      <c r="U25" s="4" t="str">
        <f>TEXT(Table1[[#This Row],[Expected Business Month]],"YYYY")</f>
        <v>2024</v>
      </c>
    </row>
    <row r="26" spans="1:21" hidden="1">
      <c r="A26" s="19">
        <v>45547</v>
      </c>
      <c r="B26" s="4" t="s">
        <v>272</v>
      </c>
      <c r="C26" s="4" t="s">
        <v>217</v>
      </c>
      <c r="D26" s="4" t="s">
        <v>195</v>
      </c>
      <c r="E26" s="4" t="s">
        <v>61</v>
      </c>
      <c r="F26" s="4" t="s">
        <v>273</v>
      </c>
      <c r="G26" s="17" t="s">
        <v>240</v>
      </c>
      <c r="J26" s="31">
        <v>45627</v>
      </c>
      <c r="K26" s="4" t="s">
        <v>220</v>
      </c>
      <c r="L26" s="4" t="s">
        <v>13</v>
      </c>
      <c r="M26" s="4" t="s">
        <v>221</v>
      </c>
      <c r="S26" s="4" t="str">
        <f>TEXT(Table1[[#This Row],[Date]],"MMM-YY")</f>
        <v>Sep-24</v>
      </c>
      <c r="T26" s="4">
        <f>_xlfn.ISOWEEKNUM(Table1[[#This Row],[Date]])</f>
        <v>37</v>
      </c>
      <c r="U26" s="4" t="str">
        <f>TEXT(Table1[[#This Row],[Expected Business Month]],"YYYY")</f>
        <v>2024</v>
      </c>
    </row>
    <row r="27" spans="1:21" hidden="1">
      <c r="A27" s="19">
        <v>45547</v>
      </c>
      <c r="B27" s="4" t="s">
        <v>274</v>
      </c>
      <c r="C27" s="4" t="s">
        <v>217</v>
      </c>
      <c r="D27" s="4" t="s">
        <v>195</v>
      </c>
      <c r="E27" s="4" t="s">
        <v>61</v>
      </c>
      <c r="F27" s="4" t="s">
        <v>275</v>
      </c>
      <c r="G27" s="17" t="s">
        <v>240</v>
      </c>
      <c r="J27" s="31">
        <v>45536</v>
      </c>
      <c r="K27" s="4" t="s">
        <v>220</v>
      </c>
      <c r="L27" s="4" t="s">
        <v>13</v>
      </c>
      <c r="M27" s="4" t="s">
        <v>221</v>
      </c>
      <c r="S27" s="4" t="str">
        <f>TEXT(Table1[[#This Row],[Date]],"MMM-YY")</f>
        <v>Sep-24</v>
      </c>
      <c r="T27" s="4">
        <f>_xlfn.ISOWEEKNUM(Table1[[#This Row],[Date]])</f>
        <v>37</v>
      </c>
      <c r="U27" s="4" t="str">
        <f>TEXT(Table1[[#This Row],[Expected Business Month]],"YYYY")</f>
        <v>2024</v>
      </c>
    </row>
    <row r="28" spans="1:21" hidden="1">
      <c r="A28" s="19">
        <v>45548</v>
      </c>
      <c r="B28" s="4" t="s">
        <v>276</v>
      </c>
      <c r="C28" s="4" t="s">
        <v>217</v>
      </c>
      <c r="D28" s="4" t="s">
        <v>195</v>
      </c>
      <c r="E28" s="4" t="s">
        <v>67</v>
      </c>
      <c r="F28" s="4" t="s">
        <v>277</v>
      </c>
      <c r="G28" s="17" t="s">
        <v>240</v>
      </c>
      <c r="J28" s="31">
        <v>45566</v>
      </c>
      <c r="K28" s="4" t="s">
        <v>220</v>
      </c>
      <c r="L28" s="4" t="s">
        <v>13</v>
      </c>
      <c r="M28" s="4" t="s">
        <v>221</v>
      </c>
      <c r="S28" s="4" t="str">
        <f>TEXT(Table1[[#This Row],[Date]],"MMM-YY")</f>
        <v>Sep-24</v>
      </c>
      <c r="T28" s="4">
        <f>_xlfn.ISOWEEKNUM(Table1[[#This Row],[Date]])</f>
        <v>37</v>
      </c>
      <c r="U28" s="4" t="str">
        <f>TEXT(Table1[[#This Row],[Expected Business Month]],"YYYY")</f>
        <v>2024</v>
      </c>
    </row>
    <row r="29" spans="1:21" hidden="1">
      <c r="A29" s="19">
        <v>45548</v>
      </c>
      <c r="B29" s="4" t="s">
        <v>278</v>
      </c>
      <c r="C29" s="4" t="s">
        <v>217</v>
      </c>
      <c r="D29" s="4" t="s">
        <v>195</v>
      </c>
      <c r="E29" s="4" t="s">
        <v>69</v>
      </c>
      <c r="F29" s="4" t="s">
        <v>279</v>
      </c>
      <c r="G29" s="17" t="s">
        <v>240</v>
      </c>
      <c r="J29" s="31">
        <v>45566</v>
      </c>
      <c r="K29" s="4" t="s">
        <v>220</v>
      </c>
      <c r="L29" s="4" t="s">
        <v>13</v>
      </c>
      <c r="M29" s="4" t="s">
        <v>11</v>
      </c>
      <c r="S29" s="4" t="str">
        <f>TEXT(Table1[[#This Row],[Date]],"MMM-YY")</f>
        <v>Sep-24</v>
      </c>
      <c r="T29" s="4">
        <f>_xlfn.ISOWEEKNUM(Table1[[#This Row],[Date]])</f>
        <v>37</v>
      </c>
      <c r="U29" s="4" t="str">
        <f>TEXT(Table1[[#This Row],[Expected Business Month]],"YYYY")</f>
        <v>2024</v>
      </c>
    </row>
    <row r="30" spans="1:21" hidden="1">
      <c r="A30" s="19">
        <v>45548</v>
      </c>
      <c r="B30" s="4" t="s">
        <v>280</v>
      </c>
      <c r="C30" s="4" t="s">
        <v>217</v>
      </c>
      <c r="D30" s="4" t="s">
        <v>195</v>
      </c>
      <c r="E30" s="4" t="s">
        <v>47</v>
      </c>
      <c r="F30" s="4" t="s">
        <v>281</v>
      </c>
      <c r="G30" s="17" t="s">
        <v>240</v>
      </c>
      <c r="J30" s="31">
        <v>45536</v>
      </c>
      <c r="K30" s="4" t="s">
        <v>220</v>
      </c>
      <c r="L30" s="4" t="s">
        <v>13</v>
      </c>
      <c r="M30" s="4" t="s">
        <v>221</v>
      </c>
      <c r="S30" s="4" t="str">
        <f>TEXT(Table1[[#This Row],[Date]],"MMM-YY")</f>
        <v>Sep-24</v>
      </c>
      <c r="T30" s="4">
        <f>_xlfn.ISOWEEKNUM(Table1[[#This Row],[Date]])</f>
        <v>37</v>
      </c>
      <c r="U30" s="4" t="str">
        <f>TEXT(Table1[[#This Row],[Expected Business Month]],"YYYY")</f>
        <v>2024</v>
      </c>
    </row>
    <row r="31" spans="1:21" hidden="1">
      <c r="A31" s="19">
        <v>45551</v>
      </c>
      <c r="B31" s="4" t="s">
        <v>282</v>
      </c>
      <c r="C31" s="4" t="s">
        <v>225</v>
      </c>
      <c r="D31" s="4" t="s">
        <v>195</v>
      </c>
      <c r="E31" s="4" t="s">
        <v>47</v>
      </c>
      <c r="F31" s="4" t="s">
        <v>283</v>
      </c>
      <c r="G31" s="17" t="s">
        <v>240</v>
      </c>
      <c r="J31" s="31">
        <v>45597</v>
      </c>
      <c r="K31" s="4" t="s">
        <v>220</v>
      </c>
      <c r="L31" s="4" t="s">
        <v>13</v>
      </c>
      <c r="M31" s="4" t="s">
        <v>221</v>
      </c>
      <c r="S31" s="4" t="str">
        <f>TEXT(Table1[[#This Row],[Date]],"MMM-YY")</f>
        <v>Sep-24</v>
      </c>
      <c r="T31" s="4">
        <f>_xlfn.ISOWEEKNUM(Table1[[#This Row],[Date]])</f>
        <v>38</v>
      </c>
      <c r="U31" s="4" t="str">
        <f>TEXT(Table1[[#This Row],[Expected Business Month]],"YYYY")</f>
        <v>2024</v>
      </c>
    </row>
    <row r="32" spans="1:21" hidden="1">
      <c r="A32" s="19">
        <v>45551</v>
      </c>
      <c r="B32" s="4" t="s">
        <v>284</v>
      </c>
      <c r="C32" s="4" t="s">
        <v>225</v>
      </c>
      <c r="D32" s="4" t="s">
        <v>195</v>
      </c>
      <c r="E32" s="4" t="s">
        <v>61</v>
      </c>
      <c r="F32" s="4" t="s">
        <v>285</v>
      </c>
      <c r="G32" s="17" t="s">
        <v>240</v>
      </c>
      <c r="J32" s="31">
        <v>45597</v>
      </c>
      <c r="K32" s="4" t="s">
        <v>220</v>
      </c>
      <c r="L32" s="4" t="s">
        <v>13</v>
      </c>
      <c r="M32" s="4" t="s">
        <v>221</v>
      </c>
      <c r="S32" s="4" t="str">
        <f>TEXT(Table1[[#This Row],[Date]],"MMM-YY")</f>
        <v>Sep-24</v>
      </c>
      <c r="T32" s="4">
        <f>_xlfn.ISOWEEKNUM(Table1[[#This Row],[Date]])</f>
        <v>38</v>
      </c>
      <c r="U32" s="4" t="str">
        <f>TEXT(Table1[[#This Row],[Expected Business Month]],"YYYY")</f>
        <v>2024</v>
      </c>
    </row>
    <row r="33" spans="1:21" hidden="1">
      <c r="A33" s="19">
        <v>45551</v>
      </c>
      <c r="B33" s="4" t="s">
        <v>286</v>
      </c>
      <c r="C33" s="4" t="s">
        <v>225</v>
      </c>
      <c r="D33" s="4" t="s">
        <v>195</v>
      </c>
      <c r="E33" s="4" t="s">
        <v>26</v>
      </c>
      <c r="F33" s="4" t="s">
        <v>287</v>
      </c>
      <c r="G33" s="17" t="s">
        <v>240</v>
      </c>
      <c r="J33" s="31">
        <v>45566</v>
      </c>
      <c r="K33" s="4" t="s">
        <v>220</v>
      </c>
      <c r="L33" s="4" t="s">
        <v>13</v>
      </c>
      <c r="M33" s="4" t="s">
        <v>221</v>
      </c>
      <c r="S33" s="4" t="str">
        <f>TEXT(Table1[[#This Row],[Date]],"MMM-YY")</f>
        <v>Sep-24</v>
      </c>
      <c r="T33" s="4">
        <f>_xlfn.ISOWEEKNUM(Table1[[#This Row],[Date]])</f>
        <v>38</v>
      </c>
      <c r="U33" s="4" t="str">
        <f>TEXT(Table1[[#This Row],[Expected Business Month]],"YYYY")</f>
        <v>2024</v>
      </c>
    </row>
    <row r="34" spans="1:21" hidden="1">
      <c r="A34" s="19">
        <v>45551</v>
      </c>
      <c r="B34" s="4" t="s">
        <v>288</v>
      </c>
      <c r="C34" s="4" t="s">
        <v>225</v>
      </c>
      <c r="D34" s="4" t="s">
        <v>195</v>
      </c>
      <c r="E34" s="4" t="s">
        <v>75</v>
      </c>
      <c r="F34" s="4" t="s">
        <v>289</v>
      </c>
      <c r="G34" s="17" t="s">
        <v>240</v>
      </c>
      <c r="J34" s="31">
        <v>45566</v>
      </c>
      <c r="K34" s="4" t="s">
        <v>220</v>
      </c>
      <c r="L34" s="4" t="s">
        <v>13</v>
      </c>
      <c r="M34" s="4" t="s">
        <v>221</v>
      </c>
      <c r="S34" s="4" t="str">
        <f>TEXT(Table1[[#This Row],[Date]],"MMM-YY")</f>
        <v>Sep-24</v>
      </c>
      <c r="T34" s="4">
        <f>_xlfn.ISOWEEKNUM(Table1[[#This Row],[Date]])</f>
        <v>38</v>
      </c>
      <c r="U34" s="4" t="str">
        <f>TEXT(Table1[[#This Row],[Expected Business Month]],"YYYY")</f>
        <v>2024</v>
      </c>
    </row>
    <row r="35" spans="1:21" hidden="1">
      <c r="A35" s="19">
        <v>45551</v>
      </c>
      <c r="B35" s="4" t="s">
        <v>290</v>
      </c>
      <c r="C35" s="4" t="s">
        <v>225</v>
      </c>
      <c r="D35" s="4" t="s">
        <v>195</v>
      </c>
      <c r="E35" s="4" t="s">
        <v>73</v>
      </c>
      <c r="F35" s="4" t="s">
        <v>291</v>
      </c>
      <c r="G35" s="17" t="s">
        <v>240</v>
      </c>
      <c r="J35" s="31">
        <v>45566</v>
      </c>
      <c r="K35" s="4" t="s">
        <v>220</v>
      </c>
      <c r="L35" s="4" t="s">
        <v>13</v>
      </c>
      <c r="M35" s="4" t="s">
        <v>221</v>
      </c>
      <c r="S35" s="4" t="str">
        <f>TEXT(Table1[[#This Row],[Date]],"MMM-YY")</f>
        <v>Sep-24</v>
      </c>
      <c r="T35" s="4">
        <f>_xlfn.ISOWEEKNUM(Table1[[#This Row],[Date]])</f>
        <v>38</v>
      </c>
      <c r="U35" s="4" t="str">
        <f>TEXT(Table1[[#This Row],[Expected Business Month]],"YYYY")</f>
        <v>2024</v>
      </c>
    </row>
    <row r="36" spans="1:21" hidden="1">
      <c r="A36" s="19">
        <v>45551</v>
      </c>
      <c r="B36" s="4" t="s">
        <v>292</v>
      </c>
      <c r="C36" s="4" t="s">
        <v>225</v>
      </c>
      <c r="D36" s="4" t="s">
        <v>195</v>
      </c>
      <c r="E36" s="4" t="s">
        <v>12</v>
      </c>
      <c r="F36" s="4" t="s">
        <v>293</v>
      </c>
      <c r="G36" s="17" t="s">
        <v>240</v>
      </c>
      <c r="J36" s="31">
        <v>45748</v>
      </c>
      <c r="K36" s="4" t="s">
        <v>220</v>
      </c>
      <c r="L36" s="4" t="s">
        <v>16</v>
      </c>
      <c r="M36" s="4" t="s">
        <v>221</v>
      </c>
      <c r="S36" s="4" t="str">
        <f>TEXT(Table1[[#This Row],[Date]],"MMM-YY")</f>
        <v>Sep-24</v>
      </c>
      <c r="T36" s="4">
        <f>_xlfn.ISOWEEKNUM(Table1[[#This Row],[Date]])</f>
        <v>38</v>
      </c>
      <c r="U36" s="4" t="str">
        <f>TEXT(Table1[[#This Row],[Expected Business Month]],"YYYY")</f>
        <v>2025</v>
      </c>
    </row>
    <row r="37" spans="1:21" hidden="1">
      <c r="A37" s="19">
        <v>45551</v>
      </c>
      <c r="B37" s="4" t="s">
        <v>294</v>
      </c>
      <c r="C37" s="4" t="s">
        <v>217</v>
      </c>
      <c r="D37" s="4" t="s">
        <v>195</v>
      </c>
      <c r="E37" s="4" t="s">
        <v>71</v>
      </c>
      <c r="F37" s="4" t="s">
        <v>295</v>
      </c>
      <c r="G37" s="17" t="s">
        <v>240</v>
      </c>
      <c r="J37" s="31">
        <v>45566</v>
      </c>
      <c r="K37" s="4" t="s">
        <v>220</v>
      </c>
      <c r="L37" s="4" t="s">
        <v>13</v>
      </c>
      <c r="M37" s="4" t="s">
        <v>221</v>
      </c>
      <c r="S37" s="4" t="str">
        <f>TEXT(Table1[[#This Row],[Date]],"MMM-YY")</f>
        <v>Sep-24</v>
      </c>
      <c r="T37" s="4">
        <f>_xlfn.ISOWEEKNUM(Table1[[#This Row],[Date]])</f>
        <v>38</v>
      </c>
      <c r="U37" s="4" t="str">
        <f>TEXT(Table1[[#This Row],[Expected Business Month]],"YYYY")</f>
        <v>2024</v>
      </c>
    </row>
    <row r="38" spans="1:21" hidden="1">
      <c r="A38" s="19">
        <v>45551</v>
      </c>
      <c r="B38" s="4" t="s">
        <v>296</v>
      </c>
      <c r="C38" s="4" t="s">
        <v>217</v>
      </c>
      <c r="D38" s="4" t="s">
        <v>195</v>
      </c>
      <c r="E38" s="4" t="s">
        <v>26</v>
      </c>
      <c r="F38" s="4" t="s">
        <v>297</v>
      </c>
      <c r="G38" s="17" t="s">
        <v>240</v>
      </c>
      <c r="J38" s="31">
        <v>45566</v>
      </c>
      <c r="K38" s="4" t="s">
        <v>220</v>
      </c>
      <c r="L38" s="4" t="s">
        <v>13</v>
      </c>
      <c r="M38" s="4" t="s">
        <v>221</v>
      </c>
      <c r="S38" s="4" t="str">
        <f>TEXT(Table1[[#This Row],[Date]],"MMM-YY")</f>
        <v>Sep-24</v>
      </c>
      <c r="T38" s="4">
        <f>_xlfn.ISOWEEKNUM(Table1[[#This Row],[Date]])</f>
        <v>38</v>
      </c>
      <c r="U38" s="4" t="str">
        <f>TEXT(Table1[[#This Row],[Expected Business Month]],"YYYY")</f>
        <v>2024</v>
      </c>
    </row>
    <row r="39" spans="1:21" hidden="1">
      <c r="A39" s="19">
        <v>45552</v>
      </c>
      <c r="B39" s="4" t="s">
        <v>298</v>
      </c>
      <c r="C39" s="4" t="s">
        <v>225</v>
      </c>
      <c r="D39" s="4" t="s">
        <v>195</v>
      </c>
      <c r="E39" s="4" t="s">
        <v>81</v>
      </c>
      <c r="F39" s="4" t="s">
        <v>299</v>
      </c>
      <c r="G39" s="17" t="s">
        <v>240</v>
      </c>
      <c r="J39" s="31">
        <v>45748</v>
      </c>
      <c r="K39" s="4" t="s">
        <v>220</v>
      </c>
      <c r="L39" s="4" t="s">
        <v>16</v>
      </c>
      <c r="M39" s="4" t="s">
        <v>221</v>
      </c>
      <c r="S39" s="4" t="str">
        <f>TEXT(Table1[[#This Row],[Date]],"MMM-YY")</f>
        <v>Sep-24</v>
      </c>
      <c r="T39" s="4">
        <f>_xlfn.ISOWEEKNUM(Table1[[#This Row],[Date]])</f>
        <v>38</v>
      </c>
      <c r="U39" s="4" t="str">
        <f>TEXT(Table1[[#This Row],[Expected Business Month]],"YYYY")</f>
        <v>2025</v>
      </c>
    </row>
    <row r="40" spans="1:21" hidden="1">
      <c r="A40" s="19">
        <v>45552</v>
      </c>
      <c r="B40" s="4" t="s">
        <v>300</v>
      </c>
      <c r="C40" s="4" t="s">
        <v>225</v>
      </c>
      <c r="D40" s="4" t="s">
        <v>19</v>
      </c>
      <c r="E40" s="4" t="s">
        <v>19</v>
      </c>
      <c r="F40" s="4" t="s">
        <v>301</v>
      </c>
      <c r="G40" s="17" t="s">
        <v>240</v>
      </c>
      <c r="J40" s="31">
        <v>45748</v>
      </c>
      <c r="K40" s="4" t="s">
        <v>220</v>
      </c>
      <c r="L40" s="4" t="s">
        <v>16</v>
      </c>
      <c r="M40" s="4" t="s">
        <v>221</v>
      </c>
      <c r="S40" s="4" t="str">
        <f>TEXT(Table1[[#This Row],[Date]],"MMM-YY")</f>
        <v>Sep-24</v>
      </c>
      <c r="T40" s="4">
        <f>_xlfn.ISOWEEKNUM(Table1[[#This Row],[Date]])</f>
        <v>38</v>
      </c>
      <c r="U40" s="4" t="str">
        <f>TEXT(Table1[[#This Row],[Expected Business Month]],"YYYY")</f>
        <v>2025</v>
      </c>
    </row>
    <row r="41" spans="1:21" hidden="1">
      <c r="A41" s="19">
        <v>45552</v>
      </c>
      <c r="B41" s="4" t="s">
        <v>302</v>
      </c>
      <c r="C41" s="4" t="s">
        <v>217</v>
      </c>
      <c r="D41" s="4" t="s">
        <v>19</v>
      </c>
      <c r="E41" s="4" t="s">
        <v>19</v>
      </c>
      <c r="F41" s="4" t="s">
        <v>303</v>
      </c>
      <c r="G41" s="17" t="s">
        <v>304</v>
      </c>
      <c r="J41" s="31">
        <v>45566</v>
      </c>
      <c r="K41" s="4" t="s">
        <v>220</v>
      </c>
      <c r="L41" s="4" t="s">
        <v>13</v>
      </c>
      <c r="M41" s="4" t="s">
        <v>221</v>
      </c>
      <c r="S41" s="4" t="str">
        <f>TEXT(Table1[[#This Row],[Date]],"MMM-YY")</f>
        <v>Sep-24</v>
      </c>
      <c r="T41" s="4">
        <f>_xlfn.ISOWEEKNUM(Table1[[#This Row],[Date]])</f>
        <v>38</v>
      </c>
      <c r="U41" s="4" t="str">
        <f>TEXT(Table1[[#This Row],[Expected Business Month]],"YYYY")</f>
        <v>2024</v>
      </c>
    </row>
    <row r="42" spans="1:21" hidden="1">
      <c r="A42" s="19">
        <v>45552</v>
      </c>
      <c r="B42" s="4" t="s">
        <v>305</v>
      </c>
      <c r="C42" s="4" t="s">
        <v>217</v>
      </c>
      <c r="D42" s="4" t="s">
        <v>19</v>
      </c>
      <c r="E42" s="4" t="s">
        <v>19</v>
      </c>
      <c r="F42" s="4" t="s">
        <v>306</v>
      </c>
      <c r="G42" s="17" t="s">
        <v>304</v>
      </c>
      <c r="J42" s="31">
        <v>45566</v>
      </c>
      <c r="K42" s="4" t="s">
        <v>220</v>
      </c>
      <c r="L42" s="4" t="s">
        <v>13</v>
      </c>
      <c r="M42" s="4" t="s">
        <v>221</v>
      </c>
      <c r="S42" s="4" t="str">
        <f>TEXT(Table1[[#This Row],[Date]],"MMM-YY")</f>
        <v>Sep-24</v>
      </c>
      <c r="T42" s="4">
        <f>_xlfn.ISOWEEKNUM(Table1[[#This Row],[Date]])</f>
        <v>38</v>
      </c>
      <c r="U42" s="4" t="str">
        <f>TEXT(Table1[[#This Row],[Expected Business Month]],"YYYY")</f>
        <v>2024</v>
      </c>
    </row>
    <row r="43" spans="1:21" hidden="1">
      <c r="A43" s="19">
        <v>45553</v>
      </c>
      <c r="B43" s="4" t="s">
        <v>236</v>
      </c>
      <c r="C43" s="4" t="s">
        <v>225</v>
      </c>
      <c r="D43" s="4" t="s">
        <v>183</v>
      </c>
      <c r="E43" s="4" t="s">
        <v>49</v>
      </c>
      <c r="F43" s="4" t="s">
        <v>307</v>
      </c>
      <c r="G43" s="17" t="s">
        <v>308</v>
      </c>
      <c r="J43" s="31">
        <v>45597</v>
      </c>
      <c r="K43" s="4" t="s">
        <v>220</v>
      </c>
      <c r="L43" s="4" t="s">
        <v>16</v>
      </c>
      <c r="M43" s="4" t="s">
        <v>221</v>
      </c>
      <c r="S43" s="4" t="str">
        <f>TEXT(Table1[[#This Row],[Date]],"MMM-YY")</f>
        <v>Sep-24</v>
      </c>
      <c r="T43" s="4">
        <f>_xlfn.ISOWEEKNUM(Table1[[#This Row],[Date]])</f>
        <v>38</v>
      </c>
      <c r="U43" s="4" t="str">
        <f>TEXT(Table1[[#This Row],[Expected Business Month]],"YYYY")</f>
        <v>2024</v>
      </c>
    </row>
    <row r="44" spans="1:21" hidden="1">
      <c r="A44" s="19">
        <v>45553</v>
      </c>
      <c r="B44" s="4" t="s">
        <v>230</v>
      </c>
      <c r="C44" s="4" t="s">
        <v>217</v>
      </c>
      <c r="D44" s="4" t="s">
        <v>183</v>
      </c>
      <c r="E44" s="4" t="s">
        <v>49</v>
      </c>
      <c r="F44" s="4" t="s">
        <v>231</v>
      </c>
      <c r="G44" s="17" t="s">
        <v>308</v>
      </c>
      <c r="J44" s="31">
        <v>45597</v>
      </c>
      <c r="K44" s="4" t="s">
        <v>220</v>
      </c>
      <c r="L44" s="4" t="s">
        <v>16</v>
      </c>
      <c r="M44" s="4" t="s">
        <v>221</v>
      </c>
      <c r="S44" s="4" t="str">
        <f>TEXT(Table1[[#This Row],[Date]],"MMM-YY")</f>
        <v>Sep-24</v>
      </c>
      <c r="T44" s="4">
        <f>_xlfn.ISOWEEKNUM(Table1[[#This Row],[Date]])</f>
        <v>38</v>
      </c>
      <c r="U44" s="4" t="str">
        <f>TEXT(Table1[[#This Row],[Expected Business Month]],"YYYY")</f>
        <v>2024</v>
      </c>
    </row>
    <row r="45" spans="1:21" hidden="1">
      <c r="A45" s="19">
        <v>45553</v>
      </c>
      <c r="B45" s="4" t="s">
        <v>309</v>
      </c>
      <c r="C45" s="4" t="s">
        <v>225</v>
      </c>
      <c r="D45" s="4" t="s">
        <v>19</v>
      </c>
      <c r="E45" s="4" t="s">
        <v>49</v>
      </c>
      <c r="F45" s="4" t="s">
        <v>310</v>
      </c>
      <c r="G45" s="17" t="s">
        <v>311</v>
      </c>
      <c r="J45" s="31">
        <v>45566</v>
      </c>
      <c r="K45" s="4" t="s">
        <v>220</v>
      </c>
      <c r="L45" s="4" t="s">
        <v>13</v>
      </c>
      <c r="M45" s="4" t="s">
        <v>221</v>
      </c>
      <c r="S45" s="4" t="str">
        <f>TEXT(Table1[[#This Row],[Date]],"MMM-YY")</f>
        <v>Sep-24</v>
      </c>
      <c r="T45" s="4">
        <f>_xlfn.ISOWEEKNUM(Table1[[#This Row],[Date]])</f>
        <v>38</v>
      </c>
      <c r="U45" s="4" t="str">
        <f>TEXT(Table1[[#This Row],[Expected Business Month]],"YYYY")</f>
        <v>2024</v>
      </c>
    </row>
    <row r="46" spans="1:21" hidden="1">
      <c r="A46" s="19">
        <v>45553</v>
      </c>
      <c r="B46" s="4" t="s">
        <v>276</v>
      </c>
      <c r="C46" s="4" t="s">
        <v>225</v>
      </c>
      <c r="D46" s="4" t="s">
        <v>195</v>
      </c>
      <c r="E46" s="4" t="s">
        <v>67</v>
      </c>
      <c r="F46" s="4" t="s">
        <v>277</v>
      </c>
      <c r="G46" s="17" t="s">
        <v>312</v>
      </c>
      <c r="J46" s="31">
        <v>45536</v>
      </c>
      <c r="K46" s="4" t="s">
        <v>220</v>
      </c>
      <c r="L46" s="4" t="s">
        <v>11</v>
      </c>
      <c r="M46" s="4" t="s">
        <v>235</v>
      </c>
      <c r="S46" s="4" t="str">
        <f>TEXT(Table1[[#This Row],[Date]],"MMM-YY")</f>
        <v>Sep-24</v>
      </c>
      <c r="T46" s="4">
        <f>_xlfn.ISOWEEKNUM(Table1[[#This Row],[Date]])</f>
        <v>38</v>
      </c>
      <c r="U46" s="4" t="str">
        <f>TEXT(Table1[[#This Row],[Expected Business Month]],"YYYY")</f>
        <v>2024</v>
      </c>
    </row>
    <row r="47" spans="1:21" hidden="1">
      <c r="A47" s="19">
        <v>45554</v>
      </c>
      <c r="B47" s="4" t="s">
        <v>222</v>
      </c>
      <c r="C47" s="4" t="s">
        <v>217</v>
      </c>
      <c r="D47" s="4" t="s">
        <v>195</v>
      </c>
      <c r="E47" s="4" t="s">
        <v>41</v>
      </c>
      <c r="F47" s="4" t="s">
        <v>223</v>
      </c>
      <c r="G47" s="17" t="s">
        <v>313</v>
      </c>
      <c r="J47" s="31">
        <v>45597</v>
      </c>
      <c r="K47" s="4" t="s">
        <v>220</v>
      </c>
      <c r="L47" s="4" t="s">
        <v>16</v>
      </c>
      <c r="M47" s="4" t="s">
        <v>221</v>
      </c>
      <c r="S47" s="4" t="str">
        <f>TEXT(Table1[[#This Row],[Date]],"MMM-YY")</f>
        <v>Sep-24</v>
      </c>
      <c r="T47" s="4">
        <f>_xlfn.ISOWEEKNUM(Table1[[#This Row],[Date]])</f>
        <v>38</v>
      </c>
      <c r="U47" s="4" t="str">
        <f>TEXT(Table1[[#This Row],[Expected Business Month]],"YYYY")</f>
        <v>2024</v>
      </c>
    </row>
    <row r="48" spans="1:21" hidden="1">
      <c r="A48" s="19">
        <v>45554</v>
      </c>
      <c r="B48" s="4" t="s">
        <v>314</v>
      </c>
      <c r="C48" s="4" t="s">
        <v>225</v>
      </c>
      <c r="D48" s="4" t="s">
        <v>195</v>
      </c>
      <c r="E48" s="4" t="s">
        <v>53</v>
      </c>
      <c r="F48" s="4" t="s">
        <v>315</v>
      </c>
      <c r="G48" s="17" t="s">
        <v>240</v>
      </c>
      <c r="J48" s="31">
        <v>45566</v>
      </c>
      <c r="K48" s="4" t="s">
        <v>220</v>
      </c>
      <c r="L48" s="4" t="s">
        <v>13</v>
      </c>
      <c r="M48" s="4" t="s">
        <v>221</v>
      </c>
      <c r="S48" s="4" t="str">
        <f>TEXT(Table1[[#This Row],[Date]],"MMM-YY")</f>
        <v>Sep-24</v>
      </c>
      <c r="T48" s="4">
        <f>_xlfn.ISOWEEKNUM(Table1[[#This Row],[Date]])</f>
        <v>38</v>
      </c>
      <c r="U48" s="4" t="str">
        <f>TEXT(Table1[[#This Row],[Expected Business Month]],"YYYY")</f>
        <v>2024</v>
      </c>
    </row>
    <row r="49" spans="1:21" hidden="1">
      <c r="A49" s="19">
        <v>45554</v>
      </c>
      <c r="B49" s="4" t="s">
        <v>316</v>
      </c>
      <c r="C49" s="4" t="s">
        <v>225</v>
      </c>
      <c r="D49" s="4" t="s">
        <v>195</v>
      </c>
      <c r="E49" s="4" t="s">
        <v>30</v>
      </c>
      <c r="F49" s="4" t="s">
        <v>317</v>
      </c>
      <c r="G49" s="17" t="s">
        <v>240</v>
      </c>
      <c r="J49" s="31">
        <v>45566</v>
      </c>
      <c r="K49" s="4" t="s">
        <v>220</v>
      </c>
      <c r="L49" s="4" t="s">
        <v>13</v>
      </c>
      <c r="M49" s="4" t="s">
        <v>221</v>
      </c>
      <c r="S49" s="4" t="str">
        <f>TEXT(Table1[[#This Row],[Date]],"MMM-YY")</f>
        <v>Sep-24</v>
      </c>
      <c r="T49" s="4">
        <f>_xlfn.ISOWEEKNUM(Table1[[#This Row],[Date]])</f>
        <v>38</v>
      </c>
      <c r="U49" s="4" t="str">
        <f>TEXT(Table1[[#This Row],[Expected Business Month]],"YYYY")</f>
        <v>2024</v>
      </c>
    </row>
    <row r="50" spans="1:21" hidden="1">
      <c r="A50" s="19">
        <v>45554</v>
      </c>
      <c r="B50" s="4" t="s">
        <v>318</v>
      </c>
      <c r="C50" s="4" t="s">
        <v>225</v>
      </c>
      <c r="D50" s="4" t="s">
        <v>195</v>
      </c>
      <c r="E50" s="4" t="s">
        <v>61</v>
      </c>
      <c r="F50" s="4" t="s">
        <v>319</v>
      </c>
      <c r="G50" s="17" t="s">
        <v>240</v>
      </c>
      <c r="J50" s="31">
        <v>45566</v>
      </c>
      <c r="K50" s="4" t="s">
        <v>220</v>
      </c>
      <c r="L50" s="4" t="s">
        <v>13</v>
      </c>
      <c r="M50" s="4" t="s">
        <v>221</v>
      </c>
      <c r="S50" s="4" t="str">
        <f>TEXT(Table1[[#This Row],[Date]],"MMM-YY")</f>
        <v>Sep-24</v>
      </c>
      <c r="T50" s="4">
        <f>_xlfn.ISOWEEKNUM(Table1[[#This Row],[Date]])</f>
        <v>38</v>
      </c>
      <c r="U50" s="4" t="str">
        <f>TEXT(Table1[[#This Row],[Expected Business Month]],"YYYY")</f>
        <v>2024</v>
      </c>
    </row>
    <row r="51" spans="1:21" hidden="1">
      <c r="A51" s="19">
        <v>45555</v>
      </c>
      <c r="B51" s="4" t="s">
        <v>261</v>
      </c>
      <c r="C51" s="4" t="s">
        <v>217</v>
      </c>
      <c r="D51" s="4" t="s">
        <v>195</v>
      </c>
      <c r="E51" s="4" t="s">
        <v>61</v>
      </c>
      <c r="F51" s="4" t="s">
        <v>262</v>
      </c>
      <c r="G51" s="17" t="s">
        <v>320</v>
      </c>
      <c r="J51" s="31">
        <v>45627</v>
      </c>
      <c r="K51" s="4" t="s">
        <v>220</v>
      </c>
      <c r="L51" s="4" t="s">
        <v>16</v>
      </c>
      <c r="M51" s="4" t="s">
        <v>221</v>
      </c>
      <c r="S51" s="4" t="str">
        <f>TEXT(Table1[[#This Row],[Date]],"MMM-YY")</f>
        <v>Sep-24</v>
      </c>
      <c r="T51" s="4">
        <f>_xlfn.ISOWEEKNUM(Table1[[#This Row],[Date]])</f>
        <v>38</v>
      </c>
      <c r="U51" s="4" t="str">
        <f>TEXT(Table1[[#This Row],[Expected Business Month]],"YYYY")</f>
        <v>2024</v>
      </c>
    </row>
    <row r="52" spans="1:21" hidden="1">
      <c r="A52" s="19">
        <v>45555</v>
      </c>
      <c r="B52" s="4" t="s">
        <v>321</v>
      </c>
      <c r="C52" s="4" t="s">
        <v>225</v>
      </c>
      <c r="D52" s="4" t="s">
        <v>195</v>
      </c>
      <c r="E52" s="4" t="s">
        <v>85</v>
      </c>
      <c r="F52" s="4" t="s">
        <v>322</v>
      </c>
      <c r="G52" s="17" t="s">
        <v>240</v>
      </c>
      <c r="J52" s="31">
        <v>45748</v>
      </c>
      <c r="K52" s="4" t="s">
        <v>220</v>
      </c>
      <c r="L52" s="4" t="s">
        <v>16</v>
      </c>
      <c r="M52" s="4" t="s">
        <v>221</v>
      </c>
      <c r="S52" s="4" t="str">
        <f>TEXT(Table1[[#This Row],[Date]],"MMM-YY")</f>
        <v>Sep-24</v>
      </c>
      <c r="T52" s="4">
        <f>_xlfn.ISOWEEKNUM(Table1[[#This Row],[Date]])</f>
        <v>38</v>
      </c>
      <c r="U52" s="4" t="str">
        <f>TEXT(Table1[[#This Row],[Expected Business Month]],"YYYY")</f>
        <v>2025</v>
      </c>
    </row>
    <row r="53" spans="1:21" hidden="1">
      <c r="A53" s="19">
        <v>45555</v>
      </c>
      <c r="B53" s="4" t="s">
        <v>323</v>
      </c>
      <c r="C53" s="4" t="s">
        <v>225</v>
      </c>
      <c r="D53" s="4" t="s">
        <v>87</v>
      </c>
      <c r="E53" s="4" t="s">
        <v>87</v>
      </c>
      <c r="F53" s="4" t="s">
        <v>324</v>
      </c>
      <c r="G53" s="17" t="s">
        <v>240</v>
      </c>
      <c r="J53" s="31">
        <v>45566</v>
      </c>
      <c r="K53" s="4" t="s">
        <v>220</v>
      </c>
      <c r="L53" s="4" t="s">
        <v>13</v>
      </c>
      <c r="M53" s="4" t="s">
        <v>221</v>
      </c>
      <c r="S53" s="4" t="str">
        <f>TEXT(Table1[[#This Row],[Date]],"MMM-YY")</f>
        <v>Sep-24</v>
      </c>
      <c r="T53" s="4">
        <f>_xlfn.ISOWEEKNUM(Table1[[#This Row],[Date]])</f>
        <v>38</v>
      </c>
      <c r="U53" s="4" t="str">
        <f>TEXT(Table1[[#This Row],[Expected Business Month]],"YYYY")</f>
        <v>2024</v>
      </c>
    </row>
    <row r="54" spans="1:21" hidden="1">
      <c r="A54" s="19">
        <v>45555</v>
      </c>
      <c r="B54" s="4" t="s">
        <v>325</v>
      </c>
      <c r="C54" s="4" t="s">
        <v>217</v>
      </c>
      <c r="D54" s="4" t="s">
        <v>195</v>
      </c>
      <c r="E54" s="4" t="s">
        <v>83</v>
      </c>
      <c r="F54" s="4" t="s">
        <v>326</v>
      </c>
      <c r="G54" s="17" t="s">
        <v>240</v>
      </c>
      <c r="J54" s="31">
        <v>45566</v>
      </c>
      <c r="K54" s="4" t="s">
        <v>220</v>
      </c>
      <c r="L54" s="4" t="s">
        <v>13</v>
      </c>
      <c r="M54" s="4" t="s">
        <v>221</v>
      </c>
      <c r="S54" s="4" t="str">
        <f>TEXT(Table1[[#This Row],[Date]],"MMM-YY")</f>
        <v>Sep-24</v>
      </c>
      <c r="T54" s="4">
        <f>_xlfn.ISOWEEKNUM(Table1[[#This Row],[Date]])</f>
        <v>38</v>
      </c>
      <c r="U54" s="4" t="str">
        <f>TEXT(Table1[[#This Row],[Expected Business Month]],"YYYY")</f>
        <v>2024</v>
      </c>
    </row>
    <row r="55" spans="1:21" hidden="1">
      <c r="A55" s="19">
        <v>45555</v>
      </c>
      <c r="B55" s="4" t="s">
        <v>327</v>
      </c>
      <c r="C55" s="4" t="s">
        <v>225</v>
      </c>
      <c r="D55" s="4" t="s">
        <v>87</v>
      </c>
      <c r="E55" s="4" t="s">
        <v>87</v>
      </c>
      <c r="F55" s="4" t="s">
        <v>226</v>
      </c>
      <c r="G55" s="17" t="s">
        <v>240</v>
      </c>
      <c r="J55" s="31">
        <v>45566</v>
      </c>
      <c r="K55" s="4" t="s">
        <v>220</v>
      </c>
      <c r="L55" s="4" t="s">
        <v>13</v>
      </c>
      <c r="M55" s="4" t="s">
        <v>221</v>
      </c>
      <c r="S55" s="4" t="str">
        <f>TEXT(Table1[[#This Row],[Date]],"MMM-YY")</f>
        <v>Sep-24</v>
      </c>
      <c r="T55" s="4">
        <f>_xlfn.ISOWEEKNUM(Table1[[#This Row],[Date]])</f>
        <v>38</v>
      </c>
      <c r="U55" s="4" t="str">
        <f>TEXT(Table1[[#This Row],[Expected Business Month]],"YYYY")</f>
        <v>2024</v>
      </c>
    </row>
    <row r="56" spans="1:21" hidden="1">
      <c r="A56" s="19">
        <v>45558</v>
      </c>
      <c r="B56" s="4" t="s">
        <v>232</v>
      </c>
      <c r="C56" s="4" t="s">
        <v>217</v>
      </c>
      <c r="D56" s="4" t="s">
        <v>183</v>
      </c>
      <c r="E56" s="4" t="s">
        <v>49</v>
      </c>
      <c r="F56" s="4" t="s">
        <v>228</v>
      </c>
      <c r="G56" s="17" t="s">
        <v>229</v>
      </c>
      <c r="J56" s="31">
        <v>45566</v>
      </c>
      <c r="K56" s="4" t="s">
        <v>220</v>
      </c>
      <c r="L56" s="4" t="s">
        <v>13</v>
      </c>
      <c r="M56" s="4" t="s">
        <v>221</v>
      </c>
      <c r="S56" s="4" t="str">
        <f>TEXT(Table1[[#This Row],[Date]],"MMM-YY")</f>
        <v>Sep-24</v>
      </c>
      <c r="T56" s="4">
        <f>_xlfn.ISOWEEKNUM(Table1[[#This Row],[Date]])</f>
        <v>39</v>
      </c>
      <c r="U56" s="4" t="str">
        <f>TEXT(Table1[[#This Row],[Expected Business Month]],"YYYY")</f>
        <v>2024</v>
      </c>
    </row>
    <row r="57" spans="1:21" hidden="1">
      <c r="A57" s="19">
        <v>45558</v>
      </c>
      <c r="B57" s="4" t="s">
        <v>328</v>
      </c>
      <c r="C57" s="4" t="s">
        <v>225</v>
      </c>
      <c r="D57" s="4" t="s">
        <v>195</v>
      </c>
      <c r="E57" s="4" t="s">
        <v>89</v>
      </c>
      <c r="F57" s="4" t="s">
        <v>329</v>
      </c>
      <c r="G57" s="17" t="s">
        <v>240</v>
      </c>
      <c r="J57" s="31">
        <v>45566</v>
      </c>
      <c r="K57" s="4" t="s">
        <v>220</v>
      </c>
      <c r="L57" s="4" t="s">
        <v>13</v>
      </c>
      <c r="M57" s="4" t="s">
        <v>221</v>
      </c>
      <c r="S57" s="4" t="str">
        <f>TEXT(Table1[[#This Row],[Date]],"MMM-YY")</f>
        <v>Sep-24</v>
      </c>
      <c r="T57" s="4">
        <f>_xlfn.ISOWEEKNUM(Table1[[#This Row],[Date]])</f>
        <v>39</v>
      </c>
      <c r="U57" s="4" t="str">
        <f>TEXT(Table1[[#This Row],[Expected Business Month]],"YYYY")</f>
        <v>2024</v>
      </c>
    </row>
    <row r="58" spans="1:21" hidden="1">
      <c r="A58" s="19">
        <v>45558</v>
      </c>
      <c r="B58" s="4" t="s">
        <v>330</v>
      </c>
      <c r="C58" s="4" t="s">
        <v>217</v>
      </c>
      <c r="D58" s="4" t="s">
        <v>195</v>
      </c>
      <c r="E58" s="4" t="s">
        <v>55</v>
      </c>
      <c r="F58" s="4" t="s">
        <v>331</v>
      </c>
      <c r="G58" s="17" t="s">
        <v>229</v>
      </c>
      <c r="J58" s="31">
        <v>45566</v>
      </c>
      <c r="K58" s="4" t="s">
        <v>220</v>
      </c>
      <c r="L58" s="4" t="s">
        <v>13</v>
      </c>
      <c r="M58" s="4" t="s">
        <v>221</v>
      </c>
      <c r="S58" s="4" t="str">
        <f>TEXT(Table1[[#This Row],[Date]],"MMM-YY")</f>
        <v>Sep-24</v>
      </c>
      <c r="T58" s="4">
        <f>_xlfn.ISOWEEKNUM(Table1[[#This Row],[Date]])</f>
        <v>39</v>
      </c>
      <c r="U58" s="4" t="str">
        <f>TEXT(Table1[[#This Row],[Expected Business Month]],"YYYY")</f>
        <v>2024</v>
      </c>
    </row>
    <row r="59" spans="1:21" hidden="1">
      <c r="A59" s="19">
        <v>45559</v>
      </c>
      <c r="B59" s="4" t="s">
        <v>332</v>
      </c>
      <c r="C59" s="4" t="s">
        <v>217</v>
      </c>
      <c r="D59" s="4" t="s">
        <v>195</v>
      </c>
      <c r="E59" s="4" t="s">
        <v>61</v>
      </c>
      <c r="F59" s="4" t="s">
        <v>333</v>
      </c>
      <c r="G59" s="17" t="s">
        <v>334</v>
      </c>
      <c r="J59" s="31">
        <v>45597</v>
      </c>
      <c r="K59" s="4" t="s">
        <v>220</v>
      </c>
      <c r="L59" s="4" t="s">
        <v>16</v>
      </c>
      <c r="M59" s="4" t="s">
        <v>221</v>
      </c>
      <c r="S59" s="4" t="str">
        <f>TEXT(Table1[[#This Row],[Date]],"MMM-YY")</f>
        <v>Sep-24</v>
      </c>
      <c r="T59" s="4">
        <f>_xlfn.ISOWEEKNUM(Table1[[#This Row],[Date]])</f>
        <v>39</v>
      </c>
      <c r="U59" s="4" t="str">
        <f>TEXT(Table1[[#This Row],[Expected Business Month]],"YYYY")</f>
        <v>2024</v>
      </c>
    </row>
    <row r="60" spans="1:21" hidden="1">
      <c r="A60" s="19">
        <v>45559</v>
      </c>
      <c r="B60" s="4" t="s">
        <v>238</v>
      </c>
      <c r="C60" s="4" t="s">
        <v>225</v>
      </c>
      <c r="D60" s="4" t="s">
        <v>195</v>
      </c>
      <c r="E60" s="4" t="s">
        <v>47</v>
      </c>
      <c r="F60" s="4" t="s">
        <v>239</v>
      </c>
      <c r="G60" s="17" t="s">
        <v>240</v>
      </c>
      <c r="J60" s="31">
        <v>45597</v>
      </c>
      <c r="K60" s="4" t="s">
        <v>220</v>
      </c>
      <c r="L60" s="4" t="s">
        <v>16</v>
      </c>
      <c r="M60" s="4" t="s">
        <v>221</v>
      </c>
      <c r="S60" s="4" t="str">
        <f>TEXT(Table1[[#This Row],[Date]],"MMM-YY")</f>
        <v>Sep-24</v>
      </c>
      <c r="T60" s="4">
        <f>_xlfn.ISOWEEKNUM(Table1[[#This Row],[Date]])</f>
        <v>39</v>
      </c>
      <c r="U60" s="4" t="str">
        <f>TEXT(Table1[[#This Row],[Expected Business Month]],"YYYY")</f>
        <v>2024</v>
      </c>
    </row>
    <row r="61" spans="1:21" hidden="1">
      <c r="A61" s="19">
        <v>45559</v>
      </c>
      <c r="B61" s="4" t="s">
        <v>335</v>
      </c>
      <c r="C61" s="4" t="s">
        <v>217</v>
      </c>
      <c r="D61" s="4" t="s">
        <v>183</v>
      </c>
      <c r="E61" s="4" t="s">
        <v>49</v>
      </c>
      <c r="F61" s="4" t="s">
        <v>336</v>
      </c>
      <c r="G61" s="17" t="s">
        <v>337</v>
      </c>
      <c r="J61" s="31">
        <v>45597</v>
      </c>
      <c r="K61" s="4" t="s">
        <v>220</v>
      </c>
      <c r="L61" s="4" t="s">
        <v>16</v>
      </c>
      <c r="M61" s="4" t="s">
        <v>221</v>
      </c>
      <c r="S61" s="4" t="str">
        <f>TEXT(Table1[[#This Row],[Date]],"MMM-YY")</f>
        <v>Sep-24</v>
      </c>
      <c r="T61" s="4">
        <f>_xlfn.ISOWEEKNUM(Table1[[#This Row],[Date]])</f>
        <v>39</v>
      </c>
      <c r="U61" s="4" t="str">
        <f>TEXT(Table1[[#This Row],[Expected Business Month]],"YYYY")</f>
        <v>2024</v>
      </c>
    </row>
    <row r="62" spans="1:21" hidden="1">
      <c r="A62" s="19">
        <v>45559</v>
      </c>
      <c r="B62" s="4" t="s">
        <v>338</v>
      </c>
      <c r="C62" s="4" t="s">
        <v>225</v>
      </c>
      <c r="D62" s="4" t="s">
        <v>183</v>
      </c>
      <c r="E62" s="4" t="s">
        <v>49</v>
      </c>
      <c r="F62" s="4" t="s">
        <v>339</v>
      </c>
      <c r="G62" s="17" t="s">
        <v>240</v>
      </c>
      <c r="J62" s="31">
        <v>45597</v>
      </c>
      <c r="K62" s="4" t="s">
        <v>220</v>
      </c>
      <c r="L62" s="4" t="s">
        <v>16</v>
      </c>
      <c r="M62" s="4" t="s">
        <v>221</v>
      </c>
      <c r="S62" s="4" t="str">
        <f>TEXT(Table1[[#This Row],[Date]],"MMM-YY")</f>
        <v>Sep-24</v>
      </c>
      <c r="T62" s="4">
        <f>_xlfn.ISOWEEKNUM(Table1[[#This Row],[Date]])</f>
        <v>39</v>
      </c>
      <c r="U62" s="4" t="str">
        <f>TEXT(Table1[[#This Row],[Expected Business Month]],"YYYY")</f>
        <v>2024</v>
      </c>
    </row>
    <row r="63" spans="1:21" hidden="1">
      <c r="A63" s="19">
        <v>45559</v>
      </c>
      <c r="B63" s="4" t="s">
        <v>278</v>
      </c>
      <c r="C63" s="4" t="s">
        <v>225</v>
      </c>
      <c r="D63" s="4" t="s">
        <v>195</v>
      </c>
      <c r="E63" s="4" t="s">
        <v>69</v>
      </c>
      <c r="F63" s="4" t="s">
        <v>279</v>
      </c>
      <c r="G63" s="17" t="s">
        <v>340</v>
      </c>
      <c r="H63" s="4">
        <v>19000</v>
      </c>
      <c r="J63" s="31">
        <v>45566</v>
      </c>
      <c r="K63" s="4" t="s">
        <v>220</v>
      </c>
      <c r="L63" s="4" t="s">
        <v>11</v>
      </c>
      <c r="M63" s="4" t="s">
        <v>235</v>
      </c>
      <c r="S63" s="4" t="str">
        <f>TEXT(Table1[[#This Row],[Date]],"MMM-YY")</f>
        <v>Sep-24</v>
      </c>
      <c r="T63" s="4">
        <f>_xlfn.ISOWEEKNUM(Table1[[#This Row],[Date]])</f>
        <v>39</v>
      </c>
      <c r="U63" s="4" t="str">
        <f>TEXT(Table1[[#This Row],[Expected Business Month]],"YYYY")</f>
        <v>2024</v>
      </c>
    </row>
    <row r="64" spans="1:21" hidden="1">
      <c r="A64" s="19">
        <v>45559</v>
      </c>
      <c r="B64" s="4" t="s">
        <v>341</v>
      </c>
      <c r="C64" s="4" t="s">
        <v>225</v>
      </c>
      <c r="D64" s="4" t="s">
        <v>183</v>
      </c>
      <c r="E64" s="4" t="s">
        <v>49</v>
      </c>
      <c r="F64" s="4" t="s">
        <v>342</v>
      </c>
      <c r="G64" s="17" t="s">
        <v>240</v>
      </c>
      <c r="J64" s="31">
        <v>45566</v>
      </c>
      <c r="K64" s="4" t="s">
        <v>220</v>
      </c>
      <c r="L64" s="4" t="s">
        <v>13</v>
      </c>
      <c r="M64" s="4" t="s">
        <v>221</v>
      </c>
      <c r="S64" s="4" t="str">
        <f>TEXT(Table1[[#This Row],[Date]],"MMM-YY")</f>
        <v>Sep-24</v>
      </c>
      <c r="T64" s="4">
        <f>_xlfn.ISOWEEKNUM(Table1[[#This Row],[Date]])</f>
        <v>39</v>
      </c>
      <c r="U64" s="4" t="str">
        <f>TEXT(Table1[[#This Row],[Expected Business Month]],"YYYY")</f>
        <v>2024</v>
      </c>
    </row>
    <row r="65" spans="1:21" hidden="1">
      <c r="A65" s="19">
        <v>45560</v>
      </c>
      <c r="B65" s="4" t="s">
        <v>258</v>
      </c>
      <c r="C65" s="4" t="s">
        <v>225</v>
      </c>
      <c r="D65" s="4" t="s">
        <v>195</v>
      </c>
      <c r="E65" s="4" t="s">
        <v>47</v>
      </c>
      <c r="F65" s="4" t="s">
        <v>269</v>
      </c>
      <c r="G65" s="17" t="s">
        <v>343</v>
      </c>
      <c r="J65" s="31">
        <v>45597</v>
      </c>
      <c r="K65" s="4" t="s">
        <v>220</v>
      </c>
      <c r="L65" s="4" t="s">
        <v>16</v>
      </c>
      <c r="M65" s="4" t="s">
        <v>221</v>
      </c>
      <c r="S65" s="4" t="str">
        <f>TEXT(Table1[[#This Row],[Date]],"MMM-YY")</f>
        <v>Sep-24</v>
      </c>
      <c r="T65" s="4">
        <f>_xlfn.ISOWEEKNUM(Table1[[#This Row],[Date]])</f>
        <v>39</v>
      </c>
      <c r="U65" s="4" t="str">
        <f>TEXT(Table1[[#This Row],[Expected Business Month]],"YYYY")</f>
        <v>2024</v>
      </c>
    </row>
    <row r="66" spans="1:21" hidden="1">
      <c r="A66" s="19">
        <v>45560</v>
      </c>
      <c r="B66" s="4" t="s">
        <v>344</v>
      </c>
      <c r="C66" s="4" t="s">
        <v>225</v>
      </c>
      <c r="D66" s="4" t="s">
        <v>195</v>
      </c>
      <c r="E66" s="4" t="s">
        <v>53</v>
      </c>
      <c r="F66" s="4" t="s">
        <v>345</v>
      </c>
      <c r="G66" s="17" t="s">
        <v>240</v>
      </c>
      <c r="J66" s="31">
        <v>45689</v>
      </c>
      <c r="K66" s="4" t="s">
        <v>220</v>
      </c>
      <c r="L66" s="4" t="s">
        <v>16</v>
      </c>
      <c r="M66" s="4" t="s">
        <v>221</v>
      </c>
      <c r="S66" s="4" t="str">
        <f>TEXT(Table1[[#This Row],[Date]],"MMM-YY")</f>
        <v>Sep-24</v>
      </c>
      <c r="T66" s="4">
        <f>_xlfn.ISOWEEKNUM(Table1[[#This Row],[Date]])</f>
        <v>39</v>
      </c>
      <c r="U66" s="4" t="str">
        <f>TEXT(Table1[[#This Row],[Expected Business Month]],"YYYY")</f>
        <v>2025</v>
      </c>
    </row>
    <row r="67" spans="1:21" hidden="1">
      <c r="A67" s="19">
        <v>45560</v>
      </c>
      <c r="B67" s="4" t="s">
        <v>346</v>
      </c>
      <c r="C67" s="4" t="s">
        <v>217</v>
      </c>
      <c r="D67" s="4" t="s">
        <v>195</v>
      </c>
      <c r="E67" s="4" t="s">
        <v>61</v>
      </c>
      <c r="F67" s="4" t="s">
        <v>347</v>
      </c>
      <c r="G67" s="17" t="s">
        <v>240</v>
      </c>
      <c r="J67" s="31">
        <v>45566</v>
      </c>
      <c r="K67" s="4" t="s">
        <v>220</v>
      </c>
      <c r="L67" s="4" t="s">
        <v>13</v>
      </c>
      <c r="M67" s="4" t="s">
        <v>221</v>
      </c>
      <c r="S67" s="4" t="str">
        <f>TEXT(Table1[[#This Row],[Date]],"MMM-YY")</f>
        <v>Sep-24</v>
      </c>
      <c r="T67" s="4">
        <f>_xlfn.ISOWEEKNUM(Table1[[#This Row],[Date]])</f>
        <v>39</v>
      </c>
      <c r="U67" s="4" t="str">
        <f>TEXT(Table1[[#This Row],[Expected Business Month]],"YYYY")</f>
        <v>2024</v>
      </c>
    </row>
    <row r="68" spans="1:21" hidden="1">
      <c r="A68" s="19">
        <v>45560</v>
      </c>
      <c r="B68" s="4" t="s">
        <v>348</v>
      </c>
      <c r="C68" s="4" t="s">
        <v>225</v>
      </c>
      <c r="D68" s="4" t="s">
        <v>195</v>
      </c>
      <c r="E68" s="4" t="s">
        <v>87</v>
      </c>
      <c r="F68" s="4" t="s">
        <v>349</v>
      </c>
      <c r="G68" s="17" t="s">
        <v>240</v>
      </c>
      <c r="J68" s="31">
        <v>45689</v>
      </c>
      <c r="K68" s="4" t="s">
        <v>220</v>
      </c>
      <c r="L68" s="4" t="s">
        <v>16</v>
      </c>
      <c r="M68" s="4" t="s">
        <v>221</v>
      </c>
      <c r="S68" s="4" t="str">
        <f>TEXT(Table1[[#This Row],[Date]],"MMM-YY")</f>
        <v>Sep-24</v>
      </c>
      <c r="T68" s="4">
        <f>_xlfn.ISOWEEKNUM(Table1[[#This Row],[Date]])</f>
        <v>39</v>
      </c>
      <c r="U68" s="4" t="str">
        <f>TEXT(Table1[[#This Row],[Expected Business Month]],"YYYY")</f>
        <v>2025</v>
      </c>
    </row>
    <row r="69" spans="1:21" hidden="1">
      <c r="A69" s="19">
        <v>45560</v>
      </c>
      <c r="B69" s="4" t="s">
        <v>278</v>
      </c>
      <c r="C69" s="4" t="s">
        <v>217</v>
      </c>
      <c r="D69" s="4" t="s">
        <v>195</v>
      </c>
      <c r="E69" s="4" t="s">
        <v>69</v>
      </c>
      <c r="F69" s="4" t="s">
        <v>350</v>
      </c>
      <c r="G69" s="17" t="s">
        <v>351</v>
      </c>
      <c r="J69" s="31">
        <v>45689</v>
      </c>
      <c r="K69" s="4" t="s">
        <v>220</v>
      </c>
      <c r="L69" s="4" t="s">
        <v>16</v>
      </c>
      <c r="M69" s="4" t="s">
        <v>11</v>
      </c>
      <c r="S69" s="4" t="str">
        <f>TEXT(Table1[[#This Row],[Date]],"MMM-YY")</f>
        <v>Sep-24</v>
      </c>
      <c r="T69" s="4">
        <f>_xlfn.ISOWEEKNUM(Table1[[#This Row],[Date]])</f>
        <v>39</v>
      </c>
      <c r="U69" s="4" t="str">
        <f>TEXT(Table1[[#This Row],[Expected Business Month]],"YYYY")</f>
        <v>2025</v>
      </c>
    </row>
    <row r="70" spans="1:21" hidden="1">
      <c r="A70" s="19">
        <v>45561</v>
      </c>
      <c r="B70" s="4" t="s">
        <v>352</v>
      </c>
      <c r="C70" s="4" t="s">
        <v>225</v>
      </c>
      <c r="D70" s="4" t="s">
        <v>195</v>
      </c>
      <c r="E70" s="4" t="s">
        <v>53</v>
      </c>
      <c r="F70" s="4" t="s">
        <v>353</v>
      </c>
      <c r="G70" s="17" t="s">
        <v>240</v>
      </c>
      <c r="J70" s="31">
        <v>45597</v>
      </c>
      <c r="K70" s="4" t="s">
        <v>220</v>
      </c>
      <c r="L70" s="4" t="s">
        <v>13</v>
      </c>
      <c r="M70" s="4" t="s">
        <v>221</v>
      </c>
      <c r="S70" s="4" t="str">
        <f>TEXT(Table1[[#This Row],[Date]],"MMM-YY")</f>
        <v>Sep-24</v>
      </c>
      <c r="T70" s="4">
        <f>_xlfn.ISOWEEKNUM(Table1[[#This Row],[Date]])</f>
        <v>39</v>
      </c>
      <c r="U70" s="4" t="str">
        <f>TEXT(Table1[[#This Row],[Expected Business Month]],"YYYY")</f>
        <v>2024</v>
      </c>
    </row>
    <row r="71" spans="1:21" hidden="1">
      <c r="A71" s="19">
        <v>45561</v>
      </c>
      <c r="B71" s="4" t="s">
        <v>354</v>
      </c>
      <c r="C71" s="4" t="s">
        <v>217</v>
      </c>
      <c r="D71" s="4" t="s">
        <v>195</v>
      </c>
      <c r="E71" s="4" t="s">
        <v>61</v>
      </c>
      <c r="F71" s="4" t="s">
        <v>355</v>
      </c>
      <c r="G71" s="17" t="s">
        <v>240</v>
      </c>
      <c r="J71" s="31">
        <v>45689</v>
      </c>
      <c r="K71" s="4" t="s">
        <v>220</v>
      </c>
      <c r="L71" s="4" t="s">
        <v>16</v>
      </c>
      <c r="M71" s="4" t="s">
        <v>221</v>
      </c>
      <c r="S71" s="4" t="str">
        <f>TEXT(Table1[[#This Row],[Date]],"MMM-YY")</f>
        <v>Sep-24</v>
      </c>
      <c r="T71" s="4">
        <f>_xlfn.ISOWEEKNUM(Table1[[#This Row],[Date]])</f>
        <v>39</v>
      </c>
      <c r="U71" s="4" t="str">
        <f>TEXT(Table1[[#This Row],[Expected Business Month]],"YYYY")</f>
        <v>2025</v>
      </c>
    </row>
    <row r="72" spans="1:21" hidden="1">
      <c r="A72" s="19">
        <v>45561</v>
      </c>
      <c r="B72" s="4" t="s">
        <v>356</v>
      </c>
      <c r="C72" s="4" t="s">
        <v>225</v>
      </c>
      <c r="D72" s="4" t="s">
        <v>195</v>
      </c>
      <c r="E72" s="4" t="s">
        <v>91</v>
      </c>
      <c r="F72" s="4" t="s">
        <v>357</v>
      </c>
      <c r="G72" s="17" t="s">
        <v>240</v>
      </c>
      <c r="J72" s="31">
        <v>45566</v>
      </c>
      <c r="K72" s="4" t="s">
        <v>220</v>
      </c>
      <c r="L72" s="4" t="s">
        <v>13</v>
      </c>
      <c r="M72" s="4" t="s">
        <v>221</v>
      </c>
      <c r="S72" s="4" t="str">
        <f>TEXT(Table1[[#This Row],[Date]],"MMM-YY")</f>
        <v>Sep-24</v>
      </c>
      <c r="T72" s="4">
        <f>_xlfn.ISOWEEKNUM(Table1[[#This Row],[Date]])</f>
        <v>39</v>
      </c>
      <c r="U72" s="4" t="str">
        <f>TEXT(Table1[[#This Row],[Expected Business Month]],"YYYY")</f>
        <v>2024</v>
      </c>
    </row>
    <row r="73" spans="1:21" hidden="1">
      <c r="A73" s="19">
        <v>45561</v>
      </c>
      <c r="B73" s="4" t="s">
        <v>358</v>
      </c>
      <c r="C73" s="4" t="s">
        <v>217</v>
      </c>
      <c r="D73" s="4" t="s">
        <v>195</v>
      </c>
      <c r="E73" s="4" t="s">
        <v>87</v>
      </c>
      <c r="F73" s="4" t="s">
        <v>359</v>
      </c>
      <c r="G73" s="17" t="s">
        <v>240</v>
      </c>
      <c r="J73" s="31">
        <v>45566</v>
      </c>
      <c r="K73" s="4" t="s">
        <v>220</v>
      </c>
      <c r="L73" s="4" t="s">
        <v>13</v>
      </c>
      <c r="M73" s="4" t="s">
        <v>221</v>
      </c>
      <c r="S73" s="4" t="str">
        <f>TEXT(Table1[[#This Row],[Date]],"MMM-YY")</f>
        <v>Sep-24</v>
      </c>
      <c r="T73" s="4">
        <f>_xlfn.ISOWEEKNUM(Table1[[#This Row],[Date]])</f>
        <v>39</v>
      </c>
      <c r="U73" s="4" t="str">
        <f>TEXT(Table1[[#This Row],[Expected Business Month]],"YYYY")</f>
        <v>2024</v>
      </c>
    </row>
    <row r="74" spans="1:21" hidden="1">
      <c r="A74" s="19">
        <v>45561</v>
      </c>
      <c r="B74" s="4" t="s">
        <v>360</v>
      </c>
      <c r="C74" s="4" t="s">
        <v>225</v>
      </c>
      <c r="D74" s="4" t="s">
        <v>195</v>
      </c>
      <c r="E74" s="4" t="s">
        <v>91</v>
      </c>
      <c r="F74" s="4" t="s">
        <v>361</v>
      </c>
      <c r="G74" s="17" t="s">
        <v>240</v>
      </c>
      <c r="J74" s="31">
        <v>45566</v>
      </c>
      <c r="K74" s="4" t="s">
        <v>220</v>
      </c>
      <c r="L74" s="4" t="s">
        <v>13</v>
      </c>
      <c r="M74" s="4" t="s">
        <v>221</v>
      </c>
      <c r="S74" s="4" t="str">
        <f>TEXT(Table1[[#This Row],[Date]],"MMM-YY")</f>
        <v>Sep-24</v>
      </c>
      <c r="T74" s="4">
        <f>_xlfn.ISOWEEKNUM(Table1[[#This Row],[Date]])</f>
        <v>39</v>
      </c>
      <c r="U74" s="4" t="str">
        <f>TEXT(Table1[[#This Row],[Expected Business Month]],"YYYY")</f>
        <v>2024</v>
      </c>
    </row>
    <row r="75" spans="1:21" hidden="1">
      <c r="A75" s="19">
        <v>45561</v>
      </c>
      <c r="B75" s="4" t="s">
        <v>362</v>
      </c>
      <c r="C75" s="4" t="s">
        <v>225</v>
      </c>
      <c r="D75" s="4" t="s">
        <v>363</v>
      </c>
      <c r="E75" s="4" t="s">
        <v>93</v>
      </c>
      <c r="F75" s="4" t="s">
        <v>364</v>
      </c>
      <c r="G75" s="17" t="s">
        <v>240</v>
      </c>
      <c r="J75" s="31">
        <v>45566</v>
      </c>
      <c r="K75" s="4" t="s">
        <v>220</v>
      </c>
      <c r="L75" s="4" t="s">
        <v>13</v>
      </c>
      <c r="M75" s="4" t="s">
        <v>221</v>
      </c>
      <c r="S75" s="4" t="str">
        <f>TEXT(Table1[[#This Row],[Date]],"MMM-YY")</f>
        <v>Sep-24</v>
      </c>
      <c r="T75" s="4">
        <f>_xlfn.ISOWEEKNUM(Table1[[#This Row],[Date]])</f>
        <v>39</v>
      </c>
      <c r="U75" s="4" t="str">
        <f>TEXT(Table1[[#This Row],[Expected Business Month]],"YYYY")</f>
        <v>2024</v>
      </c>
    </row>
    <row r="76" spans="1:21" hidden="1">
      <c r="A76" s="19">
        <v>45561</v>
      </c>
      <c r="B76" s="4" t="s">
        <v>365</v>
      </c>
      <c r="C76" s="4" t="s">
        <v>225</v>
      </c>
      <c r="D76" s="4" t="s">
        <v>195</v>
      </c>
      <c r="E76" s="4" t="s">
        <v>61</v>
      </c>
      <c r="F76" s="4" t="s">
        <v>366</v>
      </c>
      <c r="G76" s="17" t="s">
        <v>240</v>
      </c>
      <c r="J76" s="31">
        <v>45566</v>
      </c>
      <c r="K76" s="4" t="s">
        <v>220</v>
      </c>
      <c r="L76" s="4" t="s">
        <v>13</v>
      </c>
      <c r="M76" s="4" t="s">
        <v>221</v>
      </c>
      <c r="S76" s="4" t="str">
        <f>TEXT(Table1[[#This Row],[Date]],"MMM-YY")</f>
        <v>Sep-24</v>
      </c>
      <c r="T76" s="4">
        <f>_xlfn.ISOWEEKNUM(Table1[[#This Row],[Date]])</f>
        <v>39</v>
      </c>
      <c r="U76" s="4" t="str">
        <f>TEXT(Table1[[#This Row],[Expected Business Month]],"YYYY")</f>
        <v>2024</v>
      </c>
    </row>
    <row r="77" spans="1:21" hidden="1">
      <c r="A77" s="19">
        <v>45562</v>
      </c>
      <c r="B77" s="4" t="s">
        <v>367</v>
      </c>
      <c r="C77" s="4" t="s">
        <v>225</v>
      </c>
      <c r="D77" s="4" t="s">
        <v>195</v>
      </c>
      <c r="E77" s="4" t="s">
        <v>95</v>
      </c>
      <c r="F77" s="4" t="s">
        <v>368</v>
      </c>
      <c r="G77" s="17" t="s">
        <v>240</v>
      </c>
      <c r="J77" s="31">
        <v>45689</v>
      </c>
      <c r="K77" s="4" t="s">
        <v>220</v>
      </c>
      <c r="L77" s="4" t="s">
        <v>16</v>
      </c>
      <c r="M77" s="4" t="s">
        <v>221</v>
      </c>
      <c r="S77" s="4" t="str">
        <f>TEXT(Table1[[#This Row],[Date]],"MMM-YY")</f>
        <v>Sep-24</v>
      </c>
      <c r="T77" s="4">
        <f>_xlfn.ISOWEEKNUM(Table1[[#This Row],[Date]])</f>
        <v>39</v>
      </c>
      <c r="U77" s="4" t="str">
        <f>TEXT(Table1[[#This Row],[Expected Business Month]],"YYYY")</f>
        <v>2025</v>
      </c>
    </row>
    <row r="78" spans="1:21" hidden="1">
      <c r="A78" s="19">
        <v>45562</v>
      </c>
      <c r="B78" s="4" t="s">
        <v>369</v>
      </c>
      <c r="C78" s="4" t="s">
        <v>225</v>
      </c>
      <c r="D78" s="4" t="s">
        <v>195</v>
      </c>
      <c r="E78" s="4" t="s">
        <v>25</v>
      </c>
      <c r="F78" s="4" t="s">
        <v>370</v>
      </c>
      <c r="G78" s="17" t="s">
        <v>240</v>
      </c>
      <c r="J78" s="31">
        <v>45597</v>
      </c>
      <c r="K78" s="4" t="s">
        <v>220</v>
      </c>
      <c r="L78" s="4" t="s">
        <v>13</v>
      </c>
      <c r="M78" s="4" t="s">
        <v>221</v>
      </c>
      <c r="S78" s="4" t="str">
        <f>TEXT(Table1[[#This Row],[Date]],"MMM-YY")</f>
        <v>Sep-24</v>
      </c>
      <c r="T78" s="4">
        <f>_xlfn.ISOWEEKNUM(Table1[[#This Row],[Date]])</f>
        <v>39</v>
      </c>
      <c r="U78" s="4" t="str">
        <f>TEXT(Table1[[#This Row],[Expected Business Month]],"YYYY")</f>
        <v>2024</v>
      </c>
    </row>
    <row r="79" spans="1:21" hidden="1">
      <c r="A79" s="19">
        <v>45562</v>
      </c>
      <c r="B79" s="4" t="s">
        <v>371</v>
      </c>
      <c r="C79" s="4" t="s">
        <v>217</v>
      </c>
      <c r="D79" s="4" t="s">
        <v>195</v>
      </c>
      <c r="E79" s="4" t="s">
        <v>61</v>
      </c>
      <c r="F79" s="4" t="s">
        <v>372</v>
      </c>
      <c r="G79" s="17" t="s">
        <v>240</v>
      </c>
      <c r="J79" s="31">
        <v>45566</v>
      </c>
      <c r="K79" s="4" t="s">
        <v>220</v>
      </c>
      <c r="L79" s="4" t="s">
        <v>13</v>
      </c>
      <c r="M79" s="4" t="s">
        <v>221</v>
      </c>
      <c r="S79" s="4" t="str">
        <f>TEXT(Table1[[#This Row],[Date]],"MMM-YY")</f>
        <v>Sep-24</v>
      </c>
      <c r="T79" s="4">
        <f>_xlfn.ISOWEEKNUM(Table1[[#This Row],[Date]])</f>
        <v>39</v>
      </c>
      <c r="U79" s="4" t="str">
        <f>TEXT(Table1[[#This Row],[Expected Business Month]],"YYYY")</f>
        <v>2024</v>
      </c>
    </row>
    <row r="80" spans="1:21" hidden="1">
      <c r="A80" s="19">
        <v>45562</v>
      </c>
      <c r="B80" s="4" t="s">
        <v>373</v>
      </c>
      <c r="C80" s="4" t="s">
        <v>225</v>
      </c>
      <c r="D80" s="4" t="s">
        <v>195</v>
      </c>
      <c r="E80" s="4" t="s">
        <v>93</v>
      </c>
      <c r="F80" s="4" t="s">
        <v>374</v>
      </c>
      <c r="G80" s="17" t="s">
        <v>240</v>
      </c>
      <c r="J80" s="31">
        <v>45566</v>
      </c>
      <c r="K80" s="4" t="s">
        <v>220</v>
      </c>
      <c r="L80" s="4" t="s">
        <v>13</v>
      </c>
      <c r="M80" s="4" t="s">
        <v>221</v>
      </c>
      <c r="S80" s="4" t="str">
        <f>TEXT(Table1[[#This Row],[Date]],"MMM-YY")</f>
        <v>Sep-24</v>
      </c>
      <c r="T80" s="4">
        <f>_xlfn.ISOWEEKNUM(Table1[[#This Row],[Date]])</f>
        <v>39</v>
      </c>
      <c r="U80" s="4" t="str">
        <f>TEXT(Table1[[#This Row],[Expected Business Month]],"YYYY")</f>
        <v>2024</v>
      </c>
    </row>
    <row r="81" spans="1:21" hidden="1">
      <c r="A81" s="19">
        <v>45562</v>
      </c>
      <c r="B81" s="4" t="s">
        <v>375</v>
      </c>
      <c r="C81" s="4" t="s">
        <v>217</v>
      </c>
      <c r="D81" s="4" t="s">
        <v>195</v>
      </c>
      <c r="E81" s="4" t="s">
        <v>32</v>
      </c>
      <c r="F81" s="4" t="s">
        <v>376</v>
      </c>
      <c r="G81" s="17" t="s">
        <v>240</v>
      </c>
      <c r="J81" s="31">
        <v>45566</v>
      </c>
      <c r="K81" s="4" t="s">
        <v>220</v>
      </c>
      <c r="L81" s="4" t="s">
        <v>13</v>
      </c>
      <c r="M81" s="4" t="s">
        <v>221</v>
      </c>
      <c r="S81" s="4" t="str">
        <f>TEXT(Table1[[#This Row],[Date]],"MMM-YY")</f>
        <v>Sep-24</v>
      </c>
      <c r="T81" s="4">
        <f>_xlfn.ISOWEEKNUM(Table1[[#This Row],[Date]])</f>
        <v>39</v>
      </c>
      <c r="U81" s="4" t="str">
        <f>TEXT(Table1[[#This Row],[Expected Business Month]],"YYYY")</f>
        <v>2024</v>
      </c>
    </row>
    <row r="82" spans="1:21" hidden="1">
      <c r="A82" s="19">
        <v>45565</v>
      </c>
      <c r="B82" s="4" t="s">
        <v>354</v>
      </c>
      <c r="C82" s="4" t="s">
        <v>217</v>
      </c>
      <c r="D82" s="4" t="s">
        <v>195</v>
      </c>
      <c r="E82" s="4" t="s">
        <v>61</v>
      </c>
      <c r="F82" s="4" t="s">
        <v>377</v>
      </c>
      <c r="G82" s="17" t="s">
        <v>240</v>
      </c>
      <c r="J82" s="31">
        <v>45627</v>
      </c>
      <c r="K82" s="4" t="s">
        <v>220</v>
      </c>
      <c r="L82" s="4" t="s">
        <v>13</v>
      </c>
      <c r="M82" s="4" t="s">
        <v>221</v>
      </c>
      <c r="S82" s="4" t="str">
        <f>TEXT(Table1[[#This Row],[Date]],"MMM-YY")</f>
        <v>Sep-24</v>
      </c>
      <c r="T82" s="4">
        <f>_xlfn.ISOWEEKNUM(Table1[[#This Row],[Date]])</f>
        <v>40</v>
      </c>
      <c r="U82" s="4" t="str">
        <f>TEXT(Table1[[#This Row],[Expected Business Month]],"YYYY")</f>
        <v>2024</v>
      </c>
    </row>
    <row r="83" spans="1:21" hidden="1">
      <c r="A83" s="19">
        <v>45565</v>
      </c>
      <c r="B83" s="4" t="s">
        <v>378</v>
      </c>
      <c r="C83" s="4" t="s">
        <v>225</v>
      </c>
      <c r="D83" s="4" t="s">
        <v>195</v>
      </c>
      <c r="E83" s="4" t="s">
        <v>101</v>
      </c>
      <c r="F83" s="4" t="s">
        <v>379</v>
      </c>
      <c r="G83" s="17" t="s">
        <v>240</v>
      </c>
      <c r="J83" s="31">
        <v>45597</v>
      </c>
      <c r="K83" s="4" t="s">
        <v>220</v>
      </c>
      <c r="L83" s="4" t="s">
        <v>13</v>
      </c>
      <c r="M83" s="4" t="s">
        <v>221</v>
      </c>
      <c r="S83" s="4" t="str">
        <f>TEXT(Table1[[#This Row],[Date]],"MMM-YY")</f>
        <v>Sep-24</v>
      </c>
      <c r="T83" s="4">
        <f>_xlfn.ISOWEEKNUM(Table1[[#This Row],[Date]])</f>
        <v>40</v>
      </c>
      <c r="U83" s="4" t="str">
        <f>TEXT(Table1[[#This Row],[Expected Business Month]],"YYYY")</f>
        <v>2024</v>
      </c>
    </row>
    <row r="84" spans="1:21" hidden="1">
      <c r="A84" s="19">
        <v>45565</v>
      </c>
      <c r="B84" s="4" t="s">
        <v>253</v>
      </c>
      <c r="C84" s="4" t="s">
        <v>225</v>
      </c>
      <c r="D84" s="4" t="s">
        <v>195</v>
      </c>
      <c r="E84" s="4" t="s">
        <v>55</v>
      </c>
      <c r="F84" s="4" t="s">
        <v>250</v>
      </c>
      <c r="G84" s="17" t="s">
        <v>320</v>
      </c>
      <c r="J84" s="31">
        <v>45597</v>
      </c>
      <c r="K84" s="4" t="s">
        <v>220</v>
      </c>
      <c r="L84" s="4" t="s">
        <v>16</v>
      </c>
      <c r="M84" s="4" t="s">
        <v>221</v>
      </c>
      <c r="S84" s="4" t="str">
        <f>TEXT(Table1[[#This Row],[Date]],"MMM-YY")</f>
        <v>Sep-24</v>
      </c>
      <c r="T84" s="4">
        <f>_xlfn.ISOWEEKNUM(Table1[[#This Row],[Date]])</f>
        <v>40</v>
      </c>
      <c r="U84" s="4" t="str">
        <f>TEXT(Table1[[#This Row],[Expected Business Month]],"YYYY")</f>
        <v>2024</v>
      </c>
    </row>
    <row r="85" spans="1:21" hidden="1">
      <c r="A85" s="19">
        <v>45565</v>
      </c>
      <c r="B85" s="4" t="s">
        <v>380</v>
      </c>
      <c r="C85" s="4" t="s">
        <v>225</v>
      </c>
      <c r="D85" s="4" t="s">
        <v>195</v>
      </c>
      <c r="E85" s="4" t="s">
        <v>99</v>
      </c>
      <c r="F85" s="4" t="s">
        <v>381</v>
      </c>
      <c r="G85" s="17" t="s">
        <v>240</v>
      </c>
      <c r="J85" s="31">
        <v>45566</v>
      </c>
      <c r="K85" s="4" t="s">
        <v>220</v>
      </c>
      <c r="L85" s="4" t="s">
        <v>13</v>
      </c>
      <c r="M85" s="4" t="s">
        <v>221</v>
      </c>
      <c r="S85" s="4" t="str">
        <f>TEXT(Table1[[#This Row],[Date]],"MMM-YY")</f>
        <v>Sep-24</v>
      </c>
      <c r="T85" s="4">
        <f>_xlfn.ISOWEEKNUM(Table1[[#This Row],[Date]])</f>
        <v>40</v>
      </c>
      <c r="U85" s="4" t="str">
        <f>TEXT(Table1[[#This Row],[Expected Business Month]],"YYYY")</f>
        <v>2024</v>
      </c>
    </row>
    <row r="86" spans="1:21" hidden="1">
      <c r="A86" s="19">
        <v>45565</v>
      </c>
      <c r="B86" s="4" t="s">
        <v>382</v>
      </c>
      <c r="C86" s="4" t="s">
        <v>225</v>
      </c>
      <c r="D86" s="4" t="s">
        <v>195</v>
      </c>
      <c r="E86" s="4" t="s">
        <v>61</v>
      </c>
      <c r="F86" s="4" t="s">
        <v>383</v>
      </c>
      <c r="G86" s="17" t="s">
        <v>240</v>
      </c>
      <c r="J86" s="31">
        <v>45566</v>
      </c>
      <c r="K86" s="4" t="s">
        <v>220</v>
      </c>
      <c r="L86" s="4" t="s">
        <v>13</v>
      </c>
      <c r="M86" s="4" t="s">
        <v>221</v>
      </c>
      <c r="S86" s="4" t="str">
        <f>TEXT(Table1[[#This Row],[Date]],"MMM-YY")</f>
        <v>Sep-24</v>
      </c>
      <c r="T86" s="4">
        <f>_xlfn.ISOWEEKNUM(Table1[[#This Row],[Date]])</f>
        <v>40</v>
      </c>
      <c r="U86" s="4" t="str">
        <f>TEXT(Table1[[#This Row],[Expected Business Month]],"YYYY")</f>
        <v>2024</v>
      </c>
    </row>
    <row r="87" spans="1:21" hidden="1">
      <c r="A87" s="19">
        <v>45565</v>
      </c>
      <c r="B87" s="4" t="s">
        <v>384</v>
      </c>
      <c r="C87" s="4" t="s">
        <v>225</v>
      </c>
      <c r="D87" s="4" t="s">
        <v>195</v>
      </c>
      <c r="E87" s="4" t="s">
        <v>87</v>
      </c>
      <c r="F87" s="4" t="s">
        <v>385</v>
      </c>
      <c r="G87" s="17" t="s">
        <v>240</v>
      </c>
      <c r="J87" s="31">
        <v>45566</v>
      </c>
      <c r="K87" s="4" t="s">
        <v>220</v>
      </c>
      <c r="L87" s="4" t="s">
        <v>13</v>
      </c>
      <c r="M87" s="4" t="s">
        <v>221</v>
      </c>
      <c r="S87" s="4" t="str">
        <f>TEXT(Table1[[#This Row],[Date]],"MMM-YY")</f>
        <v>Sep-24</v>
      </c>
      <c r="T87" s="4">
        <f>_xlfn.ISOWEEKNUM(Table1[[#This Row],[Date]])</f>
        <v>40</v>
      </c>
      <c r="U87" s="4" t="str">
        <f>TEXT(Table1[[#This Row],[Expected Business Month]],"YYYY")</f>
        <v>2024</v>
      </c>
    </row>
    <row r="88" spans="1:21" hidden="1">
      <c r="A88" s="19">
        <v>45565</v>
      </c>
      <c r="B88" s="4" t="s">
        <v>386</v>
      </c>
      <c r="C88" s="4" t="s">
        <v>217</v>
      </c>
      <c r="D88" s="4" t="s">
        <v>183</v>
      </c>
      <c r="E88" s="4" t="s">
        <v>49</v>
      </c>
      <c r="F88" s="4" t="s">
        <v>387</v>
      </c>
      <c r="G88" s="17" t="s">
        <v>240</v>
      </c>
      <c r="J88" s="31">
        <v>45566</v>
      </c>
      <c r="K88" s="4" t="s">
        <v>220</v>
      </c>
      <c r="L88" s="4" t="s">
        <v>13</v>
      </c>
      <c r="M88" s="4" t="s">
        <v>221</v>
      </c>
      <c r="S88" s="4" t="str">
        <f>TEXT(Table1[[#This Row],[Date]],"MMM-YY")</f>
        <v>Sep-24</v>
      </c>
      <c r="T88" s="4">
        <f>_xlfn.ISOWEEKNUM(Table1[[#This Row],[Date]])</f>
        <v>40</v>
      </c>
      <c r="U88" s="4" t="str">
        <f>TEXT(Table1[[#This Row],[Expected Business Month]],"YYYY")</f>
        <v>2024</v>
      </c>
    </row>
    <row r="89" spans="1:21" hidden="1">
      <c r="A89" s="19">
        <v>45565</v>
      </c>
      <c r="B89" s="4" t="s">
        <v>388</v>
      </c>
      <c r="C89" s="4" t="s">
        <v>225</v>
      </c>
      <c r="D89" s="4" t="s">
        <v>389</v>
      </c>
      <c r="E89" s="4" t="s">
        <v>103</v>
      </c>
      <c r="F89" s="4" t="s">
        <v>390</v>
      </c>
      <c r="G89" s="17" t="s">
        <v>240</v>
      </c>
      <c r="J89" s="31">
        <v>45566</v>
      </c>
      <c r="K89" s="4" t="s">
        <v>220</v>
      </c>
      <c r="L89" s="4" t="s">
        <v>13</v>
      </c>
      <c r="M89" s="4" t="s">
        <v>221</v>
      </c>
      <c r="S89" s="4" t="str">
        <f>TEXT(Table1[[#This Row],[Date]],"MMM-YY")</f>
        <v>Sep-24</v>
      </c>
      <c r="T89" s="4">
        <f>_xlfn.ISOWEEKNUM(Table1[[#This Row],[Date]])</f>
        <v>40</v>
      </c>
      <c r="U89" s="4" t="str">
        <f>TEXT(Table1[[#This Row],[Expected Business Month]],"YYYY")</f>
        <v>2024</v>
      </c>
    </row>
    <row r="90" spans="1:21" hidden="1">
      <c r="A90" s="19">
        <v>45566</v>
      </c>
      <c r="B90" s="4" t="s">
        <v>391</v>
      </c>
      <c r="C90" s="4" t="s">
        <v>217</v>
      </c>
      <c r="D90" s="4" t="s">
        <v>195</v>
      </c>
      <c r="E90" s="4" t="s">
        <v>105</v>
      </c>
      <c r="F90" s="4" t="s">
        <v>392</v>
      </c>
      <c r="G90" s="17" t="s">
        <v>240</v>
      </c>
      <c r="J90" s="31">
        <v>45627</v>
      </c>
      <c r="K90" s="4" t="s">
        <v>220</v>
      </c>
      <c r="L90" s="4" t="s">
        <v>13</v>
      </c>
      <c r="M90" s="4" t="s">
        <v>221</v>
      </c>
      <c r="S90" s="4" t="str">
        <f>TEXT(Table1[[#This Row],[Date]],"MMM-YY")</f>
        <v>Oct-24</v>
      </c>
      <c r="T90" s="4">
        <f>_xlfn.ISOWEEKNUM(Table1[[#This Row],[Date]])</f>
        <v>40</v>
      </c>
      <c r="U90" s="4" t="str">
        <f>TEXT(Table1[[#This Row],[Expected Business Month]],"YYYY")</f>
        <v>2024</v>
      </c>
    </row>
    <row r="91" spans="1:21" hidden="1">
      <c r="A91" s="19">
        <v>45566</v>
      </c>
      <c r="B91" s="4" t="s">
        <v>393</v>
      </c>
      <c r="C91" s="4" t="s">
        <v>225</v>
      </c>
      <c r="D91" s="4" t="s">
        <v>195</v>
      </c>
      <c r="E91" s="4" t="s">
        <v>61</v>
      </c>
      <c r="F91" s="4" t="s">
        <v>364</v>
      </c>
      <c r="G91" s="17" t="s">
        <v>240</v>
      </c>
      <c r="J91" s="31">
        <v>45566</v>
      </c>
      <c r="K91" s="4" t="s">
        <v>220</v>
      </c>
      <c r="L91" s="4" t="s">
        <v>13</v>
      </c>
      <c r="M91" s="4" t="s">
        <v>221</v>
      </c>
      <c r="S91" s="4" t="str">
        <f>TEXT(Table1[[#This Row],[Date]],"MMM-YY")</f>
        <v>Oct-24</v>
      </c>
      <c r="T91" s="4">
        <f>_xlfn.ISOWEEKNUM(Table1[[#This Row],[Date]])</f>
        <v>40</v>
      </c>
      <c r="U91" s="4" t="str">
        <f>TEXT(Table1[[#This Row],[Expected Business Month]],"YYYY")</f>
        <v>2024</v>
      </c>
    </row>
    <row r="92" spans="1:21" hidden="1">
      <c r="A92" s="19">
        <v>45566</v>
      </c>
      <c r="B92" s="4" t="s">
        <v>394</v>
      </c>
      <c r="C92" s="4" t="s">
        <v>225</v>
      </c>
      <c r="D92" s="4" t="s">
        <v>195</v>
      </c>
      <c r="E92" s="4" t="s">
        <v>53</v>
      </c>
      <c r="F92" s="4" t="s">
        <v>395</v>
      </c>
      <c r="G92" s="17" t="s">
        <v>240</v>
      </c>
      <c r="J92" s="31">
        <v>45566</v>
      </c>
      <c r="K92" s="4" t="s">
        <v>220</v>
      </c>
      <c r="L92" s="4" t="s">
        <v>13</v>
      </c>
      <c r="M92" s="4" t="s">
        <v>221</v>
      </c>
      <c r="S92" s="4" t="str">
        <f>TEXT(Table1[[#This Row],[Date]],"MMM-YY")</f>
        <v>Oct-24</v>
      </c>
      <c r="T92" s="4">
        <f>_xlfn.ISOWEEKNUM(Table1[[#This Row],[Date]])</f>
        <v>40</v>
      </c>
      <c r="U92" s="4" t="str">
        <f>TEXT(Table1[[#This Row],[Expected Business Month]],"YYYY")</f>
        <v>2024</v>
      </c>
    </row>
    <row r="93" spans="1:21" hidden="1">
      <c r="A93" s="19">
        <v>45566</v>
      </c>
      <c r="B93" s="4" t="s">
        <v>396</v>
      </c>
      <c r="C93" s="4" t="s">
        <v>217</v>
      </c>
      <c r="D93" s="4" t="s">
        <v>195</v>
      </c>
      <c r="E93" s="4" t="s">
        <v>61</v>
      </c>
      <c r="F93" s="4" t="s">
        <v>397</v>
      </c>
      <c r="G93" s="17" t="s">
        <v>240</v>
      </c>
      <c r="J93" s="31">
        <v>45566</v>
      </c>
      <c r="K93" s="4" t="s">
        <v>220</v>
      </c>
      <c r="L93" s="4" t="s">
        <v>13</v>
      </c>
      <c r="M93" s="4" t="s">
        <v>221</v>
      </c>
      <c r="S93" s="4" t="str">
        <f>TEXT(Table1[[#This Row],[Date]],"MMM-YY")</f>
        <v>Oct-24</v>
      </c>
      <c r="T93" s="4">
        <f>_xlfn.ISOWEEKNUM(Table1[[#This Row],[Date]])</f>
        <v>40</v>
      </c>
      <c r="U93" s="4" t="str">
        <f>TEXT(Table1[[#This Row],[Expected Business Month]],"YYYY")</f>
        <v>2024</v>
      </c>
    </row>
    <row r="94" spans="1:21" hidden="1">
      <c r="A94" s="19">
        <v>45566</v>
      </c>
      <c r="B94" s="4" t="s">
        <v>398</v>
      </c>
      <c r="C94" s="4" t="s">
        <v>225</v>
      </c>
      <c r="D94" s="4" t="s">
        <v>195</v>
      </c>
      <c r="E94" s="4" t="s">
        <v>61</v>
      </c>
      <c r="F94" s="4" t="s">
        <v>399</v>
      </c>
      <c r="G94" s="17" t="s">
        <v>240</v>
      </c>
      <c r="J94" s="31">
        <v>45566</v>
      </c>
      <c r="K94" s="4" t="s">
        <v>220</v>
      </c>
      <c r="L94" s="4" t="s">
        <v>13</v>
      </c>
      <c r="M94" s="4" t="s">
        <v>221</v>
      </c>
      <c r="S94" s="4" t="str">
        <f>TEXT(Table1[[#This Row],[Date]],"MMM-YY")</f>
        <v>Oct-24</v>
      </c>
      <c r="T94" s="4">
        <f>_xlfn.ISOWEEKNUM(Table1[[#This Row],[Date]])</f>
        <v>40</v>
      </c>
      <c r="U94" s="4" t="str">
        <f>TEXT(Table1[[#This Row],[Expected Business Month]],"YYYY")</f>
        <v>2024</v>
      </c>
    </row>
    <row r="95" spans="1:21" hidden="1">
      <c r="A95" s="19">
        <v>45566</v>
      </c>
      <c r="B95" s="4" t="s">
        <v>400</v>
      </c>
      <c r="C95" s="4" t="s">
        <v>225</v>
      </c>
      <c r="D95" s="4" t="s">
        <v>195</v>
      </c>
      <c r="E95" s="4" t="s">
        <v>47</v>
      </c>
      <c r="F95" s="4" t="s">
        <v>374</v>
      </c>
      <c r="G95" s="17" t="s">
        <v>240</v>
      </c>
      <c r="J95" s="31">
        <v>45566</v>
      </c>
      <c r="K95" s="4" t="s">
        <v>220</v>
      </c>
      <c r="L95" s="4" t="s">
        <v>13</v>
      </c>
      <c r="M95" s="4" t="s">
        <v>221</v>
      </c>
      <c r="S95" s="4" t="str">
        <f>TEXT(Table1[[#This Row],[Date]],"MMM-YY")</f>
        <v>Oct-24</v>
      </c>
      <c r="T95" s="4">
        <f>_xlfn.ISOWEEKNUM(Table1[[#This Row],[Date]])</f>
        <v>40</v>
      </c>
      <c r="U95" s="4" t="str">
        <f>TEXT(Table1[[#This Row],[Expected Business Month]],"YYYY")</f>
        <v>2024</v>
      </c>
    </row>
    <row r="96" spans="1:21" hidden="1">
      <c r="A96" s="19">
        <v>45568</v>
      </c>
      <c r="B96" s="4" t="s">
        <v>401</v>
      </c>
      <c r="C96" s="4" t="s">
        <v>225</v>
      </c>
      <c r="D96" s="4" t="s">
        <v>195</v>
      </c>
      <c r="E96" s="4" t="s">
        <v>107</v>
      </c>
      <c r="F96" s="4" t="s">
        <v>402</v>
      </c>
      <c r="G96" s="17" t="s">
        <v>240</v>
      </c>
      <c r="J96" s="31">
        <v>45566</v>
      </c>
      <c r="K96" s="4" t="s">
        <v>220</v>
      </c>
      <c r="L96" s="4" t="s">
        <v>13</v>
      </c>
      <c r="M96" s="4" t="s">
        <v>221</v>
      </c>
      <c r="S96" s="4" t="str">
        <f>TEXT(Table1[[#This Row],[Date]],"MMM-YY")</f>
        <v>Oct-24</v>
      </c>
      <c r="T96" s="4">
        <f>_xlfn.ISOWEEKNUM(Table1[[#This Row],[Date]])</f>
        <v>40</v>
      </c>
      <c r="U96" s="4" t="str">
        <f>TEXT(Table1[[#This Row],[Expected Business Month]],"YYYY")</f>
        <v>2024</v>
      </c>
    </row>
    <row r="97" spans="1:21" hidden="1">
      <c r="A97" s="19">
        <v>45568</v>
      </c>
      <c r="B97" s="4" t="s">
        <v>403</v>
      </c>
      <c r="C97" s="4" t="s">
        <v>217</v>
      </c>
      <c r="D97" s="4" t="s">
        <v>21</v>
      </c>
      <c r="E97" s="4" t="s">
        <v>45</v>
      </c>
      <c r="F97" s="4" t="s">
        <v>404</v>
      </c>
      <c r="G97" s="17" t="s">
        <v>405</v>
      </c>
      <c r="J97" s="31">
        <v>45566</v>
      </c>
      <c r="K97" s="4" t="s">
        <v>220</v>
      </c>
      <c r="L97" s="4" t="s">
        <v>27</v>
      </c>
      <c r="M97" s="4" t="s">
        <v>235</v>
      </c>
      <c r="S97" s="4" t="str">
        <f>TEXT(Table1[[#This Row],[Date]],"MMM-YY")</f>
        <v>Oct-24</v>
      </c>
      <c r="T97" s="4">
        <f>_xlfn.ISOWEEKNUM(Table1[[#This Row],[Date]])</f>
        <v>40</v>
      </c>
      <c r="U97" s="4" t="str">
        <f>TEXT(Table1[[#This Row],[Expected Business Month]],"YYYY")</f>
        <v>2024</v>
      </c>
    </row>
    <row r="98" spans="1:21" hidden="1">
      <c r="A98" s="19">
        <v>45568</v>
      </c>
      <c r="B98" s="4" t="s">
        <v>360</v>
      </c>
      <c r="C98" s="4" t="s">
        <v>225</v>
      </c>
      <c r="D98" s="4" t="s">
        <v>195</v>
      </c>
      <c r="E98" s="4" t="s">
        <v>71</v>
      </c>
      <c r="F98" s="4" t="s">
        <v>406</v>
      </c>
      <c r="G98" s="17" t="s">
        <v>240</v>
      </c>
      <c r="J98" s="31">
        <v>45566</v>
      </c>
      <c r="K98" s="4" t="s">
        <v>220</v>
      </c>
      <c r="L98" s="4" t="s">
        <v>13</v>
      </c>
      <c r="M98" s="4" t="s">
        <v>221</v>
      </c>
      <c r="S98" s="4" t="str">
        <f>TEXT(Table1[[#This Row],[Date]],"MMM-YY")</f>
        <v>Oct-24</v>
      </c>
      <c r="T98" s="4">
        <f>_xlfn.ISOWEEKNUM(Table1[[#This Row],[Date]])</f>
        <v>40</v>
      </c>
      <c r="U98" s="4" t="str">
        <f>TEXT(Table1[[#This Row],[Expected Business Month]],"YYYY")</f>
        <v>2024</v>
      </c>
    </row>
    <row r="99" spans="1:21" hidden="1">
      <c r="A99" s="19">
        <v>45568</v>
      </c>
      <c r="B99" s="4" t="s">
        <v>407</v>
      </c>
      <c r="C99" s="4" t="s">
        <v>217</v>
      </c>
      <c r="D99" s="4" t="s">
        <v>21</v>
      </c>
      <c r="E99" s="4" t="s">
        <v>45</v>
      </c>
      <c r="F99" s="4" t="s">
        <v>408</v>
      </c>
      <c r="G99" s="17" t="s">
        <v>405</v>
      </c>
      <c r="J99" s="31">
        <v>45566</v>
      </c>
      <c r="K99" s="4" t="s">
        <v>220</v>
      </c>
      <c r="L99" s="4" t="s">
        <v>27</v>
      </c>
      <c r="M99" s="4" t="s">
        <v>235</v>
      </c>
      <c r="S99" s="4" t="str">
        <f>TEXT(Table1[[#This Row],[Date]],"MMM-YY")</f>
        <v>Oct-24</v>
      </c>
      <c r="T99" s="4">
        <f>_xlfn.ISOWEEKNUM(Table1[[#This Row],[Date]])</f>
        <v>40</v>
      </c>
      <c r="U99" s="4" t="str">
        <f>TEXT(Table1[[#This Row],[Expected Business Month]],"YYYY")</f>
        <v>2024</v>
      </c>
    </row>
    <row r="100" spans="1:21" hidden="1">
      <c r="A100" s="19">
        <v>45568</v>
      </c>
      <c r="B100" s="4" t="s">
        <v>409</v>
      </c>
      <c r="C100" s="4" t="s">
        <v>225</v>
      </c>
      <c r="D100" s="4" t="s">
        <v>195</v>
      </c>
      <c r="E100" s="4" t="s">
        <v>47</v>
      </c>
      <c r="F100" s="4" t="s">
        <v>410</v>
      </c>
      <c r="G100" s="17" t="s">
        <v>240</v>
      </c>
      <c r="J100" s="31">
        <v>45566</v>
      </c>
      <c r="K100" s="4" t="s">
        <v>220</v>
      </c>
      <c r="L100" s="4" t="s">
        <v>13</v>
      </c>
      <c r="M100" s="4" t="s">
        <v>221</v>
      </c>
      <c r="S100" s="4" t="str">
        <f>TEXT(Table1[[#This Row],[Date]],"MMM-YY")</f>
        <v>Oct-24</v>
      </c>
      <c r="T100" s="4">
        <f>_xlfn.ISOWEEKNUM(Table1[[#This Row],[Date]])</f>
        <v>40</v>
      </c>
      <c r="U100" s="4" t="str">
        <f>TEXT(Table1[[#This Row],[Expected Business Month]],"YYYY")</f>
        <v>2024</v>
      </c>
    </row>
    <row r="101" spans="1:21" hidden="1">
      <c r="A101" s="19">
        <v>45568</v>
      </c>
      <c r="B101" s="4" t="s">
        <v>411</v>
      </c>
      <c r="C101" s="4" t="s">
        <v>217</v>
      </c>
      <c r="D101" s="4" t="s">
        <v>195</v>
      </c>
      <c r="E101" s="4" t="s">
        <v>61</v>
      </c>
      <c r="F101" s="4" t="s">
        <v>412</v>
      </c>
      <c r="G101" s="17" t="s">
        <v>240</v>
      </c>
      <c r="J101" s="31">
        <v>45566</v>
      </c>
      <c r="K101" s="4" t="s">
        <v>220</v>
      </c>
      <c r="L101" s="4" t="s">
        <v>13</v>
      </c>
      <c r="M101" s="4" t="s">
        <v>221</v>
      </c>
      <c r="S101" s="4" t="str">
        <f>TEXT(Table1[[#This Row],[Date]],"MMM-YY")</f>
        <v>Oct-24</v>
      </c>
      <c r="T101" s="4">
        <f>_xlfn.ISOWEEKNUM(Table1[[#This Row],[Date]])</f>
        <v>40</v>
      </c>
      <c r="U101" s="4" t="str">
        <f>TEXT(Table1[[#This Row],[Expected Business Month]],"YYYY")</f>
        <v>2024</v>
      </c>
    </row>
    <row r="102" spans="1:21" hidden="1">
      <c r="A102" s="19">
        <v>45569</v>
      </c>
      <c r="B102" s="4" t="s">
        <v>413</v>
      </c>
      <c r="C102" s="4" t="s">
        <v>225</v>
      </c>
      <c r="D102" s="4" t="s">
        <v>21</v>
      </c>
      <c r="E102" s="4" t="s">
        <v>19</v>
      </c>
      <c r="F102" s="4" t="s">
        <v>414</v>
      </c>
      <c r="G102" s="17" t="s">
        <v>415</v>
      </c>
      <c r="J102" s="31">
        <v>45597</v>
      </c>
      <c r="K102" s="4" t="s">
        <v>220</v>
      </c>
      <c r="L102" s="4" t="s">
        <v>13</v>
      </c>
      <c r="M102" s="4" t="s">
        <v>221</v>
      </c>
      <c r="S102" s="4" t="str">
        <f>TEXT(Table1[[#This Row],[Date]],"MMM-YY")</f>
        <v>Oct-24</v>
      </c>
      <c r="T102" s="4">
        <f>_xlfn.ISOWEEKNUM(Table1[[#This Row],[Date]])</f>
        <v>40</v>
      </c>
      <c r="U102" s="4" t="str">
        <f>TEXT(Table1[[#This Row],[Expected Business Month]],"YYYY")</f>
        <v>2024</v>
      </c>
    </row>
    <row r="103" spans="1:21" hidden="1">
      <c r="A103" s="19">
        <v>45569</v>
      </c>
      <c r="B103" s="4" t="s">
        <v>356</v>
      </c>
      <c r="C103" s="4" t="s">
        <v>217</v>
      </c>
      <c r="D103" s="4" t="s">
        <v>195</v>
      </c>
      <c r="E103" s="4" t="s">
        <v>71</v>
      </c>
      <c r="F103" s="4" t="s">
        <v>357</v>
      </c>
      <c r="G103" s="17" t="s">
        <v>240</v>
      </c>
      <c r="J103" s="31">
        <v>45597</v>
      </c>
      <c r="K103" s="4" t="s">
        <v>220</v>
      </c>
      <c r="L103" s="4" t="s">
        <v>13</v>
      </c>
      <c r="M103" s="4" t="s">
        <v>221</v>
      </c>
      <c r="S103" s="4" t="str">
        <f>TEXT(Table1[[#This Row],[Date]],"MMM-YY")</f>
        <v>Oct-24</v>
      </c>
      <c r="T103" s="4">
        <f>_xlfn.ISOWEEKNUM(Table1[[#This Row],[Date]])</f>
        <v>40</v>
      </c>
      <c r="U103" s="4" t="str">
        <f>TEXT(Table1[[#This Row],[Expected Business Month]],"YYYY")</f>
        <v>2024</v>
      </c>
    </row>
    <row r="104" spans="1:21" hidden="1">
      <c r="A104" s="19">
        <v>45569</v>
      </c>
      <c r="B104" s="4" t="s">
        <v>416</v>
      </c>
      <c r="C104" s="4" t="s">
        <v>225</v>
      </c>
      <c r="D104" s="4" t="s">
        <v>195</v>
      </c>
      <c r="E104" s="4" t="s">
        <v>53</v>
      </c>
      <c r="F104" s="4" t="s">
        <v>417</v>
      </c>
      <c r="G104" s="17" t="s">
        <v>240</v>
      </c>
      <c r="J104" s="31">
        <v>45597</v>
      </c>
      <c r="K104" s="4" t="s">
        <v>220</v>
      </c>
      <c r="L104" s="4" t="s">
        <v>13</v>
      </c>
      <c r="M104" s="4" t="s">
        <v>221</v>
      </c>
      <c r="S104" s="4" t="str">
        <f>TEXT(Table1[[#This Row],[Date]],"MMM-YY")</f>
        <v>Oct-24</v>
      </c>
      <c r="T104" s="4">
        <f>_xlfn.ISOWEEKNUM(Table1[[#This Row],[Date]])</f>
        <v>40</v>
      </c>
      <c r="U104" s="4" t="str">
        <f>TEXT(Table1[[#This Row],[Expected Business Month]],"YYYY")</f>
        <v>2024</v>
      </c>
    </row>
    <row r="105" spans="1:21" hidden="1">
      <c r="A105" s="19">
        <v>45569</v>
      </c>
      <c r="B105" s="4" t="s">
        <v>418</v>
      </c>
      <c r="C105" s="4" t="s">
        <v>225</v>
      </c>
      <c r="D105" s="4" t="s">
        <v>195</v>
      </c>
      <c r="E105" s="4" t="s">
        <v>67</v>
      </c>
      <c r="F105" s="4" t="s">
        <v>419</v>
      </c>
      <c r="G105" s="17" t="s">
        <v>240</v>
      </c>
      <c r="J105" s="31">
        <v>45566</v>
      </c>
      <c r="K105" s="4" t="s">
        <v>220</v>
      </c>
      <c r="L105" s="4" t="s">
        <v>13</v>
      </c>
      <c r="M105" s="4" t="s">
        <v>221</v>
      </c>
      <c r="S105" s="4" t="str">
        <f>TEXT(Table1[[#This Row],[Date]],"MMM-YY")</f>
        <v>Oct-24</v>
      </c>
      <c r="T105" s="4">
        <f>_xlfn.ISOWEEKNUM(Table1[[#This Row],[Date]])</f>
        <v>40</v>
      </c>
      <c r="U105" s="4" t="str">
        <f>TEXT(Table1[[#This Row],[Expected Business Month]],"YYYY")</f>
        <v>2024</v>
      </c>
    </row>
    <row r="106" spans="1:21" hidden="1">
      <c r="A106" s="19">
        <v>45569</v>
      </c>
      <c r="B106" s="4" t="s">
        <v>409</v>
      </c>
      <c r="C106" s="4" t="s">
        <v>225</v>
      </c>
      <c r="D106" s="4" t="s">
        <v>195</v>
      </c>
      <c r="E106" s="4" t="s">
        <v>47</v>
      </c>
      <c r="F106" s="4" t="s">
        <v>420</v>
      </c>
      <c r="G106" s="17" t="s">
        <v>240</v>
      </c>
      <c r="J106" s="31">
        <v>45566</v>
      </c>
      <c r="K106" s="4" t="s">
        <v>220</v>
      </c>
      <c r="L106" s="4" t="s">
        <v>13</v>
      </c>
      <c r="M106" s="4" t="s">
        <v>221</v>
      </c>
      <c r="S106" s="4" t="str">
        <f>TEXT(Table1[[#This Row],[Date]],"MMM-YY")</f>
        <v>Oct-24</v>
      </c>
      <c r="T106" s="4">
        <f>_xlfn.ISOWEEKNUM(Table1[[#This Row],[Date]])</f>
        <v>40</v>
      </c>
      <c r="U106" s="4" t="str">
        <f>TEXT(Table1[[#This Row],[Expected Business Month]],"YYYY")</f>
        <v>2024</v>
      </c>
    </row>
    <row r="107" spans="1:21" hidden="1">
      <c r="A107" s="19">
        <v>45572</v>
      </c>
      <c r="B107" s="4" t="s">
        <v>421</v>
      </c>
      <c r="C107" s="4" t="s">
        <v>225</v>
      </c>
      <c r="D107" s="4" t="s">
        <v>195</v>
      </c>
      <c r="E107" s="4" t="s">
        <v>109</v>
      </c>
      <c r="F107" s="4" t="s">
        <v>422</v>
      </c>
      <c r="G107" s="17" t="s">
        <v>240</v>
      </c>
      <c r="J107" s="31">
        <v>45597</v>
      </c>
      <c r="K107" s="4" t="s">
        <v>220</v>
      </c>
      <c r="L107" s="4" t="s">
        <v>13</v>
      </c>
      <c r="M107" s="4" t="s">
        <v>221</v>
      </c>
      <c r="S107" s="4" t="str">
        <f>TEXT(Table1[[#This Row],[Date]],"MMM-YY")</f>
        <v>Oct-24</v>
      </c>
      <c r="T107" s="4">
        <f>_xlfn.ISOWEEKNUM(Table1[[#This Row],[Date]])</f>
        <v>41</v>
      </c>
      <c r="U107" s="4" t="str">
        <f>TEXT(Table1[[#This Row],[Expected Business Month]],"YYYY")</f>
        <v>2024</v>
      </c>
    </row>
    <row r="108" spans="1:21" hidden="1">
      <c r="A108" s="19">
        <v>45572</v>
      </c>
      <c r="B108" s="4" t="s">
        <v>423</v>
      </c>
      <c r="C108" s="4" t="s">
        <v>225</v>
      </c>
      <c r="D108" s="4" t="s">
        <v>195</v>
      </c>
      <c r="E108" s="4" t="s">
        <v>111</v>
      </c>
      <c r="F108" s="4" t="s">
        <v>424</v>
      </c>
      <c r="G108" s="17" t="s">
        <v>240</v>
      </c>
      <c r="J108" s="31">
        <v>45597</v>
      </c>
      <c r="K108" s="4" t="s">
        <v>220</v>
      </c>
      <c r="L108" s="4" t="s">
        <v>13</v>
      </c>
      <c r="M108" s="4" t="s">
        <v>221</v>
      </c>
      <c r="S108" s="4" t="str">
        <f>TEXT(Table1[[#This Row],[Date]],"MMM-YY")</f>
        <v>Oct-24</v>
      </c>
      <c r="T108" s="4">
        <f>_xlfn.ISOWEEKNUM(Table1[[#This Row],[Date]])</f>
        <v>41</v>
      </c>
      <c r="U108" s="4" t="str">
        <f>TEXT(Table1[[#This Row],[Expected Business Month]],"YYYY")</f>
        <v>2024</v>
      </c>
    </row>
    <row r="109" spans="1:21" hidden="1">
      <c r="A109" s="19">
        <v>45572</v>
      </c>
      <c r="B109" s="4" t="s">
        <v>425</v>
      </c>
      <c r="C109" s="4" t="s">
        <v>225</v>
      </c>
      <c r="D109" s="4" t="s">
        <v>195</v>
      </c>
      <c r="E109" s="4" t="s">
        <v>53</v>
      </c>
      <c r="F109" s="4" t="s">
        <v>426</v>
      </c>
      <c r="G109" s="17" t="s">
        <v>240</v>
      </c>
      <c r="J109" s="31">
        <v>45597</v>
      </c>
      <c r="K109" s="4" t="s">
        <v>220</v>
      </c>
      <c r="L109" s="4" t="s">
        <v>13</v>
      </c>
      <c r="M109" s="4" t="s">
        <v>221</v>
      </c>
      <c r="S109" s="4" t="str">
        <f>TEXT(Table1[[#This Row],[Date]],"MMM-YY")</f>
        <v>Oct-24</v>
      </c>
      <c r="T109" s="4">
        <f>_xlfn.ISOWEEKNUM(Table1[[#This Row],[Date]])</f>
        <v>41</v>
      </c>
      <c r="U109" s="4" t="str">
        <f>TEXT(Table1[[#This Row],[Expected Business Month]],"YYYY")</f>
        <v>2024</v>
      </c>
    </row>
    <row r="110" spans="1:21" hidden="1">
      <c r="A110" s="19">
        <v>45572</v>
      </c>
      <c r="B110" s="4" t="s">
        <v>427</v>
      </c>
      <c r="C110" s="4" t="s">
        <v>225</v>
      </c>
      <c r="D110" s="4" t="s">
        <v>195</v>
      </c>
      <c r="E110" s="4" t="s">
        <v>61</v>
      </c>
      <c r="F110" s="4" t="s">
        <v>345</v>
      </c>
      <c r="G110" s="17" t="s">
        <v>240</v>
      </c>
      <c r="J110" s="31">
        <v>45597</v>
      </c>
      <c r="K110" s="4" t="s">
        <v>220</v>
      </c>
      <c r="L110" s="4" t="s">
        <v>13</v>
      </c>
      <c r="M110" s="4" t="s">
        <v>221</v>
      </c>
      <c r="S110" s="4" t="str">
        <f>TEXT(Table1[[#This Row],[Date]],"MMM-YY")</f>
        <v>Oct-24</v>
      </c>
      <c r="T110" s="4">
        <f>_xlfn.ISOWEEKNUM(Table1[[#This Row],[Date]])</f>
        <v>41</v>
      </c>
      <c r="U110" s="4" t="str">
        <f>TEXT(Table1[[#This Row],[Expected Business Month]],"YYYY")</f>
        <v>2024</v>
      </c>
    </row>
    <row r="111" spans="1:21" hidden="1">
      <c r="A111" s="19">
        <v>45572</v>
      </c>
      <c r="B111" s="4" t="s">
        <v>428</v>
      </c>
      <c r="C111" s="4" t="s">
        <v>217</v>
      </c>
      <c r="D111" s="4" t="s">
        <v>195</v>
      </c>
      <c r="E111" s="4" t="s">
        <v>81</v>
      </c>
      <c r="F111" s="4" t="s">
        <v>429</v>
      </c>
      <c r="G111" s="17" t="s">
        <v>240</v>
      </c>
      <c r="J111" s="31">
        <v>45597</v>
      </c>
      <c r="K111" s="4" t="s">
        <v>220</v>
      </c>
      <c r="L111" s="4" t="s">
        <v>13</v>
      </c>
      <c r="M111" s="4" t="s">
        <v>221</v>
      </c>
      <c r="S111" s="4" t="str">
        <f>TEXT(Table1[[#This Row],[Date]],"MMM-YY")</f>
        <v>Oct-24</v>
      </c>
      <c r="T111" s="4">
        <f>_xlfn.ISOWEEKNUM(Table1[[#This Row],[Date]])</f>
        <v>41</v>
      </c>
      <c r="U111" s="4" t="str">
        <f>TEXT(Table1[[#This Row],[Expected Business Month]],"YYYY")</f>
        <v>2024</v>
      </c>
    </row>
    <row r="112" spans="1:21">
      <c r="A112" s="19">
        <v>45578</v>
      </c>
      <c r="B112" s="4" t="s">
        <v>430</v>
      </c>
      <c r="C112" s="4" t="s">
        <v>225</v>
      </c>
      <c r="D112" s="4" t="s">
        <v>45</v>
      </c>
      <c r="E112" s="4" t="s">
        <v>45</v>
      </c>
      <c r="G112" s="17" t="s">
        <v>431</v>
      </c>
      <c r="H112" s="4">
        <v>23230</v>
      </c>
      <c r="I112" s="4">
        <v>23230</v>
      </c>
      <c r="J112" s="31">
        <v>45566</v>
      </c>
      <c r="K112" s="4" t="s">
        <v>220</v>
      </c>
      <c r="L112" s="4" t="s">
        <v>17</v>
      </c>
      <c r="M112" s="4" t="s">
        <v>235</v>
      </c>
      <c r="P112" s="21">
        <v>23230</v>
      </c>
      <c r="S112" s="4" t="str">
        <f>TEXT(Table1[[#This Row],[Date]],"MMM-YY")</f>
        <v>Oct-24</v>
      </c>
      <c r="T112" s="4">
        <f>_xlfn.ISOWEEKNUM(Table1[[#This Row],[Date]])</f>
        <v>41</v>
      </c>
      <c r="U112" s="4" t="str">
        <f>TEXT(Table1[[#This Row],[Expected Business Month]],"YYYY")</f>
        <v>2024</v>
      </c>
    </row>
    <row r="113" spans="1:21">
      <c r="A113" s="19">
        <v>45578</v>
      </c>
      <c r="B113" s="4" t="s">
        <v>432</v>
      </c>
      <c r="C113" s="4" t="s">
        <v>225</v>
      </c>
      <c r="D113" s="4" t="s">
        <v>45</v>
      </c>
      <c r="E113" s="4" t="s">
        <v>45</v>
      </c>
      <c r="G113" s="17" t="s">
        <v>431</v>
      </c>
      <c r="H113" s="4">
        <v>83080</v>
      </c>
      <c r="I113" s="4">
        <v>83080</v>
      </c>
      <c r="J113" s="31">
        <v>45566</v>
      </c>
      <c r="K113" s="4" t="s">
        <v>220</v>
      </c>
      <c r="L113" s="4" t="s">
        <v>17</v>
      </c>
      <c r="M113" s="4" t="s">
        <v>235</v>
      </c>
      <c r="P113" s="21">
        <v>83080</v>
      </c>
      <c r="S113" s="4" t="str">
        <f>TEXT(Table1[[#This Row],[Date]],"MMM-YY")</f>
        <v>Oct-24</v>
      </c>
      <c r="T113" s="4">
        <f>_xlfn.ISOWEEKNUM(Table1[[#This Row],[Date]])</f>
        <v>41</v>
      </c>
      <c r="U113" s="4" t="str">
        <f>TEXT(Table1[[#This Row],[Expected Business Month]],"YYYY")</f>
        <v>2024</v>
      </c>
    </row>
    <row r="114" spans="1:21">
      <c r="A114" s="19">
        <v>45578</v>
      </c>
      <c r="B114" s="4" t="s">
        <v>433</v>
      </c>
      <c r="C114" s="4" t="s">
        <v>225</v>
      </c>
      <c r="D114" s="4" t="s">
        <v>45</v>
      </c>
      <c r="E114" s="4" t="s">
        <v>45</v>
      </c>
      <c r="G114" s="17" t="s">
        <v>431</v>
      </c>
      <c r="H114" s="4">
        <v>26430</v>
      </c>
      <c r="I114" s="4">
        <v>26430</v>
      </c>
      <c r="J114" s="31">
        <v>45566</v>
      </c>
      <c r="K114" s="4" t="s">
        <v>220</v>
      </c>
      <c r="L114" s="4" t="s">
        <v>17</v>
      </c>
      <c r="M114" s="4" t="s">
        <v>235</v>
      </c>
      <c r="P114" s="21">
        <v>26430</v>
      </c>
      <c r="S114" s="4" t="str">
        <f>TEXT(Table1[[#This Row],[Date]],"MMM-YY")</f>
        <v>Oct-24</v>
      </c>
      <c r="T114" s="4">
        <f>_xlfn.ISOWEEKNUM(Table1[[#This Row],[Date]])</f>
        <v>41</v>
      </c>
      <c r="U114" s="4" t="str">
        <f>TEXT(Table1[[#This Row],[Expected Business Month]],"YYYY")</f>
        <v>2024</v>
      </c>
    </row>
    <row r="115" spans="1:21">
      <c r="A115" s="19">
        <v>45578</v>
      </c>
      <c r="B115" s="4" t="s">
        <v>434</v>
      </c>
      <c r="C115" s="4" t="s">
        <v>225</v>
      </c>
      <c r="D115" s="4" t="s">
        <v>45</v>
      </c>
      <c r="E115" s="4" t="s">
        <v>45</v>
      </c>
      <c r="G115" s="17" t="s">
        <v>431</v>
      </c>
      <c r="H115" s="4">
        <v>12490</v>
      </c>
      <c r="I115" s="4">
        <v>12490</v>
      </c>
      <c r="J115" s="31">
        <v>45566</v>
      </c>
      <c r="K115" s="4" t="s">
        <v>220</v>
      </c>
      <c r="L115" s="4" t="s">
        <v>17</v>
      </c>
      <c r="M115" s="4" t="s">
        <v>235</v>
      </c>
      <c r="P115" s="21">
        <v>12490</v>
      </c>
      <c r="S115" s="4" t="str">
        <f>TEXT(Table1[[#This Row],[Date]],"MMM-YY")</f>
        <v>Oct-24</v>
      </c>
      <c r="T115" s="4">
        <f>_xlfn.ISOWEEKNUM(Table1[[#This Row],[Date]])</f>
        <v>41</v>
      </c>
      <c r="U115" s="4" t="str">
        <f>TEXT(Table1[[#This Row],[Expected Business Month]],"YYYY")</f>
        <v>2024</v>
      </c>
    </row>
    <row r="116" spans="1:21">
      <c r="A116" s="19">
        <v>45578</v>
      </c>
      <c r="B116" s="4" t="s">
        <v>435</v>
      </c>
      <c r="C116" s="4" t="s">
        <v>225</v>
      </c>
      <c r="D116" s="4" t="s">
        <v>45</v>
      </c>
      <c r="E116" s="4" t="s">
        <v>45</v>
      </c>
      <c r="G116" s="17" t="s">
        <v>431</v>
      </c>
      <c r="H116" s="4">
        <v>62200</v>
      </c>
      <c r="I116" s="4">
        <v>62200</v>
      </c>
      <c r="J116" s="31">
        <v>45566</v>
      </c>
      <c r="K116" s="4" t="s">
        <v>220</v>
      </c>
      <c r="L116" s="4" t="s">
        <v>17</v>
      </c>
      <c r="M116" s="4" t="s">
        <v>235</v>
      </c>
      <c r="P116" s="21">
        <v>62200</v>
      </c>
      <c r="S116" s="4" t="str">
        <f>TEXT(Table1[[#This Row],[Date]],"MMM-YY")</f>
        <v>Oct-24</v>
      </c>
      <c r="T116" s="4">
        <f>_xlfn.ISOWEEKNUM(Table1[[#This Row],[Date]])</f>
        <v>41</v>
      </c>
      <c r="U116" s="4" t="str">
        <f>TEXT(Table1[[#This Row],[Expected Business Month]],"YYYY")</f>
        <v>2024</v>
      </c>
    </row>
    <row r="117" spans="1:21" hidden="1">
      <c r="A117" s="19">
        <v>45579</v>
      </c>
      <c r="B117" s="4" t="s">
        <v>335</v>
      </c>
      <c r="C117" s="4" t="s">
        <v>225</v>
      </c>
      <c r="D117" s="4" t="s">
        <v>183</v>
      </c>
      <c r="E117" s="4" t="s">
        <v>49</v>
      </c>
      <c r="F117" s="4" t="s">
        <v>336</v>
      </c>
      <c r="G117" s="17" t="s">
        <v>436</v>
      </c>
      <c r="J117" s="31">
        <v>45689</v>
      </c>
      <c r="K117" s="4" t="s">
        <v>220</v>
      </c>
      <c r="L117" s="4" t="s">
        <v>16</v>
      </c>
      <c r="M117" s="4" t="s">
        <v>221</v>
      </c>
      <c r="P117" s="21"/>
      <c r="S117" s="4" t="str">
        <f>TEXT(Table1[[#This Row],[Date]],"MMM-YY")</f>
        <v>Oct-24</v>
      </c>
      <c r="T117" s="4">
        <f>_xlfn.ISOWEEKNUM(Table1[[#This Row],[Date]])</f>
        <v>42</v>
      </c>
      <c r="U117" s="4" t="str">
        <f>TEXT(Table1[[#This Row],[Expected Business Month]],"YYYY")</f>
        <v>2025</v>
      </c>
    </row>
    <row r="118" spans="1:21" hidden="1">
      <c r="A118" s="19">
        <v>45579</v>
      </c>
      <c r="B118" s="4" t="s">
        <v>230</v>
      </c>
      <c r="C118" s="4" t="s">
        <v>217</v>
      </c>
      <c r="D118" s="4" t="s">
        <v>183</v>
      </c>
      <c r="E118" s="4" t="s">
        <v>49</v>
      </c>
      <c r="F118" s="4" t="s">
        <v>437</v>
      </c>
      <c r="G118" s="17" t="s">
        <v>436</v>
      </c>
      <c r="J118" s="31">
        <v>45597</v>
      </c>
      <c r="K118" s="4" t="s">
        <v>220</v>
      </c>
      <c r="L118" s="4" t="s">
        <v>16</v>
      </c>
      <c r="M118" s="4" t="s">
        <v>235</v>
      </c>
      <c r="P118" s="21"/>
      <c r="S118" s="4" t="str">
        <f>TEXT(Table1[[#This Row],[Date]],"MMM-YY")</f>
        <v>Oct-24</v>
      </c>
      <c r="T118" s="4">
        <f>_xlfn.ISOWEEKNUM(Table1[[#This Row],[Date]])</f>
        <v>42</v>
      </c>
      <c r="U118" s="4" t="str">
        <f>TEXT(Table1[[#This Row],[Expected Business Month]],"YYYY")</f>
        <v>2024</v>
      </c>
    </row>
    <row r="119" spans="1:21" hidden="1">
      <c r="A119" s="19">
        <v>45579</v>
      </c>
      <c r="B119" s="4" t="s">
        <v>230</v>
      </c>
      <c r="C119" s="4" t="s">
        <v>217</v>
      </c>
      <c r="D119" s="4" t="s">
        <v>183</v>
      </c>
      <c r="E119" s="4" t="s">
        <v>49</v>
      </c>
      <c r="F119" s="4" t="s">
        <v>231</v>
      </c>
      <c r="G119" s="17" t="s">
        <v>438</v>
      </c>
      <c r="J119" s="31">
        <v>45597</v>
      </c>
      <c r="K119" s="4" t="s">
        <v>220</v>
      </c>
      <c r="L119" s="4" t="s">
        <v>16</v>
      </c>
      <c r="M119" s="4" t="s">
        <v>235</v>
      </c>
      <c r="P119" s="21"/>
      <c r="S119" s="4" t="str">
        <f>TEXT(Table1[[#This Row],[Date]],"MMM-YY")</f>
        <v>Oct-24</v>
      </c>
      <c r="T119" s="4">
        <f>_xlfn.ISOWEEKNUM(Table1[[#This Row],[Date]])</f>
        <v>42</v>
      </c>
      <c r="U119" s="4" t="str">
        <f>TEXT(Table1[[#This Row],[Expected Business Month]],"YYYY")</f>
        <v>2024</v>
      </c>
    </row>
    <row r="120" spans="1:21" hidden="1">
      <c r="A120" s="19">
        <v>45579</v>
      </c>
      <c r="B120" s="4" t="s">
        <v>439</v>
      </c>
      <c r="C120" s="4" t="s">
        <v>225</v>
      </c>
      <c r="D120" s="4" t="s">
        <v>183</v>
      </c>
      <c r="E120" s="4" t="s">
        <v>49</v>
      </c>
      <c r="F120" s="4" t="s">
        <v>440</v>
      </c>
      <c r="G120" s="17" t="s">
        <v>441</v>
      </c>
      <c r="J120" s="31">
        <v>45597</v>
      </c>
      <c r="K120" s="4" t="s">
        <v>220</v>
      </c>
      <c r="L120" s="4" t="s">
        <v>16</v>
      </c>
      <c r="M120" s="4" t="s">
        <v>221</v>
      </c>
      <c r="P120" s="21"/>
      <c r="S120" s="4" t="str">
        <f>TEXT(Table1[[#This Row],[Date]],"MMM-YY")</f>
        <v>Oct-24</v>
      </c>
      <c r="T120" s="4">
        <f>_xlfn.ISOWEEKNUM(Table1[[#This Row],[Date]])</f>
        <v>42</v>
      </c>
      <c r="U120" s="4" t="str">
        <f>TEXT(Table1[[#This Row],[Expected Business Month]],"YYYY")</f>
        <v>2024</v>
      </c>
    </row>
    <row r="121" spans="1:21" hidden="1">
      <c r="A121" s="19">
        <v>45579</v>
      </c>
      <c r="B121" s="4" t="s">
        <v>386</v>
      </c>
      <c r="C121" s="4" t="s">
        <v>225</v>
      </c>
      <c r="D121" s="4" t="s">
        <v>183</v>
      </c>
      <c r="E121" s="4" t="s">
        <v>49</v>
      </c>
      <c r="F121" s="4" t="s">
        <v>387</v>
      </c>
      <c r="G121" s="17" t="s">
        <v>436</v>
      </c>
      <c r="J121" s="31">
        <v>45597</v>
      </c>
      <c r="K121" s="4" t="s">
        <v>220</v>
      </c>
      <c r="L121" s="4" t="s">
        <v>16</v>
      </c>
      <c r="M121" s="4" t="s">
        <v>221</v>
      </c>
      <c r="P121" s="21"/>
      <c r="S121" s="4" t="str">
        <f>TEXT(Table1[[#This Row],[Date]],"MMM-YY")</f>
        <v>Oct-24</v>
      </c>
      <c r="T121" s="4">
        <f>_xlfn.ISOWEEKNUM(Table1[[#This Row],[Date]])</f>
        <v>42</v>
      </c>
      <c r="U121" s="4" t="str">
        <f>TEXT(Table1[[#This Row],[Expected Business Month]],"YYYY")</f>
        <v>2024</v>
      </c>
    </row>
    <row r="122" spans="1:21" hidden="1">
      <c r="A122" s="19">
        <v>45580</v>
      </c>
      <c r="B122" s="4" t="s">
        <v>354</v>
      </c>
      <c r="C122" s="4" t="s">
        <v>225</v>
      </c>
      <c r="D122" s="4" t="s">
        <v>195</v>
      </c>
      <c r="E122" s="4" t="s">
        <v>61</v>
      </c>
      <c r="F122" s="4" t="s">
        <v>377</v>
      </c>
      <c r="G122" s="17" t="s">
        <v>442</v>
      </c>
      <c r="J122" s="31">
        <v>45689</v>
      </c>
      <c r="K122" s="4" t="s">
        <v>220</v>
      </c>
      <c r="L122" s="4" t="s">
        <v>16</v>
      </c>
      <c r="M122" s="4" t="s">
        <v>221</v>
      </c>
      <c r="P122" s="21"/>
      <c r="S122" s="4" t="str">
        <f>TEXT(Table1[[#This Row],[Date]],"MMM-YY")</f>
        <v>Oct-24</v>
      </c>
      <c r="T122" s="4">
        <f>_xlfn.ISOWEEKNUM(Table1[[#This Row],[Date]])</f>
        <v>42</v>
      </c>
      <c r="U122" s="4" t="str">
        <f>TEXT(Table1[[#This Row],[Expected Business Month]],"YYYY")</f>
        <v>2025</v>
      </c>
    </row>
    <row r="123" spans="1:21" hidden="1">
      <c r="A123" s="19">
        <v>45580</v>
      </c>
      <c r="B123" s="4" t="s">
        <v>391</v>
      </c>
      <c r="C123" s="4" t="s">
        <v>225</v>
      </c>
      <c r="D123" s="4" t="s">
        <v>195</v>
      </c>
      <c r="E123" s="4" t="s">
        <v>105</v>
      </c>
      <c r="F123" s="4" t="s">
        <v>392</v>
      </c>
      <c r="G123" s="17" t="s">
        <v>442</v>
      </c>
      <c r="J123" s="31">
        <v>45627</v>
      </c>
      <c r="K123" s="4" t="s">
        <v>220</v>
      </c>
      <c r="L123" s="4" t="s">
        <v>16</v>
      </c>
      <c r="M123" s="4" t="s">
        <v>221</v>
      </c>
      <c r="P123" s="21"/>
      <c r="S123" s="4" t="str">
        <f>TEXT(Table1[[#This Row],[Date]],"MMM-YY")</f>
        <v>Oct-24</v>
      </c>
      <c r="T123" s="4">
        <f>_xlfn.ISOWEEKNUM(Table1[[#This Row],[Date]])</f>
        <v>42</v>
      </c>
      <c r="U123" s="4" t="str">
        <f>TEXT(Table1[[#This Row],[Expected Business Month]],"YYYY")</f>
        <v>2024</v>
      </c>
    </row>
    <row r="124" spans="1:21" hidden="1">
      <c r="A124" s="19">
        <v>45580</v>
      </c>
      <c r="B124" s="4" t="s">
        <v>443</v>
      </c>
      <c r="C124" s="4" t="s">
        <v>217</v>
      </c>
      <c r="D124" s="4" t="s">
        <v>195</v>
      </c>
      <c r="E124" s="4" t="s">
        <v>75</v>
      </c>
      <c r="F124" s="4" t="s">
        <v>444</v>
      </c>
      <c r="G124" s="17" t="s">
        <v>240</v>
      </c>
      <c r="J124" s="31">
        <v>45689</v>
      </c>
      <c r="K124" s="4" t="s">
        <v>220</v>
      </c>
      <c r="L124" s="4" t="s">
        <v>16</v>
      </c>
      <c r="M124" s="4" t="s">
        <v>221</v>
      </c>
      <c r="P124" s="21"/>
      <c r="S124" s="4" t="str">
        <f>TEXT(Table1[[#This Row],[Date]],"MMM-YY")</f>
        <v>Oct-24</v>
      </c>
      <c r="T124" s="4">
        <f>_xlfn.ISOWEEKNUM(Table1[[#This Row],[Date]])</f>
        <v>42</v>
      </c>
      <c r="U124" s="4" t="str">
        <f>TEXT(Table1[[#This Row],[Expected Business Month]],"YYYY")</f>
        <v>2025</v>
      </c>
    </row>
    <row r="125" spans="1:21" hidden="1">
      <c r="A125" s="19">
        <v>45580</v>
      </c>
      <c r="B125" s="4" t="s">
        <v>384</v>
      </c>
      <c r="C125" s="4" t="s">
        <v>217</v>
      </c>
      <c r="D125" s="4" t="s">
        <v>195</v>
      </c>
      <c r="E125" s="4" t="s">
        <v>87</v>
      </c>
      <c r="F125" s="4" t="s">
        <v>385</v>
      </c>
      <c r="G125" s="17" t="s">
        <v>445</v>
      </c>
      <c r="J125" s="31">
        <v>45597</v>
      </c>
      <c r="K125" s="4" t="s">
        <v>220</v>
      </c>
      <c r="L125" s="4" t="s">
        <v>16</v>
      </c>
      <c r="M125" s="4" t="s">
        <v>221</v>
      </c>
      <c r="P125" s="21"/>
      <c r="S125" s="4" t="str">
        <f>TEXT(Table1[[#This Row],[Date]],"MMM-YY")</f>
        <v>Oct-24</v>
      </c>
      <c r="T125" s="4">
        <f>_xlfn.ISOWEEKNUM(Table1[[#This Row],[Date]])</f>
        <v>42</v>
      </c>
      <c r="U125" s="4" t="str">
        <f>TEXT(Table1[[#This Row],[Expected Business Month]],"YYYY")</f>
        <v>2024</v>
      </c>
    </row>
    <row r="126" spans="1:21" hidden="1">
      <c r="A126" s="19">
        <v>45580</v>
      </c>
      <c r="B126" s="4" t="s">
        <v>396</v>
      </c>
      <c r="C126" s="4" t="s">
        <v>225</v>
      </c>
      <c r="D126" s="4" t="s">
        <v>195</v>
      </c>
      <c r="E126" s="4" t="s">
        <v>61</v>
      </c>
      <c r="F126" s="4" t="s">
        <v>397</v>
      </c>
      <c r="G126" s="17" t="s">
        <v>442</v>
      </c>
      <c r="J126" s="31">
        <v>45597</v>
      </c>
      <c r="K126" s="4" t="s">
        <v>220</v>
      </c>
      <c r="L126" s="4" t="s">
        <v>16</v>
      </c>
      <c r="M126" s="4" t="s">
        <v>221</v>
      </c>
      <c r="P126" s="21"/>
      <c r="S126" s="4" t="str">
        <f>TEXT(Table1[[#This Row],[Date]],"MMM-YY")</f>
        <v>Oct-24</v>
      </c>
      <c r="T126" s="4">
        <f>_xlfn.ISOWEEKNUM(Table1[[#This Row],[Date]])</f>
        <v>42</v>
      </c>
      <c r="U126" s="4" t="str">
        <f>TEXT(Table1[[#This Row],[Expected Business Month]],"YYYY")</f>
        <v>2024</v>
      </c>
    </row>
    <row r="127" spans="1:21" hidden="1">
      <c r="A127" s="19">
        <v>45580</v>
      </c>
      <c r="B127" s="4" t="s">
        <v>375</v>
      </c>
      <c r="C127" s="4" t="s">
        <v>225</v>
      </c>
      <c r="D127" s="4" t="s">
        <v>195</v>
      </c>
      <c r="E127" s="4" t="s">
        <v>32</v>
      </c>
      <c r="F127" s="4" t="s">
        <v>376</v>
      </c>
      <c r="G127" s="17" t="s">
        <v>442</v>
      </c>
      <c r="J127" s="31">
        <v>45597</v>
      </c>
      <c r="K127" s="4" t="s">
        <v>220</v>
      </c>
      <c r="L127" s="4" t="s">
        <v>16</v>
      </c>
      <c r="M127" s="4" t="s">
        <v>221</v>
      </c>
      <c r="P127" s="21"/>
      <c r="S127" s="4" t="str">
        <f>TEXT(Table1[[#This Row],[Date]],"MMM-YY")</f>
        <v>Oct-24</v>
      </c>
      <c r="T127" s="4">
        <f>_xlfn.ISOWEEKNUM(Table1[[#This Row],[Date]])</f>
        <v>42</v>
      </c>
      <c r="U127" s="4" t="str">
        <f>TEXT(Table1[[#This Row],[Expected Business Month]],"YYYY")</f>
        <v>2024</v>
      </c>
    </row>
    <row r="128" spans="1:21" hidden="1">
      <c r="A128" s="19">
        <v>45581</v>
      </c>
      <c r="B128" s="4" t="s">
        <v>230</v>
      </c>
      <c r="C128" s="4" t="s">
        <v>225</v>
      </c>
      <c r="D128" s="4" t="s">
        <v>183</v>
      </c>
      <c r="E128" s="4" t="s">
        <v>49</v>
      </c>
      <c r="F128" s="4" t="s">
        <v>437</v>
      </c>
      <c r="G128" s="17" t="s">
        <v>442</v>
      </c>
      <c r="J128" s="31">
        <v>45627</v>
      </c>
      <c r="K128" s="4" t="s">
        <v>220</v>
      </c>
      <c r="L128" s="4" t="s">
        <v>16</v>
      </c>
      <c r="M128" s="4" t="s">
        <v>221</v>
      </c>
      <c r="P128" s="21"/>
      <c r="S128" s="4" t="str">
        <f>TEXT(Table1[[#This Row],[Date]],"MMM-YY")</f>
        <v>Oct-24</v>
      </c>
      <c r="T128" s="4">
        <f>_xlfn.ISOWEEKNUM(Table1[[#This Row],[Date]])</f>
        <v>42</v>
      </c>
      <c r="U128" s="4" t="str">
        <f>TEXT(Table1[[#This Row],[Expected Business Month]],"YYYY")</f>
        <v>2024</v>
      </c>
    </row>
    <row r="129" spans="1:21" hidden="1">
      <c r="A129" s="19">
        <v>45581</v>
      </c>
      <c r="B129" s="4" t="s">
        <v>276</v>
      </c>
      <c r="C129" s="4" t="s">
        <v>225</v>
      </c>
      <c r="D129" s="4" t="s">
        <v>195</v>
      </c>
      <c r="E129" s="4" t="s">
        <v>67</v>
      </c>
      <c r="F129" s="4" t="s">
        <v>446</v>
      </c>
      <c r="G129" s="17" t="s">
        <v>442</v>
      </c>
      <c r="J129" s="31">
        <v>45689</v>
      </c>
      <c r="K129" s="4" t="s">
        <v>220</v>
      </c>
      <c r="L129" s="4" t="s">
        <v>16</v>
      </c>
      <c r="M129" s="4" t="s">
        <v>221</v>
      </c>
      <c r="P129" s="21"/>
      <c r="S129" s="4" t="str">
        <f>TEXT(Table1[[#This Row],[Date]],"MMM-YY")</f>
        <v>Oct-24</v>
      </c>
      <c r="T129" s="4">
        <f>_xlfn.ISOWEEKNUM(Table1[[#This Row],[Date]])</f>
        <v>42</v>
      </c>
      <c r="U129" s="4" t="str">
        <f>TEXT(Table1[[#This Row],[Expected Business Month]],"YYYY")</f>
        <v>2025</v>
      </c>
    </row>
    <row r="130" spans="1:21" hidden="1">
      <c r="A130" s="19">
        <v>45581</v>
      </c>
      <c r="B130" s="4" t="s">
        <v>300</v>
      </c>
      <c r="C130" s="4" t="s">
        <v>225</v>
      </c>
      <c r="D130" s="4" t="s">
        <v>21</v>
      </c>
      <c r="E130" s="4" t="s">
        <v>19</v>
      </c>
      <c r="F130" s="4" t="s">
        <v>447</v>
      </c>
      <c r="G130" s="17" t="s">
        <v>448</v>
      </c>
      <c r="J130" s="31">
        <v>45689</v>
      </c>
      <c r="K130" s="4" t="s">
        <v>220</v>
      </c>
      <c r="L130" s="4" t="s">
        <v>16</v>
      </c>
      <c r="M130" s="4" t="s">
        <v>221</v>
      </c>
      <c r="P130" s="21"/>
      <c r="S130" s="4" t="str">
        <f>TEXT(Table1[[#This Row],[Date]],"MMM-YY")</f>
        <v>Oct-24</v>
      </c>
      <c r="T130" s="4">
        <f>_xlfn.ISOWEEKNUM(Table1[[#This Row],[Date]])</f>
        <v>42</v>
      </c>
      <c r="U130" s="4" t="str">
        <f>TEXT(Table1[[#This Row],[Expected Business Month]],"YYYY")</f>
        <v>2025</v>
      </c>
    </row>
    <row r="131" spans="1:21" hidden="1">
      <c r="A131" s="19">
        <v>45581</v>
      </c>
      <c r="B131" s="4" t="s">
        <v>449</v>
      </c>
      <c r="C131" s="4" t="s">
        <v>225</v>
      </c>
      <c r="D131" s="4" t="s">
        <v>21</v>
      </c>
      <c r="E131" s="4" t="s">
        <v>19</v>
      </c>
      <c r="F131" s="4" t="s">
        <v>414</v>
      </c>
      <c r="G131" s="17" t="s">
        <v>448</v>
      </c>
      <c r="J131" s="31">
        <v>45597</v>
      </c>
      <c r="K131" s="4" t="s">
        <v>220</v>
      </c>
      <c r="L131" s="4" t="s">
        <v>16</v>
      </c>
      <c r="M131" s="4" t="s">
        <v>221</v>
      </c>
      <c r="P131" s="21"/>
      <c r="S131" s="4" t="str">
        <f>TEXT(Table1[[#This Row],[Date]],"MMM-YY")</f>
        <v>Oct-24</v>
      </c>
      <c r="T131" s="4">
        <f>_xlfn.ISOWEEKNUM(Table1[[#This Row],[Date]])</f>
        <v>42</v>
      </c>
      <c r="U131" s="4" t="str">
        <f>TEXT(Table1[[#This Row],[Expected Business Month]],"YYYY")</f>
        <v>2024</v>
      </c>
    </row>
    <row r="132" spans="1:21" hidden="1">
      <c r="A132" s="19">
        <v>45581</v>
      </c>
      <c r="B132" s="4" t="s">
        <v>222</v>
      </c>
      <c r="C132" s="4" t="s">
        <v>225</v>
      </c>
      <c r="D132" s="4" t="s">
        <v>195</v>
      </c>
      <c r="E132" s="4" t="s">
        <v>41</v>
      </c>
      <c r="F132" s="4" t="s">
        <v>223</v>
      </c>
      <c r="G132" s="17" t="s">
        <v>442</v>
      </c>
      <c r="J132" s="31">
        <v>45597</v>
      </c>
      <c r="K132" s="4" t="s">
        <v>220</v>
      </c>
      <c r="L132" s="4" t="s">
        <v>16</v>
      </c>
      <c r="M132" s="4" t="s">
        <v>221</v>
      </c>
      <c r="P132" s="21"/>
      <c r="S132" s="4" t="str">
        <f>TEXT(Table1[[#This Row],[Date]],"MMM-YY")</f>
        <v>Oct-24</v>
      </c>
      <c r="T132" s="4">
        <f>_xlfn.ISOWEEKNUM(Table1[[#This Row],[Date]])</f>
        <v>42</v>
      </c>
      <c r="U132" s="4" t="str">
        <f>TEXT(Table1[[#This Row],[Expected Business Month]],"YYYY")</f>
        <v>2024</v>
      </c>
    </row>
    <row r="133" spans="1:21" hidden="1">
      <c r="A133" s="19">
        <v>45581</v>
      </c>
      <c r="B133" s="4" t="s">
        <v>439</v>
      </c>
      <c r="C133" s="4" t="s">
        <v>225</v>
      </c>
      <c r="D133" s="4" t="s">
        <v>183</v>
      </c>
      <c r="E133" s="4" t="s">
        <v>49</v>
      </c>
      <c r="F133" s="4" t="s">
        <v>440</v>
      </c>
      <c r="G133" s="17" t="s">
        <v>442</v>
      </c>
      <c r="J133" s="31">
        <v>45597</v>
      </c>
      <c r="K133" s="4" t="s">
        <v>220</v>
      </c>
      <c r="L133" s="4" t="s">
        <v>16</v>
      </c>
      <c r="M133" s="4" t="s">
        <v>221</v>
      </c>
      <c r="P133" s="21"/>
      <c r="S133" s="4" t="str">
        <f>TEXT(Table1[[#This Row],[Date]],"MMM-YY")</f>
        <v>Oct-24</v>
      </c>
      <c r="T133" s="4">
        <f>_xlfn.ISOWEEKNUM(Table1[[#This Row],[Date]])</f>
        <v>42</v>
      </c>
      <c r="U133" s="4" t="str">
        <f>TEXT(Table1[[#This Row],[Expected Business Month]],"YYYY")</f>
        <v>2024</v>
      </c>
    </row>
    <row r="134" spans="1:21" hidden="1">
      <c r="A134" s="19">
        <v>45581</v>
      </c>
      <c r="B134" s="4" t="s">
        <v>450</v>
      </c>
      <c r="C134" s="4" t="s">
        <v>225</v>
      </c>
      <c r="D134" s="4" t="s">
        <v>195</v>
      </c>
      <c r="E134" s="4" t="s">
        <v>47</v>
      </c>
      <c r="F134" s="4" t="s">
        <v>266</v>
      </c>
      <c r="G134" s="17" t="s">
        <v>442</v>
      </c>
      <c r="J134" s="31">
        <v>45689</v>
      </c>
      <c r="K134" s="4" t="s">
        <v>220</v>
      </c>
      <c r="L134" s="4" t="s">
        <v>16</v>
      </c>
      <c r="M134" s="4" t="s">
        <v>221</v>
      </c>
      <c r="P134" s="21"/>
      <c r="S134" s="4" t="str">
        <f>TEXT(Table1[[#This Row],[Date]],"MMM-YY")</f>
        <v>Oct-24</v>
      </c>
      <c r="T134" s="4">
        <f>_xlfn.ISOWEEKNUM(Table1[[#This Row],[Date]])</f>
        <v>42</v>
      </c>
      <c r="U134" s="4" t="str">
        <f>TEXT(Table1[[#This Row],[Expected Business Month]],"YYYY")</f>
        <v>2025</v>
      </c>
    </row>
    <row r="135" spans="1:21" hidden="1">
      <c r="A135" s="19">
        <v>45581</v>
      </c>
      <c r="B135" s="4" t="s">
        <v>258</v>
      </c>
      <c r="C135" s="4" t="s">
        <v>225</v>
      </c>
      <c r="D135" s="4" t="s">
        <v>195</v>
      </c>
      <c r="E135" s="4" t="s">
        <v>47</v>
      </c>
      <c r="F135" s="4" t="s">
        <v>246</v>
      </c>
      <c r="G135" s="17" t="s">
        <v>442</v>
      </c>
      <c r="J135" s="31">
        <v>45597</v>
      </c>
      <c r="K135" s="4" t="s">
        <v>220</v>
      </c>
      <c r="L135" s="4" t="s">
        <v>16</v>
      </c>
      <c r="M135" s="4" t="s">
        <v>221</v>
      </c>
      <c r="P135" s="21"/>
      <c r="S135" s="4" t="str">
        <f>TEXT(Table1[[#This Row],[Date]],"MMM-YY")</f>
        <v>Oct-24</v>
      </c>
      <c r="T135" s="4">
        <f>_xlfn.ISOWEEKNUM(Table1[[#This Row],[Date]])</f>
        <v>42</v>
      </c>
      <c r="U135" s="4" t="str">
        <f>TEXT(Table1[[#This Row],[Expected Business Month]],"YYYY")</f>
        <v>2024</v>
      </c>
    </row>
    <row r="136" spans="1:21" hidden="1">
      <c r="A136" s="19">
        <v>45581</v>
      </c>
      <c r="B136" s="4" t="s">
        <v>451</v>
      </c>
      <c r="C136" s="4" t="s">
        <v>225</v>
      </c>
      <c r="D136" s="4" t="s">
        <v>195</v>
      </c>
      <c r="E136" s="4" t="s">
        <v>113</v>
      </c>
      <c r="F136" s="4" t="s">
        <v>452</v>
      </c>
      <c r="G136" s="17" t="s">
        <v>240</v>
      </c>
      <c r="J136" s="31">
        <v>45597</v>
      </c>
      <c r="K136" s="4" t="s">
        <v>220</v>
      </c>
      <c r="L136" s="4" t="s">
        <v>16</v>
      </c>
      <c r="M136" s="4" t="s">
        <v>221</v>
      </c>
      <c r="P136" s="21"/>
      <c r="S136" s="4" t="str">
        <f>TEXT(Table1[[#This Row],[Date]],"MMM-YY")</f>
        <v>Oct-24</v>
      </c>
      <c r="T136" s="4">
        <f>_xlfn.ISOWEEKNUM(Table1[[#This Row],[Date]])</f>
        <v>42</v>
      </c>
      <c r="U136" s="4" t="str">
        <f>TEXT(Table1[[#This Row],[Expected Business Month]],"YYYY")</f>
        <v>2024</v>
      </c>
    </row>
    <row r="137" spans="1:21" hidden="1">
      <c r="A137" s="19">
        <v>45581</v>
      </c>
      <c r="B137" s="4" t="s">
        <v>241</v>
      </c>
      <c r="C137" s="4" t="s">
        <v>225</v>
      </c>
      <c r="D137" s="4" t="s">
        <v>195</v>
      </c>
      <c r="E137" s="4" t="s">
        <v>12</v>
      </c>
      <c r="F137" s="4" t="s">
        <v>242</v>
      </c>
      <c r="G137" s="17" t="s">
        <v>442</v>
      </c>
      <c r="J137" s="31">
        <v>45597</v>
      </c>
      <c r="K137" s="4" t="s">
        <v>220</v>
      </c>
      <c r="L137" s="4" t="s">
        <v>16</v>
      </c>
      <c r="M137" s="4" t="s">
        <v>221</v>
      </c>
      <c r="P137" s="21"/>
      <c r="S137" s="4" t="str">
        <f>TEXT(Table1[[#This Row],[Date]],"MMM-YY")</f>
        <v>Oct-24</v>
      </c>
      <c r="T137" s="4">
        <f>_xlfn.ISOWEEKNUM(Table1[[#This Row],[Date]])</f>
        <v>42</v>
      </c>
      <c r="U137" s="4" t="str">
        <f>TEXT(Table1[[#This Row],[Expected Business Month]],"YYYY")</f>
        <v>2024</v>
      </c>
    </row>
    <row r="138" spans="1:21" hidden="1">
      <c r="A138" s="19">
        <v>45581</v>
      </c>
      <c r="B138" s="4" t="s">
        <v>263</v>
      </c>
      <c r="C138" s="4" t="s">
        <v>225</v>
      </c>
      <c r="D138" s="4" t="s">
        <v>195</v>
      </c>
      <c r="E138" s="4" t="s">
        <v>49</v>
      </c>
      <c r="F138" s="4" t="s">
        <v>264</v>
      </c>
      <c r="G138" s="17" t="s">
        <v>442</v>
      </c>
      <c r="J138" s="31">
        <v>45689</v>
      </c>
      <c r="K138" s="4" t="s">
        <v>220</v>
      </c>
      <c r="L138" s="4" t="s">
        <v>16</v>
      </c>
      <c r="M138" s="4" t="s">
        <v>221</v>
      </c>
      <c r="P138" s="21"/>
      <c r="S138" s="4" t="str">
        <f>TEXT(Table1[[#This Row],[Date]],"MMM-YY")</f>
        <v>Oct-24</v>
      </c>
      <c r="T138" s="4">
        <f>_xlfn.ISOWEEKNUM(Table1[[#This Row],[Date]])</f>
        <v>42</v>
      </c>
      <c r="U138" s="4" t="str">
        <f>TEXT(Table1[[#This Row],[Expected Business Month]],"YYYY")</f>
        <v>2025</v>
      </c>
    </row>
    <row r="139" spans="1:21" hidden="1">
      <c r="A139" s="19">
        <v>45581</v>
      </c>
      <c r="B139" s="4" t="s">
        <v>453</v>
      </c>
      <c r="C139" s="4" t="s">
        <v>217</v>
      </c>
      <c r="D139" s="4" t="s">
        <v>195</v>
      </c>
      <c r="E139" s="4" t="s">
        <v>61</v>
      </c>
      <c r="F139" s="4" t="s">
        <v>454</v>
      </c>
      <c r="G139" s="17" t="s">
        <v>240</v>
      </c>
      <c r="J139" s="31">
        <v>45566</v>
      </c>
      <c r="K139" s="4" t="s">
        <v>220</v>
      </c>
      <c r="L139" s="4" t="s">
        <v>13</v>
      </c>
      <c r="M139" s="4" t="s">
        <v>221</v>
      </c>
      <c r="P139" s="21"/>
      <c r="S139" s="4" t="str">
        <f>TEXT(Table1[[#This Row],[Date]],"MMM-YY")</f>
        <v>Oct-24</v>
      </c>
      <c r="T139" s="4">
        <f>_xlfn.ISOWEEKNUM(Table1[[#This Row],[Date]])</f>
        <v>42</v>
      </c>
      <c r="U139" s="4" t="str">
        <f>TEXT(Table1[[#This Row],[Expected Business Month]],"YYYY")</f>
        <v>2024</v>
      </c>
    </row>
    <row r="140" spans="1:21" hidden="1">
      <c r="A140" s="19">
        <v>45582</v>
      </c>
      <c r="B140" s="4" t="s">
        <v>243</v>
      </c>
      <c r="C140" s="4" t="s">
        <v>225</v>
      </c>
      <c r="D140" s="4" t="s">
        <v>195</v>
      </c>
      <c r="E140" s="4" t="s">
        <v>53</v>
      </c>
      <c r="F140" s="4" t="s">
        <v>244</v>
      </c>
      <c r="G140" s="17" t="s">
        <v>442</v>
      </c>
      <c r="J140" s="31">
        <v>45689</v>
      </c>
      <c r="K140" s="4" t="s">
        <v>220</v>
      </c>
      <c r="L140" s="4" t="s">
        <v>16</v>
      </c>
      <c r="M140" s="4" t="s">
        <v>221</v>
      </c>
      <c r="P140" s="21"/>
      <c r="S140" s="4" t="str">
        <f>TEXT(Table1[[#This Row],[Date]],"MMM-YY")</f>
        <v>Oct-24</v>
      </c>
      <c r="T140" s="4">
        <f>_xlfn.ISOWEEKNUM(Table1[[#This Row],[Date]])</f>
        <v>42</v>
      </c>
      <c r="U140" s="4" t="str">
        <f>TEXT(Table1[[#This Row],[Expected Business Month]],"YYYY")</f>
        <v>2025</v>
      </c>
    </row>
    <row r="141" spans="1:21" hidden="1">
      <c r="A141" s="19">
        <v>45582</v>
      </c>
      <c r="B141" s="4" t="s">
        <v>284</v>
      </c>
      <c r="C141" s="4" t="s">
        <v>217</v>
      </c>
      <c r="D141" s="4" t="s">
        <v>195</v>
      </c>
      <c r="E141" s="4" t="s">
        <v>61</v>
      </c>
      <c r="F141" s="4" t="s">
        <v>285</v>
      </c>
      <c r="G141" s="17" t="s">
        <v>442</v>
      </c>
      <c r="J141" s="31">
        <v>45627</v>
      </c>
      <c r="K141" s="4" t="s">
        <v>220</v>
      </c>
      <c r="L141" s="4" t="s">
        <v>16</v>
      </c>
      <c r="M141" s="4" t="s">
        <v>221</v>
      </c>
      <c r="P141" s="21"/>
      <c r="S141" s="4" t="str">
        <f>TEXT(Table1[[#This Row],[Date]],"MMM-YY")</f>
        <v>Oct-24</v>
      </c>
      <c r="T141" s="4">
        <f>_xlfn.ISOWEEKNUM(Table1[[#This Row],[Date]])</f>
        <v>42</v>
      </c>
      <c r="U141" s="4" t="str">
        <f>TEXT(Table1[[#This Row],[Expected Business Month]],"YYYY")</f>
        <v>2024</v>
      </c>
    </row>
    <row r="142" spans="1:21" hidden="1">
      <c r="A142" s="19">
        <v>45582</v>
      </c>
      <c r="B142" s="4" t="s">
        <v>455</v>
      </c>
      <c r="C142" s="4" t="s">
        <v>217</v>
      </c>
      <c r="D142" s="4" t="s">
        <v>195</v>
      </c>
      <c r="E142" s="4" t="s">
        <v>61</v>
      </c>
      <c r="F142" s="4" t="s">
        <v>456</v>
      </c>
      <c r="G142" s="17" t="s">
        <v>442</v>
      </c>
      <c r="J142" s="31">
        <v>45597</v>
      </c>
      <c r="K142" s="4" t="s">
        <v>220</v>
      </c>
      <c r="L142" s="4" t="s">
        <v>16</v>
      </c>
      <c r="M142" s="4" t="s">
        <v>221</v>
      </c>
      <c r="P142" s="21"/>
      <c r="S142" s="4" t="str">
        <f>TEXT(Table1[[#This Row],[Date]],"MMM-YY")</f>
        <v>Oct-24</v>
      </c>
      <c r="T142" s="4">
        <f>_xlfn.ISOWEEKNUM(Table1[[#This Row],[Date]])</f>
        <v>42</v>
      </c>
      <c r="U142" s="4" t="str">
        <f>TEXT(Table1[[#This Row],[Expected Business Month]],"YYYY")</f>
        <v>2024</v>
      </c>
    </row>
    <row r="143" spans="1:21" hidden="1">
      <c r="A143" s="19">
        <v>45582</v>
      </c>
      <c r="B143" s="4" t="s">
        <v>249</v>
      </c>
      <c r="C143" s="4" t="s">
        <v>225</v>
      </c>
      <c r="D143" s="4" t="s">
        <v>195</v>
      </c>
      <c r="E143" s="4" t="s">
        <v>59</v>
      </c>
      <c r="F143" s="4" t="s">
        <v>250</v>
      </c>
      <c r="G143" s="17" t="s">
        <v>442</v>
      </c>
      <c r="J143" s="31">
        <v>45597</v>
      </c>
      <c r="K143" s="4" t="s">
        <v>220</v>
      </c>
      <c r="L143" s="4" t="s">
        <v>16</v>
      </c>
      <c r="M143" s="4" t="s">
        <v>221</v>
      </c>
      <c r="P143" s="21"/>
      <c r="S143" s="4" t="str">
        <f>TEXT(Table1[[#This Row],[Date]],"MMM-YY")</f>
        <v>Oct-24</v>
      </c>
      <c r="T143" s="4">
        <f>_xlfn.ISOWEEKNUM(Table1[[#This Row],[Date]])</f>
        <v>42</v>
      </c>
      <c r="U143" s="4" t="str">
        <f>TEXT(Table1[[#This Row],[Expected Business Month]],"YYYY")</f>
        <v>2024</v>
      </c>
    </row>
    <row r="144" spans="1:21" hidden="1">
      <c r="A144" s="19">
        <v>45582</v>
      </c>
      <c r="B144" s="4" t="s">
        <v>267</v>
      </c>
      <c r="C144" s="4" t="s">
        <v>217</v>
      </c>
      <c r="D144" s="4" t="s">
        <v>195</v>
      </c>
      <c r="E144" s="4" t="s">
        <v>115</v>
      </c>
      <c r="F144" s="4" t="s">
        <v>268</v>
      </c>
      <c r="G144" s="17" t="s">
        <v>442</v>
      </c>
      <c r="J144" s="31">
        <v>45597</v>
      </c>
      <c r="K144" s="4" t="s">
        <v>220</v>
      </c>
      <c r="L144" s="4" t="s">
        <v>16</v>
      </c>
      <c r="M144" s="4" t="s">
        <v>221</v>
      </c>
      <c r="P144" s="21"/>
      <c r="S144" s="4" t="str">
        <f>TEXT(Table1[[#This Row],[Date]],"MMM-YY")</f>
        <v>Oct-24</v>
      </c>
      <c r="T144" s="4">
        <f>_xlfn.ISOWEEKNUM(Table1[[#This Row],[Date]])</f>
        <v>42</v>
      </c>
      <c r="U144" s="4" t="str">
        <f>TEXT(Table1[[#This Row],[Expected Business Month]],"YYYY")</f>
        <v>2024</v>
      </c>
    </row>
    <row r="145" spans="1:21" hidden="1">
      <c r="A145" s="19">
        <v>45582</v>
      </c>
      <c r="B145" s="4" t="s">
        <v>247</v>
      </c>
      <c r="C145" s="4" t="s">
        <v>225</v>
      </c>
      <c r="D145" s="4" t="s">
        <v>195</v>
      </c>
      <c r="E145" s="4" t="s">
        <v>457</v>
      </c>
      <c r="F145" s="4" t="s">
        <v>248</v>
      </c>
      <c r="G145" s="17" t="s">
        <v>442</v>
      </c>
      <c r="J145" s="31">
        <v>45597</v>
      </c>
      <c r="K145" s="4" t="s">
        <v>220</v>
      </c>
      <c r="L145" s="4" t="s">
        <v>16</v>
      </c>
      <c r="M145" s="4" t="s">
        <v>221</v>
      </c>
      <c r="P145" s="21"/>
      <c r="S145" s="4" t="str">
        <f>TEXT(Table1[[#This Row],[Date]],"MMM-YY")</f>
        <v>Oct-24</v>
      </c>
      <c r="T145" s="4">
        <f>_xlfn.ISOWEEKNUM(Table1[[#This Row],[Date]])</f>
        <v>42</v>
      </c>
      <c r="U145" s="4" t="str">
        <f>TEXT(Table1[[#This Row],[Expected Business Month]],"YYYY")</f>
        <v>2024</v>
      </c>
    </row>
    <row r="146" spans="1:21" hidden="1">
      <c r="A146" s="19">
        <v>45582</v>
      </c>
      <c r="B146" s="4" t="s">
        <v>251</v>
      </c>
      <c r="C146" s="4" t="s">
        <v>225</v>
      </c>
      <c r="D146" s="4" t="s">
        <v>195</v>
      </c>
      <c r="E146" s="4" t="s">
        <v>57</v>
      </c>
      <c r="F146" s="4" t="s">
        <v>252</v>
      </c>
      <c r="G146" s="17" t="s">
        <v>442</v>
      </c>
      <c r="J146" s="31">
        <v>45597</v>
      </c>
      <c r="K146" s="4" t="s">
        <v>220</v>
      </c>
      <c r="L146" s="4" t="s">
        <v>16</v>
      </c>
      <c r="M146" s="4" t="s">
        <v>221</v>
      </c>
      <c r="P146" s="21"/>
      <c r="S146" s="4" t="str">
        <f>TEXT(Table1[[#This Row],[Date]],"MMM-YY")</f>
        <v>Oct-24</v>
      </c>
      <c r="T146" s="4">
        <f>_xlfn.ISOWEEKNUM(Table1[[#This Row],[Date]])</f>
        <v>42</v>
      </c>
      <c r="U146" s="4" t="str">
        <f>TEXT(Table1[[#This Row],[Expected Business Month]],"YYYY")</f>
        <v>2024</v>
      </c>
    </row>
    <row r="147" spans="1:21" hidden="1">
      <c r="A147" s="19">
        <v>45582</v>
      </c>
      <c r="B147" s="4" t="s">
        <v>458</v>
      </c>
      <c r="C147" s="4" t="s">
        <v>225</v>
      </c>
      <c r="D147" s="4" t="s">
        <v>195</v>
      </c>
      <c r="E147" s="4" t="s">
        <v>457</v>
      </c>
      <c r="F147" s="4" t="s">
        <v>459</v>
      </c>
      <c r="G147" s="17" t="s">
        <v>240</v>
      </c>
      <c r="J147" s="31">
        <v>45597</v>
      </c>
      <c r="K147" s="4" t="s">
        <v>220</v>
      </c>
      <c r="L147" s="4" t="s">
        <v>13</v>
      </c>
      <c r="M147" s="4" t="s">
        <v>221</v>
      </c>
      <c r="P147" s="21"/>
      <c r="S147" s="4" t="str">
        <f>TEXT(Table1[[#This Row],[Date]],"MMM-YY")</f>
        <v>Oct-24</v>
      </c>
      <c r="T147" s="4">
        <f>_xlfn.ISOWEEKNUM(Table1[[#This Row],[Date]])</f>
        <v>42</v>
      </c>
      <c r="U147" s="4" t="str">
        <f>TEXT(Table1[[#This Row],[Expected Business Month]],"YYYY")</f>
        <v>2024</v>
      </c>
    </row>
    <row r="148" spans="1:21" hidden="1">
      <c r="A148" s="19">
        <v>45582</v>
      </c>
      <c r="B148" s="4" t="s">
        <v>460</v>
      </c>
      <c r="C148" s="4" t="s">
        <v>225</v>
      </c>
      <c r="D148" s="4" t="s">
        <v>195</v>
      </c>
      <c r="E148" s="4" t="s">
        <v>75</v>
      </c>
      <c r="F148" s="4" t="s">
        <v>461</v>
      </c>
      <c r="G148" s="17" t="s">
        <v>240</v>
      </c>
      <c r="J148" s="31">
        <v>45566</v>
      </c>
      <c r="K148" s="4" t="s">
        <v>220</v>
      </c>
      <c r="L148" s="4" t="s">
        <v>13</v>
      </c>
      <c r="M148" s="4" t="s">
        <v>221</v>
      </c>
      <c r="P148" s="21"/>
      <c r="S148" s="4" t="str">
        <f>TEXT(Table1[[#This Row],[Date]],"MMM-YY")</f>
        <v>Oct-24</v>
      </c>
      <c r="T148" s="4">
        <f>_xlfn.ISOWEEKNUM(Table1[[#This Row],[Date]])</f>
        <v>42</v>
      </c>
      <c r="U148" s="4" t="str">
        <f>TEXT(Table1[[#This Row],[Expected Business Month]],"YYYY")</f>
        <v>2024</v>
      </c>
    </row>
    <row r="149" spans="1:21" hidden="1">
      <c r="A149" s="19">
        <v>45582</v>
      </c>
      <c r="B149" s="4" t="s">
        <v>462</v>
      </c>
      <c r="C149" s="4" t="s">
        <v>225</v>
      </c>
      <c r="D149" s="4" t="s">
        <v>195</v>
      </c>
      <c r="E149" s="4" t="s">
        <v>117</v>
      </c>
      <c r="F149" s="4" t="s">
        <v>463</v>
      </c>
      <c r="G149" s="17" t="s">
        <v>240</v>
      </c>
      <c r="J149" s="31">
        <v>45566</v>
      </c>
      <c r="K149" s="4" t="s">
        <v>220</v>
      </c>
      <c r="L149" s="4" t="s">
        <v>13</v>
      </c>
      <c r="M149" s="4" t="s">
        <v>221</v>
      </c>
      <c r="P149" s="21"/>
      <c r="S149" s="4" t="str">
        <f>TEXT(Table1[[#This Row],[Date]],"MMM-YY")</f>
        <v>Oct-24</v>
      </c>
      <c r="T149" s="4">
        <f>_xlfn.ISOWEEKNUM(Table1[[#This Row],[Date]])</f>
        <v>42</v>
      </c>
      <c r="U149" s="4" t="str">
        <f>TEXT(Table1[[#This Row],[Expected Business Month]],"YYYY")</f>
        <v>2024</v>
      </c>
    </row>
    <row r="150" spans="1:21" hidden="1">
      <c r="A150" s="19">
        <v>45582</v>
      </c>
      <c r="B150" s="4" t="s">
        <v>464</v>
      </c>
      <c r="C150" s="4" t="s">
        <v>225</v>
      </c>
      <c r="D150" s="4" t="s">
        <v>195</v>
      </c>
      <c r="E150" s="4" t="s">
        <v>61</v>
      </c>
      <c r="F150" s="4" t="s">
        <v>465</v>
      </c>
      <c r="G150" s="17" t="s">
        <v>240</v>
      </c>
      <c r="J150" s="31">
        <v>45566</v>
      </c>
      <c r="K150" s="4" t="s">
        <v>220</v>
      </c>
      <c r="L150" s="4" t="s">
        <v>13</v>
      </c>
      <c r="M150" s="4" t="s">
        <v>221</v>
      </c>
      <c r="P150" s="21"/>
      <c r="S150" s="4" t="str">
        <f>TEXT(Table1[[#This Row],[Date]],"MMM-YY")</f>
        <v>Oct-24</v>
      </c>
      <c r="T150" s="4">
        <f>_xlfn.ISOWEEKNUM(Table1[[#This Row],[Date]])</f>
        <v>42</v>
      </c>
      <c r="U150" s="4" t="str">
        <f>TEXT(Table1[[#This Row],[Expected Business Month]],"YYYY")</f>
        <v>2024</v>
      </c>
    </row>
    <row r="151" spans="1:21" hidden="1">
      <c r="A151" s="19">
        <v>45583</v>
      </c>
      <c r="B151" s="4" t="s">
        <v>466</v>
      </c>
      <c r="C151" s="4" t="s">
        <v>217</v>
      </c>
      <c r="D151" s="4" t="s">
        <v>195</v>
      </c>
      <c r="E151" s="4" t="s">
        <v>119</v>
      </c>
      <c r="F151" s="4" t="s">
        <v>467</v>
      </c>
      <c r="G151" s="17" t="s">
        <v>240</v>
      </c>
      <c r="J151" s="31">
        <v>45597</v>
      </c>
      <c r="K151" s="4" t="s">
        <v>220</v>
      </c>
      <c r="L151" s="4" t="s">
        <v>13</v>
      </c>
      <c r="M151" s="4" t="s">
        <v>221</v>
      </c>
      <c r="P151" s="21"/>
      <c r="S151" s="4" t="str">
        <f>TEXT(Table1[[#This Row],[Date]],"MMM-YY")</f>
        <v>Oct-24</v>
      </c>
      <c r="T151" s="4">
        <f>_xlfn.ISOWEEKNUM(Table1[[#This Row],[Date]])</f>
        <v>42</v>
      </c>
      <c r="U151" s="4" t="str">
        <f>TEXT(Table1[[#This Row],[Expected Business Month]],"YYYY")</f>
        <v>2024</v>
      </c>
    </row>
    <row r="152" spans="1:21" hidden="1">
      <c r="A152" s="19">
        <v>45583</v>
      </c>
      <c r="B152" s="4" t="s">
        <v>247</v>
      </c>
      <c r="C152" s="4" t="s">
        <v>225</v>
      </c>
      <c r="D152" s="4" t="s">
        <v>195</v>
      </c>
      <c r="E152" s="4" t="s">
        <v>47</v>
      </c>
      <c r="F152" s="4" t="s">
        <v>248</v>
      </c>
      <c r="G152" s="17" t="s">
        <v>240</v>
      </c>
      <c r="J152" s="31">
        <v>45597</v>
      </c>
      <c r="K152" s="4" t="s">
        <v>220</v>
      </c>
      <c r="L152" s="4" t="s">
        <v>16</v>
      </c>
      <c r="M152" s="4" t="s">
        <v>221</v>
      </c>
      <c r="P152" s="21"/>
      <c r="S152" s="4" t="str">
        <f>TEXT(Table1[[#This Row],[Date]],"MMM-YY")</f>
        <v>Oct-24</v>
      </c>
      <c r="T152" s="4">
        <f>_xlfn.ISOWEEKNUM(Table1[[#This Row],[Date]])</f>
        <v>42</v>
      </c>
      <c r="U152" s="4" t="str">
        <f>TEXT(Table1[[#This Row],[Expected Business Month]],"YYYY")</f>
        <v>2024</v>
      </c>
    </row>
    <row r="153" spans="1:21" hidden="1">
      <c r="A153" s="19">
        <v>45583</v>
      </c>
      <c r="B153" s="4" t="s">
        <v>468</v>
      </c>
      <c r="C153" s="4" t="s">
        <v>217</v>
      </c>
      <c r="D153" s="4" t="s">
        <v>195</v>
      </c>
      <c r="E153" s="4" t="s">
        <v>105</v>
      </c>
      <c r="F153" s="4" t="s">
        <v>228</v>
      </c>
      <c r="G153" s="17" t="s">
        <v>240</v>
      </c>
      <c r="J153" s="31">
        <v>45597</v>
      </c>
      <c r="K153" s="4" t="s">
        <v>220</v>
      </c>
      <c r="L153" s="4" t="s">
        <v>13</v>
      </c>
      <c r="M153" s="4" t="s">
        <v>221</v>
      </c>
      <c r="P153" s="21"/>
      <c r="S153" s="4" t="str">
        <f>TEXT(Table1[[#This Row],[Date]],"MMM-YY")</f>
        <v>Oct-24</v>
      </c>
      <c r="T153" s="4">
        <f>_xlfn.ISOWEEKNUM(Table1[[#This Row],[Date]])</f>
        <v>42</v>
      </c>
      <c r="U153" s="4" t="str">
        <f>TEXT(Table1[[#This Row],[Expected Business Month]],"YYYY")</f>
        <v>2024</v>
      </c>
    </row>
    <row r="154" spans="1:21" hidden="1">
      <c r="A154" s="19">
        <v>45586</v>
      </c>
      <c r="B154" s="4" t="s">
        <v>469</v>
      </c>
      <c r="C154" s="4" t="s">
        <v>217</v>
      </c>
      <c r="D154" s="4" t="s">
        <v>183</v>
      </c>
      <c r="E154" s="4" t="s">
        <v>49</v>
      </c>
      <c r="F154" s="4" t="s">
        <v>470</v>
      </c>
      <c r="G154" s="17" t="s">
        <v>436</v>
      </c>
      <c r="J154" s="31">
        <v>45597</v>
      </c>
      <c r="K154" s="4" t="s">
        <v>220</v>
      </c>
      <c r="L154" s="4" t="s">
        <v>16</v>
      </c>
      <c r="M154" s="4" t="s">
        <v>221</v>
      </c>
      <c r="P154" s="21"/>
      <c r="S154" s="4" t="str">
        <f>TEXT(Table1[[#This Row],[Date]],"MMM-YY")</f>
        <v>Oct-24</v>
      </c>
      <c r="T154" s="4">
        <f>_xlfn.ISOWEEKNUM(Table1[[#This Row],[Date]])</f>
        <v>43</v>
      </c>
      <c r="U154" s="4" t="str">
        <f>TEXT(Table1[[#This Row],[Expected Business Month]],"YYYY")</f>
        <v>2024</v>
      </c>
    </row>
    <row r="155" spans="1:21">
      <c r="A155" s="19">
        <v>45586</v>
      </c>
      <c r="B155" s="4" t="s">
        <v>471</v>
      </c>
      <c r="C155" s="4" t="s">
        <v>217</v>
      </c>
      <c r="D155" s="4" t="s">
        <v>195</v>
      </c>
      <c r="E155" s="4" t="s">
        <v>25</v>
      </c>
      <c r="F155" s="4" t="s">
        <v>472</v>
      </c>
      <c r="G155" s="17" t="s">
        <v>431</v>
      </c>
      <c r="H155" s="4">
        <v>47905</v>
      </c>
      <c r="I155" s="4">
        <v>47905</v>
      </c>
      <c r="J155" s="31">
        <v>45566</v>
      </c>
      <c r="K155" s="4" t="s">
        <v>220</v>
      </c>
      <c r="L155" s="4" t="s">
        <v>17</v>
      </c>
      <c r="M155" s="4" t="s">
        <v>235</v>
      </c>
      <c r="P155" s="21">
        <v>47905</v>
      </c>
      <c r="S155" s="4" t="str">
        <f>TEXT(Table1[[#This Row],[Date]],"MMM-YY")</f>
        <v>Oct-24</v>
      </c>
      <c r="T155" s="4">
        <f>_xlfn.ISOWEEKNUM(Table1[[#This Row],[Date]])</f>
        <v>43</v>
      </c>
      <c r="U155" s="4" t="str">
        <f>TEXT(Table1[[#This Row],[Expected Business Month]],"YYYY")</f>
        <v>2024</v>
      </c>
    </row>
    <row r="156" spans="1:21" hidden="1">
      <c r="A156" s="19">
        <v>45587</v>
      </c>
      <c r="B156" s="4" t="s">
        <v>449</v>
      </c>
      <c r="C156" s="4" t="s">
        <v>217</v>
      </c>
      <c r="D156" s="4" t="s">
        <v>21</v>
      </c>
      <c r="E156" s="4" t="s">
        <v>19</v>
      </c>
      <c r="F156" s="4" t="s">
        <v>414</v>
      </c>
      <c r="G156" s="17" t="s">
        <v>473</v>
      </c>
      <c r="J156" s="31">
        <v>45597</v>
      </c>
      <c r="K156" s="4" t="s">
        <v>220</v>
      </c>
      <c r="L156" s="4" t="s">
        <v>16</v>
      </c>
      <c r="M156" s="4" t="s">
        <v>235</v>
      </c>
      <c r="P156" s="21"/>
      <c r="S156" s="4" t="str">
        <f>TEXT(Table1[[#This Row],[Date]],"MMM-YY")</f>
        <v>Oct-24</v>
      </c>
      <c r="T156" s="4">
        <f>_xlfn.ISOWEEKNUM(Table1[[#This Row],[Date]])</f>
        <v>43</v>
      </c>
      <c r="U156" s="4" t="str">
        <f>TEXT(Table1[[#This Row],[Expected Business Month]],"YYYY")</f>
        <v>2024</v>
      </c>
    </row>
    <row r="157" spans="1:21" hidden="1">
      <c r="A157" s="19">
        <v>45587</v>
      </c>
      <c r="B157" s="4" t="s">
        <v>474</v>
      </c>
      <c r="C157" s="4" t="s">
        <v>217</v>
      </c>
      <c r="D157" s="4" t="s">
        <v>195</v>
      </c>
      <c r="E157" s="4" t="s">
        <v>67</v>
      </c>
      <c r="F157" s="4" t="s">
        <v>475</v>
      </c>
      <c r="G157" s="17" t="s">
        <v>240</v>
      </c>
      <c r="J157" s="31">
        <v>45597</v>
      </c>
      <c r="K157" s="4" t="s">
        <v>220</v>
      </c>
      <c r="L157" s="4" t="s">
        <v>13</v>
      </c>
      <c r="M157" s="4" t="s">
        <v>221</v>
      </c>
      <c r="P157" s="21"/>
      <c r="S157" s="4" t="str">
        <f>TEXT(Table1[[#This Row],[Date]],"MMM-YY")</f>
        <v>Oct-24</v>
      </c>
      <c r="T157" s="4">
        <f>_xlfn.ISOWEEKNUM(Table1[[#This Row],[Date]])</f>
        <v>43</v>
      </c>
      <c r="U157" s="4" t="str">
        <f>TEXT(Table1[[#This Row],[Expected Business Month]],"YYYY")</f>
        <v>2024</v>
      </c>
    </row>
    <row r="158" spans="1:21" hidden="1">
      <c r="A158" s="19">
        <v>45588</v>
      </c>
      <c r="B158" s="4" t="s">
        <v>378</v>
      </c>
      <c r="C158" s="4" t="s">
        <v>225</v>
      </c>
      <c r="D158" s="4" t="s">
        <v>195</v>
      </c>
      <c r="E158" s="4" t="s">
        <v>101</v>
      </c>
      <c r="F158" s="4" t="s">
        <v>379</v>
      </c>
      <c r="G158" s="17" t="s">
        <v>240</v>
      </c>
      <c r="J158" s="31">
        <v>45689</v>
      </c>
      <c r="K158" s="4" t="s">
        <v>220</v>
      </c>
      <c r="L158" s="4" t="s">
        <v>16</v>
      </c>
      <c r="M158" s="4" t="s">
        <v>221</v>
      </c>
      <c r="P158" s="21"/>
      <c r="S158" s="4" t="str">
        <f>TEXT(Table1[[#This Row],[Date]],"MMM-YY")</f>
        <v>Oct-24</v>
      </c>
      <c r="T158" s="4">
        <f>_xlfn.ISOWEEKNUM(Table1[[#This Row],[Date]])</f>
        <v>43</v>
      </c>
      <c r="U158" s="4" t="str">
        <f>TEXT(Table1[[#This Row],[Expected Business Month]],"YYYY")</f>
        <v>2025</v>
      </c>
    </row>
    <row r="159" spans="1:21" hidden="1">
      <c r="A159" s="19">
        <v>45588</v>
      </c>
      <c r="B159" s="4" t="s">
        <v>476</v>
      </c>
      <c r="C159" s="4" t="s">
        <v>217</v>
      </c>
      <c r="D159" s="4" t="s">
        <v>195</v>
      </c>
      <c r="E159" s="4" t="s">
        <v>121</v>
      </c>
      <c r="F159" s="4" t="s">
        <v>477</v>
      </c>
      <c r="G159" s="17" t="s">
        <v>478</v>
      </c>
      <c r="J159" s="31">
        <v>45689</v>
      </c>
      <c r="K159" s="4" t="s">
        <v>220</v>
      </c>
      <c r="L159" s="4" t="s">
        <v>16</v>
      </c>
      <c r="M159" s="4" t="s">
        <v>221</v>
      </c>
      <c r="P159" s="21"/>
      <c r="S159" s="4" t="str">
        <f>TEXT(Table1[[#This Row],[Date]],"MMM-YY")</f>
        <v>Oct-24</v>
      </c>
      <c r="T159" s="4">
        <f>_xlfn.ISOWEEKNUM(Table1[[#This Row],[Date]])</f>
        <v>43</v>
      </c>
      <c r="U159" s="4" t="str">
        <f>TEXT(Table1[[#This Row],[Expected Business Month]],"YYYY")</f>
        <v>2025</v>
      </c>
    </row>
    <row r="160" spans="1:21" hidden="1">
      <c r="A160" s="19">
        <v>45588</v>
      </c>
      <c r="B160" s="4" t="s">
        <v>360</v>
      </c>
      <c r="C160" s="4" t="s">
        <v>225</v>
      </c>
      <c r="D160" s="4" t="s">
        <v>195</v>
      </c>
      <c r="E160" s="4" t="s">
        <v>91</v>
      </c>
      <c r="F160" s="4" t="s">
        <v>479</v>
      </c>
      <c r="G160" s="17" t="s">
        <v>240</v>
      </c>
      <c r="J160" s="31">
        <v>45597</v>
      </c>
      <c r="K160" s="4" t="s">
        <v>220</v>
      </c>
      <c r="L160" s="4" t="s">
        <v>16</v>
      </c>
      <c r="M160" s="4" t="s">
        <v>221</v>
      </c>
      <c r="P160" s="21"/>
      <c r="S160" s="4" t="str">
        <f>TEXT(Table1[[#This Row],[Date]],"MMM-YY")</f>
        <v>Oct-24</v>
      </c>
      <c r="T160" s="4">
        <f>_xlfn.ISOWEEKNUM(Table1[[#This Row],[Date]])</f>
        <v>43</v>
      </c>
      <c r="U160" s="4" t="str">
        <f>TEXT(Table1[[#This Row],[Expected Business Month]],"YYYY")</f>
        <v>2024</v>
      </c>
    </row>
    <row r="161" spans="1:21" hidden="1">
      <c r="A161" s="19">
        <v>45588</v>
      </c>
      <c r="B161" s="4" t="s">
        <v>480</v>
      </c>
      <c r="C161" s="4" t="s">
        <v>225</v>
      </c>
      <c r="D161" s="4" t="s">
        <v>195</v>
      </c>
      <c r="E161" s="4" t="s">
        <v>61</v>
      </c>
      <c r="F161" s="4" t="s">
        <v>481</v>
      </c>
      <c r="G161" s="17" t="s">
        <v>240</v>
      </c>
      <c r="J161" s="31">
        <v>45597</v>
      </c>
      <c r="K161" s="4" t="s">
        <v>220</v>
      </c>
      <c r="L161" s="4" t="s">
        <v>16</v>
      </c>
      <c r="M161" s="4" t="s">
        <v>221</v>
      </c>
      <c r="P161" s="21"/>
      <c r="S161" s="4" t="str">
        <f>TEXT(Table1[[#This Row],[Date]],"MMM-YY")</f>
        <v>Oct-24</v>
      </c>
      <c r="T161" s="4">
        <f>_xlfn.ISOWEEKNUM(Table1[[#This Row],[Date]])</f>
        <v>43</v>
      </c>
      <c r="U161" s="4" t="str">
        <f>TEXT(Table1[[#This Row],[Expected Business Month]],"YYYY")</f>
        <v>2024</v>
      </c>
    </row>
    <row r="162" spans="1:21" hidden="1">
      <c r="A162" s="19">
        <v>45588</v>
      </c>
      <c r="B162" s="4" t="s">
        <v>482</v>
      </c>
      <c r="C162" s="4" t="s">
        <v>225</v>
      </c>
      <c r="D162" s="4" t="s">
        <v>183</v>
      </c>
      <c r="E162" s="4" t="s">
        <v>49</v>
      </c>
      <c r="F162" s="4" t="s">
        <v>483</v>
      </c>
      <c r="G162" s="17" t="s">
        <v>240</v>
      </c>
      <c r="J162" s="31">
        <v>45597</v>
      </c>
      <c r="K162" s="4" t="s">
        <v>220</v>
      </c>
      <c r="L162" s="4" t="s">
        <v>13</v>
      </c>
      <c r="M162" s="4" t="s">
        <v>221</v>
      </c>
      <c r="P162" s="21"/>
      <c r="S162" s="4" t="str">
        <f>TEXT(Table1[[#This Row],[Date]],"MMM-YY")</f>
        <v>Oct-24</v>
      </c>
      <c r="T162" s="4">
        <f>_xlfn.ISOWEEKNUM(Table1[[#This Row],[Date]])</f>
        <v>43</v>
      </c>
      <c r="U162" s="4" t="str">
        <f>TEXT(Table1[[#This Row],[Expected Business Month]],"YYYY")</f>
        <v>2024</v>
      </c>
    </row>
    <row r="163" spans="1:21" hidden="1">
      <c r="A163" s="19">
        <v>45588</v>
      </c>
      <c r="B163" s="4" t="s">
        <v>484</v>
      </c>
      <c r="C163" s="4" t="s">
        <v>217</v>
      </c>
      <c r="D163" s="4" t="s">
        <v>195</v>
      </c>
      <c r="E163" s="4" t="s">
        <v>53</v>
      </c>
      <c r="F163" s="4" t="s">
        <v>485</v>
      </c>
      <c r="G163" s="17" t="s">
        <v>240</v>
      </c>
      <c r="J163" s="31">
        <v>45597</v>
      </c>
      <c r="K163" s="4" t="s">
        <v>220</v>
      </c>
      <c r="L163" s="4" t="s">
        <v>13</v>
      </c>
      <c r="M163" s="4" t="s">
        <v>221</v>
      </c>
      <c r="P163" s="21"/>
      <c r="S163" s="4" t="str">
        <f>TEXT(Table1[[#This Row],[Date]],"MMM-YY")</f>
        <v>Oct-24</v>
      </c>
      <c r="T163" s="4">
        <f>_xlfn.ISOWEEKNUM(Table1[[#This Row],[Date]])</f>
        <v>43</v>
      </c>
      <c r="U163" s="4" t="str">
        <f>TEXT(Table1[[#This Row],[Expected Business Month]],"YYYY")</f>
        <v>2024</v>
      </c>
    </row>
    <row r="164" spans="1:21" hidden="1">
      <c r="A164" s="19">
        <v>45588</v>
      </c>
      <c r="B164" s="4" t="s">
        <v>428</v>
      </c>
      <c r="C164" s="4" t="s">
        <v>225</v>
      </c>
      <c r="D164" s="4" t="s">
        <v>195</v>
      </c>
      <c r="E164" s="4" t="s">
        <v>81</v>
      </c>
      <c r="F164" s="4" t="s">
        <v>429</v>
      </c>
      <c r="G164" s="17" t="s">
        <v>240</v>
      </c>
      <c r="J164" s="31">
        <v>45689</v>
      </c>
      <c r="K164" s="4" t="s">
        <v>220</v>
      </c>
      <c r="L164" s="4" t="s">
        <v>16</v>
      </c>
      <c r="M164" s="4" t="s">
        <v>221</v>
      </c>
      <c r="P164" s="21"/>
      <c r="S164" s="4" t="str">
        <f>TEXT(Table1[[#This Row],[Date]],"MMM-YY")</f>
        <v>Oct-24</v>
      </c>
      <c r="T164" s="4">
        <f>_xlfn.ISOWEEKNUM(Table1[[#This Row],[Date]])</f>
        <v>43</v>
      </c>
      <c r="U164" s="4" t="str">
        <f>TEXT(Table1[[#This Row],[Expected Business Month]],"YYYY")</f>
        <v>2025</v>
      </c>
    </row>
    <row r="165" spans="1:21" hidden="1">
      <c r="A165" s="19">
        <v>45589</v>
      </c>
      <c r="B165" s="4" t="s">
        <v>449</v>
      </c>
      <c r="C165" s="4" t="s">
        <v>225</v>
      </c>
      <c r="D165" s="4" t="s">
        <v>21</v>
      </c>
      <c r="E165" s="4" t="s">
        <v>19</v>
      </c>
      <c r="F165" s="4" t="s">
        <v>414</v>
      </c>
      <c r="G165" s="17" t="s">
        <v>486</v>
      </c>
      <c r="J165" s="31">
        <v>45597</v>
      </c>
      <c r="K165" s="4" t="s">
        <v>220</v>
      </c>
      <c r="L165" s="4" t="s">
        <v>16</v>
      </c>
      <c r="M165" s="4" t="s">
        <v>235</v>
      </c>
      <c r="P165" s="21"/>
      <c r="S165" s="4" t="str">
        <f>TEXT(Table1[[#This Row],[Date]],"MMM-YY")</f>
        <v>Oct-24</v>
      </c>
      <c r="T165" s="4">
        <f>_xlfn.ISOWEEKNUM(Table1[[#This Row],[Date]])</f>
        <v>43</v>
      </c>
      <c r="U165" s="4" t="str">
        <f>TEXT(Table1[[#This Row],[Expected Business Month]],"YYYY")</f>
        <v>2024</v>
      </c>
    </row>
    <row r="166" spans="1:21" hidden="1">
      <c r="A166" s="19">
        <v>45589</v>
      </c>
      <c r="B166" s="4" t="s">
        <v>487</v>
      </c>
      <c r="C166" s="4" t="s">
        <v>217</v>
      </c>
      <c r="D166" s="4" t="s">
        <v>195</v>
      </c>
      <c r="E166" s="4" t="s">
        <v>125</v>
      </c>
      <c r="F166" s="4" t="s">
        <v>488</v>
      </c>
      <c r="G166" s="17" t="s">
        <v>240</v>
      </c>
      <c r="J166" s="31">
        <v>45597</v>
      </c>
      <c r="K166" s="4" t="s">
        <v>220</v>
      </c>
      <c r="L166" s="4" t="s">
        <v>13</v>
      </c>
      <c r="M166" s="4" t="s">
        <v>221</v>
      </c>
      <c r="P166" s="21"/>
      <c r="S166" s="4" t="str">
        <f>TEXT(Table1[[#This Row],[Date]],"MMM-YY")</f>
        <v>Oct-24</v>
      </c>
      <c r="T166" s="4">
        <f>_xlfn.ISOWEEKNUM(Table1[[#This Row],[Date]])</f>
        <v>43</v>
      </c>
      <c r="U166" s="4" t="str">
        <f>TEXT(Table1[[#This Row],[Expected Business Month]],"YYYY")</f>
        <v>2024</v>
      </c>
    </row>
    <row r="167" spans="1:21" hidden="1">
      <c r="A167" s="19">
        <v>45589</v>
      </c>
      <c r="B167" s="4" t="s">
        <v>489</v>
      </c>
      <c r="C167" s="4" t="s">
        <v>225</v>
      </c>
      <c r="D167" s="4" t="s">
        <v>195</v>
      </c>
      <c r="E167" s="4" t="s">
        <v>79</v>
      </c>
      <c r="F167" s="4" t="s">
        <v>490</v>
      </c>
      <c r="G167" s="17" t="s">
        <v>240</v>
      </c>
      <c r="J167" s="31">
        <v>45597</v>
      </c>
      <c r="K167" s="4" t="s">
        <v>220</v>
      </c>
      <c r="L167" s="4" t="s">
        <v>13</v>
      </c>
      <c r="M167" s="4" t="s">
        <v>221</v>
      </c>
      <c r="P167" s="21"/>
      <c r="S167" s="4" t="str">
        <f>TEXT(Table1[[#This Row],[Date]],"MMM-YY")</f>
        <v>Oct-24</v>
      </c>
      <c r="T167" s="4">
        <f>_xlfn.ISOWEEKNUM(Table1[[#This Row],[Date]])</f>
        <v>43</v>
      </c>
      <c r="U167" s="4" t="str">
        <f>TEXT(Table1[[#This Row],[Expected Business Month]],"YYYY")</f>
        <v>2024</v>
      </c>
    </row>
    <row r="168" spans="1:21" hidden="1">
      <c r="A168" s="19">
        <v>45589</v>
      </c>
      <c r="B168" s="4" t="s">
        <v>491</v>
      </c>
      <c r="C168" s="4" t="s">
        <v>225</v>
      </c>
      <c r="D168" s="4" t="s">
        <v>195</v>
      </c>
      <c r="E168" s="4" t="s">
        <v>61</v>
      </c>
      <c r="F168" s="4" t="s">
        <v>492</v>
      </c>
      <c r="G168" s="17" t="s">
        <v>240</v>
      </c>
      <c r="J168" s="31">
        <v>45597</v>
      </c>
      <c r="K168" s="4" t="s">
        <v>220</v>
      </c>
      <c r="L168" s="4" t="s">
        <v>13</v>
      </c>
      <c r="M168" s="4" t="s">
        <v>221</v>
      </c>
      <c r="P168" s="21"/>
      <c r="S168" s="4" t="str">
        <f>TEXT(Table1[[#This Row],[Date]],"MMM-YY")</f>
        <v>Oct-24</v>
      </c>
      <c r="T168" s="4">
        <f>_xlfn.ISOWEEKNUM(Table1[[#This Row],[Date]])</f>
        <v>43</v>
      </c>
      <c r="U168" s="4" t="str">
        <f>TEXT(Table1[[#This Row],[Expected Business Month]],"YYYY")</f>
        <v>2024</v>
      </c>
    </row>
    <row r="169" spans="1:21" hidden="1">
      <c r="A169" s="19">
        <v>45589</v>
      </c>
      <c r="B169" s="4" t="s">
        <v>493</v>
      </c>
      <c r="C169" s="4" t="s">
        <v>225</v>
      </c>
      <c r="D169" s="4" t="s">
        <v>195</v>
      </c>
      <c r="E169" s="4" t="s">
        <v>127</v>
      </c>
      <c r="F169" s="4" t="s">
        <v>494</v>
      </c>
      <c r="G169" s="17" t="s">
        <v>240</v>
      </c>
      <c r="J169" s="31">
        <v>45597</v>
      </c>
      <c r="K169" s="4" t="s">
        <v>220</v>
      </c>
      <c r="L169" s="4" t="s">
        <v>13</v>
      </c>
      <c r="M169" s="4" t="s">
        <v>221</v>
      </c>
      <c r="P169" s="21"/>
      <c r="S169" s="4" t="str">
        <f>TEXT(Table1[[#This Row],[Date]],"MMM-YY")</f>
        <v>Oct-24</v>
      </c>
      <c r="T169" s="4">
        <f>_xlfn.ISOWEEKNUM(Table1[[#This Row],[Date]])</f>
        <v>43</v>
      </c>
      <c r="U169" s="4" t="str">
        <f>TEXT(Table1[[#This Row],[Expected Business Month]],"YYYY")</f>
        <v>2024</v>
      </c>
    </row>
    <row r="170" spans="1:21" hidden="1">
      <c r="A170" s="19">
        <v>45589</v>
      </c>
      <c r="B170" s="4" t="s">
        <v>495</v>
      </c>
      <c r="C170" s="4" t="s">
        <v>217</v>
      </c>
      <c r="D170" s="4" t="s">
        <v>195</v>
      </c>
      <c r="E170" s="4" t="s">
        <v>123</v>
      </c>
      <c r="F170" s="4" t="s">
        <v>496</v>
      </c>
      <c r="G170" s="17" t="s">
        <v>240</v>
      </c>
      <c r="J170" s="31">
        <v>45597</v>
      </c>
      <c r="K170" s="4" t="s">
        <v>220</v>
      </c>
      <c r="L170" s="4" t="s">
        <v>13</v>
      </c>
      <c r="M170" s="4" t="s">
        <v>221</v>
      </c>
      <c r="P170" s="21"/>
      <c r="S170" s="4" t="str">
        <f>TEXT(Table1[[#This Row],[Date]],"MMM-YY")</f>
        <v>Oct-24</v>
      </c>
      <c r="T170" s="4">
        <f>_xlfn.ISOWEEKNUM(Table1[[#This Row],[Date]])</f>
        <v>43</v>
      </c>
      <c r="U170" s="4" t="str">
        <f>TEXT(Table1[[#This Row],[Expected Business Month]],"YYYY")</f>
        <v>2024</v>
      </c>
    </row>
    <row r="171" spans="1:21" hidden="1">
      <c r="A171" s="19">
        <v>45589</v>
      </c>
      <c r="B171" s="4" t="s">
        <v>497</v>
      </c>
      <c r="C171" s="4" t="s">
        <v>225</v>
      </c>
      <c r="D171" s="4" t="s">
        <v>195</v>
      </c>
      <c r="E171" s="4" t="s">
        <v>61</v>
      </c>
      <c r="F171" s="4" t="s">
        <v>498</v>
      </c>
      <c r="G171" s="17" t="s">
        <v>240</v>
      </c>
      <c r="J171" s="31">
        <v>45597</v>
      </c>
      <c r="K171" s="4" t="s">
        <v>220</v>
      </c>
      <c r="L171" s="4" t="s">
        <v>13</v>
      </c>
      <c r="M171" s="4" t="s">
        <v>221</v>
      </c>
      <c r="P171" s="21"/>
      <c r="S171" s="4" t="str">
        <f>TEXT(Table1[[#This Row],[Date]],"MMM-YY")</f>
        <v>Oct-24</v>
      </c>
      <c r="T171" s="4">
        <f>_xlfn.ISOWEEKNUM(Table1[[#This Row],[Date]])</f>
        <v>43</v>
      </c>
      <c r="U171" s="4" t="str">
        <f>TEXT(Table1[[#This Row],[Expected Business Month]],"YYYY")</f>
        <v>2024</v>
      </c>
    </row>
    <row r="172" spans="1:21" hidden="1">
      <c r="A172" s="19">
        <v>45590</v>
      </c>
      <c r="B172" s="4" t="s">
        <v>261</v>
      </c>
      <c r="C172" s="4" t="s">
        <v>225</v>
      </c>
      <c r="D172" s="4" t="s">
        <v>195</v>
      </c>
      <c r="E172" s="4" t="s">
        <v>61</v>
      </c>
      <c r="F172" s="4" t="s">
        <v>499</v>
      </c>
      <c r="G172" s="17" t="s">
        <v>240</v>
      </c>
      <c r="J172" s="31">
        <v>45627</v>
      </c>
      <c r="K172" s="4" t="s">
        <v>220</v>
      </c>
      <c r="L172" s="4" t="s">
        <v>13</v>
      </c>
      <c r="M172" s="4" t="s">
        <v>221</v>
      </c>
      <c r="P172" s="21"/>
      <c r="S172" s="4" t="str">
        <f>TEXT(Table1[[#This Row],[Date]],"MMM-YY")</f>
        <v>Oct-24</v>
      </c>
      <c r="T172" s="4">
        <f>_xlfn.ISOWEEKNUM(Table1[[#This Row],[Date]])</f>
        <v>43</v>
      </c>
      <c r="U172" s="4" t="str">
        <f>TEXT(Table1[[#This Row],[Expected Business Month]],"YYYY")</f>
        <v>2024</v>
      </c>
    </row>
    <row r="173" spans="1:21" hidden="1">
      <c r="A173" s="19">
        <v>45590</v>
      </c>
      <c r="B173" s="4" t="s">
        <v>263</v>
      </c>
      <c r="C173" s="4" t="s">
        <v>225</v>
      </c>
      <c r="D173" s="4" t="s">
        <v>183</v>
      </c>
      <c r="E173" s="4" t="s">
        <v>49</v>
      </c>
      <c r="F173" s="4" t="s">
        <v>264</v>
      </c>
      <c r="G173" s="17" t="s">
        <v>500</v>
      </c>
      <c r="J173" s="31">
        <v>45689</v>
      </c>
      <c r="K173" s="4" t="s">
        <v>220</v>
      </c>
      <c r="L173" s="4" t="s">
        <v>16</v>
      </c>
      <c r="M173" s="4" t="s">
        <v>221</v>
      </c>
      <c r="P173" s="21"/>
      <c r="S173" s="4" t="str">
        <f>TEXT(Table1[[#This Row],[Date]],"MMM-YY")</f>
        <v>Oct-24</v>
      </c>
      <c r="T173" s="4">
        <f>_xlfn.ISOWEEKNUM(Table1[[#This Row],[Date]])</f>
        <v>43</v>
      </c>
      <c r="U173" s="4" t="str">
        <f>TEXT(Table1[[#This Row],[Expected Business Month]],"YYYY")</f>
        <v>2025</v>
      </c>
    </row>
    <row r="174" spans="1:21" hidden="1">
      <c r="A174" s="19">
        <v>45590</v>
      </c>
      <c r="B174" s="4" t="s">
        <v>501</v>
      </c>
      <c r="C174" s="4" t="s">
        <v>225</v>
      </c>
      <c r="D174" s="4" t="s">
        <v>195</v>
      </c>
      <c r="E174" s="4" t="s">
        <v>25</v>
      </c>
      <c r="F174" s="4" t="s">
        <v>502</v>
      </c>
      <c r="G174" s="17" t="s">
        <v>240</v>
      </c>
      <c r="J174" s="31">
        <v>45689</v>
      </c>
      <c r="K174" s="4" t="s">
        <v>220</v>
      </c>
      <c r="L174" s="4" t="s">
        <v>16</v>
      </c>
      <c r="M174" s="4" t="s">
        <v>221</v>
      </c>
      <c r="P174" s="21"/>
      <c r="S174" s="4" t="str">
        <f>TEXT(Table1[[#This Row],[Date]],"MMM-YY")</f>
        <v>Oct-24</v>
      </c>
      <c r="T174" s="4">
        <f>_xlfn.ISOWEEKNUM(Table1[[#This Row],[Date]])</f>
        <v>43</v>
      </c>
      <c r="U174" s="4" t="str">
        <f>TEXT(Table1[[#This Row],[Expected Business Month]],"YYYY")</f>
        <v>2025</v>
      </c>
    </row>
    <row r="175" spans="1:21" hidden="1">
      <c r="A175" s="19">
        <v>45590</v>
      </c>
      <c r="B175" s="4" t="s">
        <v>503</v>
      </c>
      <c r="C175" s="4" t="s">
        <v>225</v>
      </c>
      <c r="D175" s="4" t="s">
        <v>183</v>
      </c>
      <c r="E175" s="4" t="s">
        <v>49</v>
      </c>
      <c r="F175" s="4" t="s">
        <v>504</v>
      </c>
      <c r="G175" s="17" t="s">
        <v>240</v>
      </c>
      <c r="J175" s="31">
        <v>45597</v>
      </c>
      <c r="K175" s="4" t="s">
        <v>220</v>
      </c>
      <c r="L175" s="4" t="s">
        <v>13</v>
      </c>
      <c r="M175" s="4" t="s">
        <v>221</v>
      </c>
      <c r="P175" s="21"/>
      <c r="S175" s="4" t="str">
        <f>TEXT(Table1[[#This Row],[Date]],"MMM-YY")</f>
        <v>Oct-24</v>
      </c>
      <c r="T175" s="4">
        <f>_xlfn.ISOWEEKNUM(Table1[[#This Row],[Date]])</f>
        <v>43</v>
      </c>
      <c r="U175" s="4" t="str">
        <f>TEXT(Table1[[#This Row],[Expected Business Month]],"YYYY")</f>
        <v>2024</v>
      </c>
    </row>
    <row r="176" spans="1:21" hidden="1">
      <c r="A176" s="19">
        <v>45590</v>
      </c>
      <c r="B176" s="4" t="s">
        <v>505</v>
      </c>
      <c r="C176" s="4" t="s">
        <v>217</v>
      </c>
      <c r="D176" s="4" t="s">
        <v>195</v>
      </c>
      <c r="E176" s="4" t="s">
        <v>129</v>
      </c>
      <c r="F176" s="4" t="s">
        <v>504</v>
      </c>
      <c r="G176" s="17" t="s">
        <v>240</v>
      </c>
      <c r="J176" s="31">
        <v>45597</v>
      </c>
      <c r="K176" s="4" t="s">
        <v>220</v>
      </c>
      <c r="L176" s="4" t="s">
        <v>13</v>
      </c>
      <c r="M176" s="4" t="s">
        <v>221</v>
      </c>
      <c r="P176" s="21"/>
      <c r="S176" s="4" t="str">
        <f>TEXT(Table1[[#This Row],[Date]],"MMM-YY")</f>
        <v>Oct-24</v>
      </c>
      <c r="T176" s="4">
        <f>_xlfn.ISOWEEKNUM(Table1[[#This Row],[Date]])</f>
        <v>43</v>
      </c>
      <c r="U176" s="4" t="str">
        <f>TEXT(Table1[[#This Row],[Expected Business Month]],"YYYY")</f>
        <v>2024</v>
      </c>
    </row>
    <row r="177" spans="1:21" hidden="1">
      <c r="A177" s="19">
        <v>45590</v>
      </c>
      <c r="B177" s="4" t="s">
        <v>506</v>
      </c>
      <c r="C177" s="4" t="s">
        <v>225</v>
      </c>
      <c r="D177" s="4" t="s">
        <v>195</v>
      </c>
      <c r="E177" s="4" t="s">
        <v>53</v>
      </c>
      <c r="F177" s="4" t="s">
        <v>507</v>
      </c>
      <c r="G177" s="17" t="s">
        <v>240</v>
      </c>
      <c r="J177" s="31">
        <v>45597</v>
      </c>
      <c r="K177" s="4" t="s">
        <v>220</v>
      </c>
      <c r="L177" s="4" t="s">
        <v>13</v>
      </c>
      <c r="M177" s="4" t="s">
        <v>221</v>
      </c>
      <c r="P177" s="21"/>
      <c r="S177" s="4" t="str">
        <f>TEXT(Table1[[#This Row],[Date]],"MMM-YY")</f>
        <v>Oct-24</v>
      </c>
      <c r="T177" s="4">
        <f>_xlfn.ISOWEEKNUM(Table1[[#This Row],[Date]])</f>
        <v>43</v>
      </c>
      <c r="U177" s="4" t="str">
        <f>TEXT(Table1[[#This Row],[Expected Business Month]],"YYYY")</f>
        <v>2024</v>
      </c>
    </row>
    <row r="178" spans="1:21" hidden="1">
      <c r="A178" s="19">
        <v>45590</v>
      </c>
      <c r="B178" s="4" t="s">
        <v>508</v>
      </c>
      <c r="C178" s="4" t="s">
        <v>217</v>
      </c>
      <c r="D178" s="4" t="s">
        <v>195</v>
      </c>
      <c r="E178" s="4" t="s">
        <v>129</v>
      </c>
      <c r="F178" s="4" t="s">
        <v>509</v>
      </c>
      <c r="G178" s="17" t="s">
        <v>240</v>
      </c>
      <c r="J178" s="31">
        <v>45597</v>
      </c>
      <c r="K178" s="4" t="s">
        <v>220</v>
      </c>
      <c r="L178" s="4" t="s">
        <v>13</v>
      </c>
      <c r="M178" s="4" t="s">
        <v>221</v>
      </c>
      <c r="P178" s="21"/>
      <c r="S178" s="4" t="str">
        <f>TEXT(Table1[[#This Row],[Date]],"MMM-YY")</f>
        <v>Oct-24</v>
      </c>
      <c r="T178" s="4">
        <f>_xlfn.ISOWEEKNUM(Table1[[#This Row],[Date]])</f>
        <v>43</v>
      </c>
      <c r="U178" s="4" t="str">
        <f>TEXT(Table1[[#This Row],[Expected Business Month]],"YYYY")</f>
        <v>2024</v>
      </c>
    </row>
    <row r="179" spans="1:21" hidden="1">
      <c r="A179" s="19">
        <v>45593</v>
      </c>
      <c r="B179" s="4" t="s">
        <v>449</v>
      </c>
      <c r="C179" s="4" t="s">
        <v>225</v>
      </c>
      <c r="D179" s="4" t="s">
        <v>21</v>
      </c>
      <c r="E179" s="4" t="s">
        <v>19</v>
      </c>
      <c r="F179" s="4" t="s">
        <v>414</v>
      </c>
      <c r="G179" s="17" t="s">
        <v>486</v>
      </c>
      <c r="J179" s="31">
        <v>45597</v>
      </c>
      <c r="K179" s="4" t="s">
        <v>220</v>
      </c>
      <c r="L179" s="4" t="s">
        <v>16</v>
      </c>
      <c r="M179" s="4" t="s">
        <v>235</v>
      </c>
      <c r="P179" s="21"/>
      <c r="S179" s="4" t="str">
        <f>TEXT(Table1[[#This Row],[Date]],"MMM-YY")</f>
        <v>Oct-24</v>
      </c>
      <c r="T179" s="4">
        <f>_xlfn.ISOWEEKNUM(Table1[[#This Row],[Date]])</f>
        <v>44</v>
      </c>
      <c r="U179" s="4" t="str">
        <f>TEXT(Table1[[#This Row],[Expected Business Month]],"YYYY")</f>
        <v>2024</v>
      </c>
    </row>
    <row r="180" spans="1:21" hidden="1">
      <c r="A180" s="19">
        <v>45593</v>
      </c>
      <c r="B180" s="4" t="s">
        <v>238</v>
      </c>
      <c r="C180" s="4" t="s">
        <v>225</v>
      </c>
      <c r="D180" s="4" t="s">
        <v>195</v>
      </c>
      <c r="E180" s="4" t="s">
        <v>47</v>
      </c>
      <c r="F180" s="4" t="s">
        <v>510</v>
      </c>
      <c r="G180" s="17" t="s">
        <v>511</v>
      </c>
      <c r="J180" s="31">
        <v>45597</v>
      </c>
      <c r="K180" s="4" t="s">
        <v>234</v>
      </c>
      <c r="L180" s="4" t="s">
        <v>16</v>
      </c>
      <c r="M180" s="4" t="s">
        <v>221</v>
      </c>
      <c r="P180" s="21"/>
      <c r="S180" s="4" t="str">
        <f>TEXT(Table1[[#This Row],[Date]],"MMM-YY")</f>
        <v>Oct-24</v>
      </c>
      <c r="T180" s="4">
        <f>_xlfn.ISOWEEKNUM(Table1[[#This Row],[Date]])</f>
        <v>44</v>
      </c>
      <c r="U180" s="4" t="str">
        <f>TEXT(Table1[[#This Row],[Expected Business Month]],"YYYY")</f>
        <v>2024</v>
      </c>
    </row>
    <row r="181" spans="1:21" hidden="1">
      <c r="A181" s="19">
        <v>45593</v>
      </c>
      <c r="B181" s="4" t="s">
        <v>512</v>
      </c>
      <c r="C181" s="4" t="s">
        <v>217</v>
      </c>
      <c r="D181" s="4" t="s">
        <v>195</v>
      </c>
      <c r="E181" s="4" t="s">
        <v>61</v>
      </c>
      <c r="F181" s="4" t="s">
        <v>513</v>
      </c>
      <c r="G181" s="17" t="s">
        <v>240</v>
      </c>
      <c r="J181" s="31">
        <v>45597</v>
      </c>
      <c r="K181" s="4" t="s">
        <v>220</v>
      </c>
      <c r="L181" s="4" t="s">
        <v>13</v>
      </c>
      <c r="M181" s="4" t="s">
        <v>221</v>
      </c>
      <c r="P181" s="21"/>
      <c r="S181" s="4" t="str">
        <f>TEXT(Table1[[#This Row],[Date]],"MMM-YY")</f>
        <v>Oct-24</v>
      </c>
      <c r="T181" s="4">
        <f>_xlfn.ISOWEEKNUM(Table1[[#This Row],[Date]])</f>
        <v>44</v>
      </c>
      <c r="U181" s="4" t="str">
        <f>TEXT(Table1[[#This Row],[Expected Business Month]],"YYYY")</f>
        <v>2024</v>
      </c>
    </row>
    <row r="182" spans="1:21" hidden="1">
      <c r="A182" s="19">
        <v>45593</v>
      </c>
      <c r="B182" s="4" t="s">
        <v>514</v>
      </c>
      <c r="C182" s="4" t="s">
        <v>217</v>
      </c>
      <c r="D182" s="4" t="s">
        <v>195</v>
      </c>
      <c r="E182" s="4" t="s">
        <v>61</v>
      </c>
      <c r="F182" s="4" t="s">
        <v>515</v>
      </c>
      <c r="G182" s="17" t="s">
        <v>240</v>
      </c>
      <c r="J182" s="31">
        <v>45597</v>
      </c>
      <c r="K182" s="4" t="s">
        <v>220</v>
      </c>
      <c r="L182" s="4" t="s">
        <v>13</v>
      </c>
      <c r="M182" s="4" t="s">
        <v>221</v>
      </c>
      <c r="P182" s="21"/>
      <c r="S182" s="4" t="str">
        <f>TEXT(Table1[[#This Row],[Date]],"MMM-YY")</f>
        <v>Oct-24</v>
      </c>
      <c r="T182" s="4">
        <f>_xlfn.ISOWEEKNUM(Table1[[#This Row],[Date]])</f>
        <v>44</v>
      </c>
      <c r="U182" s="4" t="str">
        <f>TEXT(Table1[[#This Row],[Expected Business Month]],"YYYY")</f>
        <v>2024</v>
      </c>
    </row>
    <row r="183" spans="1:21">
      <c r="A183" s="19">
        <v>45593</v>
      </c>
      <c r="B183" s="4" t="s">
        <v>516</v>
      </c>
      <c r="C183" s="4" t="s">
        <v>225</v>
      </c>
      <c r="D183" s="4" t="s">
        <v>195</v>
      </c>
      <c r="E183" s="4" t="s">
        <v>53</v>
      </c>
      <c r="F183" s="4" t="s">
        <v>517</v>
      </c>
      <c r="G183" s="17" t="s">
        <v>518</v>
      </c>
      <c r="H183" s="4">
        <v>3150</v>
      </c>
      <c r="I183" s="4">
        <v>3150</v>
      </c>
      <c r="J183" s="31">
        <v>45566</v>
      </c>
      <c r="K183" s="4" t="s">
        <v>220</v>
      </c>
      <c r="L183" s="4" t="s">
        <v>17</v>
      </c>
      <c r="M183" s="4" t="s">
        <v>235</v>
      </c>
      <c r="P183" s="21">
        <v>3150</v>
      </c>
      <c r="S183" s="4" t="str">
        <f>TEXT(Table1[[#This Row],[Date]],"MMM-YY")</f>
        <v>Oct-24</v>
      </c>
      <c r="T183" s="4">
        <f>_xlfn.ISOWEEKNUM(Table1[[#This Row],[Date]])</f>
        <v>44</v>
      </c>
      <c r="U183" s="4" t="str">
        <f>TEXT(Table1[[#This Row],[Expected Business Month]],"YYYY")</f>
        <v>2024</v>
      </c>
    </row>
    <row r="184" spans="1:21" hidden="1">
      <c r="A184" s="19">
        <v>45594</v>
      </c>
      <c r="B184" s="4" t="s">
        <v>367</v>
      </c>
      <c r="C184" s="4" t="s">
        <v>225</v>
      </c>
      <c r="D184" s="4" t="s">
        <v>195</v>
      </c>
      <c r="E184" s="4" t="s">
        <v>95</v>
      </c>
      <c r="F184" s="4" t="s">
        <v>519</v>
      </c>
      <c r="G184" s="17" t="s">
        <v>240</v>
      </c>
      <c r="J184" s="31">
        <v>45597</v>
      </c>
      <c r="K184" s="4" t="s">
        <v>220</v>
      </c>
      <c r="L184" s="4" t="s">
        <v>16</v>
      </c>
      <c r="M184" s="4" t="s">
        <v>221</v>
      </c>
      <c r="P184" s="21"/>
      <c r="S184" s="4" t="str">
        <f>TEXT(Table1[[#This Row],[Date]],"MMM-YY")</f>
        <v>Oct-24</v>
      </c>
      <c r="T184" s="4">
        <f>_xlfn.ISOWEEKNUM(Table1[[#This Row],[Date]])</f>
        <v>44</v>
      </c>
      <c r="U184" s="4" t="str">
        <f>TEXT(Table1[[#This Row],[Expected Business Month]],"YYYY")</f>
        <v>2024</v>
      </c>
    </row>
    <row r="185" spans="1:21" hidden="1">
      <c r="A185" s="19">
        <v>45594</v>
      </c>
      <c r="B185" s="4" t="s">
        <v>261</v>
      </c>
      <c r="C185" s="4" t="s">
        <v>217</v>
      </c>
      <c r="D185" s="4" t="s">
        <v>195</v>
      </c>
      <c r="E185" s="4" t="s">
        <v>61</v>
      </c>
      <c r="F185" s="4" t="s">
        <v>499</v>
      </c>
      <c r="G185" s="17" t="s">
        <v>240</v>
      </c>
      <c r="J185" s="31">
        <v>45597</v>
      </c>
      <c r="K185" s="4" t="s">
        <v>220</v>
      </c>
      <c r="L185" s="4" t="s">
        <v>16</v>
      </c>
      <c r="M185" s="4" t="s">
        <v>221</v>
      </c>
      <c r="P185" s="21"/>
      <c r="S185" s="4" t="str">
        <f>TEXT(Table1[[#This Row],[Date]],"MMM-YY")</f>
        <v>Oct-24</v>
      </c>
      <c r="T185" s="4">
        <f>_xlfn.ISOWEEKNUM(Table1[[#This Row],[Date]])</f>
        <v>44</v>
      </c>
      <c r="U185" s="4" t="str">
        <f>TEXT(Table1[[#This Row],[Expected Business Month]],"YYYY")</f>
        <v>2024</v>
      </c>
    </row>
    <row r="186" spans="1:21" hidden="1">
      <c r="A186" s="19">
        <v>45594</v>
      </c>
      <c r="B186" s="4" t="s">
        <v>520</v>
      </c>
      <c r="C186" s="4" t="s">
        <v>225</v>
      </c>
      <c r="D186" s="4" t="s">
        <v>183</v>
      </c>
      <c r="E186" s="4" t="s">
        <v>49</v>
      </c>
      <c r="F186" s="4" t="s">
        <v>521</v>
      </c>
      <c r="G186" s="17" t="s">
        <v>240</v>
      </c>
      <c r="J186" s="31">
        <v>45597</v>
      </c>
      <c r="K186" s="4" t="s">
        <v>234</v>
      </c>
      <c r="L186" s="4" t="s">
        <v>13</v>
      </c>
      <c r="M186" s="4" t="s">
        <v>221</v>
      </c>
      <c r="P186" s="21"/>
      <c r="S186" s="4" t="str">
        <f>TEXT(Table1[[#This Row],[Date]],"MMM-YY")</f>
        <v>Oct-24</v>
      </c>
      <c r="T186" s="4">
        <f>_xlfn.ISOWEEKNUM(Table1[[#This Row],[Date]])</f>
        <v>44</v>
      </c>
      <c r="U186" s="4" t="str">
        <f>TEXT(Table1[[#This Row],[Expected Business Month]],"YYYY")</f>
        <v>2024</v>
      </c>
    </row>
    <row r="187" spans="1:21" hidden="1">
      <c r="A187" s="19">
        <v>45594</v>
      </c>
      <c r="B187" s="4" t="s">
        <v>270</v>
      </c>
      <c r="C187" s="4" t="s">
        <v>217</v>
      </c>
      <c r="D187" s="4" t="s">
        <v>195</v>
      </c>
      <c r="E187" s="4" t="s">
        <v>65</v>
      </c>
      <c r="F187" s="4" t="s">
        <v>271</v>
      </c>
      <c r="G187" s="17" t="s">
        <v>240</v>
      </c>
      <c r="J187" s="31">
        <v>45597</v>
      </c>
      <c r="K187" s="4" t="s">
        <v>220</v>
      </c>
      <c r="L187" s="4" t="s">
        <v>16</v>
      </c>
      <c r="M187" s="4" t="s">
        <v>221</v>
      </c>
      <c r="S187" s="4" t="str">
        <f>TEXT(Table1[[#This Row],[Date]],"MMM-YY")</f>
        <v>Oct-24</v>
      </c>
      <c r="T187" s="4">
        <f>_xlfn.ISOWEEKNUM(Table1[[#This Row],[Date]])</f>
        <v>44</v>
      </c>
      <c r="U187" s="4" t="str">
        <f>TEXT(Table1[[#This Row],[Expected Business Month]],"YYYY")</f>
        <v>2024</v>
      </c>
    </row>
    <row r="188" spans="1:21" hidden="1">
      <c r="A188" s="19">
        <v>45594</v>
      </c>
      <c r="B188" s="4" t="s">
        <v>522</v>
      </c>
      <c r="C188" s="4" t="s">
        <v>225</v>
      </c>
      <c r="D188" s="4" t="s">
        <v>195</v>
      </c>
      <c r="E188" s="4" t="s">
        <v>133</v>
      </c>
      <c r="F188" s="4" t="s">
        <v>285</v>
      </c>
      <c r="G188" s="17" t="s">
        <v>240</v>
      </c>
      <c r="J188" s="31">
        <v>45597</v>
      </c>
      <c r="K188" s="4" t="s">
        <v>220</v>
      </c>
      <c r="L188" s="4" t="s">
        <v>13</v>
      </c>
      <c r="M188" s="4" t="s">
        <v>221</v>
      </c>
      <c r="P188" s="21"/>
      <c r="S188" s="4" t="str">
        <f>TEXT(Table1[[#This Row],[Date]],"MMM-YY")</f>
        <v>Oct-24</v>
      </c>
      <c r="T188" s="4">
        <f>_xlfn.ISOWEEKNUM(Table1[[#This Row],[Date]])</f>
        <v>44</v>
      </c>
      <c r="U188" s="4" t="str">
        <f>TEXT(Table1[[#This Row],[Expected Business Month]],"YYYY")</f>
        <v>2024</v>
      </c>
    </row>
    <row r="189" spans="1:21" hidden="1">
      <c r="A189" s="19">
        <v>45594</v>
      </c>
      <c r="B189" s="4" t="s">
        <v>318</v>
      </c>
      <c r="C189" s="4" t="s">
        <v>225</v>
      </c>
      <c r="D189" s="4" t="s">
        <v>195</v>
      </c>
      <c r="E189" s="4" t="s">
        <v>61</v>
      </c>
      <c r="F189" s="4" t="s">
        <v>523</v>
      </c>
      <c r="G189" s="17" t="s">
        <v>240</v>
      </c>
      <c r="J189" s="31">
        <v>45597</v>
      </c>
      <c r="K189" s="4" t="s">
        <v>220</v>
      </c>
      <c r="L189" s="4" t="s">
        <v>13</v>
      </c>
      <c r="M189" s="4" t="s">
        <v>221</v>
      </c>
      <c r="P189" s="21"/>
      <c r="S189" s="4" t="str">
        <f>TEXT(Table1[[#This Row],[Date]],"MMM-YY")</f>
        <v>Oct-24</v>
      </c>
      <c r="T189" s="4">
        <f>_xlfn.ISOWEEKNUM(Table1[[#This Row],[Date]])</f>
        <v>44</v>
      </c>
      <c r="U189" s="4" t="str">
        <f>TEXT(Table1[[#This Row],[Expected Business Month]],"YYYY")</f>
        <v>2024</v>
      </c>
    </row>
    <row r="190" spans="1:21" hidden="1">
      <c r="A190" s="19">
        <v>45594</v>
      </c>
      <c r="B190" s="4" t="s">
        <v>524</v>
      </c>
      <c r="C190" s="4" t="s">
        <v>225</v>
      </c>
      <c r="D190" s="4" t="s">
        <v>195</v>
      </c>
      <c r="E190" s="4" t="s">
        <v>61</v>
      </c>
      <c r="F190" s="4" t="s">
        <v>525</v>
      </c>
      <c r="G190" s="17" t="s">
        <v>240</v>
      </c>
      <c r="J190" s="31">
        <v>45597</v>
      </c>
      <c r="K190" s="4" t="s">
        <v>220</v>
      </c>
      <c r="L190" s="4" t="s">
        <v>13</v>
      </c>
      <c r="M190" s="4" t="s">
        <v>221</v>
      </c>
      <c r="P190" s="21"/>
      <c r="S190" s="4" t="str">
        <f>TEXT(Table1[[#This Row],[Date]],"MMM-YY")</f>
        <v>Oct-24</v>
      </c>
      <c r="T190" s="4">
        <f>_xlfn.ISOWEEKNUM(Table1[[#This Row],[Date]])</f>
        <v>44</v>
      </c>
      <c r="U190" s="4" t="str">
        <f>TEXT(Table1[[#This Row],[Expected Business Month]],"YYYY")</f>
        <v>2024</v>
      </c>
    </row>
    <row r="191" spans="1:21" hidden="1">
      <c r="A191" s="19">
        <v>45594</v>
      </c>
      <c r="B191" s="4" t="s">
        <v>526</v>
      </c>
      <c r="C191" s="4" t="s">
        <v>225</v>
      </c>
      <c r="D191" s="4" t="s">
        <v>195</v>
      </c>
      <c r="E191" s="4" t="s">
        <v>131</v>
      </c>
      <c r="F191" s="4" t="s">
        <v>527</v>
      </c>
      <c r="G191" s="17" t="s">
        <v>240</v>
      </c>
      <c r="J191" s="31">
        <v>45597</v>
      </c>
      <c r="K191" s="4" t="s">
        <v>220</v>
      </c>
      <c r="L191" s="4" t="s">
        <v>13</v>
      </c>
      <c r="M191" s="4" t="s">
        <v>221</v>
      </c>
      <c r="P191" s="21"/>
      <c r="S191" s="4" t="str">
        <f>TEXT(Table1[[#This Row],[Date]],"MMM-YY")</f>
        <v>Oct-24</v>
      </c>
      <c r="T191" s="4">
        <f>_xlfn.ISOWEEKNUM(Table1[[#This Row],[Date]])</f>
        <v>44</v>
      </c>
      <c r="U191" s="4" t="str">
        <f>TEXT(Table1[[#This Row],[Expected Business Month]],"YYYY")</f>
        <v>2024</v>
      </c>
    </row>
    <row r="192" spans="1:21" hidden="1">
      <c r="A192" s="19">
        <v>45600</v>
      </c>
      <c r="B192" s="4" t="s">
        <v>449</v>
      </c>
      <c r="C192" s="4" t="s">
        <v>225</v>
      </c>
      <c r="D192" s="4" t="s">
        <v>21</v>
      </c>
      <c r="E192" s="4" t="s">
        <v>19</v>
      </c>
      <c r="F192" s="4" t="s">
        <v>414</v>
      </c>
      <c r="G192" s="17" t="s">
        <v>528</v>
      </c>
      <c r="J192" s="31">
        <v>45627</v>
      </c>
      <c r="K192" s="4" t="s">
        <v>220</v>
      </c>
      <c r="L192" s="4" t="s">
        <v>16</v>
      </c>
      <c r="M192" s="4" t="s">
        <v>235</v>
      </c>
      <c r="P192" s="21"/>
      <c r="S192" s="4" t="str">
        <f>TEXT(Table1[[#This Row],[Date]],"MMM-YY")</f>
        <v>Nov-24</v>
      </c>
      <c r="T192" s="4">
        <f>_xlfn.ISOWEEKNUM(Table1[[#This Row],[Date]])</f>
        <v>45</v>
      </c>
      <c r="U192" s="4" t="str">
        <f>TEXT(Table1[[#This Row],[Expected Business Month]],"YYYY")</f>
        <v>2024</v>
      </c>
    </row>
    <row r="193" spans="1:21" hidden="1">
      <c r="A193" s="19">
        <v>45600</v>
      </c>
      <c r="B193" s="4" t="s">
        <v>230</v>
      </c>
      <c r="C193" s="4" t="s">
        <v>225</v>
      </c>
      <c r="D193" s="4" t="s">
        <v>183</v>
      </c>
      <c r="E193" s="4" t="s">
        <v>49</v>
      </c>
      <c r="F193" s="4" t="s">
        <v>437</v>
      </c>
      <c r="G193" s="17" t="s">
        <v>529</v>
      </c>
      <c r="J193" s="31">
        <v>45689</v>
      </c>
      <c r="K193" s="4" t="s">
        <v>220</v>
      </c>
      <c r="L193" s="4" t="s">
        <v>27</v>
      </c>
      <c r="M193" s="4" t="s">
        <v>221</v>
      </c>
      <c r="P193" s="21"/>
      <c r="S193" s="4" t="str">
        <f>TEXT(Table1[[#This Row],[Date]],"MMM-YY")</f>
        <v>Nov-24</v>
      </c>
      <c r="T193" s="4">
        <f>_xlfn.ISOWEEKNUM(Table1[[#This Row],[Date]])</f>
        <v>45</v>
      </c>
      <c r="U193" s="4" t="str">
        <f>TEXT(Table1[[#This Row],[Expected Business Month]],"YYYY")</f>
        <v>2025</v>
      </c>
    </row>
    <row r="194" spans="1:21" hidden="1">
      <c r="A194" s="19">
        <v>45600</v>
      </c>
      <c r="B194" s="4" t="s">
        <v>530</v>
      </c>
      <c r="C194" s="4" t="s">
        <v>217</v>
      </c>
      <c r="D194" s="4" t="s">
        <v>195</v>
      </c>
      <c r="E194" s="4" t="s">
        <v>135</v>
      </c>
      <c r="F194" s="4" t="s">
        <v>531</v>
      </c>
      <c r="G194" s="17" t="s">
        <v>240</v>
      </c>
      <c r="J194" s="31">
        <v>45597</v>
      </c>
      <c r="K194" s="4" t="s">
        <v>220</v>
      </c>
      <c r="L194" s="4" t="s">
        <v>13</v>
      </c>
      <c r="M194" s="4" t="s">
        <v>221</v>
      </c>
      <c r="P194" s="21"/>
      <c r="S194" s="4" t="str">
        <f>TEXT(Table1[[#This Row],[Date]],"MMM-YY")</f>
        <v>Nov-24</v>
      </c>
      <c r="T194" s="4">
        <f>_xlfn.ISOWEEKNUM(Table1[[#This Row],[Date]])</f>
        <v>45</v>
      </c>
      <c r="U194" s="4" t="str">
        <f>TEXT(Table1[[#This Row],[Expected Business Month]],"YYYY")</f>
        <v>2024</v>
      </c>
    </row>
    <row r="195" spans="1:21" hidden="1">
      <c r="A195" s="19">
        <v>45600</v>
      </c>
      <c r="B195" s="4" t="s">
        <v>532</v>
      </c>
      <c r="C195" s="4" t="s">
        <v>217</v>
      </c>
      <c r="D195" s="4" t="s">
        <v>195</v>
      </c>
      <c r="E195" s="4" t="s">
        <v>137</v>
      </c>
      <c r="F195" s="4" t="s">
        <v>533</v>
      </c>
      <c r="G195" s="17" t="s">
        <v>240</v>
      </c>
      <c r="J195" s="31">
        <v>45597</v>
      </c>
      <c r="K195" s="4" t="s">
        <v>220</v>
      </c>
      <c r="L195" s="4" t="s">
        <v>13</v>
      </c>
      <c r="M195" s="4" t="s">
        <v>221</v>
      </c>
      <c r="P195" s="21"/>
      <c r="S195" s="4" t="str">
        <f>TEXT(Table1[[#This Row],[Date]],"MMM-YY")</f>
        <v>Nov-24</v>
      </c>
      <c r="T195" s="4">
        <f>_xlfn.ISOWEEKNUM(Table1[[#This Row],[Date]])</f>
        <v>45</v>
      </c>
      <c r="U195" s="4" t="str">
        <f>TEXT(Table1[[#This Row],[Expected Business Month]],"YYYY")</f>
        <v>2024</v>
      </c>
    </row>
    <row r="196" spans="1:21" hidden="1">
      <c r="A196" s="19">
        <v>45601</v>
      </c>
      <c r="B196" s="4" t="s">
        <v>469</v>
      </c>
      <c r="C196" s="4" t="s">
        <v>217</v>
      </c>
      <c r="D196" s="4" t="s">
        <v>183</v>
      </c>
      <c r="E196" s="4" t="s">
        <v>49</v>
      </c>
      <c r="F196" s="4" t="s">
        <v>534</v>
      </c>
      <c r="G196" s="17" t="s">
        <v>535</v>
      </c>
      <c r="J196" s="31">
        <v>45597</v>
      </c>
      <c r="K196" s="4" t="s">
        <v>220</v>
      </c>
      <c r="L196" s="4" t="s">
        <v>16</v>
      </c>
      <c r="M196" s="4" t="s">
        <v>221</v>
      </c>
      <c r="P196" s="21"/>
      <c r="S196" s="4" t="str">
        <f>TEXT(Table1[[#This Row],[Date]],"MMM-YY")</f>
        <v>Nov-24</v>
      </c>
      <c r="T196" s="4">
        <f>_xlfn.ISOWEEKNUM(Table1[[#This Row],[Date]])</f>
        <v>45</v>
      </c>
      <c r="U196" s="4" t="str">
        <f>TEXT(Table1[[#This Row],[Expected Business Month]],"YYYY")</f>
        <v>2024</v>
      </c>
    </row>
    <row r="197" spans="1:21" hidden="1">
      <c r="A197" s="19">
        <v>45601</v>
      </c>
      <c r="B197" s="4" t="s">
        <v>536</v>
      </c>
      <c r="C197" s="4" t="s">
        <v>225</v>
      </c>
      <c r="D197" s="4" t="s">
        <v>195</v>
      </c>
      <c r="E197" s="4" t="s">
        <v>55</v>
      </c>
      <c r="F197" s="4" t="s">
        <v>357</v>
      </c>
      <c r="G197" s="17" t="s">
        <v>537</v>
      </c>
      <c r="J197" s="31">
        <v>45597</v>
      </c>
      <c r="K197" s="4" t="s">
        <v>220</v>
      </c>
      <c r="L197" s="4" t="s">
        <v>13</v>
      </c>
      <c r="M197" s="4" t="s">
        <v>538</v>
      </c>
      <c r="P197" s="21"/>
      <c r="S197" s="4" t="str">
        <f>TEXT(Table1[[#This Row],[Date]],"MMM-YY")</f>
        <v>Nov-24</v>
      </c>
      <c r="T197" s="4">
        <f>_xlfn.ISOWEEKNUM(Table1[[#This Row],[Date]])</f>
        <v>45</v>
      </c>
      <c r="U197" s="4" t="str">
        <f>TEXT(Table1[[#This Row],[Expected Business Month]],"YYYY")</f>
        <v>2024</v>
      </c>
    </row>
    <row r="198" spans="1:21" hidden="1">
      <c r="A198" s="19">
        <v>45601</v>
      </c>
      <c r="B198" s="4" t="s">
        <v>536</v>
      </c>
      <c r="C198" s="4" t="s">
        <v>225</v>
      </c>
      <c r="D198" s="4" t="s">
        <v>195</v>
      </c>
      <c r="E198" s="4" t="s">
        <v>67</v>
      </c>
      <c r="F198" s="4" t="s">
        <v>539</v>
      </c>
      <c r="G198" s="17" t="s">
        <v>535</v>
      </c>
      <c r="J198" s="31">
        <v>45597</v>
      </c>
      <c r="K198" s="4" t="s">
        <v>220</v>
      </c>
      <c r="L198" s="4" t="s">
        <v>16</v>
      </c>
      <c r="M198" s="4" t="s">
        <v>221</v>
      </c>
      <c r="P198" s="21"/>
      <c r="S198" s="4" t="str">
        <f>TEXT(Table1[[#This Row],[Date]],"MMM-YY")</f>
        <v>Nov-24</v>
      </c>
      <c r="T198" s="4">
        <f>_xlfn.ISOWEEKNUM(Table1[[#This Row],[Date]])</f>
        <v>45</v>
      </c>
      <c r="U198" s="4" t="str">
        <f>TEXT(Table1[[#This Row],[Expected Business Month]],"YYYY")</f>
        <v>2024</v>
      </c>
    </row>
    <row r="199" spans="1:21" hidden="1">
      <c r="A199" s="19">
        <v>45602</v>
      </c>
      <c r="B199" s="4" t="s">
        <v>540</v>
      </c>
      <c r="C199" s="4" t="s">
        <v>217</v>
      </c>
      <c r="D199" s="4" t="s">
        <v>195</v>
      </c>
      <c r="E199" s="4" t="s">
        <v>139</v>
      </c>
      <c r="F199" s="4" t="s">
        <v>541</v>
      </c>
      <c r="G199" s="17" t="s">
        <v>542</v>
      </c>
      <c r="J199" s="31">
        <v>45597</v>
      </c>
      <c r="K199" s="4" t="s">
        <v>220</v>
      </c>
      <c r="L199" s="4" t="s">
        <v>13</v>
      </c>
      <c r="M199" s="4" t="s">
        <v>221</v>
      </c>
      <c r="P199" s="21"/>
      <c r="S199" s="4" t="str">
        <f>TEXT(Table1[[#This Row],[Date]],"MMM-YY")</f>
        <v>Nov-24</v>
      </c>
      <c r="T199" s="4">
        <f>_xlfn.ISOWEEKNUM(Table1[[#This Row],[Date]])</f>
        <v>45</v>
      </c>
      <c r="U199" s="4" t="str">
        <f>TEXT(Table1[[#This Row],[Expected Business Month]],"YYYY")</f>
        <v>2024</v>
      </c>
    </row>
    <row r="200" spans="1:21" hidden="1">
      <c r="A200" s="19">
        <v>45602</v>
      </c>
      <c r="B200" s="4" t="s">
        <v>543</v>
      </c>
      <c r="C200" s="4" t="s">
        <v>225</v>
      </c>
      <c r="D200" s="4" t="s">
        <v>195</v>
      </c>
      <c r="E200" s="4" t="s">
        <v>25</v>
      </c>
      <c r="F200" s="4" t="s">
        <v>264</v>
      </c>
      <c r="G200" s="17" t="s">
        <v>542</v>
      </c>
      <c r="J200" s="31">
        <v>45597</v>
      </c>
      <c r="K200" s="4" t="s">
        <v>220</v>
      </c>
      <c r="L200" s="4" t="s">
        <v>13</v>
      </c>
      <c r="M200" s="4" t="s">
        <v>221</v>
      </c>
      <c r="P200" s="21"/>
      <c r="S200" s="4" t="str">
        <f>TEXT(Table1[[#This Row],[Date]],"MMM-YY")</f>
        <v>Nov-24</v>
      </c>
      <c r="T200" s="4">
        <f>_xlfn.ISOWEEKNUM(Table1[[#This Row],[Date]])</f>
        <v>45</v>
      </c>
      <c r="U200" s="4" t="str">
        <f>TEXT(Table1[[#This Row],[Expected Business Month]],"YYYY")</f>
        <v>2024</v>
      </c>
    </row>
    <row r="201" spans="1:21" hidden="1">
      <c r="A201" s="19">
        <v>45602</v>
      </c>
      <c r="B201" s="4" t="s">
        <v>544</v>
      </c>
      <c r="C201" s="4" t="s">
        <v>225</v>
      </c>
      <c r="D201" s="4" t="s">
        <v>195</v>
      </c>
      <c r="E201" s="4" t="s">
        <v>99</v>
      </c>
      <c r="F201" s="4" t="s">
        <v>545</v>
      </c>
      <c r="G201" s="17" t="s">
        <v>542</v>
      </c>
      <c r="J201" s="31">
        <v>45597</v>
      </c>
      <c r="K201" s="4" t="s">
        <v>220</v>
      </c>
      <c r="L201" s="4" t="s">
        <v>13</v>
      </c>
      <c r="M201" s="4" t="s">
        <v>221</v>
      </c>
      <c r="P201" s="21"/>
      <c r="S201" s="4" t="str">
        <f>TEXT(Table1[[#This Row],[Date]],"MMM-YY")</f>
        <v>Nov-24</v>
      </c>
      <c r="T201" s="4">
        <f>_xlfn.ISOWEEKNUM(Table1[[#This Row],[Date]])</f>
        <v>45</v>
      </c>
      <c r="U201" s="4" t="str">
        <f>TEXT(Table1[[#This Row],[Expected Business Month]],"YYYY")</f>
        <v>2024</v>
      </c>
    </row>
    <row r="202" spans="1:21" hidden="1">
      <c r="A202" s="19">
        <v>45603</v>
      </c>
      <c r="B202" s="4" t="s">
        <v>546</v>
      </c>
      <c r="C202" s="4" t="s">
        <v>217</v>
      </c>
      <c r="D202" s="4" t="s">
        <v>195</v>
      </c>
      <c r="E202" s="4" t="s">
        <v>141</v>
      </c>
      <c r="F202" s="4" t="s">
        <v>547</v>
      </c>
      <c r="G202" s="17" t="s">
        <v>548</v>
      </c>
      <c r="J202" s="31">
        <v>45627</v>
      </c>
      <c r="K202" s="4" t="s">
        <v>220</v>
      </c>
      <c r="L202" s="4" t="s">
        <v>13</v>
      </c>
      <c r="M202" s="4" t="s">
        <v>221</v>
      </c>
      <c r="P202" s="21"/>
      <c r="S202" s="4" t="str">
        <f>TEXT(Table1[[#This Row],[Date]],"MMM-YY")</f>
        <v>Nov-24</v>
      </c>
      <c r="T202" s="4">
        <f>_xlfn.ISOWEEKNUM(Table1[[#This Row],[Date]])</f>
        <v>45</v>
      </c>
      <c r="U202" s="4" t="str">
        <f>TEXT(Table1[[#This Row],[Expected Business Month]],"YYYY")</f>
        <v>2024</v>
      </c>
    </row>
    <row r="203" spans="1:21" hidden="1">
      <c r="A203" s="19">
        <v>45603</v>
      </c>
      <c r="B203" s="4" t="s">
        <v>549</v>
      </c>
      <c r="C203" s="4" t="s">
        <v>225</v>
      </c>
      <c r="D203" s="4" t="s">
        <v>195</v>
      </c>
      <c r="E203" s="4" t="s">
        <v>23</v>
      </c>
      <c r="F203" s="4" t="s">
        <v>550</v>
      </c>
      <c r="G203" s="17" t="s">
        <v>542</v>
      </c>
      <c r="J203" s="31">
        <v>45597</v>
      </c>
      <c r="K203" s="4" t="s">
        <v>220</v>
      </c>
      <c r="L203" s="4" t="s">
        <v>13</v>
      </c>
      <c r="M203" s="4" t="s">
        <v>221</v>
      </c>
      <c r="P203" s="21"/>
      <c r="S203" s="4" t="str">
        <f>TEXT(Table1[[#This Row],[Date]],"MMM-YY")</f>
        <v>Nov-24</v>
      </c>
      <c r="T203" s="4">
        <f>_xlfn.ISOWEEKNUM(Table1[[#This Row],[Date]])</f>
        <v>45</v>
      </c>
      <c r="U203" s="4" t="str">
        <f>TEXT(Table1[[#This Row],[Expected Business Month]],"YYYY")</f>
        <v>2024</v>
      </c>
    </row>
    <row r="204" spans="1:21" hidden="1">
      <c r="A204" s="19">
        <v>45603</v>
      </c>
      <c r="B204" s="4" t="s">
        <v>551</v>
      </c>
      <c r="C204" s="4" t="s">
        <v>225</v>
      </c>
      <c r="D204" s="4" t="s">
        <v>195</v>
      </c>
      <c r="E204" s="4" t="s">
        <v>139</v>
      </c>
      <c r="F204" s="4" t="s">
        <v>552</v>
      </c>
      <c r="G204" s="17" t="s">
        <v>542</v>
      </c>
      <c r="J204" s="31">
        <v>45597</v>
      </c>
      <c r="K204" s="4" t="s">
        <v>220</v>
      </c>
      <c r="L204" s="4" t="s">
        <v>13</v>
      </c>
      <c r="M204" s="4" t="s">
        <v>221</v>
      </c>
      <c r="P204" s="21"/>
      <c r="S204" s="4" t="str">
        <f>TEXT(Table1[[#This Row],[Date]],"MMM-YY")</f>
        <v>Nov-24</v>
      </c>
      <c r="T204" s="4">
        <f>_xlfn.ISOWEEKNUM(Table1[[#This Row],[Date]])</f>
        <v>45</v>
      </c>
      <c r="U204" s="4" t="str">
        <f>TEXT(Table1[[#This Row],[Expected Business Month]],"YYYY")</f>
        <v>2024</v>
      </c>
    </row>
    <row r="205" spans="1:21" hidden="1">
      <c r="A205" s="19">
        <v>45603</v>
      </c>
      <c r="B205" s="4" t="s">
        <v>553</v>
      </c>
      <c r="C205" s="4" t="s">
        <v>225</v>
      </c>
      <c r="D205" s="4" t="s">
        <v>195</v>
      </c>
      <c r="E205" s="4" t="s">
        <v>61</v>
      </c>
      <c r="F205" s="4" t="s">
        <v>554</v>
      </c>
      <c r="G205" s="17" t="s">
        <v>542</v>
      </c>
      <c r="J205" s="31">
        <v>45597</v>
      </c>
      <c r="K205" s="4" t="s">
        <v>220</v>
      </c>
      <c r="L205" s="4" t="s">
        <v>13</v>
      </c>
      <c r="M205" s="4" t="s">
        <v>221</v>
      </c>
      <c r="P205" s="21"/>
      <c r="S205" s="4" t="str">
        <f>TEXT(Table1[[#This Row],[Date]],"MMM-YY")</f>
        <v>Nov-24</v>
      </c>
      <c r="T205" s="4">
        <f>_xlfn.ISOWEEKNUM(Table1[[#This Row],[Date]])</f>
        <v>45</v>
      </c>
      <c r="U205" s="4" t="str">
        <f>TEXT(Table1[[#This Row],[Expected Business Month]],"YYYY")</f>
        <v>2024</v>
      </c>
    </row>
    <row r="206" spans="1:21" hidden="1">
      <c r="A206" s="19">
        <v>45604</v>
      </c>
      <c r="B206" s="4" t="s">
        <v>555</v>
      </c>
      <c r="C206" s="4" t="s">
        <v>225</v>
      </c>
      <c r="D206" s="4" t="s">
        <v>195</v>
      </c>
      <c r="E206" s="4" t="s">
        <v>61</v>
      </c>
      <c r="F206" s="4" t="s">
        <v>556</v>
      </c>
      <c r="G206" s="17" t="s">
        <v>542</v>
      </c>
      <c r="J206" s="31">
        <v>45627</v>
      </c>
      <c r="K206" s="4" t="s">
        <v>220</v>
      </c>
      <c r="L206" s="4" t="s">
        <v>13</v>
      </c>
      <c r="M206" s="4" t="s">
        <v>221</v>
      </c>
      <c r="P206" s="21"/>
      <c r="S206" s="4" t="str">
        <f>TEXT(Table1[[#This Row],[Date]],"MMM-YY")</f>
        <v>Nov-24</v>
      </c>
      <c r="T206" s="4">
        <f>_xlfn.ISOWEEKNUM(Table1[[#This Row],[Date]])</f>
        <v>45</v>
      </c>
      <c r="U206" s="4" t="str">
        <f>TEXT(Table1[[#This Row],[Expected Business Month]],"YYYY")</f>
        <v>2024</v>
      </c>
    </row>
    <row r="207" spans="1:21" hidden="1">
      <c r="A207" s="19">
        <v>45604</v>
      </c>
      <c r="B207" s="4" t="s">
        <v>557</v>
      </c>
      <c r="C207" s="4" t="s">
        <v>217</v>
      </c>
      <c r="D207" s="4" t="s">
        <v>389</v>
      </c>
      <c r="E207" s="4" t="s">
        <v>36</v>
      </c>
      <c r="F207" s="4" t="s">
        <v>558</v>
      </c>
      <c r="G207" s="17" t="s">
        <v>559</v>
      </c>
      <c r="J207" s="31">
        <v>45627</v>
      </c>
      <c r="K207" s="4" t="s">
        <v>220</v>
      </c>
      <c r="L207" s="4" t="s">
        <v>13</v>
      </c>
      <c r="M207" s="4" t="s">
        <v>221</v>
      </c>
      <c r="P207" s="21"/>
      <c r="S207" s="4" t="str">
        <f>TEXT(Table1[[#This Row],[Date]],"MMM-YY")</f>
        <v>Nov-24</v>
      </c>
      <c r="T207" s="4">
        <f>_xlfn.ISOWEEKNUM(Table1[[#This Row],[Date]])</f>
        <v>45</v>
      </c>
      <c r="U207" s="4" t="str">
        <f>TEXT(Table1[[#This Row],[Expected Business Month]],"YYYY")</f>
        <v>2024</v>
      </c>
    </row>
    <row r="208" spans="1:21">
      <c r="A208" s="19">
        <v>45604</v>
      </c>
      <c r="B208" s="4" t="s">
        <v>560</v>
      </c>
      <c r="C208" s="4" t="s">
        <v>217</v>
      </c>
      <c r="D208" s="4" t="s">
        <v>195</v>
      </c>
      <c r="E208" s="4" t="s">
        <v>32</v>
      </c>
      <c r="F208" s="4" t="s">
        <v>561</v>
      </c>
      <c r="G208" s="17" t="s">
        <v>562</v>
      </c>
      <c r="H208" s="4">
        <v>32697</v>
      </c>
      <c r="I208" s="4">
        <v>32697</v>
      </c>
      <c r="J208" s="31">
        <v>45597</v>
      </c>
      <c r="K208" s="4" t="s">
        <v>220</v>
      </c>
      <c r="L208" s="4" t="s">
        <v>17</v>
      </c>
      <c r="M208" s="4" t="s">
        <v>235</v>
      </c>
      <c r="P208" s="21"/>
      <c r="S208" s="4" t="str">
        <f>TEXT(Table1[[#This Row],[Date]],"MMM-YY")</f>
        <v>Nov-24</v>
      </c>
      <c r="T208" s="4">
        <f>_xlfn.ISOWEEKNUM(Table1[[#This Row],[Date]])</f>
        <v>45</v>
      </c>
      <c r="U208" s="4" t="str">
        <f>TEXT(Table1[[#This Row],[Expected Business Month]],"YYYY")</f>
        <v>2024</v>
      </c>
    </row>
    <row r="209" spans="1:21" hidden="1">
      <c r="A209" s="19">
        <v>45604</v>
      </c>
      <c r="B209" s="4" t="s">
        <v>563</v>
      </c>
      <c r="C209" s="4" t="s">
        <v>217</v>
      </c>
      <c r="D209" s="4" t="s">
        <v>195</v>
      </c>
      <c r="E209" s="4" t="s">
        <v>143</v>
      </c>
      <c r="F209" s="4" t="s">
        <v>564</v>
      </c>
      <c r="G209" s="17" t="s">
        <v>542</v>
      </c>
      <c r="J209" s="31">
        <v>45597</v>
      </c>
      <c r="K209" s="4" t="s">
        <v>220</v>
      </c>
      <c r="L209" s="4" t="s">
        <v>13</v>
      </c>
      <c r="M209" s="4" t="s">
        <v>221</v>
      </c>
      <c r="P209" s="21"/>
      <c r="S209" s="4" t="str">
        <f>TEXT(Table1[[#This Row],[Date]],"MMM-YY")</f>
        <v>Nov-24</v>
      </c>
      <c r="T209" s="4">
        <f>_xlfn.ISOWEEKNUM(Table1[[#This Row],[Date]])</f>
        <v>45</v>
      </c>
      <c r="U209" s="4" t="str">
        <f>TEXT(Table1[[#This Row],[Expected Business Month]],"YYYY")</f>
        <v>2024</v>
      </c>
    </row>
    <row r="210" spans="1:21" hidden="1">
      <c r="A210" s="19">
        <v>45604</v>
      </c>
      <c r="B210" s="4" t="s">
        <v>565</v>
      </c>
      <c r="C210" s="4" t="s">
        <v>225</v>
      </c>
      <c r="D210" s="4" t="s">
        <v>195</v>
      </c>
      <c r="E210" s="4" t="s">
        <v>119</v>
      </c>
      <c r="F210" s="4" t="s">
        <v>566</v>
      </c>
      <c r="G210" s="17" t="s">
        <v>542</v>
      </c>
      <c r="J210" s="31">
        <v>45597</v>
      </c>
      <c r="K210" s="4" t="s">
        <v>220</v>
      </c>
      <c r="L210" s="4" t="s">
        <v>13</v>
      </c>
      <c r="M210" s="4" t="s">
        <v>221</v>
      </c>
      <c r="P210" s="21"/>
      <c r="S210" s="4" t="str">
        <f>TEXT(Table1[[#This Row],[Date]],"MMM-YY")</f>
        <v>Nov-24</v>
      </c>
      <c r="T210" s="4">
        <f>_xlfn.ISOWEEKNUM(Table1[[#This Row],[Date]])</f>
        <v>45</v>
      </c>
      <c r="U210" s="4" t="str">
        <f>TEXT(Table1[[#This Row],[Expected Business Month]],"YYYY")</f>
        <v>2024</v>
      </c>
    </row>
    <row r="211" spans="1:21" hidden="1">
      <c r="A211" s="19">
        <v>45607</v>
      </c>
      <c r="B211" s="4" t="s">
        <v>567</v>
      </c>
      <c r="C211" s="4" t="s">
        <v>217</v>
      </c>
      <c r="D211" s="4" t="s">
        <v>195</v>
      </c>
      <c r="E211" s="4" t="s">
        <v>119</v>
      </c>
      <c r="F211" s="4" t="s">
        <v>467</v>
      </c>
      <c r="G211" s="17" t="s">
        <v>542</v>
      </c>
      <c r="J211" s="31">
        <v>45627</v>
      </c>
      <c r="K211" s="4" t="s">
        <v>220</v>
      </c>
      <c r="L211" s="4" t="s">
        <v>16</v>
      </c>
      <c r="M211" s="4" t="s">
        <v>221</v>
      </c>
      <c r="P211" s="21"/>
      <c r="S211" s="4" t="str">
        <f>TEXT(Table1[[#This Row],[Date]],"MMM-YY")</f>
        <v>Nov-24</v>
      </c>
      <c r="T211" s="4">
        <f>_xlfn.ISOWEEKNUM(Table1[[#This Row],[Date]])</f>
        <v>46</v>
      </c>
      <c r="U211" s="4" t="str">
        <f>TEXT(Table1[[#This Row],[Expected Business Month]],"YYYY")</f>
        <v>2024</v>
      </c>
    </row>
    <row r="212" spans="1:21">
      <c r="A212" s="19">
        <v>45607</v>
      </c>
      <c r="B212" s="4" t="s">
        <v>568</v>
      </c>
      <c r="C212" s="4" t="s">
        <v>217</v>
      </c>
      <c r="D212" s="4" t="s">
        <v>195</v>
      </c>
      <c r="E212" s="4" t="s">
        <v>81</v>
      </c>
      <c r="F212" s="4" t="s">
        <v>569</v>
      </c>
      <c r="G212" s="17" t="s">
        <v>542</v>
      </c>
      <c r="H212" s="4">
        <v>18500</v>
      </c>
      <c r="I212" s="4">
        <v>18500</v>
      </c>
      <c r="J212" s="31">
        <v>45627</v>
      </c>
      <c r="K212" s="4" t="s">
        <v>220</v>
      </c>
      <c r="L212" s="4" t="s">
        <v>17</v>
      </c>
      <c r="M212" s="4" t="s">
        <v>221</v>
      </c>
      <c r="P212" s="21"/>
      <c r="S212" s="4" t="str">
        <f>TEXT(Table1[[#This Row],[Date]],"MMM-YY")</f>
        <v>Nov-24</v>
      </c>
      <c r="T212" s="4">
        <f>_xlfn.ISOWEEKNUM(Table1[[#This Row],[Date]])</f>
        <v>46</v>
      </c>
      <c r="U212" s="4" t="str">
        <f>TEXT(Table1[[#This Row],[Expected Business Month]],"YYYY")</f>
        <v>2024</v>
      </c>
    </row>
    <row r="213" spans="1:21">
      <c r="A213" s="19">
        <v>45607</v>
      </c>
      <c r="B213" s="4" t="s">
        <v>570</v>
      </c>
      <c r="C213" s="4" t="s">
        <v>217</v>
      </c>
      <c r="D213" s="4" t="s">
        <v>195</v>
      </c>
      <c r="E213" s="4" t="s">
        <v>61</v>
      </c>
      <c r="F213" s="4" t="s">
        <v>561</v>
      </c>
      <c r="G213" s="17" t="s">
        <v>562</v>
      </c>
      <c r="H213" s="4">
        <v>15162</v>
      </c>
      <c r="I213" s="4">
        <v>15162</v>
      </c>
      <c r="J213" s="31">
        <v>45597</v>
      </c>
      <c r="K213" s="4" t="s">
        <v>220</v>
      </c>
      <c r="L213" s="4" t="s">
        <v>17</v>
      </c>
      <c r="M213" s="4" t="s">
        <v>235</v>
      </c>
      <c r="P213" s="21"/>
      <c r="S213" s="4" t="str">
        <f>TEXT(Table1[[#This Row],[Date]],"MMM-YY")</f>
        <v>Nov-24</v>
      </c>
      <c r="T213" s="4">
        <f>_xlfn.ISOWEEKNUM(Table1[[#This Row],[Date]])</f>
        <v>46</v>
      </c>
      <c r="U213" s="4" t="str">
        <f>TEXT(Table1[[#This Row],[Expected Business Month]],"YYYY")</f>
        <v>2024</v>
      </c>
    </row>
    <row r="214" spans="1:21" hidden="1">
      <c r="A214" s="19">
        <v>45608</v>
      </c>
      <c r="B214" s="4" t="s">
        <v>290</v>
      </c>
      <c r="C214" s="4" t="s">
        <v>225</v>
      </c>
      <c r="D214" s="4" t="s">
        <v>195</v>
      </c>
      <c r="E214" s="4" t="s">
        <v>87</v>
      </c>
      <c r="F214" s="4" t="s">
        <v>571</v>
      </c>
      <c r="G214" s="17" t="s">
        <v>320</v>
      </c>
      <c r="J214" s="31">
        <v>45627</v>
      </c>
      <c r="K214" s="4" t="s">
        <v>220</v>
      </c>
      <c r="L214" s="4" t="s">
        <v>13</v>
      </c>
      <c r="M214" s="4" t="s">
        <v>221</v>
      </c>
      <c r="P214" s="21"/>
      <c r="S214" s="4" t="str">
        <f>TEXT(Table1[[#This Row],[Date]],"MMM-YY")</f>
        <v>Nov-24</v>
      </c>
      <c r="T214" s="4">
        <f>_xlfn.ISOWEEKNUM(Table1[[#This Row],[Date]])</f>
        <v>46</v>
      </c>
      <c r="U214" s="4" t="str">
        <f>TEXT(Table1[[#This Row],[Expected Business Month]],"YYYY")</f>
        <v>2024</v>
      </c>
    </row>
    <row r="215" spans="1:21" hidden="1">
      <c r="A215" s="19">
        <v>45608</v>
      </c>
      <c r="B215" s="4" t="s">
        <v>572</v>
      </c>
      <c r="C215" s="4" t="s">
        <v>217</v>
      </c>
      <c r="D215" s="4" t="s">
        <v>195</v>
      </c>
      <c r="E215" s="4" t="s">
        <v>12</v>
      </c>
      <c r="F215" s="4" t="s">
        <v>573</v>
      </c>
      <c r="G215" s="17" t="s">
        <v>542</v>
      </c>
      <c r="J215" s="31">
        <v>45627</v>
      </c>
      <c r="K215" s="4" t="s">
        <v>220</v>
      </c>
      <c r="L215" s="4" t="s">
        <v>13</v>
      </c>
      <c r="M215" s="4" t="s">
        <v>221</v>
      </c>
      <c r="P215" s="21"/>
      <c r="S215" s="4" t="str">
        <f>TEXT(Table1[[#This Row],[Date]],"MMM-YY")</f>
        <v>Nov-24</v>
      </c>
      <c r="T215" s="4">
        <f>_xlfn.ISOWEEKNUM(Table1[[#This Row],[Date]])</f>
        <v>46</v>
      </c>
      <c r="U215" s="4" t="str">
        <f>TEXT(Table1[[#This Row],[Expected Business Month]],"YYYY")</f>
        <v>2024</v>
      </c>
    </row>
    <row r="216" spans="1:21" hidden="1">
      <c r="A216" s="19">
        <v>45608</v>
      </c>
      <c r="B216" s="4" t="s">
        <v>574</v>
      </c>
      <c r="C216" s="4" t="s">
        <v>217</v>
      </c>
      <c r="D216" s="4" t="s">
        <v>195</v>
      </c>
      <c r="E216" s="4" t="s">
        <v>145</v>
      </c>
      <c r="F216" s="4" t="s">
        <v>297</v>
      </c>
      <c r="G216" s="17" t="s">
        <v>542</v>
      </c>
      <c r="J216" s="31">
        <v>45627</v>
      </c>
      <c r="K216" s="4" t="s">
        <v>220</v>
      </c>
      <c r="L216" s="4" t="s">
        <v>13</v>
      </c>
      <c r="M216" s="4" t="s">
        <v>221</v>
      </c>
      <c r="P216" s="21"/>
      <c r="S216" s="4" t="str">
        <f>TEXT(Table1[[#This Row],[Date]],"MMM-YY")</f>
        <v>Nov-24</v>
      </c>
      <c r="T216" s="4">
        <f>_xlfn.ISOWEEKNUM(Table1[[#This Row],[Date]])</f>
        <v>46</v>
      </c>
      <c r="U216" s="4" t="str">
        <f>TEXT(Table1[[#This Row],[Expected Business Month]],"YYYY")</f>
        <v>2024</v>
      </c>
    </row>
    <row r="217" spans="1:21" hidden="1">
      <c r="A217" s="19">
        <v>45608</v>
      </c>
      <c r="B217" s="4" t="s">
        <v>222</v>
      </c>
      <c r="C217" s="4" t="s">
        <v>225</v>
      </c>
      <c r="D217" s="4" t="s">
        <v>195</v>
      </c>
      <c r="E217" s="4" t="s">
        <v>41</v>
      </c>
      <c r="F217" s="4" t="s">
        <v>223</v>
      </c>
      <c r="G217" s="17" t="s">
        <v>320</v>
      </c>
      <c r="J217" s="31">
        <v>45689</v>
      </c>
      <c r="K217" s="4" t="s">
        <v>220</v>
      </c>
      <c r="L217" s="4" t="s">
        <v>16</v>
      </c>
      <c r="M217" s="4" t="s">
        <v>221</v>
      </c>
      <c r="P217" s="21"/>
      <c r="S217" s="4" t="str">
        <f>TEXT(Table1[[#This Row],[Date]],"MMM-YY")</f>
        <v>Nov-24</v>
      </c>
      <c r="T217" s="4">
        <f>_xlfn.ISOWEEKNUM(Table1[[#This Row],[Date]])</f>
        <v>46</v>
      </c>
      <c r="U217" s="4" t="str">
        <f>TEXT(Table1[[#This Row],[Expected Business Month]],"YYYY")</f>
        <v>2025</v>
      </c>
    </row>
    <row r="218" spans="1:21" hidden="1">
      <c r="A218" s="19">
        <v>45608</v>
      </c>
      <c r="B218" s="4" t="s">
        <v>575</v>
      </c>
      <c r="C218" s="4" t="s">
        <v>225</v>
      </c>
      <c r="D218" s="4" t="s">
        <v>195</v>
      </c>
      <c r="E218" s="4" t="s">
        <v>135</v>
      </c>
      <c r="F218" s="4" t="s">
        <v>576</v>
      </c>
      <c r="G218" s="17" t="s">
        <v>320</v>
      </c>
      <c r="J218" s="31">
        <v>45627</v>
      </c>
      <c r="K218" s="4" t="s">
        <v>220</v>
      </c>
      <c r="L218" s="4" t="s">
        <v>13</v>
      </c>
      <c r="M218" s="4" t="s">
        <v>221</v>
      </c>
      <c r="P218" s="21"/>
      <c r="S218" s="4" t="str">
        <f>TEXT(Table1[[#This Row],[Date]],"MMM-YY")</f>
        <v>Nov-24</v>
      </c>
      <c r="T218" s="4">
        <f>_xlfn.ISOWEEKNUM(Table1[[#This Row],[Date]])</f>
        <v>46</v>
      </c>
      <c r="U218" s="4" t="str">
        <f>TEXT(Table1[[#This Row],[Expected Business Month]],"YYYY")</f>
        <v>2024</v>
      </c>
    </row>
    <row r="219" spans="1:21">
      <c r="A219" s="19">
        <v>45609</v>
      </c>
      <c r="B219" s="4" t="s">
        <v>577</v>
      </c>
      <c r="C219" s="4" t="s">
        <v>225</v>
      </c>
      <c r="D219" s="4" t="s">
        <v>183</v>
      </c>
      <c r="E219" s="4" t="s">
        <v>49</v>
      </c>
      <c r="F219" s="4" t="s">
        <v>437</v>
      </c>
      <c r="G219" s="17" t="s">
        <v>578</v>
      </c>
      <c r="H219" s="4">
        <v>47000</v>
      </c>
      <c r="I219" s="4">
        <v>47000</v>
      </c>
      <c r="J219" s="31">
        <v>45627</v>
      </c>
      <c r="K219" s="4" t="s">
        <v>220</v>
      </c>
      <c r="L219" s="4" t="s">
        <v>17</v>
      </c>
      <c r="M219" s="4" t="s">
        <v>221</v>
      </c>
      <c r="P219" s="21"/>
      <c r="S219" s="4" t="str">
        <f>TEXT(Table1[[#This Row],[Date]],"MMM-YY")</f>
        <v>Nov-24</v>
      </c>
      <c r="T219" s="4">
        <f>_xlfn.ISOWEEKNUM(Table1[[#This Row],[Date]])</f>
        <v>46</v>
      </c>
      <c r="U219" s="4" t="str">
        <f>TEXT(Table1[[#This Row],[Expected Business Month]],"YYYY")</f>
        <v>2024</v>
      </c>
    </row>
    <row r="220" spans="1:21">
      <c r="A220" s="19">
        <v>45609</v>
      </c>
      <c r="B220" s="4" t="s">
        <v>579</v>
      </c>
      <c r="C220" s="4" t="s">
        <v>225</v>
      </c>
      <c r="D220" s="4" t="s">
        <v>195</v>
      </c>
      <c r="E220" s="4" t="s">
        <v>32</v>
      </c>
      <c r="F220" s="4" t="s">
        <v>561</v>
      </c>
      <c r="G220" s="17" t="s">
        <v>562</v>
      </c>
      <c r="H220" s="4">
        <v>35476</v>
      </c>
      <c r="I220" s="4">
        <v>35476</v>
      </c>
      <c r="J220" s="31">
        <v>45597</v>
      </c>
      <c r="K220" s="4" t="s">
        <v>220</v>
      </c>
      <c r="L220" s="4" t="s">
        <v>17</v>
      </c>
      <c r="M220" s="4" t="s">
        <v>235</v>
      </c>
      <c r="P220" s="21"/>
      <c r="S220" s="4" t="str">
        <f>TEXT(Table1[[#This Row],[Date]],"MMM-YY")</f>
        <v>Nov-24</v>
      </c>
      <c r="T220" s="4">
        <f>_xlfn.ISOWEEKNUM(Table1[[#This Row],[Date]])</f>
        <v>46</v>
      </c>
      <c r="U220" s="4" t="str">
        <f>TEXT(Table1[[#This Row],[Expected Business Month]],"YYYY")</f>
        <v>2024</v>
      </c>
    </row>
    <row r="221" spans="1:21" hidden="1">
      <c r="A221" s="19">
        <v>45609</v>
      </c>
      <c r="B221" s="4" t="s">
        <v>352</v>
      </c>
      <c r="C221" s="4" t="s">
        <v>217</v>
      </c>
      <c r="D221" s="4" t="s">
        <v>195</v>
      </c>
      <c r="E221" s="4" t="s">
        <v>53</v>
      </c>
      <c r="F221" s="4" t="s">
        <v>353</v>
      </c>
      <c r="G221" s="17" t="s">
        <v>240</v>
      </c>
      <c r="J221" s="31">
        <v>45597</v>
      </c>
      <c r="K221" s="4" t="s">
        <v>220</v>
      </c>
      <c r="L221" s="4" t="s">
        <v>16</v>
      </c>
      <c r="M221" s="4" t="s">
        <v>221</v>
      </c>
      <c r="P221" s="21"/>
      <c r="S221" s="4" t="str">
        <f>TEXT(Table1[[#This Row],[Date]],"MMM-YY")</f>
        <v>Nov-24</v>
      </c>
      <c r="T221" s="4">
        <f>_xlfn.ISOWEEKNUM(Table1[[#This Row],[Date]])</f>
        <v>46</v>
      </c>
      <c r="U221" s="4" t="str">
        <f>TEXT(Table1[[#This Row],[Expected Business Month]],"YYYY")</f>
        <v>2024</v>
      </c>
    </row>
    <row r="222" spans="1:21">
      <c r="A222" s="19">
        <v>45609</v>
      </c>
      <c r="B222" s="4" t="s">
        <v>332</v>
      </c>
      <c r="C222" s="4" t="s">
        <v>225</v>
      </c>
      <c r="D222" s="4" t="s">
        <v>195</v>
      </c>
      <c r="E222" s="4" t="s">
        <v>49</v>
      </c>
      <c r="F222" s="4" t="s">
        <v>333</v>
      </c>
      <c r="G222" s="17" t="s">
        <v>562</v>
      </c>
      <c r="H222" s="4">
        <v>52955</v>
      </c>
      <c r="I222" s="4">
        <v>52955</v>
      </c>
      <c r="J222" s="31">
        <v>45597</v>
      </c>
      <c r="K222" s="4" t="s">
        <v>220</v>
      </c>
      <c r="L222" s="4" t="s">
        <v>17</v>
      </c>
      <c r="M222" s="4" t="s">
        <v>235</v>
      </c>
      <c r="P222" s="21"/>
      <c r="S222" s="4" t="str">
        <f>TEXT(Table1[[#This Row],[Date]],"MMM-YY")</f>
        <v>Nov-24</v>
      </c>
      <c r="T222" s="4">
        <f>_xlfn.ISOWEEKNUM(Table1[[#This Row],[Date]])</f>
        <v>46</v>
      </c>
      <c r="U222" s="4" t="str">
        <f>TEXT(Table1[[#This Row],[Expected Business Month]],"YYYY")</f>
        <v>2024</v>
      </c>
    </row>
    <row r="223" spans="1:21">
      <c r="A223" s="19">
        <v>45609</v>
      </c>
      <c r="B223" s="4" t="s">
        <v>580</v>
      </c>
      <c r="C223" s="4" t="s">
        <v>225</v>
      </c>
      <c r="D223" s="4" t="s">
        <v>183</v>
      </c>
      <c r="E223" s="4" t="s">
        <v>49</v>
      </c>
      <c r="F223" s="4" t="s">
        <v>437</v>
      </c>
      <c r="G223" s="17" t="s">
        <v>581</v>
      </c>
      <c r="H223" s="4">
        <v>44098</v>
      </c>
      <c r="I223" s="4">
        <v>44098</v>
      </c>
      <c r="J223" s="31">
        <v>45597</v>
      </c>
      <c r="K223" s="4" t="s">
        <v>220</v>
      </c>
      <c r="L223" s="4" t="s">
        <v>17</v>
      </c>
      <c r="M223" s="4" t="s">
        <v>235</v>
      </c>
      <c r="P223" s="21"/>
      <c r="S223" s="4" t="str">
        <f>TEXT(Table1[[#This Row],[Date]],"MMM-YY")</f>
        <v>Nov-24</v>
      </c>
      <c r="T223" s="4">
        <f>_xlfn.ISOWEEKNUM(Table1[[#This Row],[Date]])</f>
        <v>46</v>
      </c>
      <c r="U223" s="4" t="str">
        <f>TEXT(Table1[[#This Row],[Expected Business Month]],"YYYY")</f>
        <v>2024</v>
      </c>
    </row>
    <row r="224" spans="1:21" hidden="1">
      <c r="A224" s="19">
        <v>45609</v>
      </c>
      <c r="B224" s="4" t="s">
        <v>582</v>
      </c>
      <c r="C224" s="4" t="s">
        <v>217</v>
      </c>
      <c r="D224" s="4" t="s">
        <v>195</v>
      </c>
      <c r="E224" s="4" t="s">
        <v>147</v>
      </c>
      <c r="F224" s="4" t="s">
        <v>583</v>
      </c>
      <c r="G224" s="17" t="s">
        <v>240</v>
      </c>
      <c r="J224" s="31">
        <v>45597</v>
      </c>
      <c r="K224" s="4" t="s">
        <v>220</v>
      </c>
      <c r="L224" s="4" t="s">
        <v>13</v>
      </c>
      <c r="M224" s="4" t="s">
        <v>221</v>
      </c>
      <c r="P224" s="21"/>
      <c r="S224" s="4" t="str">
        <f>TEXT(Table1[[#This Row],[Date]],"MMM-YY")</f>
        <v>Nov-24</v>
      </c>
      <c r="T224" s="4">
        <f>_xlfn.ISOWEEKNUM(Table1[[#This Row],[Date]])</f>
        <v>46</v>
      </c>
      <c r="U224" s="4" t="str">
        <f>TEXT(Table1[[#This Row],[Expected Business Month]],"YYYY")</f>
        <v>2024</v>
      </c>
    </row>
    <row r="225" spans="1:21" hidden="1">
      <c r="A225" s="19">
        <v>45610</v>
      </c>
      <c r="B225" s="4" t="s">
        <v>274</v>
      </c>
      <c r="C225" s="4" t="s">
        <v>217</v>
      </c>
      <c r="D225" s="4" t="s">
        <v>195</v>
      </c>
      <c r="E225" s="4" t="s">
        <v>135</v>
      </c>
      <c r="F225" s="4" t="s">
        <v>584</v>
      </c>
      <c r="G225" s="17" t="s">
        <v>240</v>
      </c>
      <c r="J225" s="31">
        <v>45627</v>
      </c>
      <c r="K225" s="4" t="s">
        <v>220</v>
      </c>
      <c r="L225" s="4" t="s">
        <v>16</v>
      </c>
      <c r="M225" s="4" t="s">
        <v>221</v>
      </c>
      <c r="P225" s="21"/>
      <c r="S225" s="4" t="str">
        <f>TEXT(Table1[[#This Row],[Date]],"MMM-YY")</f>
        <v>Nov-24</v>
      </c>
      <c r="T225" s="4">
        <f>_xlfn.ISOWEEKNUM(Table1[[#This Row],[Date]])</f>
        <v>46</v>
      </c>
      <c r="U225" s="4" t="str">
        <f>TEXT(Table1[[#This Row],[Expected Business Month]],"YYYY")</f>
        <v>2024</v>
      </c>
    </row>
    <row r="226" spans="1:21">
      <c r="A226" s="19">
        <v>45610</v>
      </c>
      <c r="B226" s="4" t="s">
        <v>585</v>
      </c>
      <c r="C226" s="4" t="s">
        <v>225</v>
      </c>
      <c r="D226" s="4" t="s">
        <v>195</v>
      </c>
      <c r="E226" s="4" t="s">
        <v>61</v>
      </c>
      <c r="F226" s="4" t="s">
        <v>437</v>
      </c>
      <c r="G226" s="17" t="s">
        <v>586</v>
      </c>
      <c r="H226" s="4">
        <v>6884</v>
      </c>
      <c r="I226" s="4">
        <v>6884</v>
      </c>
      <c r="J226" s="31">
        <v>45597</v>
      </c>
      <c r="K226" s="4" t="s">
        <v>220</v>
      </c>
      <c r="L226" s="4" t="s">
        <v>17</v>
      </c>
      <c r="M226" s="4" t="s">
        <v>235</v>
      </c>
      <c r="P226" s="21"/>
      <c r="S226" s="4" t="str">
        <f>TEXT(Table1[[#This Row],[Date]],"MMM-YY")</f>
        <v>Nov-24</v>
      </c>
      <c r="T226" s="4">
        <f>_xlfn.ISOWEEKNUM(Table1[[#This Row],[Date]])</f>
        <v>46</v>
      </c>
      <c r="U226" s="4" t="str">
        <f>TEXT(Table1[[#This Row],[Expected Business Month]],"YYYY")</f>
        <v>2024</v>
      </c>
    </row>
    <row r="227" spans="1:21" hidden="1">
      <c r="A227" s="19">
        <v>45610</v>
      </c>
      <c r="B227" s="4" t="s">
        <v>587</v>
      </c>
      <c r="C227" s="4" t="s">
        <v>217</v>
      </c>
      <c r="D227" s="4" t="s">
        <v>195</v>
      </c>
      <c r="E227" s="4" t="s">
        <v>149</v>
      </c>
      <c r="F227" s="4" t="s">
        <v>588</v>
      </c>
      <c r="G227" s="17" t="s">
        <v>240</v>
      </c>
      <c r="J227" s="31">
        <v>45597</v>
      </c>
      <c r="K227" s="4" t="s">
        <v>220</v>
      </c>
      <c r="L227" s="4" t="s">
        <v>13</v>
      </c>
      <c r="M227" s="4" t="s">
        <v>221</v>
      </c>
      <c r="P227" s="21"/>
      <c r="S227" s="4" t="str">
        <f>TEXT(Table1[[#This Row],[Date]],"MMM-YY")</f>
        <v>Nov-24</v>
      </c>
      <c r="T227" s="4">
        <f>_xlfn.ISOWEEKNUM(Table1[[#This Row],[Date]])</f>
        <v>46</v>
      </c>
      <c r="U227" s="4" t="str">
        <f>TEXT(Table1[[#This Row],[Expected Business Month]],"YYYY")</f>
        <v>2024</v>
      </c>
    </row>
    <row r="228" spans="1:21" hidden="1">
      <c r="A228" s="19">
        <v>45610</v>
      </c>
      <c r="B228" s="4" t="s">
        <v>589</v>
      </c>
      <c r="C228" s="4" t="s">
        <v>225</v>
      </c>
      <c r="D228" s="4" t="s">
        <v>195</v>
      </c>
      <c r="E228" s="4" t="s">
        <v>91</v>
      </c>
      <c r="F228" s="4" t="s">
        <v>590</v>
      </c>
      <c r="G228" s="17" t="s">
        <v>240</v>
      </c>
      <c r="J228" s="31">
        <v>45597</v>
      </c>
      <c r="K228" s="4" t="s">
        <v>220</v>
      </c>
      <c r="L228" s="4" t="s">
        <v>13</v>
      </c>
      <c r="M228" s="4" t="s">
        <v>221</v>
      </c>
      <c r="P228" s="21"/>
      <c r="S228" s="4" t="str">
        <f>TEXT(Table1[[#This Row],[Date]],"MMM-YY")</f>
        <v>Nov-24</v>
      </c>
      <c r="T228" s="4">
        <f>_xlfn.ISOWEEKNUM(Table1[[#This Row],[Date]])</f>
        <v>46</v>
      </c>
      <c r="U228" s="4" t="str">
        <f>TEXT(Table1[[#This Row],[Expected Business Month]],"YYYY")</f>
        <v>2024</v>
      </c>
    </row>
    <row r="229" spans="1:21" hidden="1">
      <c r="A229" s="19">
        <v>45610</v>
      </c>
      <c r="B229" s="4" t="s">
        <v>591</v>
      </c>
      <c r="C229" s="4" t="s">
        <v>225</v>
      </c>
      <c r="D229" s="4" t="s">
        <v>195</v>
      </c>
      <c r="E229" s="4" t="s">
        <v>151</v>
      </c>
      <c r="F229" s="4" t="s">
        <v>592</v>
      </c>
      <c r="G229" s="17" t="s">
        <v>240</v>
      </c>
      <c r="J229" s="31">
        <v>45597</v>
      </c>
      <c r="K229" s="4" t="s">
        <v>220</v>
      </c>
      <c r="L229" s="4" t="s">
        <v>13</v>
      </c>
      <c r="M229" s="4" t="s">
        <v>221</v>
      </c>
      <c r="P229" s="21"/>
      <c r="S229" s="4" t="str">
        <f>TEXT(Table1[[#This Row],[Date]],"MMM-YY")</f>
        <v>Nov-24</v>
      </c>
      <c r="T229" s="4">
        <f>_xlfn.ISOWEEKNUM(Table1[[#This Row],[Date]])</f>
        <v>46</v>
      </c>
      <c r="U229" s="4" t="str">
        <f>TEXT(Table1[[#This Row],[Expected Business Month]],"YYYY")</f>
        <v>2024</v>
      </c>
    </row>
    <row r="230" spans="1:21" hidden="1">
      <c r="A230" s="19">
        <v>45611</v>
      </c>
      <c r="B230" s="4" t="s">
        <v>593</v>
      </c>
      <c r="C230" s="4" t="s">
        <v>225</v>
      </c>
      <c r="D230" s="4" t="s">
        <v>21</v>
      </c>
      <c r="E230" s="4" t="s">
        <v>19</v>
      </c>
      <c r="F230" s="4" t="s">
        <v>594</v>
      </c>
      <c r="G230" s="17" t="s">
        <v>595</v>
      </c>
      <c r="J230" s="31">
        <v>45689</v>
      </c>
      <c r="K230" s="4" t="s">
        <v>596</v>
      </c>
      <c r="L230" s="4" t="s">
        <v>16</v>
      </c>
      <c r="M230" s="4" t="s">
        <v>221</v>
      </c>
      <c r="P230" s="21"/>
      <c r="S230" s="4" t="str">
        <f>TEXT(Table1[[#This Row],[Date]],"MMM-YY")</f>
        <v>Nov-24</v>
      </c>
      <c r="T230" s="4">
        <f>_xlfn.ISOWEEKNUM(Table1[[#This Row],[Date]])</f>
        <v>46</v>
      </c>
      <c r="U230" s="4" t="str">
        <f>TEXT(Table1[[#This Row],[Expected Business Month]],"YYYY")</f>
        <v>2025</v>
      </c>
    </row>
    <row r="231" spans="1:21">
      <c r="A231" s="19">
        <v>45611</v>
      </c>
      <c r="B231" s="4" t="s">
        <v>597</v>
      </c>
      <c r="C231" s="4" t="s">
        <v>225</v>
      </c>
      <c r="D231" s="4" t="s">
        <v>389</v>
      </c>
      <c r="E231" s="4" t="s">
        <v>103</v>
      </c>
      <c r="F231" s="4" t="s">
        <v>414</v>
      </c>
      <c r="G231" s="17" t="s">
        <v>598</v>
      </c>
      <c r="H231" s="4">
        <v>33705</v>
      </c>
      <c r="I231" s="4">
        <v>33705</v>
      </c>
      <c r="J231" s="31">
        <v>45597</v>
      </c>
      <c r="K231" s="4" t="s">
        <v>220</v>
      </c>
      <c r="L231" s="4" t="s">
        <v>17</v>
      </c>
      <c r="M231" s="4" t="s">
        <v>221</v>
      </c>
      <c r="P231" s="21"/>
      <c r="S231" s="4" t="str">
        <f>TEXT(Table1[[#This Row],[Date]],"MMM-YY")</f>
        <v>Nov-24</v>
      </c>
      <c r="T231" s="4">
        <f>_xlfn.ISOWEEKNUM(Table1[[#This Row],[Date]])</f>
        <v>46</v>
      </c>
      <c r="U231" s="4" t="str">
        <f>TEXT(Table1[[#This Row],[Expected Business Month]],"YYYY")</f>
        <v>2024</v>
      </c>
    </row>
    <row r="232" spans="1:21" hidden="1">
      <c r="A232" s="19">
        <v>45611</v>
      </c>
      <c r="B232" s="4" t="s">
        <v>261</v>
      </c>
      <c r="C232" s="4" t="s">
        <v>225</v>
      </c>
      <c r="D232" s="4" t="s">
        <v>195</v>
      </c>
      <c r="E232" s="4" t="s">
        <v>61</v>
      </c>
      <c r="F232" s="4" t="s">
        <v>599</v>
      </c>
      <c r="G232" s="17" t="s">
        <v>320</v>
      </c>
      <c r="J232" s="31">
        <v>45597</v>
      </c>
      <c r="K232" s="4" t="s">
        <v>220</v>
      </c>
      <c r="L232" s="4" t="s">
        <v>16</v>
      </c>
      <c r="M232" s="4" t="s">
        <v>221</v>
      </c>
      <c r="P232" s="21"/>
      <c r="S232" s="4" t="str">
        <f>TEXT(Table1[[#This Row],[Date]],"MMM-YY")</f>
        <v>Nov-24</v>
      </c>
      <c r="T232" s="4">
        <f>_xlfn.ISOWEEKNUM(Table1[[#This Row],[Date]])</f>
        <v>46</v>
      </c>
      <c r="U232" s="4" t="str">
        <f>TEXT(Table1[[#This Row],[Expected Business Month]],"YYYY")</f>
        <v>2024</v>
      </c>
    </row>
    <row r="233" spans="1:21" hidden="1">
      <c r="A233" s="19">
        <v>45611</v>
      </c>
      <c r="B233" s="4" t="s">
        <v>276</v>
      </c>
      <c r="C233" s="4" t="s">
        <v>225</v>
      </c>
      <c r="D233" s="4" t="s">
        <v>195</v>
      </c>
      <c r="E233" s="4" t="s">
        <v>67</v>
      </c>
      <c r="F233" s="4" t="s">
        <v>600</v>
      </c>
      <c r="G233" s="17" t="s">
        <v>320</v>
      </c>
      <c r="H233" s="4">
        <v>25000</v>
      </c>
      <c r="J233" s="31">
        <v>45597</v>
      </c>
      <c r="K233" s="4" t="s">
        <v>220</v>
      </c>
      <c r="L233" s="4" t="s">
        <v>11</v>
      </c>
      <c r="M233" s="4" t="s">
        <v>221</v>
      </c>
      <c r="N233" s="4" t="s">
        <v>601</v>
      </c>
      <c r="P233" s="21"/>
      <c r="S233" s="4" t="str">
        <f>TEXT(Table1[[#This Row],[Date]],"MMM-YY")</f>
        <v>Nov-24</v>
      </c>
      <c r="T233" s="4">
        <f>_xlfn.ISOWEEKNUM(Table1[[#This Row],[Date]])</f>
        <v>46</v>
      </c>
      <c r="U233" s="4" t="str">
        <f>TEXT(Table1[[#This Row],[Expected Business Month]],"YYYY")</f>
        <v>2024</v>
      </c>
    </row>
    <row r="234" spans="1:21" hidden="1">
      <c r="A234" s="19">
        <v>45614</v>
      </c>
      <c r="B234" s="4" t="s">
        <v>602</v>
      </c>
      <c r="C234" s="4" t="s">
        <v>217</v>
      </c>
      <c r="D234" s="4" t="s">
        <v>195</v>
      </c>
      <c r="E234" s="4" t="s">
        <v>149</v>
      </c>
      <c r="F234" s="4" t="s">
        <v>552</v>
      </c>
      <c r="G234" s="17" t="s">
        <v>240</v>
      </c>
      <c r="J234" s="31">
        <v>45597</v>
      </c>
      <c r="K234" s="4" t="s">
        <v>220</v>
      </c>
      <c r="L234" s="4" t="s">
        <v>13</v>
      </c>
      <c r="M234" s="4" t="s">
        <v>221</v>
      </c>
      <c r="P234" s="21"/>
      <c r="S234" s="4" t="str">
        <f>TEXT(Table1[[#This Row],[Date]],"MMM-YY")</f>
        <v>Nov-24</v>
      </c>
      <c r="T234" s="4">
        <f>_xlfn.ISOWEEKNUM(Table1[[#This Row],[Date]])</f>
        <v>47</v>
      </c>
      <c r="U234" s="4" t="str">
        <f>TEXT(Table1[[#This Row],[Expected Business Month]],"YYYY")</f>
        <v>2024</v>
      </c>
    </row>
    <row r="235" spans="1:21" hidden="1">
      <c r="A235" s="19">
        <v>45614</v>
      </c>
      <c r="B235" s="4" t="s">
        <v>603</v>
      </c>
      <c r="C235" s="4" t="s">
        <v>217</v>
      </c>
      <c r="D235" s="4" t="s">
        <v>195</v>
      </c>
      <c r="E235" s="4" t="s">
        <v>61</v>
      </c>
      <c r="F235" s="4" t="s">
        <v>604</v>
      </c>
      <c r="G235" s="17" t="s">
        <v>240</v>
      </c>
      <c r="J235" s="31">
        <v>45597</v>
      </c>
      <c r="K235" s="4" t="s">
        <v>220</v>
      </c>
      <c r="L235" s="4" t="s">
        <v>13</v>
      </c>
      <c r="M235" s="4" t="s">
        <v>221</v>
      </c>
      <c r="P235" s="21"/>
      <c r="S235" s="4" t="str">
        <f>TEXT(Table1[[#This Row],[Date]],"MMM-YY")</f>
        <v>Nov-24</v>
      </c>
      <c r="T235" s="4">
        <f>_xlfn.ISOWEEKNUM(Table1[[#This Row],[Date]])</f>
        <v>47</v>
      </c>
      <c r="U235" s="4" t="str">
        <f>TEXT(Table1[[#This Row],[Expected Business Month]],"YYYY")</f>
        <v>2024</v>
      </c>
    </row>
    <row r="236" spans="1:21">
      <c r="A236" s="19">
        <v>45614</v>
      </c>
      <c r="B236" s="4" t="s">
        <v>605</v>
      </c>
      <c r="C236" s="4" t="s">
        <v>225</v>
      </c>
      <c r="D236" s="4" t="s">
        <v>195</v>
      </c>
      <c r="E236" s="4" t="s">
        <v>61</v>
      </c>
      <c r="F236" s="4" t="s">
        <v>606</v>
      </c>
      <c r="G236" s="17" t="s">
        <v>607</v>
      </c>
      <c r="H236" s="4">
        <v>40500</v>
      </c>
      <c r="I236" s="4">
        <v>40500</v>
      </c>
      <c r="J236" s="31">
        <v>45597</v>
      </c>
      <c r="K236" s="4" t="s">
        <v>220</v>
      </c>
      <c r="L236" s="4" t="s">
        <v>17</v>
      </c>
      <c r="M236" s="4" t="s">
        <v>235</v>
      </c>
      <c r="P236" s="21"/>
      <c r="S236" s="4" t="str">
        <f>TEXT(Table1[[#This Row],[Date]],"MMM-YY")</f>
        <v>Nov-24</v>
      </c>
      <c r="T236" s="4">
        <f>_xlfn.ISOWEEKNUM(Table1[[#This Row],[Date]])</f>
        <v>47</v>
      </c>
      <c r="U236" s="4" t="str">
        <f>TEXT(Table1[[#This Row],[Expected Business Month]],"YYYY")</f>
        <v>2024</v>
      </c>
    </row>
    <row r="237" spans="1:21" hidden="1">
      <c r="A237" s="19">
        <v>45614</v>
      </c>
      <c r="B237" s="4" t="s">
        <v>608</v>
      </c>
      <c r="C237" s="4" t="s">
        <v>225</v>
      </c>
      <c r="D237" s="4" t="s">
        <v>195</v>
      </c>
      <c r="E237" s="4" t="s">
        <v>61</v>
      </c>
      <c r="F237" s="4" t="s">
        <v>609</v>
      </c>
      <c r="G237" s="17" t="s">
        <v>240</v>
      </c>
      <c r="J237" s="31">
        <v>45597</v>
      </c>
      <c r="K237" s="4" t="s">
        <v>220</v>
      </c>
      <c r="L237" s="4" t="s">
        <v>13</v>
      </c>
      <c r="M237" s="4" t="s">
        <v>221</v>
      </c>
      <c r="P237" s="21"/>
      <c r="S237" s="4" t="str">
        <f>TEXT(Table1[[#This Row],[Date]],"MMM-YY")</f>
        <v>Nov-24</v>
      </c>
      <c r="T237" s="4">
        <f>_xlfn.ISOWEEKNUM(Table1[[#This Row],[Date]])</f>
        <v>47</v>
      </c>
      <c r="U237" s="4" t="str">
        <f>TEXT(Table1[[#This Row],[Expected Business Month]],"YYYY")</f>
        <v>2024</v>
      </c>
    </row>
    <row r="238" spans="1:21" hidden="1">
      <c r="A238" s="19">
        <v>45615</v>
      </c>
      <c r="B238" s="4" t="s">
        <v>570</v>
      </c>
      <c r="C238" s="4" t="s">
        <v>217</v>
      </c>
      <c r="D238" s="4" t="s">
        <v>195</v>
      </c>
      <c r="E238" s="4" t="s">
        <v>61</v>
      </c>
      <c r="F238" s="4" t="s">
        <v>561</v>
      </c>
      <c r="G238" s="17" t="s">
        <v>610</v>
      </c>
      <c r="J238" s="31">
        <v>45627</v>
      </c>
      <c r="K238" s="4" t="s">
        <v>220</v>
      </c>
      <c r="L238" s="4" t="s">
        <v>16</v>
      </c>
      <c r="M238" s="4" t="s">
        <v>221</v>
      </c>
      <c r="P238" s="21"/>
      <c r="S238" s="4" t="str">
        <f>TEXT(Table1[[#This Row],[Date]],"MMM-YY")</f>
        <v>Nov-24</v>
      </c>
      <c r="T238" s="4">
        <f>_xlfn.ISOWEEKNUM(Table1[[#This Row],[Date]])</f>
        <v>47</v>
      </c>
      <c r="U238" s="4" t="str">
        <f>TEXT(Table1[[#This Row],[Expected Business Month]],"YYYY")</f>
        <v>2024</v>
      </c>
    </row>
    <row r="239" spans="1:21" hidden="1">
      <c r="A239" s="19">
        <v>45615</v>
      </c>
      <c r="B239" s="4" t="s">
        <v>241</v>
      </c>
      <c r="C239" s="4" t="s">
        <v>217</v>
      </c>
      <c r="D239" s="4" t="s">
        <v>195</v>
      </c>
      <c r="E239" s="4" t="s">
        <v>12</v>
      </c>
      <c r="F239" s="4" t="s">
        <v>242</v>
      </c>
      <c r="G239" s="17" t="s">
        <v>320</v>
      </c>
      <c r="J239" s="31">
        <v>45627</v>
      </c>
      <c r="K239" s="4" t="s">
        <v>220</v>
      </c>
      <c r="L239" s="4" t="s">
        <v>16</v>
      </c>
      <c r="M239" s="4" t="s">
        <v>221</v>
      </c>
      <c r="P239" s="21"/>
      <c r="S239" s="4" t="str">
        <f>TEXT(Table1[[#This Row],[Date]],"MMM-YY")</f>
        <v>Nov-24</v>
      </c>
      <c r="T239" s="4">
        <f>_xlfn.ISOWEEKNUM(Table1[[#This Row],[Date]])</f>
        <v>47</v>
      </c>
      <c r="U239" s="4" t="str">
        <f>TEXT(Table1[[#This Row],[Expected Business Month]],"YYYY")</f>
        <v>2024</v>
      </c>
    </row>
    <row r="240" spans="1:21" hidden="1">
      <c r="A240" s="19">
        <v>45615</v>
      </c>
      <c r="B240" s="4" t="s">
        <v>254</v>
      </c>
      <c r="C240" s="4" t="s">
        <v>225</v>
      </c>
      <c r="D240" s="4" t="s">
        <v>195</v>
      </c>
      <c r="E240" s="4" t="s">
        <v>57</v>
      </c>
      <c r="F240" s="4" t="s">
        <v>255</v>
      </c>
      <c r="G240" s="17" t="s">
        <v>320</v>
      </c>
      <c r="J240" s="31">
        <v>45627</v>
      </c>
      <c r="K240" s="4" t="s">
        <v>220</v>
      </c>
      <c r="L240" s="4" t="s">
        <v>13</v>
      </c>
      <c r="M240" s="4" t="s">
        <v>221</v>
      </c>
      <c r="P240" s="21"/>
      <c r="S240" s="4" t="str">
        <f>TEXT(Table1[[#This Row],[Date]],"MMM-YY")</f>
        <v>Nov-24</v>
      </c>
      <c r="T240" s="4">
        <f>_xlfn.ISOWEEKNUM(Table1[[#This Row],[Date]])</f>
        <v>47</v>
      </c>
      <c r="U240" s="4" t="str">
        <f>TEXT(Table1[[#This Row],[Expected Business Month]],"YYYY")</f>
        <v>2024</v>
      </c>
    </row>
    <row r="241" spans="1:21" hidden="1">
      <c r="A241" s="19">
        <v>45615</v>
      </c>
      <c r="B241" s="4" t="s">
        <v>256</v>
      </c>
      <c r="C241" s="4" t="s">
        <v>225</v>
      </c>
      <c r="D241" s="4" t="s">
        <v>195</v>
      </c>
      <c r="E241" s="4" t="s">
        <v>55</v>
      </c>
      <c r="F241" s="4" t="s">
        <v>257</v>
      </c>
      <c r="G241" s="17" t="s">
        <v>320</v>
      </c>
      <c r="J241" s="31">
        <v>45689</v>
      </c>
      <c r="K241" s="4" t="s">
        <v>220</v>
      </c>
      <c r="L241" s="4" t="s">
        <v>16</v>
      </c>
      <c r="M241" s="4" t="s">
        <v>221</v>
      </c>
      <c r="P241" s="21"/>
      <c r="S241" s="4" t="str">
        <f>TEXT(Table1[[#This Row],[Date]],"MMM-YY")</f>
        <v>Nov-24</v>
      </c>
      <c r="T241" s="4">
        <f>_xlfn.ISOWEEKNUM(Table1[[#This Row],[Date]])</f>
        <v>47</v>
      </c>
      <c r="U241" s="4" t="str">
        <f>TEXT(Table1[[#This Row],[Expected Business Month]],"YYYY")</f>
        <v>2025</v>
      </c>
    </row>
    <row r="242" spans="1:21" hidden="1">
      <c r="A242" s="19">
        <v>45615</v>
      </c>
      <c r="B242" s="4" t="s">
        <v>272</v>
      </c>
      <c r="C242" s="4" t="s">
        <v>225</v>
      </c>
      <c r="D242" s="4" t="s">
        <v>195</v>
      </c>
      <c r="E242" s="4" t="s">
        <v>61</v>
      </c>
      <c r="F242" s="4" t="s">
        <v>273</v>
      </c>
      <c r="G242" s="17" t="s">
        <v>320</v>
      </c>
      <c r="J242" s="31">
        <v>45627</v>
      </c>
      <c r="K242" s="4" t="s">
        <v>220</v>
      </c>
      <c r="L242" s="4" t="s">
        <v>13</v>
      </c>
      <c r="M242" s="4" t="s">
        <v>221</v>
      </c>
      <c r="P242" s="21"/>
      <c r="S242" s="4" t="str">
        <f>TEXT(Table1[[#This Row],[Date]],"MMM-YY")</f>
        <v>Nov-24</v>
      </c>
      <c r="T242" s="4">
        <f>_xlfn.ISOWEEKNUM(Table1[[#This Row],[Date]])</f>
        <v>47</v>
      </c>
      <c r="U242" s="4" t="str">
        <f>TEXT(Table1[[#This Row],[Expected Business Month]],"YYYY")</f>
        <v>2024</v>
      </c>
    </row>
    <row r="243" spans="1:21" hidden="1">
      <c r="A243" s="19">
        <v>45616</v>
      </c>
      <c r="B243" s="4" t="s">
        <v>611</v>
      </c>
      <c r="C243" s="4" t="s">
        <v>217</v>
      </c>
      <c r="D243" s="4" t="s">
        <v>195</v>
      </c>
      <c r="E243" s="4" t="s">
        <v>153</v>
      </c>
      <c r="F243" s="4" t="s">
        <v>612</v>
      </c>
      <c r="G243" s="17" t="s">
        <v>240</v>
      </c>
      <c r="J243" s="31">
        <v>45627</v>
      </c>
      <c r="K243" s="4" t="s">
        <v>220</v>
      </c>
      <c r="L243" s="4" t="s">
        <v>13</v>
      </c>
      <c r="M243" s="4" t="s">
        <v>221</v>
      </c>
      <c r="P243" s="21"/>
      <c r="S243" s="4" t="str">
        <f>TEXT(Table1[[#This Row],[Date]],"MMM-YY")</f>
        <v>Nov-24</v>
      </c>
      <c r="T243" s="4">
        <f>_xlfn.ISOWEEKNUM(Table1[[#This Row],[Date]])</f>
        <v>47</v>
      </c>
      <c r="U243" s="4" t="str">
        <f>TEXT(Table1[[#This Row],[Expected Business Month]],"YYYY")</f>
        <v>2024</v>
      </c>
    </row>
    <row r="244" spans="1:21">
      <c r="A244" s="19">
        <v>45616</v>
      </c>
      <c r="B244" s="4" t="s">
        <v>613</v>
      </c>
      <c r="C244" s="4" t="s">
        <v>225</v>
      </c>
      <c r="D244" s="4" t="s">
        <v>195</v>
      </c>
      <c r="E244" s="4" t="s">
        <v>135</v>
      </c>
      <c r="F244" s="4" t="s">
        <v>614</v>
      </c>
      <c r="G244" s="17" t="s">
        <v>586</v>
      </c>
      <c r="H244" s="4">
        <v>53262</v>
      </c>
      <c r="I244" s="4">
        <v>53262</v>
      </c>
      <c r="J244" s="31">
        <v>45597</v>
      </c>
      <c r="K244" s="4" t="s">
        <v>220</v>
      </c>
      <c r="L244" s="4" t="s">
        <v>17</v>
      </c>
      <c r="M244" s="4" t="s">
        <v>221</v>
      </c>
      <c r="P244" s="21"/>
      <c r="S244" s="4" t="str">
        <f>TEXT(Table1[[#This Row],[Date]],"MMM-YY")</f>
        <v>Nov-24</v>
      </c>
      <c r="T244" s="4">
        <f>_xlfn.ISOWEEKNUM(Table1[[#This Row],[Date]])</f>
        <v>47</v>
      </c>
      <c r="U244" s="4" t="str">
        <f>TEXT(Table1[[#This Row],[Expected Business Month]],"YYYY")</f>
        <v>2024</v>
      </c>
    </row>
    <row r="245" spans="1:21">
      <c r="A245" s="19">
        <v>45616</v>
      </c>
      <c r="B245" s="4" t="s">
        <v>608</v>
      </c>
      <c r="C245" s="4" t="s">
        <v>225</v>
      </c>
      <c r="D245" s="4" t="s">
        <v>195</v>
      </c>
      <c r="E245" s="4" t="s">
        <v>61</v>
      </c>
      <c r="F245" s="4" t="s">
        <v>615</v>
      </c>
      <c r="G245" s="17" t="s">
        <v>586</v>
      </c>
      <c r="H245" s="4">
        <v>9870</v>
      </c>
      <c r="I245" s="4">
        <v>9870</v>
      </c>
      <c r="J245" s="31">
        <v>45597</v>
      </c>
      <c r="K245" s="4" t="s">
        <v>220</v>
      </c>
      <c r="L245" s="4" t="s">
        <v>17</v>
      </c>
      <c r="M245" s="4" t="s">
        <v>221</v>
      </c>
      <c r="P245" s="21"/>
      <c r="S245" s="4" t="str">
        <f>TEXT(Table1[[#This Row],[Date]],"MMM-YY")</f>
        <v>Nov-24</v>
      </c>
      <c r="T245" s="4">
        <f>_xlfn.ISOWEEKNUM(Table1[[#This Row],[Date]])</f>
        <v>47</v>
      </c>
      <c r="U245" s="4" t="str">
        <f>TEXT(Table1[[#This Row],[Expected Business Month]],"YYYY")</f>
        <v>2024</v>
      </c>
    </row>
    <row r="246" spans="1:21">
      <c r="A246" s="19">
        <v>45616</v>
      </c>
      <c r="B246" s="4" t="s">
        <v>616</v>
      </c>
      <c r="C246" s="4" t="s">
        <v>225</v>
      </c>
      <c r="D246" s="4" t="s">
        <v>195</v>
      </c>
      <c r="E246" s="4" t="s">
        <v>129</v>
      </c>
      <c r="F246" s="4" t="s">
        <v>452</v>
      </c>
      <c r="G246" s="17" t="s">
        <v>586</v>
      </c>
      <c r="H246" s="4">
        <v>10291</v>
      </c>
      <c r="I246" s="4">
        <v>10291</v>
      </c>
      <c r="J246" s="31">
        <v>45597</v>
      </c>
      <c r="K246" s="4" t="s">
        <v>220</v>
      </c>
      <c r="L246" s="4" t="s">
        <v>17</v>
      </c>
      <c r="M246" s="4" t="s">
        <v>221</v>
      </c>
      <c r="P246" s="21"/>
      <c r="S246" s="4" t="str">
        <f>TEXT(Table1[[#This Row],[Date]],"MMM-YY")</f>
        <v>Nov-24</v>
      </c>
      <c r="T246" s="4">
        <f>_xlfn.ISOWEEKNUM(Table1[[#This Row],[Date]])</f>
        <v>47</v>
      </c>
      <c r="U246" s="4" t="str">
        <f>TEXT(Table1[[#This Row],[Expected Business Month]],"YYYY")</f>
        <v>2024</v>
      </c>
    </row>
    <row r="247" spans="1:21" hidden="1">
      <c r="A247" s="19">
        <v>45616</v>
      </c>
      <c r="B247" s="4" t="s">
        <v>617</v>
      </c>
      <c r="C247" s="4" t="s">
        <v>217</v>
      </c>
      <c r="D247" s="4" t="s">
        <v>195</v>
      </c>
      <c r="E247" s="4" t="s">
        <v>135</v>
      </c>
      <c r="F247" s="4" t="s">
        <v>618</v>
      </c>
      <c r="G247" s="17" t="s">
        <v>240</v>
      </c>
      <c r="J247" s="31">
        <v>45597</v>
      </c>
      <c r="K247" s="4" t="s">
        <v>220</v>
      </c>
      <c r="L247" s="4" t="s">
        <v>13</v>
      </c>
      <c r="M247" s="4" t="s">
        <v>221</v>
      </c>
      <c r="P247" s="21"/>
      <c r="S247" s="4" t="str">
        <f>TEXT(Table1[[#This Row],[Date]],"MMM-YY")</f>
        <v>Nov-24</v>
      </c>
      <c r="T247" s="4">
        <f>_xlfn.ISOWEEKNUM(Table1[[#This Row],[Date]])</f>
        <v>47</v>
      </c>
      <c r="U247" s="4" t="str">
        <f>TEXT(Table1[[#This Row],[Expected Business Month]],"YYYY")</f>
        <v>2024</v>
      </c>
    </row>
    <row r="248" spans="1:21" hidden="1">
      <c r="A248" s="19">
        <v>45617</v>
      </c>
      <c r="B248" s="4" t="s">
        <v>619</v>
      </c>
      <c r="C248" s="4" t="s">
        <v>217</v>
      </c>
      <c r="D248" s="4" t="s">
        <v>195</v>
      </c>
      <c r="E248" s="4" t="s">
        <v>93</v>
      </c>
      <c r="G248" s="17" t="s">
        <v>240</v>
      </c>
      <c r="J248" s="31">
        <v>45627</v>
      </c>
      <c r="K248" s="4" t="s">
        <v>220</v>
      </c>
      <c r="L248" s="4" t="s">
        <v>13</v>
      </c>
      <c r="M248" s="4" t="s">
        <v>221</v>
      </c>
      <c r="P248" s="21"/>
      <c r="S248" s="4" t="str">
        <f>TEXT(Table1[[#This Row],[Date]],"MMM-YY")</f>
        <v>Nov-24</v>
      </c>
      <c r="T248" s="4">
        <f>_xlfn.ISOWEEKNUM(Table1[[#This Row],[Date]])</f>
        <v>47</v>
      </c>
      <c r="U248" s="4" t="str">
        <f>TEXT(Table1[[#This Row],[Expected Business Month]],"YYYY")</f>
        <v>2024</v>
      </c>
    </row>
    <row r="249" spans="1:21" hidden="1">
      <c r="A249" s="19">
        <v>45617</v>
      </c>
      <c r="B249" s="4" t="s">
        <v>360</v>
      </c>
      <c r="C249" s="4" t="s">
        <v>217</v>
      </c>
      <c r="D249" s="4" t="s">
        <v>195</v>
      </c>
      <c r="E249" s="4" t="s">
        <v>71</v>
      </c>
      <c r="F249" s="4" t="s">
        <v>479</v>
      </c>
      <c r="G249" s="17" t="s">
        <v>240</v>
      </c>
      <c r="J249" s="31">
        <v>45627</v>
      </c>
      <c r="K249" s="4" t="s">
        <v>220</v>
      </c>
      <c r="L249" s="4" t="s">
        <v>16</v>
      </c>
      <c r="M249" s="4" t="s">
        <v>221</v>
      </c>
      <c r="P249" s="21"/>
      <c r="S249" s="4" t="str">
        <f>TEXT(Table1[[#This Row],[Date]],"MMM-YY")</f>
        <v>Nov-24</v>
      </c>
      <c r="T249" s="4">
        <f>_xlfn.ISOWEEKNUM(Table1[[#This Row],[Date]])</f>
        <v>47</v>
      </c>
      <c r="U249" s="4" t="str">
        <f>TEXT(Table1[[#This Row],[Expected Business Month]],"YYYY")</f>
        <v>2024</v>
      </c>
    </row>
    <row r="250" spans="1:21" hidden="1">
      <c r="A250" s="19">
        <v>45617</v>
      </c>
      <c r="B250" s="4" t="s">
        <v>439</v>
      </c>
      <c r="C250" s="4" t="s">
        <v>225</v>
      </c>
      <c r="D250" s="4" t="s">
        <v>183</v>
      </c>
      <c r="E250" s="4" t="s">
        <v>49</v>
      </c>
      <c r="F250" s="4" t="s">
        <v>440</v>
      </c>
      <c r="G250" s="17" t="s">
        <v>620</v>
      </c>
      <c r="J250" s="31">
        <v>45627</v>
      </c>
      <c r="K250" s="4" t="s">
        <v>220</v>
      </c>
      <c r="L250" s="4" t="s">
        <v>16</v>
      </c>
      <c r="M250" s="4" t="s">
        <v>221</v>
      </c>
      <c r="P250" s="21"/>
      <c r="S250" s="4" t="str">
        <f>TEXT(Table1[[#This Row],[Date]],"MMM-YY")</f>
        <v>Nov-24</v>
      </c>
      <c r="T250" s="4">
        <f>_xlfn.ISOWEEKNUM(Table1[[#This Row],[Date]])</f>
        <v>47</v>
      </c>
      <c r="U250" s="4" t="str">
        <f>TEXT(Table1[[#This Row],[Expected Business Month]],"YYYY")</f>
        <v>2024</v>
      </c>
    </row>
    <row r="251" spans="1:21">
      <c r="A251" s="19">
        <v>45617</v>
      </c>
      <c r="B251" s="4" t="s">
        <v>617</v>
      </c>
      <c r="C251" s="4" t="s">
        <v>225</v>
      </c>
      <c r="D251" s="4" t="s">
        <v>195</v>
      </c>
      <c r="E251" s="4" t="s">
        <v>135</v>
      </c>
      <c r="F251" s="4" t="s">
        <v>618</v>
      </c>
      <c r="G251" s="17" t="s">
        <v>607</v>
      </c>
      <c r="H251" s="4">
        <v>23902</v>
      </c>
      <c r="I251" s="4">
        <v>23902</v>
      </c>
      <c r="J251" s="31">
        <v>45597</v>
      </c>
      <c r="K251" s="4" t="s">
        <v>220</v>
      </c>
      <c r="L251" s="4" t="s">
        <v>17</v>
      </c>
      <c r="M251" s="4" t="s">
        <v>221</v>
      </c>
      <c r="P251" s="21"/>
      <c r="S251" s="4" t="str">
        <f>TEXT(Table1[[#This Row],[Date]],"MMM-YY")</f>
        <v>Nov-24</v>
      </c>
      <c r="T251" s="4">
        <f>_xlfn.ISOWEEKNUM(Table1[[#This Row],[Date]])</f>
        <v>47</v>
      </c>
      <c r="U251" s="4" t="str">
        <f>TEXT(Table1[[#This Row],[Expected Business Month]],"YYYY")</f>
        <v>2024</v>
      </c>
    </row>
    <row r="252" spans="1:21" hidden="1">
      <c r="A252" s="19">
        <v>45618</v>
      </c>
      <c r="B252" s="4" t="s">
        <v>367</v>
      </c>
      <c r="C252" s="4" t="s">
        <v>217</v>
      </c>
      <c r="D252" s="4" t="s">
        <v>195</v>
      </c>
      <c r="E252" s="4" t="s">
        <v>95</v>
      </c>
      <c r="F252" s="4" t="s">
        <v>519</v>
      </c>
      <c r="G252" s="17" t="s">
        <v>320</v>
      </c>
      <c r="J252" s="31">
        <v>45627</v>
      </c>
      <c r="K252" s="4" t="s">
        <v>220</v>
      </c>
      <c r="L252" s="4" t="s">
        <v>16</v>
      </c>
      <c r="M252" s="4" t="s">
        <v>221</v>
      </c>
      <c r="P252" s="21"/>
      <c r="S252" s="4" t="str">
        <f>TEXT(Table1[[#This Row],[Date]],"MMM-YY")</f>
        <v>Nov-24</v>
      </c>
      <c r="T252" s="4">
        <f>_xlfn.ISOWEEKNUM(Table1[[#This Row],[Date]])</f>
        <v>47</v>
      </c>
      <c r="U252" s="4" t="str">
        <f>TEXT(Table1[[#This Row],[Expected Business Month]],"YYYY")</f>
        <v>2024</v>
      </c>
    </row>
    <row r="253" spans="1:21" hidden="1">
      <c r="A253" s="19">
        <v>45618</v>
      </c>
      <c r="B253" s="4" t="s">
        <v>458</v>
      </c>
      <c r="C253" s="4" t="s">
        <v>217</v>
      </c>
      <c r="D253" s="4" t="s">
        <v>195</v>
      </c>
      <c r="E253" s="4" t="s">
        <v>457</v>
      </c>
      <c r="F253" s="4" t="s">
        <v>459</v>
      </c>
      <c r="G253" s="17" t="s">
        <v>320</v>
      </c>
      <c r="J253" s="31">
        <v>45627</v>
      </c>
      <c r="K253" s="4" t="s">
        <v>220</v>
      </c>
      <c r="L253" s="4" t="s">
        <v>16</v>
      </c>
      <c r="M253" s="4" t="s">
        <v>221</v>
      </c>
      <c r="P253" s="21"/>
      <c r="S253" s="4" t="str">
        <f>TEXT(Table1[[#This Row],[Date]],"MMM-YY")</f>
        <v>Nov-24</v>
      </c>
      <c r="T253" s="4">
        <f>_xlfn.ISOWEEKNUM(Table1[[#This Row],[Date]])</f>
        <v>47</v>
      </c>
      <c r="U253" s="4" t="str">
        <f>TEXT(Table1[[#This Row],[Expected Business Month]],"YYYY")</f>
        <v>2024</v>
      </c>
    </row>
    <row r="254" spans="1:21" hidden="1">
      <c r="A254" s="19">
        <v>45618</v>
      </c>
      <c r="B254" s="4" t="s">
        <v>621</v>
      </c>
      <c r="C254" s="4" t="s">
        <v>225</v>
      </c>
      <c r="D254" s="4" t="s">
        <v>195</v>
      </c>
      <c r="E254" s="4" t="s">
        <v>155</v>
      </c>
      <c r="F254" s="4" t="s">
        <v>566</v>
      </c>
      <c r="G254" s="17" t="s">
        <v>240</v>
      </c>
      <c r="J254" s="31">
        <v>45627</v>
      </c>
      <c r="K254" s="4" t="s">
        <v>220</v>
      </c>
      <c r="L254" s="4" t="s">
        <v>13</v>
      </c>
      <c r="M254" s="4" t="s">
        <v>221</v>
      </c>
      <c r="P254" s="21"/>
      <c r="S254" s="4" t="str">
        <f>TEXT(Table1[[#This Row],[Date]],"MMM-YY")</f>
        <v>Nov-24</v>
      </c>
      <c r="T254" s="4">
        <f>_xlfn.ISOWEEKNUM(Table1[[#This Row],[Date]])</f>
        <v>47</v>
      </c>
      <c r="U254" s="4" t="str">
        <f>TEXT(Table1[[#This Row],[Expected Business Month]],"YYYY")</f>
        <v>2024</v>
      </c>
    </row>
    <row r="255" spans="1:21" hidden="1">
      <c r="A255" s="19">
        <v>45618</v>
      </c>
      <c r="B255" s="4" t="s">
        <v>622</v>
      </c>
      <c r="C255" s="4" t="s">
        <v>225</v>
      </c>
      <c r="D255" s="4" t="s">
        <v>195</v>
      </c>
      <c r="E255" s="4" t="s">
        <v>153</v>
      </c>
      <c r="F255" s="4" t="s">
        <v>623</v>
      </c>
      <c r="G255" s="17" t="s">
        <v>240</v>
      </c>
      <c r="J255" s="31">
        <v>45627</v>
      </c>
      <c r="K255" s="4" t="s">
        <v>220</v>
      </c>
      <c r="L255" s="4" t="s">
        <v>13</v>
      </c>
      <c r="M255" s="4" t="s">
        <v>221</v>
      </c>
      <c r="P255" s="21"/>
      <c r="S255" s="4" t="str">
        <f>TEXT(Table1[[#This Row],[Date]],"MMM-YY")</f>
        <v>Nov-24</v>
      </c>
      <c r="T255" s="4">
        <f>_xlfn.ISOWEEKNUM(Table1[[#This Row],[Date]])</f>
        <v>47</v>
      </c>
      <c r="U255" s="4" t="str">
        <f>TEXT(Table1[[#This Row],[Expected Business Month]],"YYYY")</f>
        <v>2024</v>
      </c>
    </row>
    <row r="256" spans="1:21" hidden="1">
      <c r="A256" s="19">
        <v>45618</v>
      </c>
      <c r="B256" s="4" t="s">
        <v>624</v>
      </c>
      <c r="C256" s="4" t="s">
        <v>225</v>
      </c>
      <c r="D256" s="4" t="s">
        <v>195</v>
      </c>
      <c r="E256" s="4" t="s">
        <v>157</v>
      </c>
      <c r="F256" s="4" t="s">
        <v>625</v>
      </c>
      <c r="G256" s="17" t="s">
        <v>240</v>
      </c>
      <c r="J256" s="31">
        <v>45627</v>
      </c>
      <c r="K256" s="4" t="s">
        <v>220</v>
      </c>
      <c r="L256" s="4" t="s">
        <v>13</v>
      </c>
      <c r="M256" s="4" t="s">
        <v>221</v>
      </c>
      <c r="P256" s="21"/>
      <c r="S256" s="4" t="str">
        <f>TEXT(Table1[[#This Row],[Date]],"MMM-YY")</f>
        <v>Nov-24</v>
      </c>
      <c r="T256" s="4">
        <f>_xlfn.ISOWEEKNUM(Table1[[#This Row],[Date]])</f>
        <v>47</v>
      </c>
      <c r="U256" s="4" t="str">
        <f>TEXT(Table1[[#This Row],[Expected Business Month]],"YYYY")</f>
        <v>2024</v>
      </c>
    </row>
    <row r="257" spans="1:21" hidden="1">
      <c r="A257" s="19">
        <v>45622</v>
      </c>
      <c r="B257" s="4" t="s">
        <v>626</v>
      </c>
      <c r="C257" s="4" t="s">
        <v>217</v>
      </c>
      <c r="D257" s="4" t="s">
        <v>195</v>
      </c>
      <c r="E257" s="4" t="s">
        <v>61</v>
      </c>
      <c r="F257" s="4" t="s">
        <v>612</v>
      </c>
      <c r="G257" s="17" t="s">
        <v>240</v>
      </c>
      <c r="J257" s="31">
        <v>45627</v>
      </c>
      <c r="K257" s="4" t="s">
        <v>220</v>
      </c>
      <c r="L257" s="4" t="s">
        <v>13</v>
      </c>
      <c r="M257" s="4" t="s">
        <v>221</v>
      </c>
      <c r="P257" s="21"/>
      <c r="S257" s="4" t="str">
        <f>TEXT(Table1[[#This Row],[Date]],"MMM-YY")</f>
        <v>Nov-24</v>
      </c>
      <c r="T257" s="4">
        <f>_xlfn.ISOWEEKNUM(Table1[[#This Row],[Date]])</f>
        <v>48</v>
      </c>
      <c r="U257" s="4" t="str">
        <f>TEXT(Table1[[#This Row],[Expected Business Month]],"YYYY")</f>
        <v>2024</v>
      </c>
    </row>
    <row r="258" spans="1:21" hidden="1">
      <c r="A258" s="19">
        <v>45622</v>
      </c>
      <c r="B258" s="4" t="s">
        <v>230</v>
      </c>
      <c r="C258" s="4" t="s">
        <v>225</v>
      </c>
      <c r="D258" s="4" t="s">
        <v>183</v>
      </c>
      <c r="E258" s="4" t="s">
        <v>49</v>
      </c>
      <c r="F258" s="4" t="s">
        <v>231</v>
      </c>
      <c r="G258" s="17" t="s">
        <v>627</v>
      </c>
      <c r="J258" s="31">
        <v>45627</v>
      </c>
      <c r="K258" s="4" t="s">
        <v>220</v>
      </c>
      <c r="L258" s="4" t="s">
        <v>16</v>
      </c>
      <c r="M258" s="4" t="s">
        <v>221</v>
      </c>
      <c r="P258" s="21"/>
      <c r="S258" s="4" t="str">
        <f>TEXT(Table1[[#This Row],[Date]],"MMM-YY")</f>
        <v>Nov-24</v>
      </c>
      <c r="T258" s="4">
        <f>_xlfn.ISOWEEKNUM(Table1[[#This Row],[Date]])</f>
        <v>48</v>
      </c>
      <c r="U258" s="4" t="str">
        <f>TEXT(Table1[[#This Row],[Expected Business Month]],"YYYY")</f>
        <v>2024</v>
      </c>
    </row>
    <row r="259" spans="1:21" hidden="1">
      <c r="A259" s="19">
        <v>45622</v>
      </c>
      <c r="B259" s="4" t="s">
        <v>628</v>
      </c>
      <c r="C259" s="4" t="s">
        <v>225</v>
      </c>
      <c r="D259" s="4" t="s">
        <v>195</v>
      </c>
      <c r="E259" s="4" t="s">
        <v>129</v>
      </c>
      <c r="F259" s="4" t="s">
        <v>629</v>
      </c>
      <c r="G259" s="17" t="s">
        <v>630</v>
      </c>
      <c r="J259" s="31">
        <v>45627</v>
      </c>
      <c r="K259" s="4" t="s">
        <v>220</v>
      </c>
      <c r="L259" s="4" t="s">
        <v>16</v>
      </c>
      <c r="M259" s="4" t="s">
        <v>221</v>
      </c>
      <c r="P259" s="21"/>
      <c r="S259" s="4" t="str">
        <f>TEXT(Table1[[#This Row],[Date]],"MMM-YY")</f>
        <v>Nov-24</v>
      </c>
      <c r="T259" s="4">
        <f>_xlfn.ISOWEEKNUM(Table1[[#This Row],[Date]])</f>
        <v>48</v>
      </c>
      <c r="U259" s="4" t="str">
        <f>TEXT(Table1[[#This Row],[Expected Business Month]],"YYYY")</f>
        <v>2024</v>
      </c>
    </row>
    <row r="260" spans="1:21" hidden="1">
      <c r="A260" s="19">
        <v>45622</v>
      </c>
      <c r="B260" s="4" t="s">
        <v>356</v>
      </c>
      <c r="C260" s="4" t="s">
        <v>225</v>
      </c>
      <c r="D260" s="4" t="s">
        <v>195</v>
      </c>
      <c r="E260" s="4" t="s">
        <v>71</v>
      </c>
      <c r="F260" s="4" t="s">
        <v>631</v>
      </c>
      <c r="G260" s="17" t="s">
        <v>630</v>
      </c>
      <c r="J260" s="31">
        <v>45627</v>
      </c>
      <c r="K260" s="4" t="s">
        <v>220</v>
      </c>
      <c r="L260" s="4" t="s">
        <v>16</v>
      </c>
      <c r="M260" s="4" t="s">
        <v>221</v>
      </c>
      <c r="P260" s="21"/>
      <c r="S260" s="4" t="str">
        <f>TEXT(Table1[[#This Row],[Date]],"MMM-YY")</f>
        <v>Nov-24</v>
      </c>
      <c r="T260" s="4">
        <f>_xlfn.ISOWEEKNUM(Table1[[#This Row],[Date]])</f>
        <v>48</v>
      </c>
      <c r="U260" s="4" t="str">
        <f>TEXT(Table1[[#This Row],[Expected Business Month]],"YYYY")</f>
        <v>2024</v>
      </c>
    </row>
    <row r="261" spans="1:21" hidden="1">
      <c r="A261" s="19">
        <v>45623</v>
      </c>
      <c r="B261" s="4" t="s">
        <v>356</v>
      </c>
      <c r="C261" s="4" t="s">
        <v>217</v>
      </c>
      <c r="D261" s="4" t="s">
        <v>195</v>
      </c>
      <c r="E261" s="4" t="s">
        <v>71</v>
      </c>
      <c r="F261" s="4" t="s">
        <v>632</v>
      </c>
      <c r="G261" s="17" t="s">
        <v>240</v>
      </c>
      <c r="J261" s="31">
        <v>45627</v>
      </c>
      <c r="K261" s="4" t="s">
        <v>220</v>
      </c>
      <c r="L261" s="4" t="s">
        <v>16</v>
      </c>
      <c r="M261" s="4" t="s">
        <v>221</v>
      </c>
      <c r="P261" s="21"/>
      <c r="S261" s="4" t="str">
        <f>TEXT(Table1[[#This Row],[Date]],"MMM-YY")</f>
        <v>Nov-24</v>
      </c>
      <c r="T261" s="4">
        <f>_xlfn.ISOWEEKNUM(Table1[[#This Row],[Date]])</f>
        <v>48</v>
      </c>
      <c r="U261" s="4" t="str">
        <f>TEXT(Table1[[#This Row],[Expected Business Month]],"YYYY")</f>
        <v>2024</v>
      </c>
    </row>
    <row r="262" spans="1:21" hidden="1">
      <c r="A262" s="19">
        <v>45623</v>
      </c>
      <c r="B262" s="4" t="s">
        <v>597</v>
      </c>
      <c r="C262" s="4" t="s">
        <v>225</v>
      </c>
      <c r="D262" s="4" t="s">
        <v>21</v>
      </c>
      <c r="E262" s="4" t="s">
        <v>19</v>
      </c>
      <c r="F262" s="4" t="s">
        <v>414</v>
      </c>
      <c r="G262" s="17" t="s">
        <v>633</v>
      </c>
      <c r="J262" s="31">
        <v>45627</v>
      </c>
      <c r="K262" s="4" t="s">
        <v>220</v>
      </c>
      <c r="L262" s="4" t="s">
        <v>16</v>
      </c>
      <c r="M262" s="4" t="s">
        <v>221</v>
      </c>
      <c r="P262" s="21"/>
      <c r="S262" s="4" t="str">
        <f>TEXT(Table1[[#This Row],[Date]],"MMM-YY")</f>
        <v>Nov-24</v>
      </c>
      <c r="T262" s="4">
        <f>_xlfn.ISOWEEKNUM(Table1[[#This Row],[Date]])</f>
        <v>48</v>
      </c>
      <c r="U262" s="4" t="str">
        <f>TEXT(Table1[[#This Row],[Expected Business Month]],"YYYY")</f>
        <v>2024</v>
      </c>
    </row>
    <row r="263" spans="1:21" hidden="1">
      <c r="A263" s="19">
        <v>45623</v>
      </c>
      <c r="B263" s="4" t="s">
        <v>282</v>
      </c>
      <c r="C263" s="4" t="s">
        <v>225</v>
      </c>
      <c r="D263" s="4" t="s">
        <v>195</v>
      </c>
      <c r="E263" s="4" t="s">
        <v>161</v>
      </c>
      <c r="F263" s="4" t="s">
        <v>283</v>
      </c>
      <c r="G263" s="17" t="s">
        <v>634</v>
      </c>
      <c r="J263" s="31">
        <v>45627</v>
      </c>
      <c r="K263" s="4" t="s">
        <v>234</v>
      </c>
      <c r="L263" s="4" t="s">
        <v>16</v>
      </c>
      <c r="M263" s="4" t="s">
        <v>221</v>
      </c>
      <c r="P263" s="21"/>
      <c r="S263" s="4" t="str">
        <f>TEXT(Table1[[#This Row],[Date]],"MMM-YY")</f>
        <v>Nov-24</v>
      </c>
      <c r="T263" s="4">
        <f>_xlfn.ISOWEEKNUM(Table1[[#This Row],[Date]])</f>
        <v>48</v>
      </c>
      <c r="U263" s="4" t="str">
        <f>TEXT(Table1[[#This Row],[Expected Business Month]],"YYYY")</f>
        <v>2024</v>
      </c>
    </row>
    <row r="264" spans="1:21">
      <c r="A264" s="19">
        <v>45623</v>
      </c>
      <c r="B264" s="4" t="s">
        <v>635</v>
      </c>
      <c r="C264" s="4" t="s">
        <v>225</v>
      </c>
      <c r="D264" s="4" t="s">
        <v>195</v>
      </c>
      <c r="E264" s="4" t="s">
        <v>159</v>
      </c>
      <c r="F264" s="4" t="s">
        <v>636</v>
      </c>
      <c r="G264" s="17" t="s">
        <v>607</v>
      </c>
      <c r="H264" s="4">
        <v>22414</v>
      </c>
      <c r="I264" s="4">
        <v>22414</v>
      </c>
      <c r="J264" s="31">
        <v>45597</v>
      </c>
      <c r="K264" s="4" t="s">
        <v>220</v>
      </c>
      <c r="L264" s="4" t="s">
        <v>17</v>
      </c>
      <c r="M264" s="4" t="s">
        <v>221</v>
      </c>
      <c r="P264" s="21"/>
      <c r="S264" s="4" t="str">
        <f>TEXT(Table1[[#This Row],[Date]],"MMM-YY")</f>
        <v>Nov-24</v>
      </c>
      <c r="T264" s="4">
        <f>_xlfn.ISOWEEKNUM(Table1[[#This Row],[Date]])</f>
        <v>48</v>
      </c>
      <c r="U264" s="4" t="str">
        <f>TEXT(Table1[[#This Row],[Expected Business Month]],"YYYY")</f>
        <v>2024</v>
      </c>
    </row>
    <row r="265" spans="1:21">
      <c r="A265" s="19">
        <v>45623</v>
      </c>
      <c r="B265" s="4" t="s">
        <v>560</v>
      </c>
      <c r="C265" s="4" t="s">
        <v>225</v>
      </c>
      <c r="D265" s="4" t="s">
        <v>195</v>
      </c>
      <c r="E265" s="4" t="s">
        <v>32</v>
      </c>
      <c r="F265" s="4" t="s">
        <v>561</v>
      </c>
      <c r="G265" s="17" t="s">
        <v>562</v>
      </c>
      <c r="H265" s="4">
        <v>32697</v>
      </c>
      <c r="I265" s="4">
        <v>32697</v>
      </c>
      <c r="J265" s="31">
        <v>45597</v>
      </c>
      <c r="K265" s="4" t="s">
        <v>220</v>
      </c>
      <c r="L265" s="4" t="s">
        <v>17</v>
      </c>
      <c r="M265" s="4" t="s">
        <v>235</v>
      </c>
      <c r="P265" s="21"/>
      <c r="S265" s="4" t="str">
        <f>TEXT(Table1[[#This Row],[Date]],"MMM-YY")</f>
        <v>Nov-24</v>
      </c>
      <c r="T265" s="4">
        <f>_xlfn.ISOWEEKNUM(Table1[[#This Row],[Date]])</f>
        <v>48</v>
      </c>
      <c r="U265" s="4" t="str">
        <f>TEXT(Table1[[#This Row],[Expected Business Month]],"YYYY")</f>
        <v>2024</v>
      </c>
    </row>
    <row r="266" spans="1:21">
      <c r="A266" s="19">
        <v>45623</v>
      </c>
      <c r="B266" s="4" t="s">
        <v>332</v>
      </c>
      <c r="C266" s="4" t="s">
        <v>217</v>
      </c>
      <c r="D266" s="4" t="s">
        <v>195</v>
      </c>
      <c r="E266" s="4" t="s">
        <v>61</v>
      </c>
      <c r="F266" s="4" t="s">
        <v>333</v>
      </c>
      <c r="G266" s="17" t="s">
        <v>562</v>
      </c>
      <c r="H266" s="4">
        <v>52955</v>
      </c>
      <c r="I266" s="4">
        <v>52955</v>
      </c>
      <c r="J266" s="31">
        <v>45597</v>
      </c>
      <c r="K266" s="4" t="s">
        <v>220</v>
      </c>
      <c r="L266" s="4" t="s">
        <v>17</v>
      </c>
      <c r="M266" s="4" t="s">
        <v>235</v>
      </c>
      <c r="S266" s="4" t="str">
        <f>TEXT(Table1[[#This Row],[Date]],"MMM-YY")</f>
        <v>Nov-24</v>
      </c>
      <c r="T266" s="4">
        <f>_xlfn.ISOWEEKNUM(Table1[[#This Row],[Date]])</f>
        <v>48</v>
      </c>
      <c r="U266" s="4" t="str">
        <f>TEXT(Table1[[#This Row],[Expected Business Month]],"YYYY")</f>
        <v>2024</v>
      </c>
    </row>
    <row r="267" spans="1:21">
      <c r="A267" s="19">
        <v>45628</v>
      </c>
      <c r="B267" s="4" t="s">
        <v>637</v>
      </c>
      <c r="C267" s="4" t="s">
        <v>217</v>
      </c>
      <c r="D267" s="4" t="s">
        <v>183</v>
      </c>
      <c r="E267" s="4" t="s">
        <v>21</v>
      </c>
      <c r="F267" s="4" t="s">
        <v>414</v>
      </c>
      <c r="G267" s="17" t="s">
        <v>638</v>
      </c>
      <c r="H267" s="4">
        <v>84000</v>
      </c>
      <c r="I267" s="4">
        <v>84000</v>
      </c>
      <c r="J267" s="31">
        <v>45627</v>
      </c>
      <c r="K267" s="4" t="s">
        <v>220</v>
      </c>
      <c r="L267" s="21" t="s">
        <v>17</v>
      </c>
      <c r="M267" s="4" t="s">
        <v>235</v>
      </c>
      <c r="O267" s="20"/>
      <c r="S267" s="4" t="str">
        <f>TEXT(Table1[[#This Row],[Date]],"MMM-YY")</f>
        <v>Dec-24</v>
      </c>
      <c r="T267" s="4">
        <f>_xlfn.ISOWEEKNUM(Table1[[#This Row],[Date]])</f>
        <v>49</v>
      </c>
      <c r="U267" s="4" t="str">
        <f>TEXT(Table1[[#This Row],[Expected Business Month]],"YYYY")</f>
        <v>2024</v>
      </c>
    </row>
    <row r="268" spans="1:21">
      <c r="A268" s="19">
        <v>45628</v>
      </c>
      <c r="B268" s="4" t="s">
        <v>639</v>
      </c>
      <c r="C268" s="4" t="s">
        <v>217</v>
      </c>
      <c r="D268" s="4" t="s">
        <v>21</v>
      </c>
      <c r="E268" s="4" t="s">
        <v>21</v>
      </c>
      <c r="F268" s="4" t="s">
        <v>640</v>
      </c>
      <c r="G268" s="17" t="s">
        <v>638</v>
      </c>
      <c r="H268" s="4">
        <v>71000</v>
      </c>
      <c r="I268" s="4">
        <v>71000</v>
      </c>
      <c r="J268" s="31">
        <v>45627</v>
      </c>
      <c r="K268" s="4" t="s">
        <v>220</v>
      </c>
      <c r="L268" s="21" t="s">
        <v>17</v>
      </c>
      <c r="M268" s="4" t="s">
        <v>235</v>
      </c>
      <c r="O268" s="20"/>
      <c r="S268" s="4" t="str">
        <f>TEXT(Table1[[#This Row],[Date]],"MMM-YY")</f>
        <v>Dec-24</v>
      </c>
      <c r="T268" s="4">
        <f>_xlfn.ISOWEEKNUM(Table1[[#This Row],[Date]])</f>
        <v>49</v>
      </c>
      <c r="U268" s="4" t="str">
        <f>TEXT(Table1[[#This Row],[Expected Business Month]],"YYYY")</f>
        <v>2024</v>
      </c>
    </row>
    <row r="269" spans="1:21" hidden="1">
      <c r="A269" s="19">
        <v>45628</v>
      </c>
      <c r="B269" s="4" t="s">
        <v>356</v>
      </c>
      <c r="C269" s="4" t="s">
        <v>217</v>
      </c>
      <c r="D269" s="4" t="s">
        <v>195</v>
      </c>
      <c r="E269" s="4" t="s">
        <v>71</v>
      </c>
      <c r="F269" s="4" t="s">
        <v>631</v>
      </c>
      <c r="G269" s="17" t="s">
        <v>240</v>
      </c>
      <c r="J269" s="31">
        <v>45689</v>
      </c>
      <c r="K269" s="4" t="s">
        <v>220</v>
      </c>
      <c r="L269" s="21" t="s">
        <v>16</v>
      </c>
      <c r="M269" s="4" t="s">
        <v>235</v>
      </c>
      <c r="O269" s="20"/>
      <c r="S269" s="4" t="str">
        <f>TEXT(Table1[[#This Row],[Date]],"MMM-YY")</f>
        <v>Dec-24</v>
      </c>
      <c r="T269" s="4">
        <f>_xlfn.ISOWEEKNUM(Table1[[#This Row],[Date]])</f>
        <v>49</v>
      </c>
      <c r="U269" s="4" t="str">
        <f>TEXT(Table1[[#This Row],[Expected Business Month]],"YYYY")</f>
        <v>2025</v>
      </c>
    </row>
    <row r="270" spans="1:21" hidden="1">
      <c r="A270" s="19">
        <v>45628</v>
      </c>
      <c r="B270" s="4" t="s">
        <v>356</v>
      </c>
      <c r="C270" s="4" t="s">
        <v>217</v>
      </c>
      <c r="D270" s="4" t="s">
        <v>195</v>
      </c>
      <c r="E270" s="4" t="s">
        <v>71</v>
      </c>
      <c r="F270" s="4" t="s">
        <v>632</v>
      </c>
      <c r="G270" s="17" t="s">
        <v>240</v>
      </c>
      <c r="J270" s="31">
        <v>45627</v>
      </c>
      <c r="K270" s="4" t="s">
        <v>220</v>
      </c>
      <c r="L270" s="4" t="s">
        <v>16</v>
      </c>
      <c r="M270" s="4" t="s">
        <v>221</v>
      </c>
      <c r="O270" s="20"/>
      <c r="S270" s="4" t="str">
        <f>TEXT(Table1[[#This Row],[Date]],"MMM-YY")</f>
        <v>Dec-24</v>
      </c>
      <c r="T270" s="4">
        <f>_xlfn.ISOWEEKNUM(Table1[[#This Row],[Date]])</f>
        <v>49</v>
      </c>
      <c r="U270" s="4" t="str">
        <f>TEXT(Table1[[#This Row],[Expected Business Month]],"YYYY")</f>
        <v>2024</v>
      </c>
    </row>
    <row r="271" spans="1:21" hidden="1">
      <c r="A271" s="19">
        <v>45628</v>
      </c>
      <c r="B271" s="4" t="s">
        <v>243</v>
      </c>
      <c r="C271" s="4" t="s">
        <v>217</v>
      </c>
      <c r="D271" s="4" t="s">
        <v>195</v>
      </c>
      <c r="E271" s="4" t="s">
        <v>26</v>
      </c>
      <c r="F271" s="4" t="s">
        <v>244</v>
      </c>
      <c r="G271" s="17" t="s">
        <v>240</v>
      </c>
      <c r="J271" s="31">
        <v>45627</v>
      </c>
      <c r="K271" s="4" t="s">
        <v>234</v>
      </c>
      <c r="L271" s="4" t="s">
        <v>16</v>
      </c>
      <c r="M271" s="4" t="s">
        <v>235</v>
      </c>
      <c r="O271" s="20"/>
      <c r="S271" s="4" t="str">
        <f>TEXT(Table1[[#This Row],[Date]],"MMM-YY")</f>
        <v>Dec-24</v>
      </c>
      <c r="T271" s="4">
        <f>_xlfn.ISOWEEKNUM(Table1[[#This Row],[Date]])</f>
        <v>49</v>
      </c>
      <c r="U271" s="4" t="str">
        <f>TEXT(Table1[[#This Row],[Expected Business Month]],"YYYY")</f>
        <v>2024</v>
      </c>
    </row>
    <row r="272" spans="1:21" hidden="1">
      <c r="A272" s="19">
        <v>45628</v>
      </c>
      <c r="B272" s="4" t="s">
        <v>243</v>
      </c>
      <c r="C272" s="4" t="s">
        <v>225</v>
      </c>
      <c r="D272" s="4" t="s">
        <v>195</v>
      </c>
      <c r="E272" s="4" t="s">
        <v>26</v>
      </c>
      <c r="F272" s="4" t="s">
        <v>244</v>
      </c>
      <c r="G272" s="17" t="s">
        <v>240</v>
      </c>
      <c r="J272" s="31">
        <v>45627</v>
      </c>
      <c r="K272" s="4" t="s">
        <v>220</v>
      </c>
      <c r="L272" s="21" t="s">
        <v>16</v>
      </c>
      <c r="M272" s="4" t="s">
        <v>235</v>
      </c>
      <c r="O272" s="20"/>
      <c r="S272" s="4" t="str">
        <f>TEXT(Table1[[#This Row],[Date]],"MMM-YY")</f>
        <v>Dec-24</v>
      </c>
      <c r="T272" s="4">
        <f>_xlfn.ISOWEEKNUM(Table1[[#This Row],[Date]])</f>
        <v>49</v>
      </c>
      <c r="U272" s="4" t="str">
        <f>TEXT(Table1[[#This Row],[Expected Business Month]],"YYYY")</f>
        <v>2024</v>
      </c>
    </row>
    <row r="273" spans="1:21" hidden="1">
      <c r="A273" s="19">
        <v>45628</v>
      </c>
      <c r="B273" s="4" t="s">
        <v>628</v>
      </c>
      <c r="C273" s="4" t="s">
        <v>217</v>
      </c>
      <c r="D273" s="4" t="s">
        <v>195</v>
      </c>
      <c r="E273" s="4" t="s">
        <v>129</v>
      </c>
      <c r="F273" s="4" t="s">
        <v>629</v>
      </c>
      <c r="G273" s="17" t="s">
        <v>240</v>
      </c>
      <c r="J273" s="31">
        <v>45627</v>
      </c>
      <c r="K273" s="4" t="s">
        <v>220</v>
      </c>
      <c r="L273" s="21" t="s">
        <v>16</v>
      </c>
      <c r="M273" s="4" t="s">
        <v>235</v>
      </c>
      <c r="O273" s="20"/>
      <c r="S273" s="4" t="str">
        <f>TEXT(Table1[[#This Row],[Date]],"MMM-YY")</f>
        <v>Dec-24</v>
      </c>
      <c r="T273" s="4">
        <f>_xlfn.ISOWEEKNUM(Table1[[#This Row],[Date]])</f>
        <v>49</v>
      </c>
      <c r="U273" s="4" t="str">
        <f>TEXT(Table1[[#This Row],[Expected Business Month]],"YYYY")</f>
        <v>2024</v>
      </c>
    </row>
    <row r="274" spans="1:21" hidden="1">
      <c r="A274" s="19">
        <v>45628</v>
      </c>
      <c r="B274" s="4" t="s">
        <v>227</v>
      </c>
      <c r="C274" s="4" t="s">
        <v>225</v>
      </c>
      <c r="D274" s="4" t="s">
        <v>195</v>
      </c>
      <c r="E274" s="4" t="s">
        <v>105</v>
      </c>
      <c r="F274" s="4" t="s">
        <v>228</v>
      </c>
      <c r="G274" s="17" t="s">
        <v>240</v>
      </c>
      <c r="J274" s="31">
        <v>45627</v>
      </c>
      <c r="K274" s="4" t="s">
        <v>220</v>
      </c>
      <c r="L274" s="21" t="s">
        <v>16</v>
      </c>
      <c r="M274" s="4" t="s">
        <v>235</v>
      </c>
      <c r="O274" s="20"/>
      <c r="S274" s="4" t="str">
        <f>TEXT(Table1[[#This Row],[Date]],"MMM-YY")</f>
        <v>Dec-24</v>
      </c>
      <c r="T274" s="4">
        <f>_xlfn.ISOWEEKNUM(Table1[[#This Row],[Date]])</f>
        <v>49</v>
      </c>
      <c r="U274" s="4" t="str">
        <f>TEXT(Table1[[#This Row],[Expected Business Month]],"YYYY")</f>
        <v>2024</v>
      </c>
    </row>
    <row r="275" spans="1:21" hidden="1">
      <c r="A275" s="19">
        <v>45628</v>
      </c>
      <c r="B275" s="4" t="s">
        <v>367</v>
      </c>
      <c r="C275" s="4" t="s">
        <v>225</v>
      </c>
      <c r="D275" s="4" t="s">
        <v>195</v>
      </c>
      <c r="E275" s="4" t="s">
        <v>12</v>
      </c>
      <c r="F275" s="4" t="s">
        <v>519</v>
      </c>
      <c r="G275" s="17" t="s">
        <v>240</v>
      </c>
      <c r="J275" s="31">
        <v>45689</v>
      </c>
      <c r="K275" s="4" t="s">
        <v>220</v>
      </c>
      <c r="L275" s="21" t="s">
        <v>16</v>
      </c>
      <c r="M275" s="4" t="s">
        <v>235</v>
      </c>
      <c r="O275" s="20"/>
      <c r="S275" s="4" t="str">
        <f>TEXT(Table1[[#This Row],[Date]],"MMM-YY")</f>
        <v>Dec-24</v>
      </c>
      <c r="T275" s="4">
        <f>_xlfn.ISOWEEKNUM(Table1[[#This Row],[Date]])</f>
        <v>49</v>
      </c>
      <c r="U275" s="4" t="str">
        <f>TEXT(Table1[[#This Row],[Expected Business Month]],"YYYY")</f>
        <v>2025</v>
      </c>
    </row>
    <row r="276" spans="1:21" hidden="1">
      <c r="A276" s="19">
        <v>45628</v>
      </c>
      <c r="B276" s="4" t="s">
        <v>354</v>
      </c>
      <c r="C276" s="4" t="s">
        <v>225</v>
      </c>
      <c r="D276" s="4" t="s">
        <v>195</v>
      </c>
      <c r="E276" s="4" t="s">
        <v>26</v>
      </c>
      <c r="F276" s="4" t="s">
        <v>377</v>
      </c>
      <c r="G276" s="17" t="s">
        <v>240</v>
      </c>
      <c r="J276" s="31">
        <v>45689</v>
      </c>
      <c r="K276" s="4" t="s">
        <v>220</v>
      </c>
      <c r="L276" s="21" t="s">
        <v>16</v>
      </c>
      <c r="M276" s="4" t="s">
        <v>235</v>
      </c>
      <c r="O276" s="20"/>
      <c r="S276" s="4" t="str">
        <f>TEXT(Table1[[#This Row],[Date]],"MMM-YY")</f>
        <v>Dec-24</v>
      </c>
      <c r="T276" s="4">
        <f>_xlfn.ISOWEEKNUM(Table1[[#This Row],[Date]])</f>
        <v>49</v>
      </c>
      <c r="U276" s="4" t="str">
        <f>TEXT(Table1[[#This Row],[Expected Business Month]],"YYYY")</f>
        <v>2025</v>
      </c>
    </row>
    <row r="277" spans="1:21" hidden="1">
      <c r="A277" s="19">
        <v>45628</v>
      </c>
      <c r="B277" s="4" t="s">
        <v>290</v>
      </c>
      <c r="C277" s="4" t="s">
        <v>225</v>
      </c>
      <c r="D277" s="4" t="s">
        <v>195</v>
      </c>
      <c r="E277" s="4" t="s">
        <v>87</v>
      </c>
      <c r="F277" s="4" t="s">
        <v>571</v>
      </c>
      <c r="G277" s="17" t="s">
        <v>240</v>
      </c>
      <c r="J277" s="31">
        <v>45689</v>
      </c>
      <c r="K277" s="4" t="s">
        <v>220</v>
      </c>
      <c r="L277" s="21" t="s">
        <v>16</v>
      </c>
      <c r="M277" s="4" t="s">
        <v>235</v>
      </c>
      <c r="O277" s="20"/>
      <c r="S277" s="4" t="str">
        <f>TEXT(Table1[[#This Row],[Date]],"MMM-YY")</f>
        <v>Dec-24</v>
      </c>
      <c r="T277" s="4">
        <f>_xlfn.ISOWEEKNUM(Table1[[#This Row],[Date]])</f>
        <v>49</v>
      </c>
      <c r="U277" s="4" t="str">
        <f>TEXT(Table1[[#This Row],[Expected Business Month]],"YYYY")</f>
        <v>2025</v>
      </c>
    </row>
    <row r="278" spans="1:21" hidden="1">
      <c r="A278" s="19">
        <v>45628</v>
      </c>
      <c r="B278" s="4" t="s">
        <v>611</v>
      </c>
      <c r="C278" s="4" t="s">
        <v>225</v>
      </c>
      <c r="D278" s="4" t="s">
        <v>195</v>
      </c>
      <c r="E278" s="4" t="s">
        <v>153</v>
      </c>
      <c r="F278" s="4" t="s">
        <v>612</v>
      </c>
      <c r="G278" s="17" t="s">
        <v>240</v>
      </c>
      <c r="J278" s="31">
        <v>45627</v>
      </c>
      <c r="K278" s="4" t="s">
        <v>220</v>
      </c>
      <c r="L278" s="4" t="s">
        <v>16</v>
      </c>
      <c r="M278" s="4" t="s">
        <v>221</v>
      </c>
      <c r="O278" s="20"/>
      <c r="S278" s="4" t="str">
        <f>TEXT(Table1[[#This Row],[Date]],"MMM-YY")</f>
        <v>Dec-24</v>
      </c>
      <c r="T278" s="4">
        <f>_xlfn.ISOWEEKNUM(Table1[[#This Row],[Date]])</f>
        <v>49</v>
      </c>
      <c r="U278" s="4" t="str">
        <f>TEXT(Table1[[#This Row],[Expected Business Month]],"YYYY")</f>
        <v>2024</v>
      </c>
    </row>
    <row r="279" spans="1:21" hidden="1">
      <c r="A279" s="19">
        <v>45628</v>
      </c>
      <c r="B279" s="4" t="s">
        <v>641</v>
      </c>
      <c r="C279" s="4" t="s">
        <v>225</v>
      </c>
      <c r="D279" s="4" t="s">
        <v>163</v>
      </c>
      <c r="E279" s="4" t="s">
        <v>163</v>
      </c>
      <c r="G279" s="17" t="s">
        <v>240</v>
      </c>
      <c r="J279" s="31">
        <v>45627</v>
      </c>
      <c r="K279" s="4" t="s">
        <v>220</v>
      </c>
      <c r="L279" s="21" t="s">
        <v>16</v>
      </c>
      <c r="M279" s="4" t="s">
        <v>235</v>
      </c>
      <c r="O279" s="20"/>
      <c r="S279" s="4" t="str">
        <f>TEXT(Table1[[#This Row],[Date]],"MMM-YY")</f>
        <v>Dec-24</v>
      </c>
      <c r="T279" s="4">
        <f>_xlfn.ISOWEEKNUM(Table1[[#This Row],[Date]])</f>
        <v>49</v>
      </c>
      <c r="U279" s="4" t="str">
        <f>TEXT(Table1[[#This Row],[Expected Business Month]],"YYYY")</f>
        <v>2024</v>
      </c>
    </row>
    <row r="280" spans="1:21" hidden="1">
      <c r="A280" s="19">
        <v>45628</v>
      </c>
      <c r="B280" s="4" t="s">
        <v>567</v>
      </c>
      <c r="C280" s="4" t="s">
        <v>225</v>
      </c>
      <c r="D280" s="4" t="s">
        <v>195</v>
      </c>
      <c r="E280" s="4" t="s">
        <v>119</v>
      </c>
      <c r="F280" s="4" t="s">
        <v>467</v>
      </c>
      <c r="G280" s="17" t="s">
        <v>240</v>
      </c>
      <c r="J280" s="31">
        <v>45689</v>
      </c>
      <c r="K280" s="4" t="s">
        <v>220</v>
      </c>
      <c r="L280" s="21" t="s">
        <v>16</v>
      </c>
      <c r="M280" s="4" t="s">
        <v>235</v>
      </c>
      <c r="O280" s="20"/>
      <c r="S280" s="4" t="str">
        <f>TEXT(Table1[[#This Row],[Date]],"MMM-YY")</f>
        <v>Dec-24</v>
      </c>
      <c r="T280" s="4">
        <f>_xlfn.ISOWEEKNUM(Table1[[#This Row],[Date]])</f>
        <v>49</v>
      </c>
      <c r="U280" s="4" t="str">
        <f>TEXT(Table1[[#This Row],[Expected Business Month]],"YYYY")</f>
        <v>2025</v>
      </c>
    </row>
    <row r="281" spans="1:21" hidden="1">
      <c r="A281" s="19">
        <v>45628</v>
      </c>
      <c r="B281" s="4" t="s">
        <v>292</v>
      </c>
      <c r="C281" s="4" t="s">
        <v>217</v>
      </c>
      <c r="D281" s="4" t="s">
        <v>195</v>
      </c>
      <c r="E281" s="4" t="s">
        <v>12</v>
      </c>
      <c r="F281" s="4" t="s">
        <v>293</v>
      </c>
      <c r="G281" s="17" t="s">
        <v>240</v>
      </c>
      <c r="J281" s="31">
        <v>45689</v>
      </c>
      <c r="K281" s="4" t="s">
        <v>220</v>
      </c>
      <c r="L281" s="21" t="s">
        <v>16</v>
      </c>
      <c r="M281" s="4" t="s">
        <v>235</v>
      </c>
      <c r="O281" s="20"/>
      <c r="S281" s="4" t="str">
        <f>TEXT(Table1[[#This Row],[Date]],"MMM-YY")</f>
        <v>Dec-24</v>
      </c>
      <c r="T281" s="4">
        <f>_xlfn.ISOWEEKNUM(Table1[[#This Row],[Date]])</f>
        <v>49</v>
      </c>
      <c r="U281" s="4" t="str">
        <f>TEXT(Table1[[#This Row],[Expected Business Month]],"YYYY")</f>
        <v>2025</v>
      </c>
    </row>
    <row r="282" spans="1:21" hidden="1">
      <c r="A282" s="19">
        <v>45628</v>
      </c>
      <c r="B282" s="4" t="s">
        <v>261</v>
      </c>
      <c r="C282" s="4" t="s">
        <v>225</v>
      </c>
      <c r="D282" s="4" t="s">
        <v>195</v>
      </c>
      <c r="E282" s="4" t="s">
        <v>26</v>
      </c>
      <c r="F282" s="4" t="s">
        <v>262</v>
      </c>
      <c r="G282" s="17" t="s">
        <v>240</v>
      </c>
      <c r="J282" s="31">
        <v>45689</v>
      </c>
      <c r="K282" s="4" t="s">
        <v>220</v>
      </c>
      <c r="L282" s="21" t="s">
        <v>16</v>
      </c>
      <c r="M282" s="4" t="s">
        <v>235</v>
      </c>
      <c r="O282" s="20"/>
      <c r="S282" s="4" t="str">
        <f>TEXT(Table1[[#This Row],[Date]],"MMM-YY")</f>
        <v>Dec-24</v>
      </c>
      <c r="T282" s="4">
        <f>_xlfn.ISOWEEKNUM(Table1[[#This Row],[Date]])</f>
        <v>49</v>
      </c>
      <c r="U282" s="4" t="str">
        <f>TEXT(Table1[[#This Row],[Expected Business Month]],"YYYY")</f>
        <v>2025</v>
      </c>
    </row>
    <row r="283" spans="1:21" hidden="1">
      <c r="A283" s="19">
        <v>45628</v>
      </c>
      <c r="B283" s="4" t="s">
        <v>272</v>
      </c>
      <c r="C283" s="4" t="s">
        <v>225</v>
      </c>
      <c r="D283" s="4" t="s">
        <v>195</v>
      </c>
      <c r="E283" s="4" t="s">
        <v>26</v>
      </c>
      <c r="F283" s="4" t="s">
        <v>273</v>
      </c>
      <c r="G283" s="17" t="s">
        <v>240</v>
      </c>
      <c r="J283" s="31">
        <v>45627</v>
      </c>
      <c r="K283" s="4" t="s">
        <v>220</v>
      </c>
      <c r="L283" s="21" t="s">
        <v>16</v>
      </c>
      <c r="M283" s="4" t="s">
        <v>235</v>
      </c>
      <c r="O283" s="20"/>
      <c r="S283" s="4" t="str">
        <f>TEXT(Table1[[#This Row],[Date]],"MMM-YY")</f>
        <v>Dec-24</v>
      </c>
      <c r="T283" s="4">
        <f>_xlfn.ISOWEEKNUM(Table1[[#This Row],[Date]])</f>
        <v>49</v>
      </c>
      <c r="U283" s="4" t="str">
        <f>TEXT(Table1[[#This Row],[Expected Business Month]],"YYYY")</f>
        <v>2024</v>
      </c>
    </row>
    <row r="284" spans="1:21" hidden="1">
      <c r="A284" s="19">
        <v>45628</v>
      </c>
      <c r="B284" s="4" t="s">
        <v>546</v>
      </c>
      <c r="C284" s="4" t="s">
        <v>225</v>
      </c>
      <c r="D284" s="4" t="s">
        <v>195</v>
      </c>
      <c r="E284" s="4" t="s">
        <v>141</v>
      </c>
      <c r="F284" s="4" t="s">
        <v>547</v>
      </c>
      <c r="G284" s="17" t="s">
        <v>240</v>
      </c>
      <c r="J284" s="31">
        <v>45627</v>
      </c>
      <c r="K284" s="4" t="s">
        <v>220</v>
      </c>
      <c r="L284" s="4" t="s">
        <v>16</v>
      </c>
      <c r="M284" s="4" t="s">
        <v>221</v>
      </c>
      <c r="O284" s="20"/>
      <c r="S284" s="4" t="str">
        <f>TEXT(Table1[[#This Row],[Date]],"MMM-YY")</f>
        <v>Dec-24</v>
      </c>
      <c r="T284" s="4">
        <f>_xlfn.ISOWEEKNUM(Table1[[#This Row],[Date]])</f>
        <v>49</v>
      </c>
      <c r="U284" s="4" t="str">
        <f>TEXT(Table1[[#This Row],[Expected Business Month]],"YYYY")</f>
        <v>2024</v>
      </c>
    </row>
    <row r="285" spans="1:21" hidden="1">
      <c r="A285" s="19">
        <v>45628</v>
      </c>
      <c r="B285" s="4" t="s">
        <v>574</v>
      </c>
      <c r="C285" s="4" t="s">
        <v>225</v>
      </c>
      <c r="D285" s="4" t="s">
        <v>195</v>
      </c>
      <c r="E285" s="4" t="s">
        <v>145</v>
      </c>
      <c r="F285" s="4" t="s">
        <v>297</v>
      </c>
      <c r="G285" s="17" t="s">
        <v>240</v>
      </c>
      <c r="J285" s="31">
        <v>45627</v>
      </c>
      <c r="K285" s="4" t="s">
        <v>220</v>
      </c>
      <c r="L285" s="21" t="s">
        <v>16</v>
      </c>
      <c r="M285" s="4" t="s">
        <v>235</v>
      </c>
      <c r="O285" s="20"/>
      <c r="S285" s="4" t="str">
        <f>TEXT(Table1[[#This Row],[Date]],"MMM-YY")</f>
        <v>Dec-24</v>
      </c>
      <c r="T285" s="4">
        <f>_xlfn.ISOWEEKNUM(Table1[[#This Row],[Date]])</f>
        <v>49</v>
      </c>
      <c r="U285" s="4" t="str">
        <f>TEXT(Table1[[#This Row],[Expected Business Month]],"YYYY")</f>
        <v>2024</v>
      </c>
    </row>
    <row r="286" spans="1:21" hidden="1">
      <c r="A286" s="19">
        <v>45628</v>
      </c>
      <c r="B286" s="4" t="s">
        <v>360</v>
      </c>
      <c r="C286" s="4" t="s">
        <v>225</v>
      </c>
      <c r="D286" s="4" t="s">
        <v>195</v>
      </c>
      <c r="E286" s="4" t="s">
        <v>71</v>
      </c>
      <c r="F286" s="4" t="s">
        <v>479</v>
      </c>
      <c r="G286" s="17" t="s">
        <v>240</v>
      </c>
      <c r="J286" s="31">
        <v>45689</v>
      </c>
      <c r="K286" s="4" t="s">
        <v>220</v>
      </c>
      <c r="L286" s="21" t="s">
        <v>16</v>
      </c>
      <c r="M286" s="4" t="s">
        <v>235</v>
      </c>
      <c r="O286" s="20"/>
      <c r="S286" s="4" t="str">
        <f>TEXT(Table1[[#This Row],[Date]],"MMM-YY")</f>
        <v>Dec-24</v>
      </c>
      <c r="T286" s="4">
        <f>_xlfn.ISOWEEKNUM(Table1[[#This Row],[Date]])</f>
        <v>49</v>
      </c>
      <c r="U286" s="4" t="str">
        <f>TEXT(Table1[[#This Row],[Expected Business Month]],"YYYY")</f>
        <v>2025</v>
      </c>
    </row>
    <row r="287" spans="1:21" hidden="1">
      <c r="A287" s="19">
        <v>45628</v>
      </c>
      <c r="B287" s="4" t="s">
        <v>222</v>
      </c>
      <c r="C287" s="4" t="s">
        <v>225</v>
      </c>
      <c r="D287" s="4" t="s">
        <v>195</v>
      </c>
      <c r="E287" s="4" t="s">
        <v>41</v>
      </c>
      <c r="F287" s="4" t="s">
        <v>223</v>
      </c>
      <c r="G287" s="17" t="s">
        <v>240</v>
      </c>
      <c r="J287" s="31">
        <v>45689</v>
      </c>
      <c r="K287" s="4" t="s">
        <v>220</v>
      </c>
      <c r="L287" s="21" t="s">
        <v>16</v>
      </c>
      <c r="M287" s="4" t="s">
        <v>235</v>
      </c>
      <c r="O287" s="20"/>
      <c r="S287" s="4" t="str">
        <f>TEXT(Table1[[#This Row],[Date]],"MMM-YY")</f>
        <v>Dec-24</v>
      </c>
      <c r="T287" s="4">
        <f>_xlfn.ISOWEEKNUM(Table1[[#This Row],[Date]])</f>
        <v>49</v>
      </c>
      <c r="U287" s="4" t="str">
        <f>TEXT(Table1[[#This Row],[Expected Business Month]],"YYYY")</f>
        <v>2025</v>
      </c>
    </row>
    <row r="288" spans="1:21" hidden="1">
      <c r="A288" s="19">
        <v>45628</v>
      </c>
      <c r="B288" s="4" t="s">
        <v>230</v>
      </c>
      <c r="C288" s="4" t="s">
        <v>217</v>
      </c>
      <c r="D288" s="4" t="s">
        <v>183</v>
      </c>
      <c r="E288" s="4" t="s">
        <v>21</v>
      </c>
      <c r="F288" s="4" t="s">
        <v>437</v>
      </c>
      <c r="G288" s="17" t="s">
        <v>240</v>
      </c>
      <c r="J288" s="31">
        <v>45627</v>
      </c>
      <c r="K288" s="4" t="s">
        <v>220</v>
      </c>
      <c r="L288" s="4" t="s">
        <v>16</v>
      </c>
      <c r="M288" s="4" t="s">
        <v>235</v>
      </c>
      <c r="O288" s="20"/>
      <c r="S288" s="4" t="str">
        <f>TEXT(Table1[[#This Row],[Date]],"MMM-YY")</f>
        <v>Dec-24</v>
      </c>
      <c r="T288" s="4">
        <f>_xlfn.ISOWEEKNUM(Table1[[#This Row],[Date]])</f>
        <v>49</v>
      </c>
      <c r="U288" s="4" t="str">
        <f>TEXT(Table1[[#This Row],[Expected Business Month]],"YYYY")</f>
        <v>2024</v>
      </c>
    </row>
    <row r="289" spans="1:21" hidden="1">
      <c r="A289" s="19">
        <v>45628</v>
      </c>
      <c r="B289" s="4" t="s">
        <v>230</v>
      </c>
      <c r="C289" s="4" t="s">
        <v>225</v>
      </c>
      <c r="D289" s="4" t="s">
        <v>183</v>
      </c>
      <c r="E289" s="4" t="s">
        <v>21</v>
      </c>
      <c r="F289" s="4" t="s">
        <v>231</v>
      </c>
      <c r="G289" s="17" t="s">
        <v>240</v>
      </c>
      <c r="J289" s="31">
        <v>45627</v>
      </c>
      <c r="K289" s="4" t="s">
        <v>220</v>
      </c>
      <c r="L289" s="4" t="s">
        <v>16</v>
      </c>
      <c r="M289" s="4" t="s">
        <v>235</v>
      </c>
      <c r="O289" s="20"/>
      <c r="S289" s="4" t="str">
        <f>TEXT(Table1[[#This Row],[Date]],"MMM-YY")</f>
        <v>Dec-24</v>
      </c>
      <c r="T289" s="4">
        <f>_xlfn.ISOWEEKNUM(Table1[[#This Row],[Date]])</f>
        <v>49</v>
      </c>
      <c r="U289" s="4" t="str">
        <f>TEXT(Table1[[#This Row],[Expected Business Month]],"YYYY")</f>
        <v>2024</v>
      </c>
    </row>
    <row r="290" spans="1:21" hidden="1">
      <c r="A290" s="19">
        <v>45628</v>
      </c>
      <c r="B290" s="4" t="s">
        <v>282</v>
      </c>
      <c r="C290" s="4" t="s">
        <v>217</v>
      </c>
      <c r="D290" s="4" t="s">
        <v>195</v>
      </c>
      <c r="E290" s="4" t="s">
        <v>165</v>
      </c>
      <c r="F290" s="4" t="s">
        <v>283</v>
      </c>
      <c r="G290" s="17" t="s">
        <v>240</v>
      </c>
      <c r="H290" s="4">
        <v>400000</v>
      </c>
      <c r="J290" s="31">
        <v>45627</v>
      </c>
      <c r="K290" s="4" t="s">
        <v>234</v>
      </c>
      <c r="L290" s="21" t="s">
        <v>11</v>
      </c>
      <c r="M290" s="4" t="s">
        <v>235</v>
      </c>
      <c r="O290" s="20"/>
      <c r="S290" s="4" t="str">
        <f>TEXT(Table1[[#This Row],[Date]],"MMM-YY")</f>
        <v>Dec-24</v>
      </c>
      <c r="T290" s="4">
        <f>_xlfn.ISOWEEKNUM(Table1[[#This Row],[Date]])</f>
        <v>49</v>
      </c>
      <c r="U290" s="4" t="str">
        <f>TEXT(Table1[[#This Row],[Expected Business Month]],"YYYY")</f>
        <v>2024</v>
      </c>
    </row>
    <row r="291" spans="1:21" hidden="1">
      <c r="A291" s="19">
        <v>45628</v>
      </c>
      <c r="B291" s="4" t="s">
        <v>238</v>
      </c>
      <c r="C291" s="4" t="s">
        <v>217</v>
      </c>
      <c r="D291" s="4" t="s">
        <v>195</v>
      </c>
      <c r="E291" s="4" t="s">
        <v>145</v>
      </c>
      <c r="F291" s="4" t="s">
        <v>642</v>
      </c>
      <c r="G291" s="17" t="s">
        <v>240</v>
      </c>
      <c r="J291" s="31">
        <v>45627</v>
      </c>
      <c r="K291" s="4" t="s">
        <v>220</v>
      </c>
      <c r="L291" s="4" t="s">
        <v>16</v>
      </c>
      <c r="M291" s="4" t="s">
        <v>235</v>
      </c>
      <c r="O291" s="20"/>
      <c r="S291" s="4" t="str">
        <f>TEXT(Table1[[#This Row],[Date]],"MMM-YY")</f>
        <v>Dec-24</v>
      </c>
      <c r="T291" s="4">
        <f>_xlfn.ISOWEEKNUM(Table1[[#This Row],[Date]])</f>
        <v>49</v>
      </c>
      <c r="U291" s="4" t="str">
        <f>TEXT(Table1[[#This Row],[Expected Business Month]],"YYYY")</f>
        <v>2024</v>
      </c>
    </row>
    <row r="292" spans="1:21">
      <c r="A292" s="19">
        <v>45628</v>
      </c>
      <c r="B292" s="4" t="s">
        <v>238</v>
      </c>
      <c r="C292" s="4" t="s">
        <v>217</v>
      </c>
      <c r="D292" s="4" t="s">
        <v>195</v>
      </c>
      <c r="E292" s="4" t="s">
        <v>145</v>
      </c>
      <c r="F292" s="4" t="s">
        <v>642</v>
      </c>
      <c r="G292" s="17" t="s">
        <v>240</v>
      </c>
      <c r="H292" s="4">
        <v>15700</v>
      </c>
      <c r="I292" s="4">
        <v>15700</v>
      </c>
      <c r="J292" s="31">
        <v>45627</v>
      </c>
      <c r="K292" s="4" t="s">
        <v>596</v>
      </c>
      <c r="L292" s="21" t="s">
        <v>17</v>
      </c>
      <c r="M292" s="4" t="s">
        <v>235</v>
      </c>
      <c r="O292" s="20"/>
      <c r="S292" s="4" t="str">
        <f>TEXT(Table1[[#This Row],[Date]],"MMM-YY")</f>
        <v>Dec-24</v>
      </c>
      <c r="T292" s="4">
        <f>_xlfn.ISOWEEKNUM(Table1[[#This Row],[Date]])</f>
        <v>49</v>
      </c>
      <c r="U292" s="4" t="str">
        <f>TEXT(Table1[[#This Row],[Expected Business Month]],"YYYY")</f>
        <v>2024</v>
      </c>
    </row>
    <row r="293" spans="1:21" hidden="1">
      <c r="A293" s="19">
        <v>45628</v>
      </c>
      <c r="B293" s="4" t="s">
        <v>568</v>
      </c>
      <c r="C293" s="4" t="s">
        <v>225</v>
      </c>
      <c r="D293" s="4" t="s">
        <v>195</v>
      </c>
      <c r="E293" s="4" t="s">
        <v>81</v>
      </c>
      <c r="F293" s="4" t="s">
        <v>569</v>
      </c>
      <c r="G293" s="17" t="s">
        <v>240</v>
      </c>
      <c r="J293" s="31">
        <v>45689</v>
      </c>
      <c r="K293" s="4" t="s">
        <v>220</v>
      </c>
      <c r="L293" s="21" t="s">
        <v>16</v>
      </c>
      <c r="M293" s="4" t="s">
        <v>235</v>
      </c>
      <c r="O293" s="20"/>
      <c r="S293" s="4" t="str">
        <f>TEXT(Table1[[#This Row],[Date]],"MMM-YY")</f>
        <v>Dec-24</v>
      </c>
      <c r="T293" s="4">
        <f>_xlfn.ISOWEEKNUM(Table1[[#This Row],[Date]])</f>
        <v>49</v>
      </c>
      <c r="U293" s="4" t="str">
        <f>TEXT(Table1[[#This Row],[Expected Business Month]],"YYYY")</f>
        <v>2025</v>
      </c>
    </row>
    <row r="294" spans="1:21" hidden="1">
      <c r="A294" s="19">
        <v>45628</v>
      </c>
      <c r="B294" s="4" t="s">
        <v>380</v>
      </c>
      <c r="C294" s="4" t="s">
        <v>217</v>
      </c>
      <c r="D294" s="4" t="s">
        <v>195</v>
      </c>
      <c r="E294" s="4" t="s">
        <v>99</v>
      </c>
      <c r="F294" s="4" t="s">
        <v>381</v>
      </c>
      <c r="G294" s="17" t="s">
        <v>240</v>
      </c>
      <c r="J294" s="31">
        <v>45627</v>
      </c>
      <c r="K294" s="4" t="s">
        <v>220</v>
      </c>
      <c r="L294" s="4" t="s">
        <v>16</v>
      </c>
      <c r="M294" s="4" t="s">
        <v>221</v>
      </c>
      <c r="O294" s="20"/>
      <c r="S294" s="4" t="str">
        <f>TEXT(Table1[[#This Row],[Date]],"MMM-YY")</f>
        <v>Dec-24</v>
      </c>
      <c r="T294" s="4">
        <f>_xlfn.ISOWEEKNUM(Table1[[#This Row],[Date]])</f>
        <v>49</v>
      </c>
      <c r="U294" s="4" t="str">
        <f>TEXT(Table1[[#This Row],[Expected Business Month]],"YYYY")</f>
        <v>2024</v>
      </c>
    </row>
    <row r="295" spans="1:21" hidden="1">
      <c r="A295" s="19">
        <v>45628</v>
      </c>
      <c r="B295" s="4" t="s">
        <v>284</v>
      </c>
      <c r="C295" s="4" t="s">
        <v>217</v>
      </c>
      <c r="D295" s="4" t="s">
        <v>195</v>
      </c>
      <c r="E295" s="4" t="s">
        <v>26</v>
      </c>
      <c r="F295" s="4" t="s">
        <v>285</v>
      </c>
      <c r="G295" s="17" t="s">
        <v>240</v>
      </c>
      <c r="J295" s="31">
        <v>45627</v>
      </c>
      <c r="K295" s="4" t="s">
        <v>220</v>
      </c>
      <c r="L295" s="21" t="s">
        <v>16</v>
      </c>
      <c r="M295" s="4" t="s">
        <v>235</v>
      </c>
      <c r="O295" s="20"/>
      <c r="S295" s="4" t="str">
        <f>TEXT(Table1[[#This Row],[Date]],"MMM-YY")</f>
        <v>Dec-24</v>
      </c>
      <c r="T295" s="4">
        <f>_xlfn.ISOWEEKNUM(Table1[[#This Row],[Date]])</f>
        <v>49</v>
      </c>
      <c r="U295" s="4" t="str">
        <f>TEXT(Table1[[#This Row],[Expected Business Month]],"YYYY")</f>
        <v>2024</v>
      </c>
    </row>
    <row r="296" spans="1:21" hidden="1">
      <c r="A296" s="19">
        <v>45628</v>
      </c>
      <c r="B296" s="4" t="s">
        <v>298</v>
      </c>
      <c r="C296" s="4" t="s">
        <v>225</v>
      </c>
      <c r="D296" s="4" t="s">
        <v>195</v>
      </c>
      <c r="E296" s="4" t="s">
        <v>81</v>
      </c>
      <c r="F296" s="4" t="s">
        <v>299</v>
      </c>
      <c r="G296" s="17" t="s">
        <v>240</v>
      </c>
      <c r="J296" s="31">
        <v>45689</v>
      </c>
      <c r="K296" s="4" t="s">
        <v>220</v>
      </c>
      <c r="L296" s="21" t="s">
        <v>16</v>
      </c>
      <c r="M296" s="4" t="s">
        <v>235</v>
      </c>
      <c r="O296" s="20"/>
      <c r="S296" s="4" t="str">
        <f>TEXT(Table1[[#This Row],[Date]],"MMM-YY")</f>
        <v>Dec-24</v>
      </c>
      <c r="T296" s="4">
        <f>_xlfn.ISOWEEKNUM(Table1[[#This Row],[Date]])</f>
        <v>49</v>
      </c>
      <c r="U296" s="4" t="str">
        <f>TEXT(Table1[[#This Row],[Expected Business Month]],"YYYY")</f>
        <v>2025</v>
      </c>
    </row>
    <row r="297" spans="1:21" hidden="1">
      <c r="A297" s="19">
        <v>45628</v>
      </c>
      <c r="B297" s="4" t="s">
        <v>555</v>
      </c>
      <c r="C297" s="4" t="s">
        <v>217</v>
      </c>
      <c r="D297" s="4" t="s">
        <v>195</v>
      </c>
      <c r="E297" s="4" t="s">
        <v>26</v>
      </c>
      <c r="F297" s="4" t="s">
        <v>556</v>
      </c>
      <c r="G297" s="17" t="s">
        <v>240</v>
      </c>
      <c r="J297" s="31">
        <v>45689</v>
      </c>
      <c r="K297" s="4" t="s">
        <v>220</v>
      </c>
      <c r="L297" s="21" t="s">
        <v>16</v>
      </c>
      <c r="M297" s="4" t="s">
        <v>235</v>
      </c>
      <c r="O297" s="20"/>
      <c r="S297" s="4" t="str">
        <f>TEXT(Table1[[#This Row],[Date]],"MMM-YY")</f>
        <v>Dec-24</v>
      </c>
      <c r="T297" s="4">
        <f>_xlfn.ISOWEEKNUM(Table1[[#This Row],[Date]])</f>
        <v>49</v>
      </c>
      <c r="U297" s="4" t="str">
        <f>TEXT(Table1[[#This Row],[Expected Business Month]],"YYYY")</f>
        <v>2025</v>
      </c>
    </row>
    <row r="298" spans="1:21" hidden="1">
      <c r="A298" s="19">
        <v>45628</v>
      </c>
      <c r="B298" s="4" t="s">
        <v>439</v>
      </c>
      <c r="C298" s="4" t="s">
        <v>217</v>
      </c>
      <c r="D298" s="4" t="s">
        <v>183</v>
      </c>
      <c r="E298" s="4" t="s">
        <v>21</v>
      </c>
      <c r="F298" s="4" t="s">
        <v>440</v>
      </c>
      <c r="G298" s="17" t="s">
        <v>240</v>
      </c>
      <c r="J298" s="31">
        <v>45689</v>
      </c>
      <c r="K298" s="4" t="s">
        <v>220</v>
      </c>
      <c r="L298" s="4" t="s">
        <v>16</v>
      </c>
      <c r="M298" s="4" t="s">
        <v>221</v>
      </c>
      <c r="O298" s="20"/>
      <c r="S298" s="4" t="str">
        <f>TEXT(Table1[[#This Row],[Date]],"MMM-YY")</f>
        <v>Dec-24</v>
      </c>
      <c r="T298" s="4">
        <f>_xlfn.ISOWEEKNUM(Table1[[#This Row],[Date]])</f>
        <v>49</v>
      </c>
      <c r="U298" s="4" t="str">
        <f>TEXT(Table1[[#This Row],[Expected Business Month]],"YYYY")</f>
        <v>2025</v>
      </c>
    </row>
    <row r="299" spans="1:21" hidden="1">
      <c r="A299" s="19">
        <v>45628</v>
      </c>
      <c r="B299" s="4" t="s">
        <v>384</v>
      </c>
      <c r="C299" s="4" t="s">
        <v>225</v>
      </c>
      <c r="D299" s="4" t="s">
        <v>195</v>
      </c>
      <c r="E299" s="4" t="s">
        <v>87</v>
      </c>
      <c r="F299" s="4" t="s">
        <v>385</v>
      </c>
      <c r="G299" s="17" t="s">
        <v>240</v>
      </c>
      <c r="J299" s="31">
        <v>45689</v>
      </c>
      <c r="K299" s="4" t="s">
        <v>220</v>
      </c>
      <c r="L299" s="4" t="s">
        <v>16</v>
      </c>
      <c r="M299" s="4" t="s">
        <v>221</v>
      </c>
      <c r="O299" s="20"/>
      <c r="S299" s="4" t="str">
        <f>TEXT(Table1[[#This Row],[Date]],"MMM-YY")</f>
        <v>Dec-24</v>
      </c>
      <c r="T299" s="4">
        <f>_xlfn.ISOWEEKNUM(Table1[[#This Row],[Date]])</f>
        <v>49</v>
      </c>
      <c r="U299" s="4" t="str">
        <f>TEXT(Table1[[#This Row],[Expected Business Month]],"YYYY")</f>
        <v>2025</v>
      </c>
    </row>
    <row r="300" spans="1:21" hidden="1">
      <c r="A300" s="19">
        <v>45628</v>
      </c>
      <c r="B300" s="4" t="s">
        <v>382</v>
      </c>
      <c r="C300" s="4" t="s">
        <v>217</v>
      </c>
      <c r="D300" s="4" t="s">
        <v>195</v>
      </c>
      <c r="E300" s="4" t="s">
        <v>26</v>
      </c>
      <c r="F300" s="4" t="s">
        <v>383</v>
      </c>
      <c r="G300" s="17" t="s">
        <v>240</v>
      </c>
      <c r="J300" s="31">
        <v>45627</v>
      </c>
      <c r="K300" s="4" t="s">
        <v>220</v>
      </c>
      <c r="L300" s="4" t="s">
        <v>16</v>
      </c>
      <c r="M300" s="4" t="s">
        <v>221</v>
      </c>
      <c r="O300" s="20"/>
      <c r="S300" s="4" t="str">
        <f>TEXT(Table1[[#This Row],[Date]],"MMM-YY")</f>
        <v>Dec-24</v>
      </c>
      <c r="T300" s="4">
        <f>_xlfn.ISOWEEKNUM(Table1[[#This Row],[Date]])</f>
        <v>49</v>
      </c>
      <c r="U300" s="4" t="str">
        <f>TEXT(Table1[[#This Row],[Expected Business Month]],"YYYY")</f>
        <v>2024</v>
      </c>
    </row>
    <row r="301" spans="1:21" hidden="1">
      <c r="A301" s="19">
        <v>45628</v>
      </c>
      <c r="B301" s="4" t="s">
        <v>378</v>
      </c>
      <c r="C301" s="4" t="s">
        <v>225</v>
      </c>
      <c r="D301" s="4" t="s">
        <v>195</v>
      </c>
      <c r="E301" s="4" t="s">
        <v>101</v>
      </c>
      <c r="F301" s="4" t="s">
        <v>379</v>
      </c>
      <c r="G301" s="17" t="s">
        <v>240</v>
      </c>
      <c r="J301" s="31">
        <v>45689</v>
      </c>
      <c r="K301" s="4" t="s">
        <v>220</v>
      </c>
      <c r="L301" s="21" t="s">
        <v>16</v>
      </c>
      <c r="M301" s="4" t="s">
        <v>235</v>
      </c>
      <c r="O301" s="20"/>
      <c r="S301" s="4" t="str">
        <f>TEXT(Table1[[#This Row],[Date]],"MMM-YY")</f>
        <v>Dec-24</v>
      </c>
      <c r="T301" s="4">
        <f>_xlfn.ISOWEEKNUM(Table1[[#This Row],[Date]])</f>
        <v>49</v>
      </c>
      <c r="U301" s="4" t="str">
        <f>TEXT(Table1[[#This Row],[Expected Business Month]],"YYYY")</f>
        <v>2025</v>
      </c>
    </row>
    <row r="302" spans="1:21" hidden="1">
      <c r="A302" s="19">
        <v>45628</v>
      </c>
      <c r="B302" s="4" t="s">
        <v>265</v>
      </c>
      <c r="C302" s="4" t="s">
        <v>225</v>
      </c>
      <c r="D302" s="4" t="s">
        <v>195</v>
      </c>
      <c r="E302" s="4" t="s">
        <v>63</v>
      </c>
      <c r="F302" s="4" t="s">
        <v>266</v>
      </c>
      <c r="G302" s="17" t="s">
        <v>240</v>
      </c>
      <c r="J302" s="31">
        <v>45689</v>
      </c>
      <c r="K302" s="4" t="s">
        <v>220</v>
      </c>
      <c r="L302" s="4" t="s">
        <v>16</v>
      </c>
      <c r="M302" s="4" t="s">
        <v>538</v>
      </c>
      <c r="O302" s="20"/>
      <c r="S302" s="4" t="str">
        <f>TEXT(Table1[[#This Row],[Date]],"MMM-YY")</f>
        <v>Dec-24</v>
      </c>
      <c r="T302" s="4">
        <f>_xlfn.ISOWEEKNUM(Table1[[#This Row],[Date]])</f>
        <v>49</v>
      </c>
      <c r="U302" s="4" t="str">
        <f>TEXT(Table1[[#This Row],[Expected Business Month]],"YYYY")</f>
        <v>2025</v>
      </c>
    </row>
    <row r="303" spans="1:21" hidden="1">
      <c r="A303" s="19">
        <v>45628</v>
      </c>
      <c r="B303" s="4" t="s">
        <v>572</v>
      </c>
      <c r="C303" s="4" t="s">
        <v>225</v>
      </c>
      <c r="D303" s="4" t="s">
        <v>195</v>
      </c>
      <c r="E303" s="4" t="s">
        <v>12</v>
      </c>
      <c r="F303" s="4" t="s">
        <v>573</v>
      </c>
      <c r="G303" s="17" t="s">
        <v>240</v>
      </c>
      <c r="J303" s="31">
        <v>45748</v>
      </c>
      <c r="K303" s="4" t="s">
        <v>220</v>
      </c>
      <c r="L303" s="21" t="s">
        <v>16</v>
      </c>
      <c r="M303" s="4" t="s">
        <v>235</v>
      </c>
      <c r="O303" s="20"/>
      <c r="S303" s="4" t="str">
        <f>TEXT(Table1[[#This Row],[Date]],"MMM-YY")</f>
        <v>Dec-24</v>
      </c>
      <c r="T303" s="4">
        <f>_xlfn.ISOWEEKNUM(Table1[[#This Row],[Date]])</f>
        <v>49</v>
      </c>
      <c r="U303" s="4" t="str">
        <f>TEXT(Table1[[#This Row],[Expected Business Month]],"YYYY")</f>
        <v>2025</v>
      </c>
    </row>
    <row r="304" spans="1:21" hidden="1">
      <c r="A304" s="19">
        <v>45628</v>
      </c>
      <c r="B304" s="4" t="s">
        <v>626</v>
      </c>
      <c r="C304" s="4" t="s">
        <v>217</v>
      </c>
      <c r="D304" s="4" t="s">
        <v>195</v>
      </c>
      <c r="E304" s="4" t="s">
        <v>26</v>
      </c>
      <c r="F304" s="4" t="s">
        <v>612</v>
      </c>
      <c r="G304" s="17" t="s">
        <v>240</v>
      </c>
      <c r="J304" s="31">
        <v>45627</v>
      </c>
      <c r="K304" s="4" t="s">
        <v>220</v>
      </c>
      <c r="L304" s="21" t="s">
        <v>16</v>
      </c>
      <c r="M304" s="4" t="s">
        <v>235</v>
      </c>
      <c r="O304" s="20"/>
      <c r="S304" s="4" t="str">
        <f>TEXT(Table1[[#This Row],[Date]],"MMM-YY")</f>
        <v>Dec-24</v>
      </c>
      <c r="T304" s="4">
        <f>_xlfn.ISOWEEKNUM(Table1[[#This Row],[Date]])</f>
        <v>49</v>
      </c>
      <c r="U304" s="4" t="str">
        <f>TEXT(Table1[[#This Row],[Expected Business Month]],"YYYY")</f>
        <v>2024</v>
      </c>
    </row>
    <row r="305" spans="1:21" hidden="1">
      <c r="A305" s="19">
        <v>45628</v>
      </c>
      <c r="B305" s="4" t="s">
        <v>258</v>
      </c>
      <c r="C305" s="4" t="s">
        <v>217</v>
      </c>
      <c r="D305" s="4" t="s">
        <v>195</v>
      </c>
      <c r="E305" s="4" t="s">
        <v>145</v>
      </c>
      <c r="F305" s="4" t="s">
        <v>257</v>
      </c>
      <c r="G305" s="17" t="s">
        <v>240</v>
      </c>
      <c r="J305" s="31">
        <v>45627</v>
      </c>
      <c r="K305" s="4" t="s">
        <v>220</v>
      </c>
      <c r="L305" s="4" t="s">
        <v>16</v>
      </c>
      <c r="M305" s="4" t="s">
        <v>538</v>
      </c>
      <c r="O305" s="20"/>
      <c r="S305" s="4" t="str">
        <f>TEXT(Table1[[#This Row],[Date]],"MMM-YY")</f>
        <v>Dec-24</v>
      </c>
      <c r="T305" s="4">
        <f>_xlfn.ISOWEEKNUM(Table1[[#This Row],[Date]])</f>
        <v>49</v>
      </c>
      <c r="U305" s="4" t="str">
        <f>TEXT(Table1[[#This Row],[Expected Business Month]],"YYYY")</f>
        <v>2024</v>
      </c>
    </row>
    <row r="306" spans="1:21" hidden="1">
      <c r="A306" s="19">
        <v>45628</v>
      </c>
      <c r="B306" s="4" t="s">
        <v>267</v>
      </c>
      <c r="C306" s="4" t="s">
        <v>217</v>
      </c>
      <c r="D306" s="4" t="s">
        <v>195</v>
      </c>
      <c r="E306" s="4" t="s">
        <v>32</v>
      </c>
      <c r="F306" s="4" t="s">
        <v>268</v>
      </c>
      <c r="G306" s="17" t="s">
        <v>240</v>
      </c>
      <c r="J306" s="31">
        <v>45627</v>
      </c>
      <c r="K306" s="4" t="s">
        <v>220</v>
      </c>
      <c r="L306" s="4" t="s">
        <v>16</v>
      </c>
      <c r="M306" s="4" t="s">
        <v>538</v>
      </c>
      <c r="O306" s="20"/>
      <c r="S306" s="4" t="str">
        <f>TEXT(Table1[[#This Row],[Date]],"MMM-YY")</f>
        <v>Dec-24</v>
      </c>
      <c r="T306" s="4">
        <f>_xlfn.ISOWEEKNUM(Table1[[#This Row],[Date]])</f>
        <v>49</v>
      </c>
      <c r="U306" s="4" t="str">
        <f>TEXT(Table1[[#This Row],[Expected Business Month]],"YYYY")</f>
        <v>2024</v>
      </c>
    </row>
    <row r="307" spans="1:21" hidden="1">
      <c r="A307" s="19">
        <v>45628</v>
      </c>
      <c r="B307" s="4" t="s">
        <v>391</v>
      </c>
      <c r="C307" s="4" t="s">
        <v>225</v>
      </c>
      <c r="D307" s="4" t="s">
        <v>195</v>
      </c>
      <c r="E307" s="4" t="s">
        <v>105</v>
      </c>
      <c r="F307" s="4" t="s">
        <v>392</v>
      </c>
      <c r="G307" s="17" t="s">
        <v>240</v>
      </c>
      <c r="J307" s="31">
        <v>45627</v>
      </c>
      <c r="K307" s="4" t="s">
        <v>220</v>
      </c>
      <c r="L307" s="21" t="s">
        <v>16</v>
      </c>
      <c r="M307" s="4" t="s">
        <v>235</v>
      </c>
      <c r="O307" s="20"/>
      <c r="S307" s="4" t="str">
        <f>TEXT(Table1[[#This Row],[Date]],"MMM-YY")</f>
        <v>Dec-24</v>
      </c>
      <c r="T307" s="4">
        <f>_xlfn.ISOWEEKNUM(Table1[[#This Row],[Date]])</f>
        <v>49</v>
      </c>
      <c r="U307" s="4" t="str">
        <f>TEXT(Table1[[#This Row],[Expected Business Month]],"YYYY")</f>
        <v>2024</v>
      </c>
    </row>
    <row r="308" spans="1:21" hidden="1">
      <c r="A308" s="19">
        <v>45628</v>
      </c>
      <c r="B308" s="4" t="s">
        <v>270</v>
      </c>
      <c r="C308" s="4" t="s">
        <v>217</v>
      </c>
      <c r="D308" s="4" t="s">
        <v>195</v>
      </c>
      <c r="E308" s="4" t="s">
        <v>26</v>
      </c>
      <c r="F308" s="4" t="s">
        <v>271</v>
      </c>
      <c r="G308" s="17" t="s">
        <v>240</v>
      </c>
      <c r="J308" s="31">
        <v>45627</v>
      </c>
      <c r="K308" s="4" t="s">
        <v>220</v>
      </c>
      <c r="L308" s="4" t="s">
        <v>16</v>
      </c>
      <c r="M308" s="4" t="s">
        <v>538</v>
      </c>
      <c r="O308" s="20"/>
      <c r="S308" s="4" t="str">
        <f>TEXT(Table1[[#This Row],[Date]],"MMM-YY")</f>
        <v>Dec-24</v>
      </c>
      <c r="T308" s="4">
        <f>_xlfn.ISOWEEKNUM(Table1[[#This Row],[Date]])</f>
        <v>49</v>
      </c>
      <c r="U308" s="4" t="str">
        <f>TEXT(Table1[[#This Row],[Expected Business Month]],"YYYY")</f>
        <v>2024</v>
      </c>
    </row>
    <row r="309" spans="1:21" hidden="1">
      <c r="A309" s="19">
        <v>45628</v>
      </c>
      <c r="B309" s="4" t="s">
        <v>575</v>
      </c>
      <c r="C309" s="4" t="s">
        <v>217</v>
      </c>
      <c r="D309" s="4" t="s">
        <v>195</v>
      </c>
      <c r="E309" s="4" t="s">
        <v>135</v>
      </c>
      <c r="F309" s="4" t="s">
        <v>576</v>
      </c>
      <c r="G309" s="17" t="s">
        <v>240</v>
      </c>
      <c r="J309" s="31">
        <v>45627</v>
      </c>
      <c r="K309" s="4" t="s">
        <v>220</v>
      </c>
      <c r="L309" s="4" t="s">
        <v>16</v>
      </c>
      <c r="M309" s="4" t="s">
        <v>538</v>
      </c>
      <c r="O309" s="20"/>
      <c r="S309" s="4" t="str">
        <f>TEXT(Table1[[#This Row],[Date]],"MMM-YY")</f>
        <v>Dec-24</v>
      </c>
      <c r="T309" s="4">
        <f>_xlfn.ISOWEEKNUM(Table1[[#This Row],[Date]])</f>
        <v>49</v>
      </c>
      <c r="U309" s="4" t="str">
        <f>TEXT(Table1[[#This Row],[Expected Business Month]],"YYYY")</f>
        <v>2024</v>
      </c>
    </row>
    <row r="310" spans="1:21" hidden="1">
      <c r="A310" s="19">
        <v>45635</v>
      </c>
      <c r="B310" s="4" t="s">
        <v>643</v>
      </c>
      <c r="C310" s="4" t="s">
        <v>225</v>
      </c>
      <c r="D310" s="4" t="s">
        <v>195</v>
      </c>
      <c r="E310" s="4" t="s">
        <v>101</v>
      </c>
      <c r="F310" s="4" t="s">
        <v>287</v>
      </c>
      <c r="G310" s="17" t="s">
        <v>240</v>
      </c>
      <c r="J310" s="31">
        <v>45689</v>
      </c>
      <c r="K310" s="4" t="s">
        <v>220</v>
      </c>
      <c r="L310" s="21" t="s">
        <v>16</v>
      </c>
      <c r="M310" s="4" t="s">
        <v>235</v>
      </c>
      <c r="O310" s="20"/>
      <c r="S310" s="4" t="str">
        <f>TEXT(Table1[[#This Row],[Date]],"MMM-YY")</f>
        <v>Dec-24</v>
      </c>
      <c r="T310" s="4">
        <f>_xlfn.ISOWEEKNUM(Table1[[#This Row],[Date]])</f>
        <v>50</v>
      </c>
      <c r="U310" s="4" t="str">
        <f>TEXT(Table1[[#This Row],[Expected Business Month]],"YYYY")</f>
        <v>2025</v>
      </c>
    </row>
    <row r="311" spans="1:21" hidden="1">
      <c r="A311" s="19">
        <v>45635</v>
      </c>
      <c r="B311" s="4" t="s">
        <v>557</v>
      </c>
      <c r="C311" s="4" t="s">
        <v>225</v>
      </c>
      <c r="D311" s="4" t="s">
        <v>389</v>
      </c>
      <c r="E311" s="4" t="s">
        <v>36</v>
      </c>
      <c r="F311" s="4" t="s">
        <v>558</v>
      </c>
      <c r="G311" s="17" t="s">
        <v>240</v>
      </c>
      <c r="J311" s="31">
        <v>45627</v>
      </c>
      <c r="K311" s="4" t="s">
        <v>220</v>
      </c>
      <c r="L311" s="4" t="s">
        <v>16</v>
      </c>
      <c r="M311" s="4" t="s">
        <v>538</v>
      </c>
      <c r="O311" s="20"/>
      <c r="S311" s="4" t="str">
        <f>TEXT(Table1[[#This Row],[Date]],"MMM-YY")</f>
        <v>Dec-24</v>
      </c>
      <c r="T311" s="4">
        <f>_xlfn.ISOWEEKNUM(Table1[[#This Row],[Date]])</f>
        <v>50</v>
      </c>
      <c r="U311" s="4" t="str">
        <f>TEXT(Table1[[#This Row],[Expected Business Month]],"YYYY")</f>
        <v>2024</v>
      </c>
    </row>
    <row r="312" spans="1:21" hidden="1">
      <c r="A312" s="19">
        <v>45635</v>
      </c>
      <c r="B312" s="4" t="s">
        <v>276</v>
      </c>
      <c r="C312" s="4" t="s">
        <v>225</v>
      </c>
      <c r="D312" s="4" t="s">
        <v>195</v>
      </c>
      <c r="E312" s="4" t="s">
        <v>67</v>
      </c>
      <c r="F312" s="4" t="s">
        <v>446</v>
      </c>
      <c r="G312" s="17" t="s">
        <v>240</v>
      </c>
      <c r="J312" s="31">
        <v>45689</v>
      </c>
      <c r="K312" s="4" t="s">
        <v>220</v>
      </c>
      <c r="L312" s="21" t="s">
        <v>16</v>
      </c>
      <c r="M312" s="4" t="s">
        <v>235</v>
      </c>
      <c r="O312" s="20"/>
      <c r="S312" s="4" t="str">
        <f>TEXT(Table1[[#This Row],[Date]],"MMM-YY")</f>
        <v>Dec-24</v>
      </c>
      <c r="T312" s="4">
        <f>_xlfn.ISOWEEKNUM(Table1[[#This Row],[Date]])</f>
        <v>50</v>
      </c>
      <c r="U312" s="4" t="str">
        <f>TEXT(Table1[[#This Row],[Expected Business Month]],"YYYY")</f>
        <v>2025</v>
      </c>
    </row>
    <row r="313" spans="1:21" hidden="1">
      <c r="A313" s="19">
        <v>45635</v>
      </c>
      <c r="B313" s="4" t="s">
        <v>644</v>
      </c>
      <c r="C313" s="4" t="s">
        <v>217</v>
      </c>
      <c r="D313" s="4" t="s">
        <v>195</v>
      </c>
      <c r="E313" s="4" t="s">
        <v>97</v>
      </c>
      <c r="F313" s="4" t="s">
        <v>645</v>
      </c>
      <c r="G313" s="17" t="s">
        <v>240</v>
      </c>
      <c r="J313" s="31">
        <v>45689</v>
      </c>
      <c r="K313" s="4" t="s">
        <v>220</v>
      </c>
      <c r="L313" s="4" t="s">
        <v>16</v>
      </c>
      <c r="M313" s="4" t="s">
        <v>538</v>
      </c>
      <c r="O313" s="20"/>
      <c r="S313" s="4" t="str">
        <f>TEXT(Table1[[#This Row],[Date]],"MMM-YY")</f>
        <v>Dec-24</v>
      </c>
      <c r="T313" s="4">
        <f>_xlfn.ISOWEEKNUM(Table1[[#This Row],[Date]])</f>
        <v>50</v>
      </c>
      <c r="U313" s="4" t="str">
        <f>TEXT(Table1[[#This Row],[Expected Business Month]],"YYYY")</f>
        <v>2025</v>
      </c>
    </row>
    <row r="314" spans="1:21" hidden="1">
      <c r="A314" s="19">
        <v>45635</v>
      </c>
      <c r="B314" s="4" t="s">
        <v>278</v>
      </c>
      <c r="C314" s="4" t="s">
        <v>217</v>
      </c>
      <c r="D314" s="4" t="s">
        <v>195</v>
      </c>
      <c r="E314" s="4" t="s">
        <v>69</v>
      </c>
      <c r="F314" s="4" t="s">
        <v>279</v>
      </c>
      <c r="G314" s="17" t="s">
        <v>240</v>
      </c>
      <c r="J314" s="31">
        <v>45689</v>
      </c>
      <c r="K314" s="4" t="s">
        <v>220</v>
      </c>
      <c r="L314" s="4" t="s">
        <v>16</v>
      </c>
      <c r="M314" s="4" t="s">
        <v>538</v>
      </c>
      <c r="O314" s="20"/>
      <c r="S314" s="4" t="str">
        <f>TEXT(Table1[[#This Row],[Date]],"MMM-YY")</f>
        <v>Dec-24</v>
      </c>
      <c r="T314" s="4">
        <f>_xlfn.ISOWEEKNUM(Table1[[#This Row],[Date]])</f>
        <v>50</v>
      </c>
      <c r="U314" s="4" t="str">
        <f>TEXT(Table1[[#This Row],[Expected Business Month]],"YYYY")</f>
        <v>2025</v>
      </c>
    </row>
    <row r="315" spans="1:21" hidden="1">
      <c r="A315" s="19">
        <v>45636</v>
      </c>
      <c r="B315" s="4" t="s">
        <v>300</v>
      </c>
      <c r="C315" s="4" t="s">
        <v>225</v>
      </c>
      <c r="D315" s="4" t="s">
        <v>21</v>
      </c>
      <c r="E315" s="4" t="s">
        <v>21</v>
      </c>
      <c r="F315" s="4" t="s">
        <v>447</v>
      </c>
      <c r="G315" s="17" t="s">
        <v>240</v>
      </c>
      <c r="J315" s="31">
        <v>45627</v>
      </c>
      <c r="K315" s="4" t="s">
        <v>220</v>
      </c>
      <c r="L315" s="21" t="s">
        <v>16</v>
      </c>
      <c r="M315" s="4" t="s">
        <v>235</v>
      </c>
      <c r="O315" s="20"/>
      <c r="S315" s="4" t="str">
        <f>TEXT(Table1[[#This Row],[Date]],"MMM-YY")</f>
        <v>Dec-24</v>
      </c>
      <c r="T315" s="4">
        <f>_xlfn.ISOWEEKNUM(Table1[[#This Row],[Date]])</f>
        <v>50</v>
      </c>
      <c r="U315" s="4" t="str">
        <f>TEXT(Table1[[#This Row],[Expected Business Month]],"YYYY")</f>
        <v>2024</v>
      </c>
    </row>
    <row r="316" spans="1:21" hidden="1">
      <c r="A316" s="19">
        <v>45636</v>
      </c>
      <c r="B316" s="4" t="s">
        <v>619</v>
      </c>
      <c r="C316" s="4" t="s">
        <v>225</v>
      </c>
      <c r="D316" s="4" t="s">
        <v>195</v>
      </c>
      <c r="E316" s="4" t="s">
        <v>145</v>
      </c>
      <c r="F316" s="4" t="s">
        <v>561</v>
      </c>
      <c r="G316" s="17" t="s">
        <v>240</v>
      </c>
      <c r="J316" s="31">
        <v>45627</v>
      </c>
      <c r="K316" s="4" t="s">
        <v>220</v>
      </c>
      <c r="L316" s="21" t="s">
        <v>16</v>
      </c>
      <c r="M316" s="4" t="s">
        <v>235</v>
      </c>
      <c r="O316" s="20"/>
      <c r="S316" s="4" t="str">
        <f>TEXT(Table1[[#This Row],[Date]],"MMM-YY")</f>
        <v>Dec-24</v>
      </c>
      <c r="T316" s="4">
        <f>_xlfn.ISOWEEKNUM(Table1[[#This Row],[Date]])</f>
        <v>50</v>
      </c>
      <c r="U316" s="4" t="str">
        <f>TEXT(Table1[[#This Row],[Expected Business Month]],"YYYY")</f>
        <v>2024</v>
      </c>
    </row>
    <row r="317" spans="1:21" hidden="1">
      <c r="A317" s="19">
        <v>45637</v>
      </c>
      <c r="B317" s="4" t="s">
        <v>375</v>
      </c>
      <c r="C317" s="4" t="s">
        <v>217</v>
      </c>
      <c r="D317" s="4" t="s">
        <v>195</v>
      </c>
      <c r="E317" s="4" t="s">
        <v>32</v>
      </c>
      <c r="F317" s="4" t="s">
        <v>376</v>
      </c>
      <c r="G317" s="17" t="s">
        <v>240</v>
      </c>
      <c r="J317" s="31">
        <v>45627</v>
      </c>
      <c r="K317" s="4" t="s">
        <v>220</v>
      </c>
      <c r="L317" s="4" t="s">
        <v>16</v>
      </c>
      <c r="M317" s="4" t="s">
        <v>538</v>
      </c>
      <c r="O317" s="20"/>
      <c r="S317" s="4" t="str">
        <f>TEXT(Table1[[#This Row],[Date]],"MMM-YY")</f>
        <v>Dec-24</v>
      </c>
      <c r="T317" s="4">
        <f>_xlfn.ISOWEEKNUM(Table1[[#This Row],[Date]])</f>
        <v>50</v>
      </c>
      <c r="U317" s="4" t="str">
        <f>TEXT(Table1[[#This Row],[Expected Business Month]],"YYYY")</f>
        <v>2024</v>
      </c>
    </row>
    <row r="318" spans="1:21" hidden="1">
      <c r="A318" s="19">
        <v>45637</v>
      </c>
      <c r="B318" s="4" t="s">
        <v>256</v>
      </c>
      <c r="C318" s="4" t="s">
        <v>225</v>
      </c>
      <c r="D318" s="4" t="s">
        <v>195</v>
      </c>
      <c r="E318" s="4" t="s">
        <v>26</v>
      </c>
      <c r="F318" s="4" t="s">
        <v>257</v>
      </c>
      <c r="G318" s="17" t="s">
        <v>240</v>
      </c>
      <c r="J318" s="31">
        <v>45689</v>
      </c>
      <c r="K318" s="4" t="s">
        <v>220</v>
      </c>
      <c r="L318" s="21" t="s">
        <v>16</v>
      </c>
      <c r="M318" s="4" t="s">
        <v>235</v>
      </c>
      <c r="O318" s="20"/>
      <c r="S318" s="4" t="str">
        <f>TEXT(Table1[[#This Row],[Date]],"MMM-YY")</f>
        <v>Dec-24</v>
      </c>
      <c r="T318" s="4">
        <f>_xlfn.ISOWEEKNUM(Table1[[#This Row],[Date]])</f>
        <v>50</v>
      </c>
      <c r="U318" s="4" t="str">
        <f>TEXT(Table1[[#This Row],[Expected Business Month]],"YYYY")</f>
        <v>2025</v>
      </c>
    </row>
    <row r="319" spans="1:21" hidden="1">
      <c r="A319" s="19">
        <v>45637</v>
      </c>
      <c r="B319" s="4" t="s">
        <v>241</v>
      </c>
      <c r="C319" s="4" t="s">
        <v>225</v>
      </c>
      <c r="D319" s="4" t="s">
        <v>195</v>
      </c>
      <c r="E319" s="4" t="s">
        <v>12</v>
      </c>
      <c r="F319" s="4" t="s">
        <v>242</v>
      </c>
      <c r="G319" s="17" t="s">
        <v>240</v>
      </c>
      <c r="J319" s="31">
        <v>45627</v>
      </c>
      <c r="K319" s="4" t="s">
        <v>220</v>
      </c>
      <c r="L319" s="21" t="s">
        <v>16</v>
      </c>
      <c r="M319" s="4" t="s">
        <v>235</v>
      </c>
      <c r="O319" s="20"/>
      <c r="S319" s="4" t="str">
        <f>TEXT(Table1[[#This Row],[Date]],"MMM-YY")</f>
        <v>Dec-24</v>
      </c>
      <c r="T319" s="4">
        <f>_xlfn.ISOWEEKNUM(Table1[[#This Row],[Date]])</f>
        <v>50</v>
      </c>
      <c r="U319" s="4" t="str">
        <f>TEXT(Table1[[#This Row],[Expected Business Month]],"YYYY")</f>
        <v>2024</v>
      </c>
    </row>
    <row r="320" spans="1:21" hidden="1">
      <c r="A320" s="19">
        <v>45637</v>
      </c>
      <c r="B320" s="4" t="s">
        <v>263</v>
      </c>
      <c r="C320" s="4" t="s">
        <v>225</v>
      </c>
      <c r="D320" s="4" t="s">
        <v>183</v>
      </c>
      <c r="E320" s="4" t="s">
        <v>21</v>
      </c>
      <c r="F320" s="4" t="s">
        <v>264</v>
      </c>
      <c r="G320" s="17" t="s">
        <v>240</v>
      </c>
      <c r="J320" s="31">
        <v>45689</v>
      </c>
      <c r="K320" s="4" t="s">
        <v>220</v>
      </c>
      <c r="L320" s="21" t="s">
        <v>16</v>
      </c>
      <c r="M320" s="4" t="s">
        <v>235</v>
      </c>
      <c r="O320" s="20"/>
      <c r="S320" s="4" t="str">
        <f>TEXT(Table1[[#This Row],[Date]],"MMM-YY")</f>
        <v>Dec-24</v>
      </c>
      <c r="T320" s="4">
        <f>_xlfn.ISOWEEKNUM(Table1[[#This Row],[Date]])</f>
        <v>50</v>
      </c>
      <c r="U320" s="4" t="str">
        <f>TEXT(Table1[[#This Row],[Expected Business Month]],"YYYY")</f>
        <v>2025</v>
      </c>
    </row>
    <row r="321" spans="1:21">
      <c r="A321" s="19">
        <v>45637</v>
      </c>
      <c r="B321" s="4" t="s">
        <v>560</v>
      </c>
      <c r="C321" s="4" t="s">
        <v>225</v>
      </c>
      <c r="D321" s="4" t="s">
        <v>195</v>
      </c>
      <c r="E321" s="4" t="s">
        <v>32</v>
      </c>
      <c r="F321" s="4" t="s">
        <v>561</v>
      </c>
      <c r="G321" s="17" t="s">
        <v>562</v>
      </c>
      <c r="H321" s="4">
        <v>32697</v>
      </c>
      <c r="I321" s="4">
        <v>32697</v>
      </c>
      <c r="J321" s="31">
        <v>45627</v>
      </c>
      <c r="K321" s="4" t="s">
        <v>220</v>
      </c>
      <c r="L321" s="4" t="s">
        <v>17</v>
      </c>
      <c r="M321" s="4" t="s">
        <v>235</v>
      </c>
      <c r="O321" s="20"/>
      <c r="S321" s="4" t="str">
        <f>TEXT(Table1[[#This Row],[Date]],"MMM-YY")</f>
        <v>Dec-24</v>
      </c>
      <c r="T321" s="4">
        <f>_xlfn.ISOWEEKNUM(Table1[[#This Row],[Date]])</f>
        <v>50</v>
      </c>
      <c r="U321" s="4" t="str">
        <f>TEXT(Table1[[#This Row],[Expected Business Month]],"YYYY")</f>
        <v>2024</v>
      </c>
    </row>
    <row r="322" spans="1:21">
      <c r="A322" s="19">
        <v>45637</v>
      </c>
      <c r="B322" s="4" t="s">
        <v>332</v>
      </c>
      <c r="C322" s="4" t="s">
        <v>217</v>
      </c>
      <c r="D322" s="4" t="s">
        <v>195</v>
      </c>
      <c r="E322" s="4" t="s">
        <v>61</v>
      </c>
      <c r="F322" s="4" t="s">
        <v>333</v>
      </c>
      <c r="G322" s="17" t="s">
        <v>562</v>
      </c>
      <c r="H322" s="4">
        <v>46948</v>
      </c>
      <c r="I322" s="4">
        <v>46948</v>
      </c>
      <c r="J322" s="31">
        <v>45627</v>
      </c>
      <c r="K322" s="4" t="s">
        <v>220</v>
      </c>
      <c r="L322" s="4" t="s">
        <v>17</v>
      </c>
      <c r="M322" s="4" t="s">
        <v>235</v>
      </c>
      <c r="S322" s="4" t="str">
        <f>TEXT(Table1[[#This Row],[Date]],"MMM-YY")</f>
        <v>Dec-24</v>
      </c>
      <c r="T322" s="4">
        <f>_xlfn.ISOWEEKNUM(Table1[[#This Row],[Date]])</f>
        <v>50</v>
      </c>
      <c r="U322" s="4" t="str">
        <f>TEXT(Table1[[#This Row],[Expected Business Month]],"YYYY")</f>
        <v>2024</v>
      </c>
    </row>
    <row r="323" spans="1:21" hidden="1">
      <c r="A323" s="19">
        <v>45638</v>
      </c>
      <c r="B323" s="4" t="s">
        <v>646</v>
      </c>
      <c r="C323" s="4" t="s">
        <v>217</v>
      </c>
      <c r="D323" s="4" t="s">
        <v>21</v>
      </c>
      <c r="E323" s="4" t="s">
        <v>21</v>
      </c>
      <c r="G323" s="17" t="s">
        <v>240</v>
      </c>
      <c r="J323" s="31">
        <v>45627</v>
      </c>
      <c r="K323" s="4" t="s">
        <v>220</v>
      </c>
      <c r="L323" s="21" t="s">
        <v>16</v>
      </c>
      <c r="M323" s="4" t="s">
        <v>235</v>
      </c>
      <c r="O323" s="20"/>
      <c r="S323" s="4" t="str">
        <f>TEXT(Table1[[#This Row],[Date]],"MMM-YY")</f>
        <v>Dec-24</v>
      </c>
      <c r="T323" s="4">
        <f>_xlfn.ISOWEEKNUM(Table1[[#This Row],[Date]])</f>
        <v>50</v>
      </c>
      <c r="U323" s="4" t="str">
        <f>TEXT(Table1[[#This Row],[Expected Business Month]],"YYYY")</f>
        <v>2024</v>
      </c>
    </row>
    <row r="324" spans="1:21">
      <c r="A324" s="19">
        <v>45638</v>
      </c>
      <c r="B324" s="4" t="s">
        <v>647</v>
      </c>
      <c r="C324" s="4" t="s">
        <v>217</v>
      </c>
      <c r="D324" s="4" t="s">
        <v>195</v>
      </c>
      <c r="E324" s="4" t="s">
        <v>167</v>
      </c>
      <c r="G324" s="17" t="s">
        <v>240</v>
      </c>
      <c r="H324" s="4">
        <v>27000</v>
      </c>
      <c r="I324" s="4">
        <v>27000</v>
      </c>
      <c r="J324" s="31">
        <v>45627</v>
      </c>
      <c r="K324" s="4" t="s">
        <v>220</v>
      </c>
      <c r="L324" s="4" t="s">
        <v>17</v>
      </c>
      <c r="M324" s="4" t="s">
        <v>235</v>
      </c>
      <c r="O324" s="20"/>
      <c r="S324" s="4" t="str">
        <f>TEXT(Table1[[#This Row],[Date]],"MMM-YY")</f>
        <v>Dec-24</v>
      </c>
      <c r="T324" s="4">
        <f>_xlfn.ISOWEEKNUM(Table1[[#This Row],[Date]])</f>
        <v>50</v>
      </c>
      <c r="U324" s="4" t="str">
        <f>TEXT(Table1[[#This Row],[Expected Business Month]],"YYYY")</f>
        <v>2024</v>
      </c>
    </row>
    <row r="325" spans="1:21">
      <c r="A325" s="19">
        <v>45638</v>
      </c>
      <c r="B325" s="4" t="s">
        <v>648</v>
      </c>
      <c r="C325" s="4" t="s">
        <v>217</v>
      </c>
      <c r="D325" s="4" t="s">
        <v>195</v>
      </c>
      <c r="E325" s="4" t="s">
        <v>21</v>
      </c>
      <c r="F325" s="4" t="s">
        <v>649</v>
      </c>
      <c r="G325" s="17" t="s">
        <v>240</v>
      </c>
      <c r="H325" s="4">
        <v>34932</v>
      </c>
      <c r="I325" s="4">
        <v>34932</v>
      </c>
      <c r="J325" s="31">
        <v>45627</v>
      </c>
      <c r="K325" s="4" t="s">
        <v>220</v>
      </c>
      <c r="L325" s="4" t="s">
        <v>17</v>
      </c>
      <c r="M325" s="4" t="s">
        <v>235</v>
      </c>
      <c r="O325" s="20"/>
      <c r="S325" s="4" t="str">
        <f>TEXT(Table1[[#This Row],[Date]],"MMM-YY")</f>
        <v>Dec-24</v>
      </c>
      <c r="T325" s="4">
        <f>_xlfn.ISOWEEKNUM(Table1[[#This Row],[Date]])</f>
        <v>50</v>
      </c>
      <c r="U325" s="4" t="str">
        <f>TEXT(Table1[[#This Row],[Expected Business Month]],"YYYY")</f>
        <v>2024</v>
      </c>
    </row>
    <row r="326" spans="1:21" hidden="1">
      <c r="A326" s="19">
        <v>45638</v>
      </c>
      <c r="B326" s="4" t="s">
        <v>650</v>
      </c>
      <c r="C326" s="4" t="s">
        <v>217</v>
      </c>
      <c r="D326" s="4" t="s">
        <v>21</v>
      </c>
      <c r="E326" s="4" t="s">
        <v>21</v>
      </c>
      <c r="F326" s="4" t="s">
        <v>612</v>
      </c>
      <c r="G326" s="17" t="s">
        <v>651</v>
      </c>
      <c r="J326" s="31">
        <v>45689</v>
      </c>
      <c r="K326" s="4" t="s">
        <v>220</v>
      </c>
      <c r="M326" s="4" t="s">
        <v>221</v>
      </c>
      <c r="P326" s="21"/>
      <c r="S326" s="4" t="str">
        <f>TEXT(Table1[[#This Row],[Date]],"MMM-YY")</f>
        <v>Dec-24</v>
      </c>
      <c r="T326" s="4">
        <f>_xlfn.ISOWEEKNUM(Table1[[#This Row],[Date]])</f>
        <v>50</v>
      </c>
      <c r="U326" s="4" t="str">
        <f>TEXT(Table1[[#This Row],[Expected Business Month]],"YYYY")</f>
        <v>2025</v>
      </c>
    </row>
    <row r="327" spans="1:21">
      <c r="A327" s="19">
        <v>45639</v>
      </c>
      <c r="B327" s="4" t="s">
        <v>652</v>
      </c>
      <c r="C327" s="4" t="s">
        <v>217</v>
      </c>
      <c r="D327" s="4" t="s">
        <v>195</v>
      </c>
      <c r="E327" s="4" t="s">
        <v>26</v>
      </c>
      <c r="F327" s="4" t="s">
        <v>653</v>
      </c>
      <c r="G327" s="17" t="s">
        <v>654</v>
      </c>
      <c r="H327" s="4">
        <v>26000</v>
      </c>
      <c r="I327" s="4">
        <v>26000</v>
      </c>
      <c r="J327" s="31">
        <v>45627</v>
      </c>
      <c r="K327" s="4" t="s">
        <v>220</v>
      </c>
      <c r="L327" s="4" t="s">
        <v>17</v>
      </c>
      <c r="M327" s="4" t="s">
        <v>235</v>
      </c>
      <c r="P327" s="21"/>
      <c r="S327" s="4" t="str">
        <f>TEXT(Table1[[#This Row],[Date]],"MMM-YY")</f>
        <v>Dec-24</v>
      </c>
      <c r="T327" s="4">
        <f>_xlfn.ISOWEEKNUM(Table1[[#This Row],[Date]])</f>
        <v>50</v>
      </c>
      <c r="U327" s="4" t="str">
        <f>TEXT(Table1[[#This Row],[Expected Business Month]],"YYYY")</f>
        <v>2024</v>
      </c>
    </row>
    <row r="328" spans="1:21" hidden="1">
      <c r="A328" s="19">
        <v>45639</v>
      </c>
      <c r="B328" s="4" t="s">
        <v>284</v>
      </c>
      <c r="C328" s="4" t="s">
        <v>225</v>
      </c>
      <c r="D328" s="4" t="s">
        <v>195</v>
      </c>
      <c r="E328" s="4" t="s">
        <v>26</v>
      </c>
      <c r="F328" s="4" t="s">
        <v>285</v>
      </c>
      <c r="G328" s="17" t="s">
        <v>240</v>
      </c>
      <c r="J328" s="31">
        <v>45627</v>
      </c>
      <c r="K328" s="4" t="s">
        <v>220</v>
      </c>
      <c r="L328" s="21" t="s">
        <v>16</v>
      </c>
      <c r="M328" s="4" t="s">
        <v>538</v>
      </c>
      <c r="P328" s="21"/>
      <c r="S328" s="4" t="str">
        <f>TEXT(Table1[[#This Row],[Date]],"MMM-YY")</f>
        <v>Dec-24</v>
      </c>
      <c r="T328" s="4">
        <f>_xlfn.ISOWEEKNUM(Table1[[#This Row],[Date]])</f>
        <v>50</v>
      </c>
      <c r="U328" s="4" t="str">
        <f>TEXT(Table1[[#This Row],[Expected Business Month]],"YYYY")</f>
        <v>2024</v>
      </c>
    </row>
    <row r="329" spans="1:21" hidden="1">
      <c r="A329" s="19">
        <v>45639</v>
      </c>
      <c r="B329" s="4" t="s">
        <v>568</v>
      </c>
      <c r="C329" s="4" t="s">
        <v>225</v>
      </c>
      <c r="D329" s="4" t="s">
        <v>195</v>
      </c>
      <c r="E329" s="4" t="s">
        <v>81</v>
      </c>
      <c r="F329" s="4" t="s">
        <v>569</v>
      </c>
      <c r="G329" s="17" t="s">
        <v>240</v>
      </c>
      <c r="J329" s="31">
        <v>45627</v>
      </c>
      <c r="K329" s="4" t="s">
        <v>220</v>
      </c>
      <c r="L329" s="21" t="s">
        <v>16</v>
      </c>
      <c r="M329" s="4" t="s">
        <v>538</v>
      </c>
      <c r="P329" s="21"/>
      <c r="S329" s="4" t="str">
        <f>TEXT(Table1[[#This Row],[Date]],"MMM-YY")</f>
        <v>Dec-24</v>
      </c>
      <c r="T329" s="4">
        <f>_xlfn.ISOWEEKNUM(Table1[[#This Row],[Date]])</f>
        <v>50</v>
      </c>
      <c r="U329" s="4" t="str">
        <f>TEXT(Table1[[#This Row],[Expected Business Month]],"YYYY")</f>
        <v>2024</v>
      </c>
    </row>
    <row r="330" spans="1:21" hidden="1">
      <c r="A330" s="19">
        <v>45639</v>
      </c>
      <c r="B330" s="4" t="s">
        <v>298</v>
      </c>
      <c r="C330" s="4" t="s">
        <v>225</v>
      </c>
      <c r="D330" s="4" t="s">
        <v>195</v>
      </c>
      <c r="E330" s="4" t="s">
        <v>81</v>
      </c>
      <c r="F330" s="4" t="s">
        <v>299</v>
      </c>
      <c r="G330" s="17" t="s">
        <v>240</v>
      </c>
      <c r="J330" s="31">
        <v>45627</v>
      </c>
      <c r="K330" s="4" t="s">
        <v>220</v>
      </c>
      <c r="L330" s="21" t="s">
        <v>16</v>
      </c>
      <c r="M330" s="4" t="s">
        <v>538</v>
      </c>
      <c r="P330" s="21"/>
      <c r="S330" s="4" t="str">
        <f>TEXT(Table1[[#This Row],[Date]],"MMM-YY")</f>
        <v>Dec-24</v>
      </c>
      <c r="T330" s="4">
        <f>_xlfn.ISOWEEKNUM(Table1[[#This Row],[Date]])</f>
        <v>50</v>
      </c>
      <c r="U330" s="4" t="str">
        <f>TEXT(Table1[[#This Row],[Expected Business Month]],"YYYY")</f>
        <v>2024</v>
      </c>
    </row>
    <row r="331" spans="1:21" hidden="1">
      <c r="A331" s="19">
        <v>45642</v>
      </c>
      <c r="B331" s="4" t="s">
        <v>655</v>
      </c>
      <c r="C331" s="4" t="s">
        <v>217</v>
      </c>
      <c r="D331" s="4" t="s">
        <v>195</v>
      </c>
      <c r="E331" s="4" t="s">
        <v>169</v>
      </c>
      <c r="F331" s="4" t="s">
        <v>656</v>
      </c>
      <c r="G331" s="17" t="s">
        <v>240</v>
      </c>
      <c r="J331" s="31">
        <v>45689</v>
      </c>
      <c r="K331" s="4" t="s">
        <v>220</v>
      </c>
      <c r="L331" s="21" t="s">
        <v>16</v>
      </c>
      <c r="M331" s="4" t="s">
        <v>538</v>
      </c>
      <c r="P331" s="21"/>
      <c r="S331" s="4" t="str">
        <f>TEXT(Table1[[#This Row],[Date]],"MMM-YY")</f>
        <v>Dec-24</v>
      </c>
      <c r="T331" s="4">
        <f>_xlfn.ISOWEEKNUM(Table1[[#This Row],[Date]])</f>
        <v>51</v>
      </c>
      <c r="U331" s="4" t="str">
        <f>TEXT(Table1[[#This Row],[Expected Business Month]],"YYYY")</f>
        <v>2025</v>
      </c>
    </row>
    <row r="332" spans="1:21" hidden="1">
      <c r="A332" s="19">
        <v>45642</v>
      </c>
      <c r="B332" s="4" t="s">
        <v>657</v>
      </c>
      <c r="C332" s="4" t="s">
        <v>217</v>
      </c>
      <c r="D332" s="4" t="s">
        <v>195</v>
      </c>
      <c r="E332" s="4" t="s">
        <v>171</v>
      </c>
      <c r="F332" s="4" t="s">
        <v>658</v>
      </c>
      <c r="G332" s="17" t="s">
        <v>240</v>
      </c>
      <c r="J332" s="31">
        <v>45689</v>
      </c>
      <c r="K332" s="4" t="s">
        <v>220</v>
      </c>
      <c r="L332" s="21" t="s">
        <v>16</v>
      </c>
      <c r="M332" s="4" t="s">
        <v>538</v>
      </c>
      <c r="P332" s="21"/>
      <c r="S332" s="4" t="str">
        <f>TEXT(Table1[[#This Row],[Date]],"MMM-YY")</f>
        <v>Dec-24</v>
      </c>
      <c r="T332" s="4">
        <f>_xlfn.ISOWEEKNUM(Table1[[#This Row],[Date]])</f>
        <v>51</v>
      </c>
      <c r="U332" s="4" t="str">
        <f>TEXT(Table1[[#This Row],[Expected Business Month]],"YYYY")</f>
        <v>2025</v>
      </c>
    </row>
    <row r="333" spans="1:21" hidden="1">
      <c r="A333" s="19">
        <v>45644</v>
      </c>
      <c r="B333" s="4" t="s">
        <v>384</v>
      </c>
      <c r="C333" s="4" t="s">
        <v>217</v>
      </c>
      <c r="D333" s="4" t="s">
        <v>195</v>
      </c>
      <c r="E333" s="4" t="s">
        <v>87</v>
      </c>
      <c r="F333" s="4" t="s">
        <v>385</v>
      </c>
      <c r="G333" s="17" t="s">
        <v>240</v>
      </c>
      <c r="J333" s="31">
        <v>45627</v>
      </c>
      <c r="K333" s="4" t="s">
        <v>220</v>
      </c>
      <c r="L333" s="21" t="s">
        <v>16</v>
      </c>
      <c r="M333" s="4" t="s">
        <v>538</v>
      </c>
      <c r="P333" s="21"/>
      <c r="S333" s="4" t="str">
        <f>TEXT(Table1[[#This Row],[Date]],"MMM-YY")</f>
        <v>Dec-24</v>
      </c>
      <c r="T333" s="4">
        <f>_xlfn.ISOWEEKNUM(Table1[[#This Row],[Date]])</f>
        <v>51</v>
      </c>
      <c r="U333" s="4" t="str">
        <f>TEXT(Table1[[#This Row],[Expected Business Month]],"YYYY")</f>
        <v>2024</v>
      </c>
    </row>
    <row r="334" spans="1:21" hidden="1">
      <c r="A334" s="19">
        <v>45644</v>
      </c>
      <c r="B334" s="4" t="s">
        <v>648</v>
      </c>
      <c r="C334" s="4" t="s">
        <v>217</v>
      </c>
      <c r="D334" s="4" t="s">
        <v>195</v>
      </c>
      <c r="E334" s="4" t="s">
        <v>81</v>
      </c>
      <c r="F334" s="4" t="s">
        <v>649</v>
      </c>
      <c r="G334" s="17" t="s">
        <v>659</v>
      </c>
      <c r="J334" s="31">
        <v>45627</v>
      </c>
      <c r="K334" s="4" t="s">
        <v>220</v>
      </c>
      <c r="L334" s="21" t="s">
        <v>16</v>
      </c>
      <c r="M334" s="4" t="s">
        <v>538</v>
      </c>
      <c r="P334" s="21"/>
      <c r="S334" s="4" t="str">
        <f>TEXT(Table1[[#This Row],[Date]],"MMM-YY")</f>
        <v>Dec-24</v>
      </c>
      <c r="T334" s="4">
        <f>_xlfn.ISOWEEKNUM(Table1[[#This Row],[Date]])</f>
        <v>51</v>
      </c>
      <c r="U334" s="4" t="str">
        <f>TEXT(Table1[[#This Row],[Expected Business Month]],"YYYY")</f>
        <v>2024</v>
      </c>
    </row>
    <row r="335" spans="1:21">
      <c r="A335" s="19">
        <v>45645</v>
      </c>
      <c r="B335" s="4" t="s">
        <v>660</v>
      </c>
      <c r="C335" s="4" t="s">
        <v>217</v>
      </c>
      <c r="D335" s="4" t="s">
        <v>195</v>
      </c>
      <c r="E335" s="4" t="s">
        <v>139</v>
      </c>
      <c r="F335" s="4" t="s">
        <v>661</v>
      </c>
      <c r="G335" s="17" t="s">
        <v>654</v>
      </c>
      <c r="H335" s="4">
        <v>7917</v>
      </c>
      <c r="I335" s="4">
        <v>7917</v>
      </c>
      <c r="J335" s="31">
        <v>45627</v>
      </c>
      <c r="K335" s="4" t="s">
        <v>220</v>
      </c>
      <c r="L335" s="21" t="s">
        <v>17</v>
      </c>
      <c r="M335" s="4" t="s">
        <v>221</v>
      </c>
      <c r="P335" s="21"/>
      <c r="S335" s="4" t="str">
        <f>TEXT(Table1[[#This Row],[Date]],"MMM-YY")</f>
        <v>Dec-24</v>
      </c>
      <c r="T335" s="4">
        <f>_xlfn.ISOWEEKNUM(Table1[[#This Row],[Date]])</f>
        <v>51</v>
      </c>
      <c r="U335" s="4" t="str">
        <f>TEXT(Table1[[#This Row],[Expected Business Month]],"YYYY")</f>
        <v>2024</v>
      </c>
    </row>
    <row r="336" spans="1:21" hidden="1">
      <c r="A336" s="19">
        <v>45645</v>
      </c>
      <c r="B336" s="4" t="s">
        <v>624</v>
      </c>
      <c r="C336" s="4" t="s">
        <v>225</v>
      </c>
      <c r="D336" s="4" t="s">
        <v>195</v>
      </c>
      <c r="E336" s="4" t="s">
        <v>157</v>
      </c>
      <c r="F336" s="4" t="s">
        <v>625</v>
      </c>
      <c r="G336" s="17" t="s">
        <v>240</v>
      </c>
      <c r="J336" s="31">
        <v>45627</v>
      </c>
      <c r="K336" s="4" t="s">
        <v>220</v>
      </c>
      <c r="L336" s="21" t="s">
        <v>16</v>
      </c>
      <c r="M336" s="4" t="s">
        <v>538</v>
      </c>
      <c r="P336" s="21"/>
      <c r="S336" s="4" t="str">
        <f>TEXT(Table1[[#This Row],[Date]],"MMM-YY")</f>
        <v>Dec-24</v>
      </c>
      <c r="T336" s="4">
        <f>_xlfn.ISOWEEKNUM(Table1[[#This Row],[Date]])</f>
        <v>51</v>
      </c>
      <c r="U336" s="4" t="str">
        <f>TEXT(Table1[[#This Row],[Expected Business Month]],"YYYY")</f>
        <v>2024</v>
      </c>
    </row>
    <row r="337" spans="1:21" hidden="1">
      <c r="A337" s="19">
        <v>45645</v>
      </c>
      <c r="B337" s="4" t="s">
        <v>626</v>
      </c>
      <c r="C337" s="4" t="s">
        <v>225</v>
      </c>
      <c r="D337" s="4" t="s">
        <v>195</v>
      </c>
      <c r="E337" s="4" t="s">
        <v>61</v>
      </c>
      <c r="F337" s="4" t="s">
        <v>612</v>
      </c>
      <c r="G337" s="17" t="s">
        <v>240</v>
      </c>
      <c r="J337" s="31">
        <v>45627</v>
      </c>
      <c r="K337" s="4" t="s">
        <v>220</v>
      </c>
      <c r="L337" s="21" t="s">
        <v>16</v>
      </c>
      <c r="M337" s="4" t="s">
        <v>538</v>
      </c>
      <c r="P337" s="21"/>
      <c r="S337" s="4" t="str">
        <f>TEXT(Table1[[#This Row],[Date]],"MMM-YY")</f>
        <v>Dec-24</v>
      </c>
      <c r="T337" s="4">
        <f>_xlfn.ISOWEEKNUM(Table1[[#This Row],[Date]])</f>
        <v>51</v>
      </c>
      <c r="U337" s="4" t="str">
        <f>TEXT(Table1[[#This Row],[Expected Business Month]],"YYYY")</f>
        <v>2024</v>
      </c>
    </row>
    <row r="338" spans="1:21">
      <c r="A338" s="19">
        <v>45646</v>
      </c>
      <c r="B338" s="4" t="s">
        <v>662</v>
      </c>
      <c r="C338" s="4" t="s">
        <v>217</v>
      </c>
      <c r="D338" s="4" t="s">
        <v>195</v>
      </c>
      <c r="E338" s="4" t="s">
        <v>61</v>
      </c>
      <c r="F338" s="4" t="s">
        <v>663</v>
      </c>
      <c r="G338" s="17" t="s">
        <v>654</v>
      </c>
      <c r="H338" s="4">
        <v>15400</v>
      </c>
      <c r="I338" s="4">
        <v>15400</v>
      </c>
      <c r="J338" s="31">
        <v>45627</v>
      </c>
      <c r="K338" s="4" t="s">
        <v>220</v>
      </c>
      <c r="L338" s="21" t="s">
        <v>17</v>
      </c>
      <c r="M338" s="4" t="s">
        <v>221</v>
      </c>
      <c r="P338" s="21"/>
      <c r="S338" s="4" t="str">
        <f>TEXT(Table1[[#This Row],[Date]],"MMM-YY")</f>
        <v>Dec-24</v>
      </c>
      <c r="T338" s="4">
        <f>_xlfn.ISOWEEKNUM(Table1[[#This Row],[Date]])</f>
        <v>51</v>
      </c>
      <c r="U338" s="4" t="str">
        <f>TEXT(Table1[[#This Row],[Expected Business Month]],"YYYY")</f>
        <v>2024</v>
      </c>
    </row>
    <row r="339" spans="1:21">
      <c r="A339" s="19">
        <v>45646</v>
      </c>
      <c r="B339" s="4" t="s">
        <v>230</v>
      </c>
      <c r="C339" s="4" t="s">
        <v>225</v>
      </c>
      <c r="D339" s="4" t="s">
        <v>183</v>
      </c>
      <c r="E339" s="4" t="s">
        <v>49</v>
      </c>
      <c r="F339" s="4" t="s">
        <v>231</v>
      </c>
      <c r="G339" s="17" t="s">
        <v>654</v>
      </c>
      <c r="H339" s="4">
        <v>21000</v>
      </c>
      <c r="I339" s="4">
        <v>21000</v>
      </c>
      <c r="J339" s="31">
        <v>45627</v>
      </c>
      <c r="K339" s="4" t="s">
        <v>220</v>
      </c>
      <c r="L339" s="21" t="s">
        <v>17</v>
      </c>
      <c r="M339" s="4" t="s">
        <v>221</v>
      </c>
      <c r="P339" s="21"/>
      <c r="S339" s="4" t="str">
        <f>TEXT(Table1[[#This Row],[Date]],"MMM-YY")</f>
        <v>Dec-24</v>
      </c>
      <c r="T339" s="4">
        <f>_xlfn.ISOWEEKNUM(Table1[[#This Row],[Date]])</f>
        <v>51</v>
      </c>
      <c r="U339" s="4" t="str">
        <f>TEXT(Table1[[#This Row],[Expected Business Month]],"YYYY")</f>
        <v>2024</v>
      </c>
    </row>
    <row r="340" spans="1:21" hidden="1">
      <c r="A340" s="19">
        <v>45646</v>
      </c>
      <c r="B340" s="4" t="s">
        <v>384</v>
      </c>
      <c r="C340" s="4" t="s">
        <v>225</v>
      </c>
      <c r="D340" s="4" t="s">
        <v>195</v>
      </c>
      <c r="E340" s="4" t="s">
        <v>87</v>
      </c>
      <c r="F340" s="4" t="s">
        <v>385</v>
      </c>
      <c r="G340" s="17" t="s">
        <v>664</v>
      </c>
      <c r="J340" s="31">
        <v>45689</v>
      </c>
      <c r="K340" s="4" t="s">
        <v>220</v>
      </c>
      <c r="L340" s="21" t="s">
        <v>16</v>
      </c>
      <c r="M340" s="4" t="s">
        <v>538</v>
      </c>
      <c r="P340" s="21"/>
      <c r="S340" s="4" t="str">
        <f>TEXT(Table1[[#This Row],[Date]],"MMM-YY")</f>
        <v>Dec-24</v>
      </c>
      <c r="T340" s="4">
        <f>_xlfn.ISOWEEKNUM(Table1[[#This Row],[Date]])</f>
        <v>51</v>
      </c>
      <c r="U340" s="4" t="str">
        <f>TEXT(Table1[[#This Row],[Expected Business Month]],"YYYY")</f>
        <v>2025</v>
      </c>
    </row>
    <row r="341" spans="1:21" hidden="1">
      <c r="A341" s="19">
        <v>45652</v>
      </c>
      <c r="B341" s="4" t="s">
        <v>665</v>
      </c>
      <c r="C341" s="4" t="s">
        <v>217</v>
      </c>
      <c r="D341" s="4" t="s">
        <v>21</v>
      </c>
      <c r="E341" s="4" t="s">
        <v>173</v>
      </c>
      <c r="F341" s="4" t="s">
        <v>666</v>
      </c>
      <c r="G341" s="17" t="s">
        <v>667</v>
      </c>
      <c r="J341" s="31">
        <v>45658</v>
      </c>
      <c r="K341" s="4" t="s">
        <v>220</v>
      </c>
      <c r="L341" s="4" t="s">
        <v>27</v>
      </c>
      <c r="M341" s="4" t="s">
        <v>221</v>
      </c>
      <c r="P341" s="21"/>
      <c r="S341" s="4" t="str">
        <f>TEXT(Table1[[#This Row],[Date]],"MMM-YY")</f>
        <v>Dec-24</v>
      </c>
      <c r="T341" s="4">
        <f>_xlfn.ISOWEEKNUM(Table1[[#This Row],[Date]])</f>
        <v>52</v>
      </c>
      <c r="U341" s="4" t="str">
        <f>TEXT(Table1[[#This Row],[Expected Business Month]],"YYYY")</f>
        <v>2025</v>
      </c>
    </row>
    <row r="342" spans="1:21" hidden="1">
      <c r="A342" s="19">
        <v>45652</v>
      </c>
      <c r="B342" s="4" t="s">
        <v>648</v>
      </c>
      <c r="C342" s="4" t="s">
        <v>225</v>
      </c>
      <c r="D342" s="4" t="s">
        <v>195</v>
      </c>
      <c r="E342" s="4" t="s">
        <v>81</v>
      </c>
      <c r="F342" s="4" t="s">
        <v>649</v>
      </c>
      <c r="G342" s="17" t="s">
        <v>668</v>
      </c>
      <c r="J342" s="31">
        <v>45748</v>
      </c>
      <c r="K342" s="4" t="s">
        <v>220</v>
      </c>
      <c r="L342" s="4" t="s">
        <v>16</v>
      </c>
      <c r="M342" s="4" t="s">
        <v>538</v>
      </c>
      <c r="P342" s="21"/>
      <c r="S342" s="4" t="str">
        <f>TEXT(Table1[[#This Row],[Date]],"MMM-YY")</f>
        <v>Dec-24</v>
      </c>
      <c r="T342" s="4">
        <f>_xlfn.ISOWEEKNUM(Table1[[#This Row],[Date]])</f>
        <v>52</v>
      </c>
      <c r="U342" s="4" t="str">
        <f>TEXT(Table1[[#This Row],[Expected Business Month]],"YYYY")</f>
        <v>2025</v>
      </c>
    </row>
    <row r="343" spans="1:21">
      <c r="A343" s="19">
        <v>45652</v>
      </c>
      <c r="B343" s="4" t="s">
        <v>669</v>
      </c>
      <c r="C343" s="4" t="s">
        <v>225</v>
      </c>
      <c r="D343" s="4" t="s">
        <v>195</v>
      </c>
      <c r="E343" s="4" t="s">
        <v>61</v>
      </c>
      <c r="F343" s="4" t="s">
        <v>670</v>
      </c>
      <c r="G343" s="17" t="s">
        <v>654</v>
      </c>
      <c r="H343" s="4">
        <v>9986</v>
      </c>
      <c r="I343" s="4">
        <v>9986</v>
      </c>
      <c r="J343" s="31">
        <v>45627</v>
      </c>
      <c r="K343" s="4" t="s">
        <v>220</v>
      </c>
      <c r="L343" s="4" t="s">
        <v>17</v>
      </c>
      <c r="M343" s="4" t="s">
        <v>221</v>
      </c>
      <c r="P343" s="21"/>
      <c r="S343" s="4" t="str">
        <f>TEXT(Table1[[#This Row],[Date]],"MMM-YY")</f>
        <v>Dec-24</v>
      </c>
      <c r="T343" s="4">
        <f>_xlfn.ISOWEEKNUM(Table1[[#This Row],[Date]])</f>
        <v>52</v>
      </c>
      <c r="U343" s="4" t="str">
        <f>TEXT(Table1[[#This Row],[Expected Business Month]],"YYYY")</f>
        <v>2024</v>
      </c>
    </row>
    <row r="344" spans="1:21">
      <c r="A344" s="19">
        <v>45658</v>
      </c>
      <c r="B344" s="4" t="s">
        <v>671</v>
      </c>
      <c r="C344" s="4" t="s">
        <v>225</v>
      </c>
      <c r="D344" s="4" t="s">
        <v>195</v>
      </c>
      <c r="E344" s="4" t="s">
        <v>32</v>
      </c>
      <c r="F344" s="4" t="s">
        <v>333</v>
      </c>
      <c r="G344" s="17" t="s">
        <v>562</v>
      </c>
      <c r="H344" s="4">
        <v>22500</v>
      </c>
      <c r="I344" s="4">
        <v>22500</v>
      </c>
      <c r="J344" s="31">
        <v>45658</v>
      </c>
      <c r="K344" s="4" t="s">
        <v>220</v>
      </c>
      <c r="L344" s="4" t="s">
        <v>17</v>
      </c>
      <c r="M344" s="4" t="s">
        <v>221</v>
      </c>
      <c r="P344" s="21"/>
      <c r="S344" s="4" t="str">
        <f>TEXT(Table1[[#This Row],[Date]],"MMM-YY")</f>
        <v>Jan-25</v>
      </c>
      <c r="T344" s="4">
        <f>_xlfn.ISOWEEKNUM(Table1[[#This Row],[Date]])</f>
        <v>1</v>
      </c>
      <c r="U344" s="4" t="str">
        <f>TEXT(Table1[[#This Row],[Expected Business Month]],"YYYY")</f>
        <v>2025</v>
      </c>
    </row>
    <row r="345" spans="1:21" hidden="1">
      <c r="A345" s="19">
        <v>45659</v>
      </c>
      <c r="B345" s="4" t="s">
        <v>672</v>
      </c>
      <c r="C345" s="4" t="s">
        <v>217</v>
      </c>
      <c r="D345" s="4" t="s">
        <v>195</v>
      </c>
      <c r="E345" s="4" t="s">
        <v>175</v>
      </c>
      <c r="F345" s="4" t="s">
        <v>673</v>
      </c>
      <c r="G345" s="17" t="s">
        <v>668</v>
      </c>
      <c r="J345" s="31">
        <v>45689</v>
      </c>
      <c r="K345" s="4" t="s">
        <v>220</v>
      </c>
      <c r="L345" s="4" t="s">
        <v>16</v>
      </c>
      <c r="M345" s="4" t="s">
        <v>538</v>
      </c>
      <c r="P345" s="21"/>
      <c r="S345" s="4" t="str">
        <f>TEXT(Table1[[#This Row],[Date]],"MMM-YY")</f>
        <v>Jan-25</v>
      </c>
      <c r="T345" s="4">
        <f>_xlfn.ISOWEEKNUM(Table1[[#This Row],[Date]])</f>
        <v>1</v>
      </c>
      <c r="U345" s="4" t="str">
        <f>TEXT(Table1[[#This Row],[Expected Business Month]],"YYYY")</f>
        <v>2025</v>
      </c>
    </row>
    <row r="346" spans="1:21">
      <c r="A346" s="19">
        <v>45659</v>
      </c>
      <c r="B346" s="4" t="s">
        <v>674</v>
      </c>
      <c r="C346" s="4" t="s">
        <v>217</v>
      </c>
      <c r="D346" s="4" t="s">
        <v>195</v>
      </c>
      <c r="E346" s="4" t="s">
        <v>61</v>
      </c>
      <c r="F346" s="4" t="s">
        <v>675</v>
      </c>
      <c r="G346" s="17" t="s">
        <v>654</v>
      </c>
      <c r="H346" s="4">
        <v>15000</v>
      </c>
      <c r="I346" s="4">
        <v>15000</v>
      </c>
      <c r="J346" s="31">
        <v>45658</v>
      </c>
      <c r="K346" s="4" t="s">
        <v>220</v>
      </c>
      <c r="L346" s="4" t="s">
        <v>17</v>
      </c>
      <c r="M346" s="4" t="s">
        <v>221</v>
      </c>
      <c r="P346" s="21"/>
      <c r="S346" s="4" t="str">
        <f>TEXT(Table1[[#This Row],[Date]],"MMM-YY")</f>
        <v>Jan-25</v>
      </c>
      <c r="T346" s="4">
        <f>_xlfn.ISOWEEKNUM(Table1[[#This Row],[Date]])</f>
        <v>1</v>
      </c>
      <c r="U346" s="4" t="str">
        <f>TEXT(Table1[[#This Row],[Expected Business Month]],"YYYY")</f>
        <v>2025</v>
      </c>
    </row>
    <row r="347" spans="1:21">
      <c r="A347" s="19">
        <v>45660</v>
      </c>
      <c r="B347" s="4" t="s">
        <v>238</v>
      </c>
      <c r="C347" s="4" t="s">
        <v>217</v>
      </c>
      <c r="D347" s="4" t="s">
        <v>195</v>
      </c>
      <c r="E347" s="4" t="s">
        <v>676</v>
      </c>
      <c r="F347" s="4" t="s">
        <v>642</v>
      </c>
      <c r="G347" s="17" t="s">
        <v>654</v>
      </c>
      <c r="H347" s="4">
        <v>20350</v>
      </c>
      <c r="I347" s="4">
        <v>20350</v>
      </c>
      <c r="J347" s="31">
        <v>45658</v>
      </c>
      <c r="K347" s="4" t="s">
        <v>220</v>
      </c>
      <c r="L347" s="4" t="s">
        <v>17</v>
      </c>
      <c r="M347" s="4" t="s">
        <v>221</v>
      </c>
      <c r="P347" s="21"/>
      <c r="S347" s="4" t="str">
        <f>TEXT(Table1[[#This Row],[Date]],"MMM-YY")</f>
        <v>Jan-25</v>
      </c>
      <c r="T347" s="4">
        <f>_xlfn.ISOWEEKNUM(Table1[[#This Row],[Date]])</f>
        <v>1</v>
      </c>
      <c r="U347" s="4" t="str">
        <f>TEXT(Table1[[#This Row],[Expected Business Month]],"YYYY")</f>
        <v>2025</v>
      </c>
    </row>
    <row r="348" spans="1:21">
      <c r="A348" s="19">
        <v>45660</v>
      </c>
      <c r="B348" s="4" t="s">
        <v>238</v>
      </c>
      <c r="C348" s="4" t="s">
        <v>217</v>
      </c>
      <c r="D348" s="4" t="s">
        <v>195</v>
      </c>
      <c r="E348" s="4" t="s">
        <v>676</v>
      </c>
      <c r="F348" s="4" t="s">
        <v>642</v>
      </c>
      <c r="G348" s="17" t="s">
        <v>654</v>
      </c>
      <c r="H348" s="4">
        <v>5550</v>
      </c>
      <c r="I348" s="4">
        <v>5550</v>
      </c>
      <c r="J348" s="31">
        <v>45658</v>
      </c>
      <c r="K348" s="4" t="s">
        <v>234</v>
      </c>
      <c r="L348" s="4" t="s">
        <v>17</v>
      </c>
      <c r="M348" s="4" t="s">
        <v>221</v>
      </c>
      <c r="P348" s="21"/>
      <c r="S348" s="4" t="str">
        <f>TEXT(Table1[[#This Row],[Date]],"MMM-YY")</f>
        <v>Jan-25</v>
      </c>
      <c r="T348" s="4">
        <f>_xlfn.ISOWEEKNUM(Table1[[#This Row],[Date]])</f>
        <v>1</v>
      </c>
      <c r="U348" s="4" t="str">
        <f>TEXT(Table1[[#This Row],[Expected Business Month]],"YYYY")</f>
        <v>2025</v>
      </c>
    </row>
    <row r="349" spans="1:21" hidden="1">
      <c r="A349" s="19">
        <v>45664</v>
      </c>
      <c r="B349" s="4" t="s">
        <v>274</v>
      </c>
      <c r="C349" s="4" t="s">
        <v>217</v>
      </c>
      <c r="D349" s="4" t="s">
        <v>195</v>
      </c>
      <c r="E349" s="4" t="s">
        <v>135</v>
      </c>
      <c r="F349" s="4" t="s">
        <v>584</v>
      </c>
      <c r="G349" s="17" t="s">
        <v>240</v>
      </c>
      <c r="J349" s="31">
        <v>45689</v>
      </c>
      <c r="K349" s="4" t="s">
        <v>220</v>
      </c>
      <c r="L349" s="21" t="s">
        <v>16</v>
      </c>
      <c r="M349" s="4" t="s">
        <v>538</v>
      </c>
      <c r="O349" s="20"/>
      <c r="S349" s="4" t="str">
        <f>TEXT(Table1[[#This Row],[Date]],"MMM-YY")</f>
        <v>Jan-25</v>
      </c>
      <c r="T349" s="4">
        <f>_xlfn.ISOWEEKNUM(Table1[[#This Row],[Date]])</f>
        <v>2</v>
      </c>
      <c r="U349" s="4" t="str">
        <f>TEXT(Table1[[#This Row],[Expected Business Month]],"YYYY")</f>
        <v>2025</v>
      </c>
    </row>
    <row r="350" spans="1:21">
      <c r="A350" s="19">
        <v>45664</v>
      </c>
      <c r="B350" s="4" t="s">
        <v>677</v>
      </c>
      <c r="C350" s="4" t="s">
        <v>225</v>
      </c>
      <c r="D350" s="4" t="s">
        <v>195</v>
      </c>
      <c r="E350" s="4" t="s">
        <v>32</v>
      </c>
      <c r="F350" s="4" t="s">
        <v>561</v>
      </c>
      <c r="G350" s="17" t="s">
        <v>562</v>
      </c>
      <c r="H350" s="4">
        <v>39236</v>
      </c>
      <c r="I350" s="4">
        <v>39236</v>
      </c>
      <c r="J350" s="31">
        <v>45658</v>
      </c>
      <c r="K350" s="4" t="s">
        <v>220</v>
      </c>
      <c r="L350" s="4" t="s">
        <v>17</v>
      </c>
      <c r="M350" s="4" t="s">
        <v>221</v>
      </c>
      <c r="P350" s="21"/>
      <c r="S350" s="4" t="str">
        <f>TEXT(Table1[[#This Row],[Date]],"MMM-YY")</f>
        <v>Jan-25</v>
      </c>
      <c r="T350" s="4">
        <f>_xlfn.ISOWEEKNUM(Table1[[#This Row],[Date]])</f>
        <v>2</v>
      </c>
      <c r="U350" s="4" t="str">
        <f>TEXT(Table1[[#This Row],[Expected Business Month]],"YYYY")</f>
        <v>2025</v>
      </c>
    </row>
    <row r="351" spans="1:21">
      <c r="A351" s="19">
        <v>45664</v>
      </c>
      <c r="B351" s="4" t="s">
        <v>678</v>
      </c>
      <c r="C351" s="4" t="s">
        <v>225</v>
      </c>
      <c r="D351" s="4" t="s">
        <v>195</v>
      </c>
      <c r="E351" s="4" t="s">
        <v>61</v>
      </c>
      <c r="F351" s="4" t="s">
        <v>303</v>
      </c>
      <c r="H351" s="4">
        <v>12000</v>
      </c>
      <c r="I351" s="4">
        <v>12000</v>
      </c>
      <c r="J351" s="31">
        <v>45658</v>
      </c>
      <c r="K351" s="4" t="s">
        <v>220</v>
      </c>
      <c r="L351" s="4" t="s">
        <v>17</v>
      </c>
      <c r="M351" s="4" t="s">
        <v>221</v>
      </c>
      <c r="P351" s="21"/>
      <c r="S351" s="4" t="str">
        <f>TEXT(Table1[[#This Row],[Date]],"MMM-YY")</f>
        <v>Jan-25</v>
      </c>
      <c r="T351" s="4">
        <f>_xlfn.ISOWEEKNUM(Table1[[#This Row],[Date]])</f>
        <v>2</v>
      </c>
      <c r="U351" s="4" t="str">
        <f>TEXT(Table1[[#This Row],[Expected Business Month]],"YYYY")</f>
        <v>2025</v>
      </c>
    </row>
    <row r="352" spans="1:21">
      <c r="A352" s="19">
        <v>45665</v>
      </c>
      <c r="B352" s="4" t="s">
        <v>679</v>
      </c>
      <c r="C352" s="4" t="s">
        <v>225</v>
      </c>
      <c r="D352" s="4" t="s">
        <v>195</v>
      </c>
      <c r="E352" s="4" t="s">
        <v>61</v>
      </c>
      <c r="F352" s="4" t="s">
        <v>333</v>
      </c>
      <c r="G352" s="17" t="s">
        <v>562</v>
      </c>
      <c r="H352" s="4">
        <v>45091</v>
      </c>
      <c r="I352" s="4">
        <v>45091</v>
      </c>
      <c r="J352" s="31">
        <v>45658</v>
      </c>
      <c r="K352" s="4" t="s">
        <v>220</v>
      </c>
      <c r="L352" s="4" t="s">
        <v>17</v>
      </c>
      <c r="M352" s="4" t="s">
        <v>221</v>
      </c>
      <c r="P352" s="21"/>
      <c r="S352" s="4" t="str">
        <f>TEXT(Table1[[#This Row],[Date]],"MMM-YY")</f>
        <v>Jan-25</v>
      </c>
      <c r="T352" s="4">
        <f>_xlfn.ISOWEEKNUM(Table1[[#This Row],[Date]])</f>
        <v>2</v>
      </c>
      <c r="U352" s="4" t="str">
        <f>TEXT(Table1[[#This Row],[Expected Business Month]],"YYYY")</f>
        <v>2025</v>
      </c>
    </row>
    <row r="353" spans="1:21" hidden="1">
      <c r="A353" s="19">
        <v>45666</v>
      </c>
      <c r="B353" s="4" t="s">
        <v>574</v>
      </c>
      <c r="C353" s="4" t="s">
        <v>217</v>
      </c>
      <c r="D353" s="4" t="s">
        <v>195</v>
      </c>
      <c r="E353" s="4" t="s">
        <v>676</v>
      </c>
      <c r="F353" s="4" t="s">
        <v>680</v>
      </c>
      <c r="J353" s="31">
        <v>45689</v>
      </c>
      <c r="K353" s="4" t="s">
        <v>220</v>
      </c>
      <c r="L353" s="21" t="s">
        <v>16</v>
      </c>
      <c r="M353" s="4" t="s">
        <v>538</v>
      </c>
      <c r="P353" s="21"/>
      <c r="S353" s="4" t="str">
        <f>TEXT(Table1[[#This Row],[Date]],"MMM-YY")</f>
        <v>Jan-25</v>
      </c>
      <c r="T353" s="4">
        <f>_xlfn.ISOWEEKNUM(Table1[[#This Row],[Date]])</f>
        <v>2</v>
      </c>
      <c r="U353" s="4" t="str">
        <f>TEXT(Table1[[#This Row],[Expected Business Month]],"YYYY")</f>
        <v>2025</v>
      </c>
    </row>
    <row r="354" spans="1:21" hidden="1">
      <c r="A354" s="19">
        <v>45666</v>
      </c>
      <c r="B354" s="4" t="s">
        <v>681</v>
      </c>
      <c r="C354" s="4" t="s">
        <v>217</v>
      </c>
      <c r="D354" s="4" t="s">
        <v>195</v>
      </c>
      <c r="E354" s="4" t="s">
        <v>61</v>
      </c>
      <c r="F354" s="4" t="s">
        <v>682</v>
      </c>
      <c r="J354" s="31">
        <v>45689</v>
      </c>
      <c r="K354" s="4" t="s">
        <v>220</v>
      </c>
      <c r="L354" s="21" t="s">
        <v>16</v>
      </c>
      <c r="M354" s="4" t="s">
        <v>538</v>
      </c>
      <c r="P354" s="21"/>
      <c r="S354" s="4" t="str">
        <f>TEXT(Table1[[#This Row],[Date]],"MMM-YY")</f>
        <v>Jan-25</v>
      </c>
      <c r="T354" s="4">
        <f>_xlfn.ISOWEEKNUM(Table1[[#This Row],[Date]])</f>
        <v>2</v>
      </c>
      <c r="U354" s="4" t="str">
        <f>TEXT(Table1[[#This Row],[Expected Business Month]],"YYYY")</f>
        <v>2025</v>
      </c>
    </row>
    <row r="355" spans="1:21" hidden="1">
      <c r="A355" s="19">
        <v>45666</v>
      </c>
      <c r="B355" s="4" t="s">
        <v>648</v>
      </c>
      <c r="C355" s="4" t="s">
        <v>225</v>
      </c>
      <c r="D355" s="4" t="s">
        <v>195</v>
      </c>
      <c r="E355" s="4" t="s">
        <v>81</v>
      </c>
      <c r="F355" s="4" t="s">
        <v>649</v>
      </c>
      <c r="G355" s="17" t="s">
        <v>668</v>
      </c>
      <c r="J355" s="31">
        <v>45689</v>
      </c>
      <c r="K355" s="4" t="s">
        <v>220</v>
      </c>
      <c r="L355" s="4" t="s">
        <v>27</v>
      </c>
      <c r="M355" s="4" t="s">
        <v>221</v>
      </c>
      <c r="P355" s="21"/>
      <c r="S355" s="4" t="str">
        <f>TEXT(Table1[[#This Row],[Date]],"MMM-YY")</f>
        <v>Jan-25</v>
      </c>
      <c r="T355" s="4">
        <f>_xlfn.ISOWEEKNUM(Table1[[#This Row],[Date]])</f>
        <v>2</v>
      </c>
      <c r="U355" s="4" t="str">
        <f>TEXT(Table1[[#This Row],[Expected Business Month]],"YYYY")</f>
        <v>2025</v>
      </c>
    </row>
    <row r="356" spans="1:21">
      <c r="A356" s="19">
        <v>45667</v>
      </c>
      <c r="B356" s="4" t="s">
        <v>665</v>
      </c>
      <c r="C356" s="4" t="s">
        <v>217</v>
      </c>
      <c r="D356" s="4" t="s">
        <v>21</v>
      </c>
      <c r="E356" s="4" t="s">
        <v>173</v>
      </c>
      <c r="F356" s="4" t="s">
        <v>666</v>
      </c>
      <c r="G356" s="17" t="s">
        <v>667</v>
      </c>
      <c r="H356" s="4">
        <v>19000</v>
      </c>
      <c r="I356" s="4">
        <v>19000</v>
      </c>
      <c r="J356" s="31">
        <v>45658</v>
      </c>
      <c r="K356" s="4" t="s">
        <v>220</v>
      </c>
      <c r="L356" s="4" t="s">
        <v>17</v>
      </c>
      <c r="M356" s="4" t="s">
        <v>221</v>
      </c>
      <c r="P356" s="21"/>
      <c r="S356" s="4" t="str">
        <f>TEXT(Table1[[#This Row],[Date]],"MMM-YY")</f>
        <v>Jan-25</v>
      </c>
      <c r="T356" s="4">
        <f>_xlfn.ISOWEEKNUM(Table1[[#This Row],[Date]])</f>
        <v>2</v>
      </c>
      <c r="U356" s="4" t="str">
        <f>TEXT(Table1[[#This Row],[Expected Business Month]],"YYYY")</f>
        <v>2025</v>
      </c>
    </row>
    <row r="357" spans="1:21" hidden="1">
      <c r="A357" s="19">
        <v>45670</v>
      </c>
      <c r="B357" s="4" t="s">
        <v>683</v>
      </c>
      <c r="C357" s="4" t="s">
        <v>217</v>
      </c>
      <c r="D357" s="4" t="s">
        <v>195</v>
      </c>
      <c r="E357" s="4" t="s">
        <v>103</v>
      </c>
      <c r="F357" s="4" t="s">
        <v>521</v>
      </c>
      <c r="G357" s="17" t="s">
        <v>240</v>
      </c>
      <c r="J357" s="31">
        <v>45689</v>
      </c>
      <c r="K357" s="4" t="s">
        <v>220</v>
      </c>
      <c r="L357" s="21" t="s">
        <v>16</v>
      </c>
      <c r="M357" s="4" t="s">
        <v>538</v>
      </c>
      <c r="P357" s="21"/>
      <c r="S357" s="4" t="str">
        <f>TEXT(Table1[[#This Row],[Date]],"MMM-YY")</f>
        <v>Jan-25</v>
      </c>
      <c r="T357" s="4">
        <f>_xlfn.ISOWEEKNUM(Table1[[#This Row],[Date]])</f>
        <v>3</v>
      </c>
      <c r="U357" s="4" t="str">
        <f>TEXT(Table1[[#This Row],[Expected Business Month]],"YYYY")</f>
        <v>2025</v>
      </c>
    </row>
    <row r="358" spans="1:21" hidden="1">
      <c r="A358" s="19">
        <v>45670</v>
      </c>
      <c r="B358" s="4" t="s">
        <v>684</v>
      </c>
      <c r="C358" s="4" t="s">
        <v>217</v>
      </c>
      <c r="D358" s="4" t="s">
        <v>195</v>
      </c>
      <c r="E358" s="4" t="s">
        <v>139</v>
      </c>
      <c r="F358" s="4" t="s">
        <v>685</v>
      </c>
      <c r="G358" s="17" t="s">
        <v>240</v>
      </c>
      <c r="J358" s="31">
        <v>45689</v>
      </c>
      <c r="K358" s="4" t="s">
        <v>220</v>
      </c>
      <c r="L358" s="21" t="s">
        <v>16</v>
      </c>
      <c r="M358" s="4" t="s">
        <v>538</v>
      </c>
      <c r="P358" s="21"/>
      <c r="S358" s="4" t="str">
        <f>TEXT(Table1[[#This Row],[Date]],"MMM-YY")</f>
        <v>Jan-25</v>
      </c>
      <c r="T358" s="4">
        <f>_xlfn.ISOWEEKNUM(Table1[[#This Row],[Date]])</f>
        <v>3</v>
      </c>
      <c r="U358" s="4" t="str">
        <f>TEXT(Table1[[#This Row],[Expected Business Month]],"YYYY")</f>
        <v>2025</v>
      </c>
    </row>
    <row r="359" spans="1:21" hidden="1">
      <c r="A359" s="19">
        <v>45670</v>
      </c>
      <c r="B359" s="4" t="s">
        <v>686</v>
      </c>
      <c r="C359" s="4" t="s">
        <v>217</v>
      </c>
      <c r="D359" s="4" t="s">
        <v>195</v>
      </c>
      <c r="E359" s="4" t="s">
        <v>26</v>
      </c>
      <c r="F359" s="4" t="s">
        <v>687</v>
      </c>
      <c r="G359" s="17" t="s">
        <v>240</v>
      </c>
      <c r="J359" s="31">
        <v>45689</v>
      </c>
      <c r="K359" s="4" t="s">
        <v>220</v>
      </c>
      <c r="L359" s="21" t="s">
        <v>16</v>
      </c>
      <c r="M359" s="4" t="s">
        <v>538</v>
      </c>
      <c r="P359" s="21"/>
      <c r="S359" s="4" t="str">
        <f>TEXT(Table1[[#This Row],[Date]],"MMM-YY")</f>
        <v>Jan-25</v>
      </c>
      <c r="T359" s="4">
        <f>_xlfn.ISOWEEKNUM(Table1[[#This Row],[Date]])</f>
        <v>3</v>
      </c>
      <c r="U359" s="4" t="str">
        <f>TEXT(Table1[[#This Row],[Expected Business Month]],"YYYY")</f>
        <v>2025</v>
      </c>
    </row>
    <row r="360" spans="1:21">
      <c r="A360" s="19">
        <v>45670</v>
      </c>
      <c r="B360" s="4" t="s">
        <v>665</v>
      </c>
      <c r="C360" s="4" t="s">
        <v>217</v>
      </c>
      <c r="D360" s="4" t="s">
        <v>21</v>
      </c>
      <c r="E360" s="4" t="s">
        <v>173</v>
      </c>
      <c r="F360" s="4" t="s">
        <v>666</v>
      </c>
      <c r="G360" s="17" t="s">
        <v>667</v>
      </c>
      <c r="H360" s="4">
        <v>23000</v>
      </c>
      <c r="I360" s="4">
        <v>23000</v>
      </c>
      <c r="J360" s="31">
        <v>45658</v>
      </c>
      <c r="K360" s="4" t="s">
        <v>220</v>
      </c>
      <c r="L360" s="4" t="s">
        <v>17</v>
      </c>
      <c r="M360" s="4" t="s">
        <v>221</v>
      </c>
      <c r="P360" s="21"/>
      <c r="S360" s="4" t="str">
        <f>TEXT(Table1[[#This Row],[Date]],"MMM-YY")</f>
        <v>Jan-25</v>
      </c>
      <c r="T360" s="4">
        <f>_xlfn.ISOWEEKNUM(Table1[[#This Row],[Date]])</f>
        <v>3</v>
      </c>
      <c r="U360" s="4" t="str">
        <f>TEXT(Table1[[#This Row],[Expected Business Month]],"YYYY")</f>
        <v>2025</v>
      </c>
    </row>
    <row r="361" spans="1:21" hidden="1">
      <c r="A361" s="19">
        <v>45670</v>
      </c>
      <c r="B361" s="4" t="s">
        <v>230</v>
      </c>
      <c r="C361" s="4" t="s">
        <v>225</v>
      </c>
      <c r="D361" s="4" t="s">
        <v>183</v>
      </c>
      <c r="E361" s="4" t="s">
        <v>21</v>
      </c>
      <c r="F361" s="4" t="s">
        <v>688</v>
      </c>
      <c r="J361" s="31">
        <v>45689</v>
      </c>
      <c r="K361" s="4" t="s">
        <v>234</v>
      </c>
      <c r="L361" s="4" t="s">
        <v>16</v>
      </c>
      <c r="M361" s="4" t="s">
        <v>538</v>
      </c>
      <c r="P361" s="21"/>
      <c r="S361" s="4" t="str">
        <f>TEXT(Table1[[#This Row],[Date]],"MMM-YY")</f>
        <v>Jan-25</v>
      </c>
      <c r="T361" s="4">
        <f>_xlfn.ISOWEEKNUM(Table1[[#This Row],[Date]])</f>
        <v>3</v>
      </c>
      <c r="U361" s="4" t="str">
        <f>TEXT(Table1[[#This Row],[Expected Business Month]],"YYYY")</f>
        <v>2025</v>
      </c>
    </row>
    <row r="362" spans="1:21" hidden="1">
      <c r="A362" s="19">
        <v>45670</v>
      </c>
      <c r="B362" s="4" t="s">
        <v>689</v>
      </c>
      <c r="C362" s="4" t="s">
        <v>225</v>
      </c>
      <c r="D362" s="4" t="s">
        <v>21</v>
      </c>
      <c r="E362" s="4" t="s">
        <v>177</v>
      </c>
      <c r="F362" s="4" t="s">
        <v>690</v>
      </c>
      <c r="J362" s="31">
        <v>45748</v>
      </c>
      <c r="K362" s="4" t="s">
        <v>220</v>
      </c>
      <c r="L362" s="4" t="s">
        <v>16</v>
      </c>
      <c r="M362" s="4" t="s">
        <v>538</v>
      </c>
      <c r="P362" s="21"/>
      <c r="S362" s="4" t="str">
        <f>TEXT(Table1[[#This Row],[Date]],"MMM-YY")</f>
        <v>Jan-25</v>
      </c>
      <c r="T362" s="4">
        <f>_xlfn.ISOWEEKNUM(Table1[[#This Row],[Date]])</f>
        <v>3</v>
      </c>
      <c r="U362" s="4" t="str">
        <f>TEXT(Table1[[#This Row],[Expected Business Month]],"YYYY")</f>
        <v>2025</v>
      </c>
    </row>
    <row r="363" spans="1:21">
      <c r="A363" s="19">
        <v>45672</v>
      </c>
      <c r="B363" s="4" t="s">
        <v>677</v>
      </c>
      <c r="C363" s="4" t="s">
        <v>225</v>
      </c>
      <c r="D363" s="4" t="s">
        <v>195</v>
      </c>
      <c r="E363" s="4" t="s">
        <v>32</v>
      </c>
      <c r="F363" s="4" t="s">
        <v>561</v>
      </c>
      <c r="G363" s="17" t="s">
        <v>562</v>
      </c>
      <c r="H363" s="4">
        <v>34822</v>
      </c>
      <c r="I363" s="4">
        <v>34822</v>
      </c>
      <c r="J363" s="31">
        <v>45658</v>
      </c>
      <c r="K363" s="4" t="s">
        <v>220</v>
      </c>
      <c r="L363" s="4" t="s">
        <v>17</v>
      </c>
      <c r="M363" s="4" t="s">
        <v>221</v>
      </c>
      <c r="P363" s="21"/>
      <c r="S363" s="4" t="str">
        <f>TEXT(Table1[[#This Row],[Date]],"MMM-YY")</f>
        <v>Jan-25</v>
      </c>
      <c r="T363" s="4">
        <f>_xlfn.ISOWEEKNUM(Table1[[#This Row],[Date]])</f>
        <v>3</v>
      </c>
      <c r="U363" s="4" t="str">
        <f>TEXT(Table1[[#This Row],[Expected Business Month]],"YYYY")</f>
        <v>2025</v>
      </c>
    </row>
    <row r="364" spans="1:21">
      <c r="A364" s="19">
        <v>45672</v>
      </c>
      <c r="B364" s="4" t="s">
        <v>679</v>
      </c>
      <c r="C364" s="4" t="s">
        <v>225</v>
      </c>
      <c r="D364" s="4" t="s">
        <v>195</v>
      </c>
      <c r="E364" s="4" t="s">
        <v>61</v>
      </c>
      <c r="F364" s="4" t="s">
        <v>333</v>
      </c>
      <c r="G364" s="17" t="s">
        <v>562</v>
      </c>
      <c r="H364" s="4">
        <v>39435</v>
      </c>
      <c r="I364" s="4">
        <v>39435</v>
      </c>
      <c r="J364" s="31">
        <v>45658</v>
      </c>
      <c r="K364" s="4" t="s">
        <v>220</v>
      </c>
      <c r="L364" s="4" t="s">
        <v>17</v>
      </c>
      <c r="M364" s="4" t="s">
        <v>221</v>
      </c>
      <c r="S364" s="4" t="str">
        <f>TEXT(Table1[[#This Row],[Date]],"MMM-YY")</f>
        <v>Jan-25</v>
      </c>
      <c r="T364" s="4">
        <f>_xlfn.ISOWEEKNUM(Table1[[#This Row],[Date]])</f>
        <v>3</v>
      </c>
      <c r="U364" s="4" t="str">
        <f>TEXT(Table1[[#This Row],[Expected Business Month]],"YYYY")</f>
        <v>2025</v>
      </c>
    </row>
    <row r="365" spans="1:21" hidden="1">
      <c r="A365" s="19">
        <v>45673</v>
      </c>
      <c r="B365" s="4" t="s">
        <v>323</v>
      </c>
      <c r="C365" s="4" t="s">
        <v>217</v>
      </c>
      <c r="D365" s="4" t="s">
        <v>195</v>
      </c>
      <c r="E365" s="4" t="s">
        <v>87</v>
      </c>
      <c r="F365" s="4" t="s">
        <v>324</v>
      </c>
      <c r="J365" s="31">
        <v>45748</v>
      </c>
      <c r="K365" s="4" t="s">
        <v>220</v>
      </c>
      <c r="L365" s="4" t="s">
        <v>16</v>
      </c>
      <c r="M365" s="4" t="s">
        <v>538</v>
      </c>
      <c r="S365" s="4" t="str">
        <f>TEXT(Table1[[#This Row],[Date]],"MMM-YY")</f>
        <v>Jan-25</v>
      </c>
      <c r="T365" s="4">
        <f>_xlfn.ISOWEEKNUM(Table1[[#This Row],[Date]])</f>
        <v>3</v>
      </c>
      <c r="U365" s="4" t="str">
        <f>TEXT(Table1[[#This Row],[Expected Business Month]],"YYYY")</f>
        <v>2025</v>
      </c>
    </row>
    <row r="366" spans="1:21" hidden="1">
      <c r="A366" s="19">
        <v>45673</v>
      </c>
      <c r="B366" s="4" t="s">
        <v>691</v>
      </c>
      <c r="C366" s="4" t="s">
        <v>217</v>
      </c>
      <c r="D366" s="4" t="s">
        <v>195</v>
      </c>
      <c r="E366" s="4" t="s">
        <v>87</v>
      </c>
      <c r="F366" s="4" t="s">
        <v>692</v>
      </c>
      <c r="J366" s="31">
        <v>45748</v>
      </c>
      <c r="K366" s="4" t="s">
        <v>220</v>
      </c>
      <c r="L366" s="4" t="s">
        <v>16</v>
      </c>
      <c r="M366" s="4" t="s">
        <v>538</v>
      </c>
      <c r="S366" s="4" t="str">
        <f>TEXT(Table1[[#This Row],[Date]],"MMM-YY")</f>
        <v>Jan-25</v>
      </c>
      <c r="T366" s="4">
        <f>_xlfn.ISOWEEKNUM(Table1[[#This Row],[Date]])</f>
        <v>3</v>
      </c>
      <c r="U366" s="4" t="str">
        <f>TEXT(Table1[[#This Row],[Expected Business Month]],"YYYY")</f>
        <v>2025</v>
      </c>
    </row>
    <row r="367" spans="1:21">
      <c r="A367" s="19">
        <v>45677</v>
      </c>
      <c r="B367" s="4" t="s">
        <v>238</v>
      </c>
      <c r="C367" s="4" t="s">
        <v>225</v>
      </c>
      <c r="D367" s="4" t="s">
        <v>195</v>
      </c>
      <c r="E367" s="4" t="s">
        <v>676</v>
      </c>
      <c r="F367" s="4" t="s">
        <v>642</v>
      </c>
      <c r="G367" s="17" t="s">
        <v>654</v>
      </c>
      <c r="H367" s="4">
        <v>4070</v>
      </c>
      <c r="I367" s="4">
        <v>4070</v>
      </c>
      <c r="J367" s="31">
        <v>45658</v>
      </c>
      <c r="K367" s="4" t="s">
        <v>220</v>
      </c>
      <c r="L367" s="4" t="s">
        <v>17</v>
      </c>
      <c r="M367" s="4" t="s">
        <v>221</v>
      </c>
      <c r="S367" s="4" t="str">
        <f>TEXT(Table1[[#This Row],[Date]],"MMM-YY")</f>
        <v>Jan-25</v>
      </c>
      <c r="T367" s="4">
        <f>_xlfn.ISOWEEKNUM(Table1[[#This Row],[Date]])</f>
        <v>4</v>
      </c>
      <c r="U367" s="4" t="str">
        <f>TEXT(Table1[[#This Row],[Expected Business Month]],"YYYY")</f>
        <v>2025</v>
      </c>
    </row>
    <row r="368" spans="1:21">
      <c r="A368" s="19">
        <v>45677</v>
      </c>
      <c r="B368" s="4" t="s">
        <v>238</v>
      </c>
      <c r="C368" s="4" t="s">
        <v>225</v>
      </c>
      <c r="D368" s="4" t="s">
        <v>195</v>
      </c>
      <c r="E368" s="4" t="s">
        <v>676</v>
      </c>
      <c r="F368" s="4" t="s">
        <v>642</v>
      </c>
      <c r="G368" s="17" t="s">
        <v>654</v>
      </c>
      <c r="H368" s="4">
        <v>740</v>
      </c>
      <c r="I368" s="4">
        <v>740</v>
      </c>
      <c r="J368" s="31">
        <v>45658</v>
      </c>
      <c r="K368" s="4" t="s">
        <v>596</v>
      </c>
      <c r="L368" s="4" t="s">
        <v>17</v>
      </c>
      <c r="M368" s="4" t="s">
        <v>221</v>
      </c>
      <c r="S368" s="4" t="str">
        <f>TEXT(Table1[[#This Row],[Date]],"MMM-YY")</f>
        <v>Jan-25</v>
      </c>
      <c r="T368" s="4">
        <f>_xlfn.ISOWEEKNUM(Table1[[#This Row],[Date]])</f>
        <v>4</v>
      </c>
      <c r="U368" s="4" t="str">
        <f>TEXT(Table1[[#This Row],[Expected Business Month]],"YYYY")</f>
        <v>2025</v>
      </c>
    </row>
    <row r="369" spans="1:21">
      <c r="A369" s="19">
        <v>45677</v>
      </c>
      <c r="B369" s="4" t="s">
        <v>693</v>
      </c>
      <c r="C369" s="4" t="s">
        <v>225</v>
      </c>
      <c r="D369" s="4" t="s">
        <v>195</v>
      </c>
      <c r="E369" s="4" t="s">
        <v>61</v>
      </c>
      <c r="F369" s="4" t="s">
        <v>694</v>
      </c>
      <c r="H369" s="4">
        <v>11395</v>
      </c>
      <c r="I369" s="4">
        <v>11395</v>
      </c>
      <c r="J369" s="31">
        <v>45658</v>
      </c>
      <c r="K369" s="4" t="s">
        <v>234</v>
      </c>
      <c r="L369" s="4" t="s">
        <v>17</v>
      </c>
      <c r="M369" s="4" t="s">
        <v>221</v>
      </c>
      <c r="S369" s="4" t="str">
        <f>TEXT(Table1[[#This Row],[Date]],"MMM-YY")</f>
        <v>Jan-25</v>
      </c>
      <c r="T369" s="4">
        <f>_xlfn.ISOWEEKNUM(Table1[[#This Row],[Date]])</f>
        <v>4</v>
      </c>
      <c r="U369" s="4" t="str">
        <f>TEXT(Table1[[#This Row],[Expected Business Month]],"YYYY")</f>
        <v>2025</v>
      </c>
    </row>
    <row r="370" spans="1:21">
      <c r="A370" s="19">
        <v>45679</v>
      </c>
      <c r="B370" s="4" t="s">
        <v>230</v>
      </c>
      <c r="C370" s="4" t="s">
        <v>225</v>
      </c>
      <c r="D370" s="4" t="s">
        <v>183</v>
      </c>
      <c r="E370" s="4" t="s">
        <v>21</v>
      </c>
      <c r="F370" s="4" t="s">
        <v>688</v>
      </c>
      <c r="H370" s="4">
        <v>23510</v>
      </c>
      <c r="I370" s="4">
        <v>23510</v>
      </c>
      <c r="J370" s="31">
        <v>45658</v>
      </c>
      <c r="K370" s="4" t="s">
        <v>234</v>
      </c>
      <c r="L370" s="4" t="s">
        <v>17</v>
      </c>
      <c r="M370" s="4" t="s">
        <v>221</v>
      </c>
      <c r="S370" s="4" t="str">
        <f>TEXT(Table1[[#This Row],[Date]],"MMM-YY")</f>
        <v>Jan-25</v>
      </c>
      <c r="T370" s="4">
        <f>_xlfn.ISOWEEKNUM(Table1[[#This Row],[Date]])</f>
        <v>4</v>
      </c>
      <c r="U370" s="4" t="str">
        <f>TEXT(Table1[[#This Row],[Expected Business Month]],"YYYY")</f>
        <v>2025</v>
      </c>
    </row>
    <row r="371" spans="1:21">
      <c r="A371" s="19">
        <v>45679</v>
      </c>
      <c r="B371" s="4" t="s">
        <v>230</v>
      </c>
      <c r="C371" s="4" t="s">
        <v>225</v>
      </c>
      <c r="D371" s="4" t="s">
        <v>183</v>
      </c>
      <c r="E371" s="4" t="s">
        <v>21</v>
      </c>
      <c r="F371" s="4" t="s">
        <v>437</v>
      </c>
      <c r="H371" s="4">
        <v>20221</v>
      </c>
      <c r="I371" s="4">
        <v>20221</v>
      </c>
      <c r="J371" s="31">
        <v>45658</v>
      </c>
      <c r="K371" s="4" t="s">
        <v>220</v>
      </c>
      <c r="L371" s="4" t="s">
        <v>17</v>
      </c>
      <c r="M371" s="4" t="s">
        <v>221</v>
      </c>
      <c r="S371" s="4" t="str">
        <f>TEXT(Table1[[#This Row],[Date]],"MMM-YY")</f>
        <v>Jan-25</v>
      </c>
      <c r="T371" s="4">
        <f>_xlfn.ISOWEEKNUM(Table1[[#This Row],[Date]])</f>
        <v>4</v>
      </c>
      <c r="U371" s="4" t="str">
        <f>TEXT(Table1[[#This Row],[Expected Business Month]],"YYYY")</f>
        <v>2025</v>
      </c>
    </row>
    <row r="372" spans="1:21">
      <c r="A372" s="19">
        <v>45680</v>
      </c>
      <c r="B372" s="4" t="s">
        <v>238</v>
      </c>
      <c r="C372" s="4" t="s">
        <v>225</v>
      </c>
      <c r="D372" s="4" t="s">
        <v>195</v>
      </c>
      <c r="E372" s="4" t="s">
        <v>676</v>
      </c>
      <c r="F372" s="4" t="s">
        <v>642</v>
      </c>
      <c r="G372" s="17" t="s">
        <v>654</v>
      </c>
      <c r="H372" s="4">
        <v>11100</v>
      </c>
      <c r="I372" s="4">
        <v>11100</v>
      </c>
      <c r="J372" s="31">
        <v>45658</v>
      </c>
      <c r="K372" s="4" t="s">
        <v>596</v>
      </c>
      <c r="L372" s="4" t="s">
        <v>17</v>
      </c>
      <c r="M372" s="4" t="s">
        <v>221</v>
      </c>
      <c r="S372" s="4" t="str">
        <f>TEXT(Table1[[#This Row],[Date]],"MMM-YY")</f>
        <v>Jan-25</v>
      </c>
      <c r="T372" s="4">
        <f>_xlfn.ISOWEEKNUM(Table1[[#This Row],[Date]])</f>
        <v>4</v>
      </c>
      <c r="U372" s="4" t="str">
        <f>TEXT(Table1[[#This Row],[Expected Business Month]],"YYYY")</f>
        <v>2025</v>
      </c>
    </row>
    <row r="373" spans="1:21">
      <c r="A373" s="19">
        <v>45680</v>
      </c>
      <c r="B373" s="4" t="s">
        <v>650</v>
      </c>
      <c r="C373" s="4" t="s">
        <v>225</v>
      </c>
      <c r="D373" s="4" t="s">
        <v>21</v>
      </c>
      <c r="E373" s="4" t="s">
        <v>21</v>
      </c>
      <c r="F373" s="4" t="s">
        <v>695</v>
      </c>
      <c r="H373" s="4">
        <v>40380</v>
      </c>
      <c r="I373" s="4">
        <v>40380</v>
      </c>
      <c r="J373" s="31">
        <v>45658</v>
      </c>
      <c r="K373" s="4" t="s">
        <v>220</v>
      </c>
      <c r="L373" s="4" t="s">
        <v>17</v>
      </c>
      <c r="M373" s="4" t="s">
        <v>221</v>
      </c>
      <c r="S373" s="4" t="str">
        <f>TEXT(Table1[[#This Row],[Date]],"MMM-YY")</f>
        <v>Jan-25</v>
      </c>
      <c r="T373" s="4">
        <f>_xlfn.ISOWEEKNUM(Table1[[#This Row],[Date]])</f>
        <v>4</v>
      </c>
      <c r="U373" s="4" t="str">
        <f>TEXT(Table1[[#This Row],[Expected Business Month]],"YYYY")</f>
        <v>2025</v>
      </c>
    </row>
    <row r="374" spans="1:21">
      <c r="A374" s="19">
        <v>45680</v>
      </c>
      <c r="B374" s="4" t="s">
        <v>677</v>
      </c>
      <c r="C374" s="4" t="s">
        <v>225</v>
      </c>
      <c r="D374" s="4" t="s">
        <v>195</v>
      </c>
      <c r="E374" s="4" t="s">
        <v>32</v>
      </c>
      <c r="F374" s="4" t="s">
        <v>561</v>
      </c>
      <c r="G374" s="17" t="s">
        <v>562</v>
      </c>
      <c r="H374" s="4">
        <v>34822</v>
      </c>
      <c r="I374" s="4">
        <v>34822</v>
      </c>
      <c r="J374" s="31">
        <v>45658</v>
      </c>
      <c r="K374" s="4" t="s">
        <v>220</v>
      </c>
      <c r="L374" s="4" t="s">
        <v>17</v>
      </c>
      <c r="M374" s="4" t="s">
        <v>221</v>
      </c>
      <c r="S374" s="4" t="str">
        <f>TEXT(Table1[[#This Row],[Date]],"MMM-YY")</f>
        <v>Jan-25</v>
      </c>
      <c r="T374" s="4">
        <f>_xlfn.ISOWEEKNUM(Table1[[#This Row],[Date]])</f>
        <v>4</v>
      </c>
      <c r="U374" s="4" t="str">
        <f>TEXT(Table1[[#This Row],[Expected Business Month]],"YYYY")</f>
        <v>2025</v>
      </c>
    </row>
    <row r="375" spans="1:21">
      <c r="A375" s="19">
        <v>45680</v>
      </c>
      <c r="B375" s="4" t="s">
        <v>679</v>
      </c>
      <c r="C375" s="4" t="s">
        <v>225</v>
      </c>
      <c r="D375" s="4" t="s">
        <v>195</v>
      </c>
      <c r="E375" s="4" t="s">
        <v>61</v>
      </c>
      <c r="F375" s="4" t="s">
        <v>333</v>
      </c>
      <c r="G375" s="17" t="s">
        <v>562</v>
      </c>
      <c r="H375" s="4">
        <v>35400</v>
      </c>
      <c r="I375" s="4">
        <v>35400</v>
      </c>
      <c r="J375" s="31">
        <v>45658</v>
      </c>
      <c r="K375" s="4" t="s">
        <v>220</v>
      </c>
      <c r="L375" s="4" t="s">
        <v>17</v>
      </c>
      <c r="M375" s="4" t="s">
        <v>221</v>
      </c>
      <c r="S375" s="4" t="str">
        <f>TEXT(Table1[[#This Row],[Date]],"MMM-YY")</f>
        <v>Jan-25</v>
      </c>
      <c r="T375" s="4">
        <f>_xlfn.ISOWEEKNUM(Table1[[#This Row],[Date]])</f>
        <v>4</v>
      </c>
      <c r="U375" s="4" t="str">
        <f>TEXT(Table1[[#This Row],[Expected Business Month]],"YYYY")</f>
        <v>2025</v>
      </c>
    </row>
    <row r="376" spans="1:21">
      <c r="A376" s="19">
        <v>45680</v>
      </c>
      <c r="B376" s="4" t="s">
        <v>230</v>
      </c>
      <c r="C376" s="4" t="s">
        <v>225</v>
      </c>
      <c r="D376" s="4" t="s">
        <v>183</v>
      </c>
      <c r="E376" s="4" t="s">
        <v>21</v>
      </c>
      <c r="F376" s="4" t="s">
        <v>688</v>
      </c>
      <c r="H376" s="4">
        <v>13340</v>
      </c>
      <c r="I376" s="4">
        <v>13340</v>
      </c>
      <c r="J376" s="31">
        <v>45658</v>
      </c>
      <c r="K376" s="4" t="s">
        <v>234</v>
      </c>
      <c r="L376" s="4" t="s">
        <v>17</v>
      </c>
      <c r="M376" s="4" t="s">
        <v>221</v>
      </c>
      <c r="S376" s="4" t="str">
        <f>TEXT(Table1[[#This Row],[Date]],"MMM-YY")</f>
        <v>Jan-25</v>
      </c>
      <c r="T376" s="4">
        <f>_xlfn.ISOWEEKNUM(Table1[[#This Row],[Date]])</f>
        <v>4</v>
      </c>
      <c r="U376" s="4" t="str">
        <f>TEXT(Table1[[#This Row],[Expected Business Month]],"YYYY")</f>
        <v>2025</v>
      </c>
    </row>
    <row r="377" spans="1:21">
      <c r="A377" s="19">
        <v>45681</v>
      </c>
      <c r="B377" s="4" t="s">
        <v>230</v>
      </c>
      <c r="C377" s="4" t="s">
        <v>225</v>
      </c>
      <c r="D377" s="4" t="s">
        <v>183</v>
      </c>
      <c r="E377" s="4" t="s">
        <v>21</v>
      </c>
      <c r="F377" s="4" t="s">
        <v>688</v>
      </c>
      <c r="H377" s="4">
        <v>19280</v>
      </c>
      <c r="I377" s="4">
        <v>19280</v>
      </c>
      <c r="J377" s="31">
        <v>45658</v>
      </c>
      <c r="K377" s="4" t="s">
        <v>234</v>
      </c>
      <c r="L377" s="4" t="s">
        <v>17</v>
      </c>
      <c r="M377" s="4" t="s">
        <v>221</v>
      </c>
      <c r="S377" s="4" t="str">
        <f>TEXT(Table1[[#This Row],[Date]],"MMM-YY")</f>
        <v>Jan-25</v>
      </c>
      <c r="T377" s="4">
        <f>_xlfn.ISOWEEKNUM(Table1[[#This Row],[Date]])</f>
        <v>4</v>
      </c>
      <c r="U377" s="4" t="str">
        <f>TEXT(Table1[[#This Row],[Expected Business Month]],"YYYY")</f>
        <v>2025</v>
      </c>
    </row>
    <row r="378" spans="1:21">
      <c r="A378" s="19">
        <v>45683</v>
      </c>
      <c r="B378" s="4" t="s">
        <v>650</v>
      </c>
      <c r="C378" s="4" t="s">
        <v>225</v>
      </c>
      <c r="D378" s="4" t="s">
        <v>21</v>
      </c>
      <c r="E378" s="4" t="s">
        <v>21</v>
      </c>
      <c r="F378" s="4" t="s">
        <v>695</v>
      </c>
      <c r="H378" s="4">
        <v>325490</v>
      </c>
      <c r="I378" s="4">
        <v>325490</v>
      </c>
      <c r="J378" s="31">
        <v>45658</v>
      </c>
      <c r="K378" s="4" t="s">
        <v>220</v>
      </c>
      <c r="L378" s="4" t="s">
        <v>17</v>
      </c>
      <c r="M378" s="4" t="s">
        <v>221</v>
      </c>
      <c r="S378" s="4" t="str">
        <f>TEXT(Table1[[#This Row],[Date]],"MMM-YY")</f>
        <v>Jan-25</v>
      </c>
      <c r="T378" s="4">
        <f>_xlfn.ISOWEEKNUM(Table1[[#This Row],[Date]])</f>
        <v>4</v>
      </c>
      <c r="U378" s="4" t="str">
        <f>TEXT(Table1[[#This Row],[Expected Business Month]],"YYYY")</f>
        <v>2025</v>
      </c>
    </row>
    <row r="379" spans="1:21">
      <c r="A379" s="19">
        <v>45684</v>
      </c>
      <c r="B379" s="4" t="s">
        <v>230</v>
      </c>
      <c r="C379" s="4" t="s">
        <v>225</v>
      </c>
      <c r="D379" s="4" t="s">
        <v>183</v>
      </c>
      <c r="E379" s="4" t="s">
        <v>21</v>
      </c>
      <c r="F379" s="4" t="s">
        <v>688</v>
      </c>
      <c r="H379" s="4">
        <v>19870</v>
      </c>
      <c r="I379" s="4">
        <v>19870</v>
      </c>
      <c r="J379" s="31">
        <v>45658</v>
      </c>
      <c r="K379" s="4" t="s">
        <v>234</v>
      </c>
      <c r="L379" s="4" t="s">
        <v>17</v>
      </c>
      <c r="M379" s="4" t="s">
        <v>221</v>
      </c>
      <c r="S379" s="4" t="str">
        <f>TEXT(Table1[[#This Row],[Date]],"MMM-YY")</f>
        <v>Jan-25</v>
      </c>
      <c r="T379" s="4">
        <f>_xlfn.ISOWEEKNUM(Table1[[#This Row],[Date]])</f>
        <v>5</v>
      </c>
      <c r="U379" s="4" t="str">
        <f>TEXT(Table1[[#This Row],[Expected Business Month]],"YYYY")</f>
        <v>2025</v>
      </c>
    </row>
    <row r="380" spans="1:21">
      <c r="A380" s="19">
        <v>45684</v>
      </c>
      <c r="B380" s="4" t="s">
        <v>650</v>
      </c>
      <c r="C380" s="4" t="s">
        <v>225</v>
      </c>
      <c r="D380" s="4" t="s">
        <v>21</v>
      </c>
      <c r="E380" s="4" t="s">
        <v>21</v>
      </c>
      <c r="F380" s="4" t="s">
        <v>695</v>
      </c>
      <c r="H380" s="4">
        <v>80060</v>
      </c>
      <c r="I380" s="4">
        <v>80060</v>
      </c>
      <c r="J380" s="31">
        <v>45658</v>
      </c>
      <c r="K380" s="4" t="s">
        <v>220</v>
      </c>
      <c r="L380" s="4" t="s">
        <v>17</v>
      </c>
      <c r="M380" s="4" t="s">
        <v>221</v>
      </c>
      <c r="S380" s="4" t="str">
        <f>TEXT(Table1[[#This Row],[Date]],"MMM-YY")</f>
        <v>Jan-25</v>
      </c>
      <c r="T380" s="4">
        <f>_xlfn.ISOWEEKNUM(Table1[[#This Row],[Date]])</f>
        <v>5</v>
      </c>
      <c r="U380" s="4" t="str">
        <f>TEXT(Table1[[#This Row],[Expected Business Month]],"YYYY")</f>
        <v>2025</v>
      </c>
    </row>
    <row r="381" spans="1:21">
      <c r="A381" s="19">
        <v>45685</v>
      </c>
      <c r="B381" s="4" t="s">
        <v>650</v>
      </c>
      <c r="C381" s="4" t="s">
        <v>225</v>
      </c>
      <c r="D381" s="4" t="s">
        <v>21</v>
      </c>
      <c r="E381" s="4" t="s">
        <v>21</v>
      </c>
      <c r="F381" s="4" t="s">
        <v>695</v>
      </c>
      <c r="H381" s="4">
        <v>94270</v>
      </c>
      <c r="I381" s="4">
        <v>94270</v>
      </c>
      <c r="J381" s="31">
        <v>45658</v>
      </c>
      <c r="K381" s="4" t="s">
        <v>220</v>
      </c>
      <c r="L381" s="4" t="s">
        <v>17</v>
      </c>
      <c r="M381" s="4" t="s">
        <v>221</v>
      </c>
      <c r="S381" s="4" t="str">
        <f>TEXT(Table1[[#This Row],[Date]],"MMM-YY")</f>
        <v>Jan-25</v>
      </c>
      <c r="T381" s="4">
        <f>_xlfn.ISOWEEKNUM(Table1[[#This Row],[Date]])</f>
        <v>5</v>
      </c>
      <c r="U381" s="4" t="str">
        <f>TEXT(Table1[[#This Row],[Expected Business Month]],"YYYY")</f>
        <v>2025</v>
      </c>
    </row>
    <row r="382" spans="1:21">
      <c r="A382" s="19">
        <v>45685</v>
      </c>
      <c r="B382" s="4" t="s">
        <v>696</v>
      </c>
      <c r="C382" s="4" t="s">
        <v>225</v>
      </c>
      <c r="D382" s="4" t="s">
        <v>195</v>
      </c>
      <c r="E382" s="4" t="s">
        <v>61</v>
      </c>
      <c r="F382" s="4" t="s">
        <v>697</v>
      </c>
      <c r="H382" s="4">
        <v>76280</v>
      </c>
      <c r="I382" s="4">
        <v>76280</v>
      </c>
      <c r="J382" s="31">
        <v>45658</v>
      </c>
      <c r="K382" s="4" t="s">
        <v>220</v>
      </c>
      <c r="L382" s="4" t="s">
        <v>17</v>
      </c>
      <c r="M382" s="4" t="s">
        <v>221</v>
      </c>
      <c r="S382" s="4" t="str">
        <f>TEXT(Table1[[#This Row],[Date]],"MMM-YY")</f>
        <v>Jan-25</v>
      </c>
      <c r="T382" s="4">
        <f>_xlfn.ISOWEEKNUM(Table1[[#This Row],[Date]])</f>
        <v>5</v>
      </c>
      <c r="U382" s="4" t="str">
        <f>TEXT(Table1[[#This Row],[Expected Business Month]],"YYYY")</f>
        <v>2025</v>
      </c>
    </row>
    <row r="383" spans="1:21">
      <c r="A383" s="19">
        <v>45685</v>
      </c>
      <c r="B383" s="4" t="s">
        <v>230</v>
      </c>
      <c r="C383" s="4" t="s">
        <v>225</v>
      </c>
      <c r="D383" s="4" t="s">
        <v>183</v>
      </c>
      <c r="E383" s="4" t="s">
        <v>21</v>
      </c>
      <c r="F383" s="4" t="s">
        <v>688</v>
      </c>
      <c r="H383" s="4">
        <v>26819</v>
      </c>
      <c r="I383" s="4">
        <v>26819</v>
      </c>
      <c r="J383" s="31">
        <v>45658</v>
      </c>
      <c r="K383" s="4" t="s">
        <v>234</v>
      </c>
      <c r="L383" s="4" t="s">
        <v>17</v>
      </c>
      <c r="M383" s="4" t="s">
        <v>221</v>
      </c>
      <c r="S383" s="4" t="str">
        <f>TEXT(Table1[[#This Row],[Date]],"MMM-YY")</f>
        <v>Jan-25</v>
      </c>
      <c r="T383" s="4">
        <f>_xlfn.ISOWEEKNUM(Table1[[#This Row],[Date]])</f>
        <v>5</v>
      </c>
      <c r="U383" s="4" t="str">
        <f>TEXT(Table1[[#This Row],[Expected Business Month]],"YYYY")</f>
        <v>2025</v>
      </c>
    </row>
    <row r="384" spans="1:21">
      <c r="A384" s="19">
        <v>45686</v>
      </c>
      <c r="B384" s="4" t="s">
        <v>677</v>
      </c>
      <c r="C384" s="4" t="s">
        <v>225</v>
      </c>
      <c r="D384" s="4" t="s">
        <v>195</v>
      </c>
      <c r="E384" s="4" t="s">
        <v>32</v>
      </c>
      <c r="F384" s="4" t="s">
        <v>561</v>
      </c>
      <c r="G384" s="17" t="s">
        <v>562</v>
      </c>
      <c r="H384" s="4">
        <v>32860</v>
      </c>
      <c r="I384" s="4">
        <v>32860</v>
      </c>
      <c r="J384" s="31">
        <v>45658</v>
      </c>
      <c r="K384" s="4" t="s">
        <v>220</v>
      </c>
      <c r="L384" s="4" t="s">
        <v>17</v>
      </c>
      <c r="M384" s="4" t="s">
        <v>221</v>
      </c>
      <c r="S384" s="4" t="str">
        <f>TEXT(Table1[[#This Row],[Date]],"MMM-YY")</f>
        <v>Jan-25</v>
      </c>
      <c r="T384" s="4">
        <f>_xlfn.ISOWEEKNUM(Table1[[#This Row],[Date]])</f>
        <v>5</v>
      </c>
      <c r="U384" s="4" t="str">
        <f>TEXT(Table1[[#This Row],[Expected Business Month]],"YYYY")</f>
        <v>2025</v>
      </c>
    </row>
    <row r="385" spans="1:21">
      <c r="A385" s="19">
        <v>45686</v>
      </c>
      <c r="B385" s="4" t="s">
        <v>679</v>
      </c>
      <c r="C385" s="4" t="s">
        <v>225</v>
      </c>
      <c r="D385" s="4" t="s">
        <v>195</v>
      </c>
      <c r="E385" s="4" t="s">
        <v>61</v>
      </c>
      <c r="F385" s="4" t="s">
        <v>333</v>
      </c>
      <c r="G385" s="17" t="s">
        <v>562</v>
      </c>
      <c r="H385" s="4">
        <v>39435</v>
      </c>
      <c r="I385" s="4">
        <v>39435</v>
      </c>
      <c r="J385" s="31">
        <v>45658</v>
      </c>
      <c r="K385" s="4" t="s">
        <v>220</v>
      </c>
      <c r="L385" s="4" t="s">
        <v>17</v>
      </c>
      <c r="M385" s="4" t="s">
        <v>221</v>
      </c>
      <c r="S385" s="4" t="str">
        <f>TEXT(Table1[[#This Row],[Date]],"MMM-YY")</f>
        <v>Jan-25</v>
      </c>
      <c r="T385" s="4">
        <f>_xlfn.ISOWEEKNUM(Table1[[#This Row],[Date]])</f>
        <v>5</v>
      </c>
      <c r="U385" s="4" t="str">
        <f>TEXT(Table1[[#This Row],[Expected Business Month]],"YYYY")</f>
        <v>2025</v>
      </c>
    </row>
    <row r="386" spans="1:21">
      <c r="A386" s="19">
        <v>45686</v>
      </c>
      <c r="B386" s="4" t="s">
        <v>696</v>
      </c>
      <c r="C386" s="4" t="s">
        <v>225</v>
      </c>
      <c r="D386" s="4" t="s">
        <v>195</v>
      </c>
      <c r="E386" s="4" t="s">
        <v>61</v>
      </c>
      <c r="F386" s="4" t="s">
        <v>697</v>
      </c>
      <c r="H386" s="4">
        <v>79372</v>
      </c>
      <c r="I386" s="4">
        <v>79372</v>
      </c>
      <c r="J386" s="31">
        <v>45658</v>
      </c>
      <c r="K386" s="4" t="s">
        <v>220</v>
      </c>
      <c r="L386" s="4" t="s">
        <v>17</v>
      </c>
      <c r="M386" s="4" t="s">
        <v>221</v>
      </c>
      <c r="S386" s="4" t="str">
        <f>TEXT(Table1[[#This Row],[Date]],"MMM-YY")</f>
        <v>Jan-25</v>
      </c>
      <c r="T386" s="4">
        <f>_xlfn.ISOWEEKNUM(Table1[[#This Row],[Date]])</f>
        <v>5</v>
      </c>
      <c r="U386" s="4" t="str">
        <f>TEXT(Table1[[#This Row],[Expected Business Month]],"YYYY")</f>
        <v>2025</v>
      </c>
    </row>
    <row r="387" spans="1:21">
      <c r="A387" s="19">
        <v>45686</v>
      </c>
      <c r="B387" s="4" t="s">
        <v>230</v>
      </c>
      <c r="C387" s="4" t="s">
        <v>225</v>
      </c>
      <c r="D387" s="4" t="s">
        <v>183</v>
      </c>
      <c r="E387" s="4" t="s">
        <v>21</v>
      </c>
      <c r="F387" s="4" t="s">
        <v>688</v>
      </c>
      <c r="H387" s="4">
        <v>30002</v>
      </c>
      <c r="I387" s="4">
        <v>30002</v>
      </c>
      <c r="J387" s="31">
        <v>45658</v>
      </c>
      <c r="K387" s="4" t="s">
        <v>234</v>
      </c>
      <c r="L387" s="4" t="s">
        <v>17</v>
      </c>
      <c r="M387" s="4" t="s">
        <v>221</v>
      </c>
      <c r="S387" s="4" t="str">
        <f>TEXT(Table1[[#This Row],[Date]],"MMM-YY")</f>
        <v>Jan-25</v>
      </c>
      <c r="T387" s="4">
        <f>_xlfn.ISOWEEKNUM(Table1[[#This Row],[Date]])</f>
        <v>5</v>
      </c>
      <c r="U387" s="4" t="str">
        <f>TEXT(Table1[[#This Row],[Expected Business Month]],"YYYY")</f>
        <v>2025</v>
      </c>
    </row>
    <row r="388" spans="1:21">
      <c r="A388" s="19">
        <v>45686</v>
      </c>
      <c r="B388" s="4" t="s">
        <v>613</v>
      </c>
      <c r="C388" s="4" t="s">
        <v>225</v>
      </c>
      <c r="D388" s="4" t="s">
        <v>195</v>
      </c>
      <c r="E388" s="4" t="s">
        <v>135</v>
      </c>
      <c r="F388" s="4" t="s">
        <v>614</v>
      </c>
      <c r="G388" s="17" t="s">
        <v>586</v>
      </c>
      <c r="H388" s="4">
        <v>41567</v>
      </c>
      <c r="I388" s="4">
        <v>41567</v>
      </c>
      <c r="J388" s="31">
        <v>45658</v>
      </c>
      <c r="K388" s="4" t="s">
        <v>220</v>
      </c>
      <c r="L388" s="4" t="s">
        <v>17</v>
      </c>
      <c r="M388" s="4" t="s">
        <v>221</v>
      </c>
      <c r="S388" s="4" t="str">
        <f>TEXT(Table1[[#This Row],[Date]],"MMM-YY")</f>
        <v>Jan-25</v>
      </c>
      <c r="T388" s="4">
        <f>_xlfn.ISOWEEKNUM(Table1[[#This Row],[Date]])</f>
        <v>5</v>
      </c>
      <c r="U388" s="4" t="str">
        <f>TEXT(Table1[[#This Row],[Expected Business Month]],"YYYY")</f>
        <v>2025</v>
      </c>
    </row>
    <row r="389" spans="1:21">
      <c r="A389" s="19">
        <v>45686</v>
      </c>
      <c r="B389" s="4" t="s">
        <v>650</v>
      </c>
      <c r="C389" s="4" t="s">
        <v>225</v>
      </c>
      <c r="D389" s="4" t="s">
        <v>21</v>
      </c>
      <c r="E389" s="4" t="s">
        <v>21</v>
      </c>
      <c r="F389" s="4" t="s">
        <v>695</v>
      </c>
      <c r="H389" s="4">
        <v>36430</v>
      </c>
      <c r="I389" s="4">
        <v>36430</v>
      </c>
      <c r="J389" s="31">
        <v>45658</v>
      </c>
      <c r="K389" s="4" t="s">
        <v>220</v>
      </c>
      <c r="L389" s="4" t="s">
        <v>17</v>
      </c>
      <c r="M389" s="4" t="s">
        <v>221</v>
      </c>
      <c r="S389" s="4" t="str">
        <f>TEXT(Table1[[#This Row],[Date]],"MMM-YY")</f>
        <v>Jan-25</v>
      </c>
      <c r="T389" s="4">
        <f>_xlfn.ISOWEEKNUM(Table1[[#This Row],[Date]])</f>
        <v>5</v>
      </c>
      <c r="U389" s="4" t="str">
        <f>TEXT(Table1[[#This Row],[Expected Business Month]],"YYYY")</f>
        <v>2025</v>
      </c>
    </row>
    <row r="390" spans="1:21" hidden="1">
      <c r="A390" s="19">
        <v>45686</v>
      </c>
      <c r="B390" s="4" t="s">
        <v>698</v>
      </c>
      <c r="C390" s="4" t="s">
        <v>225</v>
      </c>
      <c r="D390" s="4" t="s">
        <v>21</v>
      </c>
      <c r="E390" s="4" t="s">
        <v>21</v>
      </c>
      <c r="F390" s="4" t="s">
        <v>699</v>
      </c>
      <c r="H390" s="4">
        <v>150000</v>
      </c>
      <c r="J390" s="31">
        <v>45689</v>
      </c>
      <c r="K390" s="4" t="s">
        <v>220</v>
      </c>
      <c r="L390" s="4" t="s">
        <v>11</v>
      </c>
      <c r="M390" s="4" t="s">
        <v>221</v>
      </c>
      <c r="S390" s="4" t="str">
        <f>TEXT(Table1[[#This Row],[Date]],"MMM-YY")</f>
        <v>Jan-25</v>
      </c>
      <c r="T390" s="4">
        <f>_xlfn.ISOWEEKNUM(Table1[[#This Row],[Date]])</f>
        <v>5</v>
      </c>
      <c r="U390" s="4" t="str">
        <f>TEXT(Table1[[#This Row],[Expected Business Month]],"YYYY")</f>
        <v>2025</v>
      </c>
    </row>
    <row r="391" spans="1:21" hidden="1">
      <c r="A391" s="19">
        <v>45686</v>
      </c>
      <c r="B391" s="4" t="s">
        <v>700</v>
      </c>
      <c r="C391" s="4" t="s">
        <v>225</v>
      </c>
      <c r="D391" s="4" t="s">
        <v>21</v>
      </c>
      <c r="E391" s="4" t="s">
        <v>21</v>
      </c>
      <c r="F391" s="4" t="s">
        <v>640</v>
      </c>
      <c r="J391" s="31">
        <v>45689</v>
      </c>
      <c r="K391" s="4" t="s">
        <v>220</v>
      </c>
      <c r="L391" s="4" t="s">
        <v>27</v>
      </c>
      <c r="M391" s="4" t="s">
        <v>221</v>
      </c>
      <c r="S391" s="4" t="str">
        <f>TEXT(Table1[[#This Row],[Date]],"MMM-YY")</f>
        <v>Jan-25</v>
      </c>
      <c r="T391" s="4">
        <f>_xlfn.ISOWEEKNUM(Table1[[#This Row],[Date]])</f>
        <v>5</v>
      </c>
      <c r="U391" s="4" t="str">
        <f>TEXT(Table1[[#This Row],[Expected Business Month]],"YYYY")</f>
        <v>2025</v>
      </c>
    </row>
    <row r="392" spans="1:21" hidden="1">
      <c r="A392" s="19">
        <v>45686</v>
      </c>
      <c r="B392" s="4" t="s">
        <v>701</v>
      </c>
      <c r="C392" s="4" t="s">
        <v>225</v>
      </c>
      <c r="D392" s="4" t="s">
        <v>21</v>
      </c>
      <c r="E392" s="4" t="s">
        <v>21</v>
      </c>
      <c r="F392" s="4" t="s">
        <v>640</v>
      </c>
      <c r="J392" s="31">
        <v>45689</v>
      </c>
      <c r="K392" s="4" t="s">
        <v>220</v>
      </c>
      <c r="L392" s="4" t="s">
        <v>27</v>
      </c>
      <c r="M392" s="4" t="s">
        <v>221</v>
      </c>
      <c r="S392" s="4" t="str">
        <f>TEXT(Table1[[#This Row],[Date]],"MMM-YY")</f>
        <v>Jan-25</v>
      </c>
      <c r="T392" s="4">
        <f>_xlfn.ISOWEEKNUM(Table1[[#This Row],[Date]])</f>
        <v>5</v>
      </c>
      <c r="U392" s="4" t="str">
        <f>TEXT(Table1[[#This Row],[Expected Business Month]],"YYYY")</f>
        <v>2025</v>
      </c>
    </row>
    <row r="393" spans="1:21">
      <c r="A393" s="19">
        <v>45687</v>
      </c>
      <c r="B393" s="4" t="s">
        <v>613</v>
      </c>
      <c r="C393" s="4" t="s">
        <v>225</v>
      </c>
      <c r="D393" s="4" t="s">
        <v>195</v>
      </c>
      <c r="E393" s="4" t="s">
        <v>135</v>
      </c>
      <c r="F393" s="4" t="s">
        <v>614</v>
      </c>
      <c r="G393" s="17" t="s">
        <v>586</v>
      </c>
      <c r="H393" s="4">
        <v>11482</v>
      </c>
      <c r="I393" s="4">
        <v>11482</v>
      </c>
      <c r="J393" s="31">
        <v>45658</v>
      </c>
      <c r="K393" s="4" t="s">
        <v>220</v>
      </c>
      <c r="L393" s="4" t="s">
        <v>17</v>
      </c>
      <c r="M393" s="4" t="s">
        <v>221</v>
      </c>
      <c r="S393" s="4" t="str">
        <f>TEXT(Table1[[#This Row],[Date]],"MMM-YY")</f>
        <v>Jan-25</v>
      </c>
      <c r="T393" s="4">
        <f>_xlfn.ISOWEEKNUM(Table1[[#This Row],[Date]])</f>
        <v>5</v>
      </c>
      <c r="U393" s="4" t="str">
        <f>TEXT(Table1[[#This Row],[Expected Business Month]],"YYYY")</f>
        <v>2025</v>
      </c>
    </row>
    <row r="394" spans="1:21">
      <c r="A394" s="19">
        <v>45687</v>
      </c>
      <c r="B394" s="4" t="s">
        <v>230</v>
      </c>
      <c r="C394" s="4" t="s">
        <v>225</v>
      </c>
      <c r="D394" s="4" t="s">
        <v>183</v>
      </c>
      <c r="E394" s="4" t="s">
        <v>21</v>
      </c>
      <c r="F394" s="4" t="s">
        <v>688</v>
      </c>
      <c r="H394" s="4">
        <v>30345</v>
      </c>
      <c r="I394" s="4">
        <v>30345</v>
      </c>
      <c r="J394" s="31">
        <v>45658</v>
      </c>
      <c r="K394" s="4" t="s">
        <v>234</v>
      </c>
      <c r="L394" s="4" t="s">
        <v>17</v>
      </c>
      <c r="M394" s="4" t="s">
        <v>221</v>
      </c>
      <c r="S394" s="4" t="str">
        <f>TEXT(Table1[[#This Row],[Date]],"MMM-YY")</f>
        <v>Jan-25</v>
      </c>
      <c r="T394" s="4">
        <f>_xlfn.ISOWEEKNUM(Table1[[#This Row],[Date]])</f>
        <v>5</v>
      </c>
      <c r="U394" s="4" t="str">
        <f>TEXT(Table1[[#This Row],[Expected Business Month]],"YYYY")</f>
        <v>2025</v>
      </c>
    </row>
    <row r="395" spans="1:21">
      <c r="A395" s="19">
        <v>45688</v>
      </c>
      <c r="B395" s="4" t="s">
        <v>613</v>
      </c>
      <c r="C395" s="4" t="s">
        <v>225</v>
      </c>
      <c r="D395" s="4" t="s">
        <v>195</v>
      </c>
      <c r="E395" s="4" t="s">
        <v>135</v>
      </c>
      <c r="F395" s="4" t="s">
        <v>614</v>
      </c>
      <c r="G395" s="17" t="s">
        <v>586</v>
      </c>
      <c r="H395" s="4">
        <v>10048</v>
      </c>
      <c r="I395" s="4">
        <v>10048</v>
      </c>
      <c r="J395" s="31">
        <v>45658</v>
      </c>
      <c r="K395" s="4" t="s">
        <v>220</v>
      </c>
      <c r="L395" s="4" t="s">
        <v>17</v>
      </c>
      <c r="M395" s="4" t="s">
        <v>221</v>
      </c>
      <c r="S395" s="4" t="str">
        <f>TEXT(Table1[[#This Row],[Date]],"MMM-YY")</f>
        <v>Jan-25</v>
      </c>
      <c r="T395" s="4">
        <f>_xlfn.ISOWEEKNUM(Table1[[#This Row],[Date]])</f>
        <v>5</v>
      </c>
      <c r="U395" s="4" t="str">
        <f>TEXT(Table1[[#This Row],[Expected Business Month]],"YYYY")</f>
        <v>2025</v>
      </c>
    </row>
    <row r="396" spans="1:21">
      <c r="A396" s="19">
        <v>45688</v>
      </c>
      <c r="B396" s="4" t="s">
        <v>702</v>
      </c>
      <c r="C396" s="4" t="s">
        <v>225</v>
      </c>
      <c r="D396" s="4" t="s">
        <v>195</v>
      </c>
      <c r="E396" s="4" t="s">
        <v>61</v>
      </c>
      <c r="F396" s="4" t="s">
        <v>226</v>
      </c>
      <c r="H396" s="4">
        <v>9000</v>
      </c>
      <c r="I396" s="4">
        <v>9000</v>
      </c>
      <c r="J396" s="31">
        <v>45658</v>
      </c>
      <c r="K396" s="4" t="s">
        <v>220</v>
      </c>
      <c r="L396" s="4" t="s">
        <v>17</v>
      </c>
      <c r="M396" s="4" t="s">
        <v>221</v>
      </c>
      <c r="S396" s="4" t="str">
        <f>TEXT(Table1[[#This Row],[Date]],"MMM-YY")</f>
        <v>Jan-25</v>
      </c>
      <c r="T396" s="4">
        <f>_xlfn.ISOWEEKNUM(Table1[[#This Row],[Date]])</f>
        <v>5</v>
      </c>
      <c r="U396" s="4" t="str">
        <f>TEXT(Table1[[#This Row],[Expected Business Month]],"YYYY")</f>
        <v>2025</v>
      </c>
    </row>
    <row r="397" spans="1:21">
      <c r="A397" s="19">
        <v>45688</v>
      </c>
      <c r="B397" s="4" t="s">
        <v>230</v>
      </c>
      <c r="C397" s="4" t="s">
        <v>225</v>
      </c>
      <c r="D397" s="4" t="s">
        <v>183</v>
      </c>
      <c r="E397" s="4" t="s">
        <v>21</v>
      </c>
      <c r="F397" s="4" t="s">
        <v>688</v>
      </c>
      <c r="H397" s="4">
        <v>44251</v>
      </c>
      <c r="I397" s="4">
        <v>44251</v>
      </c>
      <c r="J397" s="31">
        <v>45658</v>
      </c>
      <c r="K397" s="4" t="s">
        <v>234</v>
      </c>
      <c r="L397" s="4" t="s">
        <v>17</v>
      </c>
      <c r="M397" s="4" t="s">
        <v>221</v>
      </c>
      <c r="S397" s="4" t="str">
        <f>TEXT(Table1[[#This Row],[Date]],"MMM-YY")</f>
        <v>Jan-25</v>
      </c>
      <c r="T397" s="4">
        <f>_xlfn.ISOWEEKNUM(Table1[[#This Row],[Date]])</f>
        <v>5</v>
      </c>
      <c r="U397" s="4" t="str">
        <f>TEXT(Table1[[#This Row],[Expected Business Month]],"YYYY")</f>
        <v>2025</v>
      </c>
    </row>
    <row r="398" spans="1:21">
      <c r="A398" s="19">
        <v>45691</v>
      </c>
      <c r="B398" s="4" t="s">
        <v>238</v>
      </c>
      <c r="C398" s="4" t="s">
        <v>225</v>
      </c>
      <c r="D398" s="4" t="s">
        <v>195</v>
      </c>
      <c r="E398" s="4" t="s">
        <v>676</v>
      </c>
      <c r="F398" s="4" t="s">
        <v>642</v>
      </c>
      <c r="G398" s="17" t="s">
        <v>654</v>
      </c>
      <c r="H398" s="4">
        <v>3327</v>
      </c>
      <c r="I398" s="4">
        <v>3327</v>
      </c>
      <c r="J398" s="31">
        <v>45689</v>
      </c>
      <c r="K398" s="4" t="s">
        <v>220</v>
      </c>
      <c r="L398" s="4" t="s">
        <v>17</v>
      </c>
      <c r="M398" s="4" t="s">
        <v>221</v>
      </c>
      <c r="S398" s="4" t="str">
        <f>TEXT(Table1[[#This Row],[Date]],"MMM-YY")</f>
        <v>Feb-25</v>
      </c>
      <c r="T398" s="4">
        <f>_xlfn.ISOWEEKNUM(Table1[[#This Row],[Date]])</f>
        <v>6</v>
      </c>
      <c r="U398" s="4" t="str">
        <f>TEXT(Table1[[#This Row],[Expected Business Month]],"YYYY")</f>
        <v>2025</v>
      </c>
    </row>
    <row r="399" spans="1:21">
      <c r="A399" s="19">
        <v>45691</v>
      </c>
      <c r="B399" s="4" t="s">
        <v>230</v>
      </c>
      <c r="C399" s="4" t="s">
        <v>225</v>
      </c>
      <c r="D399" s="4" t="s">
        <v>183</v>
      </c>
      <c r="E399" s="4" t="s">
        <v>21</v>
      </c>
      <c r="F399" s="4" t="s">
        <v>688</v>
      </c>
      <c r="H399" s="4">
        <v>15136</v>
      </c>
      <c r="I399" s="4">
        <v>15136</v>
      </c>
      <c r="J399" s="31">
        <v>45689</v>
      </c>
      <c r="K399" s="4" t="s">
        <v>234</v>
      </c>
      <c r="L399" s="4" t="s">
        <v>17</v>
      </c>
      <c r="M399" s="4" t="s">
        <v>221</v>
      </c>
      <c r="S399" s="4" t="str">
        <f>TEXT(Table1[[#This Row],[Date]],"MMM-YY")</f>
        <v>Feb-25</v>
      </c>
      <c r="T399" s="4">
        <f>_xlfn.ISOWEEKNUM(Table1[[#This Row],[Date]])</f>
        <v>6</v>
      </c>
      <c r="U399" s="4" t="str">
        <f>TEXT(Table1[[#This Row],[Expected Business Month]],"YYYY")</f>
        <v>2025</v>
      </c>
    </row>
    <row r="400" spans="1:21">
      <c r="A400" s="19">
        <v>45692</v>
      </c>
      <c r="B400" s="4" t="s">
        <v>230</v>
      </c>
      <c r="C400" s="4" t="s">
        <v>225</v>
      </c>
      <c r="D400" s="4" t="s">
        <v>183</v>
      </c>
      <c r="E400" s="4" t="s">
        <v>21</v>
      </c>
      <c r="F400" s="4" t="s">
        <v>688</v>
      </c>
      <c r="H400" s="4">
        <v>16424</v>
      </c>
      <c r="I400" s="4">
        <v>16424</v>
      </c>
      <c r="J400" s="31">
        <v>45689</v>
      </c>
      <c r="K400" s="4" t="s">
        <v>234</v>
      </c>
      <c r="L400" s="4" t="s">
        <v>17</v>
      </c>
      <c r="M400" s="4" t="s">
        <v>221</v>
      </c>
      <c r="S400" s="4" t="str">
        <f>TEXT(Table1[[#This Row],[Date]],"MMM-YY")</f>
        <v>Feb-25</v>
      </c>
      <c r="T400" s="4">
        <f>_xlfn.ISOWEEKNUM(Table1[[#This Row],[Date]])</f>
        <v>6</v>
      </c>
      <c r="U400" s="4" t="str">
        <f>TEXT(Table1[[#This Row],[Expected Business Month]],"YYYY")</f>
        <v>2025</v>
      </c>
    </row>
    <row r="401" spans="1:21">
      <c r="A401" s="19">
        <v>45693</v>
      </c>
      <c r="B401" s="4" t="s">
        <v>230</v>
      </c>
      <c r="C401" s="4" t="s">
        <v>225</v>
      </c>
      <c r="D401" s="4" t="s">
        <v>183</v>
      </c>
      <c r="E401" s="4" t="s">
        <v>21</v>
      </c>
      <c r="F401" s="4" t="s">
        <v>688</v>
      </c>
      <c r="H401" s="4">
        <v>24649</v>
      </c>
      <c r="I401" s="4">
        <v>24649</v>
      </c>
      <c r="J401" s="31">
        <v>45689</v>
      </c>
      <c r="K401" s="4" t="s">
        <v>234</v>
      </c>
      <c r="L401" s="4" t="s">
        <v>17</v>
      </c>
      <c r="M401" s="4" t="s">
        <v>221</v>
      </c>
      <c r="S401" s="4" t="str">
        <f>TEXT(Table1[[#This Row],[Date]],"MMM-YY")</f>
        <v>Feb-25</v>
      </c>
      <c r="T401" s="4">
        <f>_xlfn.ISOWEEKNUM(Table1[[#This Row],[Date]])</f>
        <v>6</v>
      </c>
      <c r="U401" s="4" t="str">
        <f>TEXT(Table1[[#This Row],[Expected Business Month]],"YYYY")</f>
        <v>2025</v>
      </c>
    </row>
    <row r="402" spans="1:21">
      <c r="A402" s="19">
        <v>45693</v>
      </c>
      <c r="B402" s="4" t="s">
        <v>677</v>
      </c>
      <c r="C402" s="4" t="s">
        <v>225</v>
      </c>
      <c r="D402" s="4" t="s">
        <v>195</v>
      </c>
      <c r="E402" s="4" t="s">
        <v>32</v>
      </c>
      <c r="F402" s="4" t="s">
        <v>561</v>
      </c>
      <c r="G402" s="17" t="s">
        <v>562</v>
      </c>
      <c r="H402" s="4">
        <v>29918</v>
      </c>
      <c r="I402" s="4">
        <v>29918</v>
      </c>
      <c r="J402" s="31">
        <v>45689</v>
      </c>
      <c r="K402" s="4" t="s">
        <v>220</v>
      </c>
      <c r="L402" s="4" t="s">
        <v>17</v>
      </c>
      <c r="M402" s="4" t="s">
        <v>221</v>
      </c>
      <c r="S402" s="4" t="str">
        <f>TEXT(Table1[[#This Row],[Date]],"MMM-YY")</f>
        <v>Feb-25</v>
      </c>
      <c r="T402" s="4">
        <f>_xlfn.ISOWEEKNUM(Table1[[#This Row],[Date]])</f>
        <v>6</v>
      </c>
      <c r="U402" s="4" t="str">
        <f>TEXT(Table1[[#This Row],[Expected Business Month]],"YYYY")</f>
        <v>2025</v>
      </c>
    </row>
    <row r="403" spans="1:21">
      <c r="A403" s="19">
        <v>45693</v>
      </c>
      <c r="B403" s="4" t="s">
        <v>679</v>
      </c>
      <c r="C403" s="4" t="s">
        <v>225</v>
      </c>
      <c r="D403" s="4" t="s">
        <v>195</v>
      </c>
      <c r="E403" s="4" t="s">
        <v>61</v>
      </c>
      <c r="F403" s="4" t="s">
        <v>333</v>
      </c>
      <c r="G403" s="17" t="s">
        <v>562</v>
      </c>
      <c r="H403" s="4">
        <v>39619</v>
      </c>
      <c r="I403" s="4">
        <v>39619</v>
      </c>
      <c r="J403" s="31">
        <v>45689</v>
      </c>
      <c r="K403" s="4" t="s">
        <v>220</v>
      </c>
      <c r="L403" s="4" t="s">
        <v>17</v>
      </c>
      <c r="M403" s="4" t="s">
        <v>221</v>
      </c>
      <c r="S403" s="4" t="str">
        <f>TEXT(Table1[[#This Row],[Date]],"MMM-YY")</f>
        <v>Feb-25</v>
      </c>
      <c r="T403" s="4">
        <f>_xlfn.ISOWEEKNUM(Table1[[#This Row],[Date]])</f>
        <v>6</v>
      </c>
      <c r="U403" s="4" t="str">
        <f>TEXT(Table1[[#This Row],[Expected Business Month]],"YYYY")</f>
        <v>2025</v>
      </c>
    </row>
    <row r="404" spans="1:21">
      <c r="A404" s="19">
        <v>45694</v>
      </c>
      <c r="B404" s="4" t="s">
        <v>230</v>
      </c>
      <c r="C404" s="4" t="s">
        <v>225</v>
      </c>
      <c r="D404" s="4" t="s">
        <v>183</v>
      </c>
      <c r="E404" s="4" t="s">
        <v>21</v>
      </c>
      <c r="F404" s="4" t="s">
        <v>688</v>
      </c>
      <c r="H404" s="4">
        <v>19150</v>
      </c>
      <c r="I404" s="4">
        <v>19150</v>
      </c>
      <c r="J404" s="31">
        <v>45689</v>
      </c>
      <c r="K404" s="4" t="s">
        <v>234</v>
      </c>
      <c r="L404" s="4" t="s">
        <v>17</v>
      </c>
      <c r="M404" s="4" t="s">
        <v>221</v>
      </c>
      <c r="S404" s="4" t="str">
        <f>TEXT(Table1[[#This Row],[Date]],"MMM-YY")</f>
        <v>Feb-25</v>
      </c>
      <c r="T404" s="4">
        <f>_xlfn.ISOWEEKNUM(Table1[[#This Row],[Date]])</f>
        <v>6</v>
      </c>
      <c r="U404" s="4" t="str">
        <f>TEXT(Table1[[#This Row],[Expected Business Month]],"YYYY")</f>
        <v>2025</v>
      </c>
    </row>
    <row r="405" spans="1:21">
      <c r="A405" s="19">
        <v>45695</v>
      </c>
      <c r="B405" s="4" t="s">
        <v>703</v>
      </c>
      <c r="C405" s="4" t="s">
        <v>217</v>
      </c>
      <c r="D405" s="4" t="s">
        <v>21</v>
      </c>
      <c r="E405" s="4" t="s">
        <v>21</v>
      </c>
      <c r="F405" s="4" t="s">
        <v>692</v>
      </c>
      <c r="H405" s="4">
        <v>58882</v>
      </c>
      <c r="I405" s="4">
        <v>58882</v>
      </c>
      <c r="J405" s="31">
        <v>45689</v>
      </c>
      <c r="K405" s="4" t="s">
        <v>220</v>
      </c>
      <c r="L405" s="4" t="s">
        <v>17</v>
      </c>
      <c r="M405" s="4" t="s">
        <v>221</v>
      </c>
      <c r="S405" s="4" t="str">
        <f>TEXT(Table1[[#This Row],[Date]],"MMM-YY")</f>
        <v>Feb-25</v>
      </c>
      <c r="T405" s="4">
        <f>_xlfn.ISOWEEKNUM(Table1[[#This Row],[Date]])</f>
        <v>6</v>
      </c>
      <c r="U405" s="4" t="str">
        <f>TEXT(Table1[[#This Row],[Expected Business Month]],"YYYY")</f>
        <v>2025</v>
      </c>
    </row>
    <row r="406" spans="1:21" hidden="1">
      <c r="A406" s="19">
        <v>45695</v>
      </c>
      <c r="B406" s="4" t="s">
        <v>657</v>
      </c>
      <c r="C406" s="4" t="s">
        <v>217</v>
      </c>
      <c r="D406" s="4" t="s">
        <v>195</v>
      </c>
      <c r="E406" s="4" t="s">
        <v>61</v>
      </c>
      <c r="F406" s="4" t="s">
        <v>523</v>
      </c>
      <c r="J406" s="31">
        <v>45748</v>
      </c>
      <c r="K406" s="4" t="s">
        <v>220</v>
      </c>
      <c r="L406" s="4" t="s">
        <v>16</v>
      </c>
      <c r="M406" s="4" t="s">
        <v>538</v>
      </c>
      <c r="S406" s="4" t="str">
        <f>TEXT(Table1[[#This Row],[Date]],"MMM-YY")</f>
        <v>Feb-25</v>
      </c>
      <c r="T406" s="4">
        <f>_xlfn.ISOWEEKNUM(Table1[[#This Row],[Date]])</f>
        <v>6</v>
      </c>
      <c r="U406" s="4" t="str">
        <f>TEXT(Table1[[#This Row],[Expected Business Month]],"YYYY")</f>
        <v>2025</v>
      </c>
    </row>
    <row r="407" spans="1:21">
      <c r="A407" s="19">
        <v>45695</v>
      </c>
      <c r="B407" s="4" t="s">
        <v>230</v>
      </c>
      <c r="C407" s="4" t="s">
        <v>225</v>
      </c>
      <c r="D407" s="4" t="s">
        <v>183</v>
      </c>
      <c r="E407" s="4" t="s">
        <v>21</v>
      </c>
      <c r="F407" s="4" t="s">
        <v>688</v>
      </c>
      <c r="H407" s="4">
        <v>27102</v>
      </c>
      <c r="I407" s="4">
        <v>27102</v>
      </c>
      <c r="J407" s="31">
        <v>45689</v>
      </c>
      <c r="K407" s="4" t="s">
        <v>234</v>
      </c>
      <c r="L407" s="4" t="s">
        <v>17</v>
      </c>
      <c r="M407" s="4" t="s">
        <v>221</v>
      </c>
      <c r="S407" s="4" t="str">
        <f>TEXT(Table1[[#This Row],[Date]],"MMM-YY")</f>
        <v>Feb-25</v>
      </c>
      <c r="T407" s="4">
        <f>_xlfn.ISOWEEKNUM(Table1[[#This Row],[Date]])</f>
        <v>6</v>
      </c>
      <c r="U407" s="4" t="str">
        <f>TEXT(Table1[[#This Row],[Expected Business Month]],"YYYY")</f>
        <v>2025</v>
      </c>
    </row>
    <row r="408" spans="1:21">
      <c r="A408" s="19">
        <v>45695</v>
      </c>
      <c r="B408" s="4" t="s">
        <v>704</v>
      </c>
      <c r="C408" s="4" t="s">
        <v>217</v>
      </c>
      <c r="D408" s="4" t="s">
        <v>195</v>
      </c>
      <c r="E408" s="4" t="s">
        <v>179</v>
      </c>
      <c r="F408" s="4" t="s">
        <v>705</v>
      </c>
      <c r="H408" s="4">
        <v>5123</v>
      </c>
      <c r="I408" s="4">
        <v>5123</v>
      </c>
      <c r="J408" s="31">
        <v>45689</v>
      </c>
      <c r="K408" s="4" t="s">
        <v>220</v>
      </c>
      <c r="L408" s="4" t="s">
        <v>17</v>
      </c>
      <c r="M408" s="4" t="s">
        <v>221</v>
      </c>
      <c r="S408" s="4" t="str">
        <f>TEXT(Table1[[#This Row],[Date]],"MMM-YY")</f>
        <v>Feb-25</v>
      </c>
      <c r="T408" s="4">
        <f>_xlfn.ISOWEEKNUM(Table1[[#This Row],[Date]])</f>
        <v>6</v>
      </c>
      <c r="U408" s="4" t="str">
        <f>TEXT(Table1[[#This Row],[Expected Business Month]],"YYYY")</f>
        <v>2025</v>
      </c>
    </row>
    <row r="409" spans="1:21">
      <c r="A409" s="19">
        <v>45695</v>
      </c>
      <c r="B409" s="4" t="s">
        <v>706</v>
      </c>
      <c r="C409" s="4" t="s">
        <v>217</v>
      </c>
      <c r="D409" s="4" t="s">
        <v>195</v>
      </c>
      <c r="E409" s="4" t="s">
        <v>179</v>
      </c>
      <c r="F409" s="4" t="s">
        <v>707</v>
      </c>
      <c r="H409" s="4">
        <v>20965</v>
      </c>
      <c r="I409" s="4">
        <v>20965</v>
      </c>
      <c r="J409" s="31">
        <v>45689</v>
      </c>
      <c r="K409" s="4" t="s">
        <v>220</v>
      </c>
      <c r="L409" s="4" t="s">
        <v>17</v>
      </c>
      <c r="M409" s="4" t="s">
        <v>221</v>
      </c>
      <c r="S409" s="4" t="str">
        <f>TEXT(Table1[[#This Row],[Date]],"MMM-YY")</f>
        <v>Feb-25</v>
      </c>
      <c r="T409" s="4">
        <f>_xlfn.ISOWEEKNUM(Table1[[#This Row],[Date]])</f>
        <v>6</v>
      </c>
      <c r="U409" s="4" t="str">
        <f>TEXT(Table1[[#This Row],[Expected Business Month]],"YYYY")</f>
        <v>2025</v>
      </c>
    </row>
    <row r="410" spans="1:21">
      <c r="A410" s="19">
        <v>45695</v>
      </c>
      <c r="B410" s="4" t="s">
        <v>708</v>
      </c>
      <c r="C410" s="4" t="s">
        <v>217</v>
      </c>
      <c r="D410" s="4" t="s">
        <v>195</v>
      </c>
      <c r="E410" s="4" t="s">
        <v>179</v>
      </c>
      <c r="F410" s="4" t="s">
        <v>709</v>
      </c>
      <c r="H410" s="4">
        <v>17644</v>
      </c>
      <c r="I410" s="4">
        <v>17644</v>
      </c>
      <c r="J410" s="31">
        <v>45689</v>
      </c>
      <c r="K410" s="4" t="s">
        <v>220</v>
      </c>
      <c r="L410" s="4" t="s">
        <v>17</v>
      </c>
      <c r="M410" s="4" t="s">
        <v>221</v>
      </c>
      <c r="S410" s="4" t="str">
        <f>TEXT(Table1[[#This Row],[Date]],"MMM-YY")</f>
        <v>Feb-25</v>
      </c>
      <c r="T410" s="4">
        <f>_xlfn.ISOWEEKNUM(Table1[[#This Row],[Date]])</f>
        <v>6</v>
      </c>
      <c r="U410" s="4" t="str">
        <f>TEXT(Table1[[#This Row],[Expected Business Month]],"YYYY")</f>
        <v>2025</v>
      </c>
    </row>
    <row r="411" spans="1:21">
      <c r="A411" s="19">
        <v>45698</v>
      </c>
      <c r="B411" s="4" t="s">
        <v>230</v>
      </c>
      <c r="C411" s="4" t="s">
        <v>225</v>
      </c>
      <c r="D411" s="4" t="s">
        <v>183</v>
      </c>
      <c r="E411" s="4" t="s">
        <v>21</v>
      </c>
      <c r="F411" s="4" t="s">
        <v>688</v>
      </c>
      <c r="H411" s="4">
        <v>5827</v>
      </c>
      <c r="I411" s="4">
        <v>5827</v>
      </c>
      <c r="J411" s="31">
        <v>45689</v>
      </c>
      <c r="K411" s="4" t="s">
        <v>234</v>
      </c>
      <c r="L411" s="4" t="s">
        <v>17</v>
      </c>
      <c r="M411" s="4" t="s">
        <v>221</v>
      </c>
      <c r="S411" s="4" t="str">
        <f>TEXT(Table1[[#This Row],[Date]],"MMM-YY")</f>
        <v>Feb-25</v>
      </c>
      <c r="T411" s="4">
        <f>_xlfn.ISOWEEKNUM(Table1[[#This Row],[Date]])</f>
        <v>7</v>
      </c>
      <c r="U411" s="4" t="str">
        <f>TEXT(Table1[[#This Row],[Expected Business Month]],"YYYY")</f>
        <v>2025</v>
      </c>
    </row>
    <row r="412" spans="1:21">
      <c r="A412" s="19">
        <v>45699</v>
      </c>
      <c r="B412" s="4" t="s">
        <v>230</v>
      </c>
      <c r="C412" s="4" t="s">
        <v>225</v>
      </c>
      <c r="D412" s="4" t="s">
        <v>183</v>
      </c>
      <c r="E412" s="4" t="s">
        <v>21</v>
      </c>
      <c r="F412" s="4" t="s">
        <v>688</v>
      </c>
      <c r="H412" s="4">
        <v>15199</v>
      </c>
      <c r="I412" s="4">
        <v>15199</v>
      </c>
      <c r="J412" s="31">
        <v>45689</v>
      </c>
      <c r="K412" s="4" t="s">
        <v>234</v>
      </c>
      <c r="L412" s="4" t="s">
        <v>17</v>
      </c>
      <c r="M412" s="4" t="s">
        <v>221</v>
      </c>
      <c r="S412" s="4" t="str">
        <f>TEXT(Table1[[#This Row],[Date]],"MMM-YY")</f>
        <v>Feb-25</v>
      </c>
      <c r="T412" s="4">
        <f>_xlfn.ISOWEEKNUM(Table1[[#This Row],[Date]])</f>
        <v>7</v>
      </c>
      <c r="U412" s="4" t="str">
        <f>TEXT(Table1[[#This Row],[Expected Business Month]],"YYYY")</f>
        <v>2025</v>
      </c>
    </row>
    <row r="413" spans="1:21" hidden="1">
      <c r="A413" s="19">
        <v>45699</v>
      </c>
      <c r="B413" s="4" t="s">
        <v>710</v>
      </c>
      <c r="C413" s="4" t="s">
        <v>225</v>
      </c>
      <c r="D413" s="4" t="s">
        <v>183</v>
      </c>
      <c r="E413" s="4" t="s">
        <v>21</v>
      </c>
      <c r="F413" s="4" t="s">
        <v>233</v>
      </c>
      <c r="H413" s="4">
        <v>400000</v>
      </c>
      <c r="J413" s="31">
        <v>45689</v>
      </c>
      <c r="K413" s="4" t="s">
        <v>234</v>
      </c>
      <c r="L413" s="4" t="s">
        <v>11</v>
      </c>
      <c r="M413" s="4" t="s">
        <v>221</v>
      </c>
      <c r="S413" s="4" t="str">
        <f>TEXT(Table1[[#This Row],[Date]],"MMM-YY")</f>
        <v>Feb-25</v>
      </c>
      <c r="T413" s="4">
        <f>_xlfn.ISOWEEKNUM(Table1[[#This Row],[Date]])</f>
        <v>7</v>
      </c>
      <c r="U413" s="4" t="str">
        <f>TEXT(Table1[[#This Row],[Expected Business Month]],"YYYY")</f>
        <v>2025</v>
      </c>
    </row>
    <row r="414" spans="1:21">
      <c r="A414" s="19">
        <v>45700</v>
      </c>
      <c r="B414" s="4" t="s">
        <v>700</v>
      </c>
      <c r="C414" s="4" t="s">
        <v>225</v>
      </c>
      <c r="D414" s="4" t="s">
        <v>21</v>
      </c>
      <c r="E414" s="4" t="s">
        <v>21</v>
      </c>
      <c r="F414" s="4" t="s">
        <v>640</v>
      </c>
      <c r="H414" s="4">
        <v>13410</v>
      </c>
      <c r="I414" s="4">
        <v>13410</v>
      </c>
      <c r="J414" s="31">
        <v>45689</v>
      </c>
      <c r="K414" s="4" t="s">
        <v>220</v>
      </c>
      <c r="L414" s="4" t="s">
        <v>17</v>
      </c>
      <c r="M414" s="4" t="s">
        <v>221</v>
      </c>
      <c r="S414" s="4" t="str">
        <f>TEXT(Table1[[#This Row],[Date]],"MMM-YY")</f>
        <v>Feb-25</v>
      </c>
      <c r="T414" s="4">
        <f>_xlfn.ISOWEEKNUM(Table1[[#This Row],[Date]])</f>
        <v>7</v>
      </c>
      <c r="U414" s="4" t="str">
        <f>TEXT(Table1[[#This Row],[Expected Business Month]],"YYYY")</f>
        <v>2025</v>
      </c>
    </row>
    <row r="415" spans="1:21">
      <c r="A415" s="19">
        <v>45700</v>
      </c>
      <c r="B415" s="4" t="s">
        <v>230</v>
      </c>
      <c r="C415" s="4" t="s">
        <v>225</v>
      </c>
      <c r="D415" s="4" t="s">
        <v>183</v>
      </c>
      <c r="E415" s="4" t="s">
        <v>21</v>
      </c>
      <c r="F415" s="4" t="s">
        <v>688</v>
      </c>
      <c r="H415" s="4">
        <v>23319</v>
      </c>
      <c r="I415" s="4">
        <v>23319</v>
      </c>
      <c r="J415" s="31">
        <v>45689</v>
      </c>
      <c r="K415" s="4" t="s">
        <v>234</v>
      </c>
      <c r="L415" s="4" t="s">
        <v>17</v>
      </c>
      <c r="M415" s="4" t="s">
        <v>221</v>
      </c>
      <c r="S415" s="4" t="str">
        <f>TEXT(Table1[[#This Row],[Date]],"MMM-YY")</f>
        <v>Feb-25</v>
      </c>
      <c r="T415" s="4">
        <f>_xlfn.ISOWEEKNUM(Table1[[#This Row],[Date]])</f>
        <v>7</v>
      </c>
      <c r="U415" s="4" t="str">
        <f>TEXT(Table1[[#This Row],[Expected Business Month]],"YYYY")</f>
        <v>2025</v>
      </c>
    </row>
    <row r="416" spans="1:21">
      <c r="A416" s="19">
        <v>45701</v>
      </c>
      <c r="B416" s="4" t="s">
        <v>700</v>
      </c>
      <c r="C416" s="4" t="s">
        <v>225</v>
      </c>
      <c r="D416" s="4" t="s">
        <v>21</v>
      </c>
      <c r="E416" s="4" t="s">
        <v>21</v>
      </c>
      <c r="F416" s="4" t="s">
        <v>640</v>
      </c>
      <c r="H416" s="4">
        <v>40910</v>
      </c>
      <c r="I416" s="4">
        <v>40910</v>
      </c>
      <c r="J416" s="31">
        <v>45689</v>
      </c>
      <c r="K416" s="4" t="s">
        <v>220</v>
      </c>
      <c r="L416" s="4" t="s">
        <v>17</v>
      </c>
      <c r="M416" s="4" t="s">
        <v>221</v>
      </c>
      <c r="S416" s="4" t="str">
        <f>TEXT(Table1[[#This Row],[Date]],"MMM-YY")</f>
        <v>Feb-25</v>
      </c>
      <c r="T416" s="4">
        <f>_xlfn.ISOWEEKNUM(Table1[[#This Row],[Date]])</f>
        <v>7</v>
      </c>
      <c r="U416" s="4" t="str">
        <f>TEXT(Table1[[#This Row],[Expected Business Month]],"YYYY")</f>
        <v>2025</v>
      </c>
    </row>
    <row r="417" spans="1:21">
      <c r="A417" s="19">
        <v>45701</v>
      </c>
      <c r="B417" s="4" t="s">
        <v>711</v>
      </c>
      <c r="C417" s="4" t="s">
        <v>225</v>
      </c>
      <c r="D417" s="4" t="s">
        <v>195</v>
      </c>
      <c r="E417" s="4" t="s">
        <v>61</v>
      </c>
      <c r="F417" s="4" t="s">
        <v>712</v>
      </c>
      <c r="H417" s="4">
        <v>15028</v>
      </c>
      <c r="I417" s="4">
        <v>15028</v>
      </c>
      <c r="J417" s="31">
        <v>45689</v>
      </c>
      <c r="K417" s="4" t="s">
        <v>220</v>
      </c>
      <c r="L417" s="4" t="s">
        <v>17</v>
      </c>
      <c r="M417" s="4" t="s">
        <v>221</v>
      </c>
      <c r="S417" s="4" t="str">
        <f>TEXT(Table1[[#This Row],[Date]],"MMM-YY")</f>
        <v>Feb-25</v>
      </c>
      <c r="T417" s="4">
        <f>_xlfn.ISOWEEKNUM(Table1[[#This Row],[Date]])</f>
        <v>7</v>
      </c>
      <c r="U417" s="4" t="str">
        <f>TEXT(Table1[[#This Row],[Expected Business Month]],"YYYY")</f>
        <v>2025</v>
      </c>
    </row>
    <row r="418" spans="1:21">
      <c r="A418" s="19">
        <v>45701</v>
      </c>
      <c r="B418" s="4" t="s">
        <v>230</v>
      </c>
      <c r="C418" s="4" t="s">
        <v>225</v>
      </c>
      <c r="D418" s="4" t="s">
        <v>183</v>
      </c>
      <c r="E418" s="4" t="s">
        <v>21</v>
      </c>
      <c r="F418" s="4" t="s">
        <v>688</v>
      </c>
      <c r="H418" s="4">
        <v>15492</v>
      </c>
      <c r="I418" s="4">
        <v>15492</v>
      </c>
      <c r="J418" s="31">
        <v>45689</v>
      </c>
      <c r="K418" s="4" t="s">
        <v>234</v>
      </c>
      <c r="L418" s="4" t="s">
        <v>17</v>
      </c>
      <c r="M418" s="4" t="s">
        <v>221</v>
      </c>
      <c r="S418" s="4" t="str">
        <f>TEXT(Table1[[#This Row],[Date]],"MMM-YY")</f>
        <v>Feb-25</v>
      </c>
      <c r="T418" s="4">
        <f>_xlfn.ISOWEEKNUM(Table1[[#This Row],[Date]])</f>
        <v>7</v>
      </c>
      <c r="U418" s="4" t="str">
        <f>TEXT(Table1[[#This Row],[Expected Business Month]],"YYYY")</f>
        <v>2025</v>
      </c>
    </row>
    <row r="419" spans="1:21">
      <c r="A419" s="19">
        <v>45702</v>
      </c>
      <c r="B419" s="4" t="s">
        <v>230</v>
      </c>
      <c r="C419" s="4" t="s">
        <v>225</v>
      </c>
      <c r="D419" s="4" t="s">
        <v>183</v>
      </c>
      <c r="E419" s="4" t="s">
        <v>21</v>
      </c>
      <c r="F419" s="4" t="s">
        <v>688</v>
      </c>
      <c r="H419" s="4">
        <v>17269</v>
      </c>
      <c r="I419" s="4">
        <v>17269</v>
      </c>
      <c r="J419" s="31">
        <v>45689</v>
      </c>
      <c r="K419" s="4" t="s">
        <v>234</v>
      </c>
      <c r="L419" s="4" t="s">
        <v>17</v>
      </c>
      <c r="M419" s="4" t="s">
        <v>221</v>
      </c>
      <c r="S419" s="4" t="str">
        <f>TEXT(Table1[[#This Row],[Date]],"MMM-YY")</f>
        <v>Feb-25</v>
      </c>
      <c r="T419" s="4">
        <f>_xlfn.ISOWEEKNUM(Table1[[#This Row],[Date]])</f>
        <v>7</v>
      </c>
      <c r="U419" s="4" t="str">
        <f>TEXT(Table1[[#This Row],[Expected Business Month]],"YYYY")</f>
        <v>2025</v>
      </c>
    </row>
    <row r="420" spans="1:21">
      <c r="A420" s="19">
        <v>45702</v>
      </c>
      <c r="B420" s="4" t="s">
        <v>700</v>
      </c>
      <c r="C420" s="4" t="s">
        <v>225</v>
      </c>
      <c r="D420" s="4" t="s">
        <v>21</v>
      </c>
      <c r="E420" s="4" t="s">
        <v>21</v>
      </c>
      <c r="F420" s="4" t="s">
        <v>640</v>
      </c>
      <c r="H420" s="4">
        <v>43900</v>
      </c>
      <c r="I420" s="4">
        <v>43900</v>
      </c>
      <c r="J420" s="31">
        <v>45689</v>
      </c>
      <c r="K420" s="4" t="s">
        <v>220</v>
      </c>
      <c r="L420" s="4" t="s">
        <v>17</v>
      </c>
      <c r="M420" s="4" t="s">
        <v>221</v>
      </c>
      <c r="S420" s="4" t="str">
        <f>TEXT(Table1[[#This Row],[Date]],"MMM-YY")</f>
        <v>Feb-25</v>
      </c>
      <c r="T420" s="4">
        <f>_xlfn.ISOWEEKNUM(Table1[[#This Row],[Date]])</f>
        <v>7</v>
      </c>
      <c r="U420" s="4" t="str">
        <f>TEXT(Table1[[#This Row],[Expected Business Month]],"YYYY")</f>
        <v>2025</v>
      </c>
    </row>
    <row r="421" spans="1:21">
      <c r="A421" s="19">
        <v>45703</v>
      </c>
      <c r="B421" s="4" t="s">
        <v>700</v>
      </c>
      <c r="C421" s="4" t="s">
        <v>225</v>
      </c>
      <c r="D421" s="4" t="s">
        <v>21</v>
      </c>
      <c r="E421" s="4" t="s">
        <v>21</v>
      </c>
      <c r="F421" s="4" t="s">
        <v>640</v>
      </c>
      <c r="H421" s="4">
        <v>14150</v>
      </c>
      <c r="I421" s="4">
        <v>14150</v>
      </c>
      <c r="J421" s="31">
        <v>45689</v>
      </c>
      <c r="K421" s="4" t="s">
        <v>220</v>
      </c>
      <c r="L421" s="4" t="s">
        <v>17</v>
      </c>
      <c r="M421" s="4" t="s">
        <v>221</v>
      </c>
      <c r="S421" s="4" t="str">
        <f>TEXT(Table1[[#This Row],[Date]],"MMM-YY")</f>
        <v>Feb-25</v>
      </c>
      <c r="T421" s="4">
        <f>_xlfn.ISOWEEKNUM(Table1[[#This Row],[Date]])</f>
        <v>7</v>
      </c>
      <c r="U421" s="4" t="str">
        <f>TEXT(Table1[[#This Row],[Expected Business Month]],"YYYY")</f>
        <v>2025</v>
      </c>
    </row>
    <row r="422" spans="1:21">
      <c r="A422" s="19">
        <v>45705</v>
      </c>
      <c r="B422" s="4" t="s">
        <v>230</v>
      </c>
      <c r="C422" s="4" t="s">
        <v>225</v>
      </c>
      <c r="D422" s="4" t="s">
        <v>183</v>
      </c>
      <c r="E422" s="4" t="s">
        <v>21</v>
      </c>
      <c r="F422" s="4" t="s">
        <v>688</v>
      </c>
      <c r="H422" s="4">
        <v>11690</v>
      </c>
      <c r="I422" s="4">
        <v>11690</v>
      </c>
      <c r="J422" s="31">
        <v>45689</v>
      </c>
      <c r="K422" s="4" t="s">
        <v>234</v>
      </c>
      <c r="L422" s="4" t="s">
        <v>17</v>
      </c>
      <c r="M422" s="4" t="s">
        <v>221</v>
      </c>
      <c r="S422" s="4" t="str">
        <f>TEXT(Table1[[#This Row],[Date]],"MMM-YY")</f>
        <v>Feb-25</v>
      </c>
      <c r="T422" s="4">
        <f>_xlfn.ISOWEEKNUM(Table1[[#This Row],[Date]])</f>
        <v>8</v>
      </c>
      <c r="U422" s="4" t="str">
        <f>TEXT(Table1[[#This Row],[Expected Business Month]],"YYYY")</f>
        <v>2025</v>
      </c>
    </row>
    <row r="423" spans="1:21">
      <c r="A423" s="19">
        <v>45705</v>
      </c>
      <c r="B423" s="4" t="s">
        <v>704</v>
      </c>
      <c r="C423" s="4" t="s">
        <v>217</v>
      </c>
      <c r="D423" s="4" t="s">
        <v>195</v>
      </c>
      <c r="E423" s="4" t="s">
        <v>179</v>
      </c>
      <c r="F423" s="4" t="s">
        <v>705</v>
      </c>
      <c r="H423" s="4">
        <v>4038</v>
      </c>
      <c r="I423" s="4">
        <v>4038</v>
      </c>
      <c r="J423" s="31">
        <v>45689</v>
      </c>
      <c r="K423" s="4" t="s">
        <v>220</v>
      </c>
      <c r="L423" s="4" t="s">
        <v>17</v>
      </c>
      <c r="M423" s="4" t="s">
        <v>221</v>
      </c>
      <c r="S423" s="4" t="str">
        <f>TEXT(Table1[[#This Row],[Date]],"MMM-YY")</f>
        <v>Feb-25</v>
      </c>
      <c r="T423" s="4">
        <f>_xlfn.ISOWEEKNUM(Table1[[#This Row],[Date]])</f>
        <v>8</v>
      </c>
      <c r="U423" s="4" t="str">
        <f>TEXT(Table1[[#This Row],[Expected Business Month]],"YYYY")</f>
        <v>2025</v>
      </c>
    </row>
    <row r="424" spans="1:21">
      <c r="A424" s="19">
        <v>45706</v>
      </c>
      <c r="B424" s="4" t="s">
        <v>230</v>
      </c>
      <c r="C424" s="4" t="s">
        <v>225</v>
      </c>
      <c r="D424" s="4" t="s">
        <v>183</v>
      </c>
      <c r="E424" s="4" t="s">
        <v>21</v>
      </c>
      <c r="F424" s="4" t="s">
        <v>688</v>
      </c>
      <c r="H424" s="4">
        <v>16013</v>
      </c>
      <c r="I424" s="4">
        <v>16013</v>
      </c>
      <c r="J424" s="31">
        <v>45689</v>
      </c>
      <c r="K424" s="4" t="s">
        <v>234</v>
      </c>
      <c r="L424" s="4" t="s">
        <v>17</v>
      </c>
      <c r="M424" s="4" t="s">
        <v>221</v>
      </c>
      <c r="S424" s="4" t="str">
        <f>TEXT(Table1[[#This Row],[Date]],"MMM-YY")</f>
        <v>Feb-25</v>
      </c>
      <c r="T424" s="4">
        <f>_xlfn.ISOWEEKNUM(Table1[[#This Row],[Date]])</f>
        <v>8</v>
      </c>
      <c r="U424" s="4" t="str">
        <f>TEXT(Table1[[#This Row],[Expected Business Month]],"YYYY")</f>
        <v>2025</v>
      </c>
    </row>
    <row r="425" spans="1:21">
      <c r="A425" s="19">
        <v>45706</v>
      </c>
      <c r="B425" s="4" t="s">
        <v>706</v>
      </c>
      <c r="C425" s="4" t="s">
        <v>217</v>
      </c>
      <c r="D425" s="4" t="s">
        <v>195</v>
      </c>
      <c r="E425" s="4" t="s">
        <v>179</v>
      </c>
      <c r="F425" s="4" t="s">
        <v>705</v>
      </c>
      <c r="H425" s="4">
        <v>16521</v>
      </c>
      <c r="I425" s="4">
        <v>16521</v>
      </c>
      <c r="J425" s="31">
        <v>45689</v>
      </c>
      <c r="K425" s="4" t="s">
        <v>220</v>
      </c>
      <c r="L425" s="4" t="s">
        <v>17</v>
      </c>
      <c r="M425" s="4" t="s">
        <v>221</v>
      </c>
      <c r="S425" s="4" t="str">
        <f>TEXT(Table1[[#This Row],[Date]],"MMM-YY")</f>
        <v>Feb-25</v>
      </c>
      <c r="T425" s="4">
        <f>_xlfn.ISOWEEKNUM(Table1[[#This Row],[Date]])</f>
        <v>8</v>
      </c>
      <c r="U425" s="4" t="str">
        <f>TEXT(Table1[[#This Row],[Expected Business Month]],"YYYY")</f>
        <v>2025</v>
      </c>
    </row>
    <row r="426" spans="1:21">
      <c r="A426" s="19">
        <v>45707</v>
      </c>
      <c r="B426" s="4" t="s">
        <v>230</v>
      </c>
      <c r="C426" s="4" t="s">
        <v>225</v>
      </c>
      <c r="D426" s="4" t="s">
        <v>183</v>
      </c>
      <c r="E426" s="4" t="s">
        <v>21</v>
      </c>
      <c r="F426" s="4" t="s">
        <v>688</v>
      </c>
      <c r="H426" s="4">
        <v>20760</v>
      </c>
      <c r="I426" s="4">
        <v>20760</v>
      </c>
      <c r="J426" s="31">
        <v>45689</v>
      </c>
      <c r="K426" s="4" t="s">
        <v>234</v>
      </c>
      <c r="L426" s="4" t="s">
        <v>17</v>
      </c>
      <c r="M426" s="4" t="s">
        <v>221</v>
      </c>
      <c r="S426" s="4" t="str">
        <f>TEXT(Table1[[#This Row],[Date]],"MMM-YY")</f>
        <v>Feb-25</v>
      </c>
      <c r="T426" s="4">
        <f>_xlfn.ISOWEEKNUM(Table1[[#This Row],[Date]])</f>
        <v>8</v>
      </c>
      <c r="U426" s="4" t="str">
        <f>TEXT(Table1[[#This Row],[Expected Business Month]],"YYYY")</f>
        <v>2025</v>
      </c>
    </row>
    <row r="427" spans="1:21">
      <c r="A427" s="19">
        <v>45707</v>
      </c>
      <c r="B427" s="4" t="s">
        <v>679</v>
      </c>
      <c r="C427" s="4" t="s">
        <v>225</v>
      </c>
      <c r="D427" s="4" t="s">
        <v>195</v>
      </c>
      <c r="E427" s="4" t="s">
        <v>32</v>
      </c>
      <c r="F427" s="4" t="s">
        <v>333</v>
      </c>
      <c r="G427" s="17" t="s">
        <v>562</v>
      </c>
      <c r="H427" s="4">
        <v>53015</v>
      </c>
      <c r="I427" s="4">
        <v>53015</v>
      </c>
      <c r="J427" s="31">
        <v>45689</v>
      </c>
      <c r="K427" s="4" t="s">
        <v>220</v>
      </c>
      <c r="L427" s="4" t="s">
        <v>17</v>
      </c>
      <c r="M427" s="4" t="s">
        <v>221</v>
      </c>
      <c r="S427" s="4" t="str">
        <f>TEXT(Table1[[#This Row],[Date]],"MMM-YY")</f>
        <v>Feb-25</v>
      </c>
      <c r="T427" s="4">
        <f>_xlfn.ISOWEEKNUM(Table1[[#This Row],[Date]])</f>
        <v>8</v>
      </c>
      <c r="U427" s="4" t="str">
        <f>TEXT(Table1[[#This Row],[Expected Business Month]],"YYYY")</f>
        <v>2025</v>
      </c>
    </row>
    <row r="428" spans="1:21">
      <c r="A428" s="19">
        <v>45707</v>
      </c>
      <c r="B428" s="4" t="s">
        <v>708</v>
      </c>
      <c r="C428" s="4" t="s">
        <v>217</v>
      </c>
      <c r="D428" s="4" t="s">
        <v>195</v>
      </c>
      <c r="E428" s="4" t="s">
        <v>179</v>
      </c>
      <c r="F428" s="4" t="s">
        <v>709</v>
      </c>
      <c r="H428" s="4">
        <v>6430</v>
      </c>
      <c r="I428" s="4">
        <v>6430</v>
      </c>
      <c r="J428" s="31">
        <v>45689</v>
      </c>
      <c r="K428" s="4" t="s">
        <v>220</v>
      </c>
      <c r="L428" s="4" t="s">
        <v>17</v>
      </c>
      <c r="M428" s="4" t="s">
        <v>221</v>
      </c>
      <c r="S428" s="4" t="str">
        <f>TEXT(Table1[[#This Row],[Date]],"MMM-YY")</f>
        <v>Feb-25</v>
      </c>
      <c r="T428" s="4">
        <f>_xlfn.ISOWEEKNUM(Table1[[#This Row],[Date]])</f>
        <v>8</v>
      </c>
      <c r="U428" s="4" t="str">
        <f>TEXT(Table1[[#This Row],[Expected Business Month]],"YYYY")</f>
        <v>2025</v>
      </c>
    </row>
    <row r="429" spans="1:21">
      <c r="A429" s="19">
        <v>45707</v>
      </c>
      <c r="B429" s="4" t="s">
        <v>713</v>
      </c>
      <c r="C429" s="4" t="s">
        <v>217</v>
      </c>
      <c r="D429" s="4" t="s">
        <v>195</v>
      </c>
      <c r="E429" s="4" t="s">
        <v>179</v>
      </c>
      <c r="F429" s="4" t="s">
        <v>714</v>
      </c>
      <c r="H429" s="4">
        <v>8200</v>
      </c>
      <c r="I429" s="4">
        <v>8200</v>
      </c>
      <c r="J429" s="31">
        <v>45689</v>
      </c>
      <c r="K429" s="4" t="s">
        <v>220</v>
      </c>
      <c r="L429" s="4" t="s">
        <v>17</v>
      </c>
      <c r="M429" s="4" t="s">
        <v>221</v>
      </c>
      <c r="S429" s="4" t="str">
        <f>TEXT(Table1[[#This Row],[Date]],"MMM-YY")</f>
        <v>Feb-25</v>
      </c>
      <c r="T429" s="4">
        <f>_xlfn.ISOWEEKNUM(Table1[[#This Row],[Date]])</f>
        <v>8</v>
      </c>
      <c r="U429" s="4" t="str">
        <f>TEXT(Table1[[#This Row],[Expected Business Month]],"YYYY")</f>
        <v>2025</v>
      </c>
    </row>
    <row r="430" spans="1:21">
      <c r="A430" s="19">
        <v>45708</v>
      </c>
      <c r="B430" s="4" t="s">
        <v>230</v>
      </c>
      <c r="C430" s="4" t="s">
        <v>225</v>
      </c>
      <c r="D430" s="4" t="s">
        <v>183</v>
      </c>
      <c r="E430" s="4" t="s">
        <v>21</v>
      </c>
      <c r="F430" s="4" t="s">
        <v>688</v>
      </c>
      <c r="H430" s="4">
        <v>6950</v>
      </c>
      <c r="I430" s="4">
        <v>6950</v>
      </c>
      <c r="J430" s="31">
        <v>45689</v>
      </c>
      <c r="K430" s="4" t="s">
        <v>234</v>
      </c>
      <c r="L430" s="4" t="s">
        <v>17</v>
      </c>
      <c r="M430" s="4" t="s">
        <v>221</v>
      </c>
      <c r="S430" s="4" t="str">
        <f>TEXT(Table1[[#This Row],[Date]],"MMM-YY")</f>
        <v>Feb-25</v>
      </c>
      <c r="T430" s="4">
        <f>_xlfn.ISOWEEKNUM(Table1[[#This Row],[Date]])</f>
        <v>8</v>
      </c>
      <c r="U430" s="4" t="str">
        <f>TEXT(Table1[[#This Row],[Expected Business Month]],"YYYY")</f>
        <v>2025</v>
      </c>
    </row>
    <row r="431" spans="1:21">
      <c r="A431" s="19">
        <v>45708</v>
      </c>
      <c r="B431" s="4" t="s">
        <v>701</v>
      </c>
      <c r="C431" s="4" t="s">
        <v>225</v>
      </c>
      <c r="D431" s="4" t="s">
        <v>21</v>
      </c>
      <c r="E431" s="4" t="s">
        <v>21</v>
      </c>
      <c r="F431" s="4" t="s">
        <v>640</v>
      </c>
      <c r="H431" s="4">
        <v>89840</v>
      </c>
      <c r="I431" s="4">
        <v>89840</v>
      </c>
      <c r="J431" s="31">
        <v>45689</v>
      </c>
      <c r="K431" s="4" t="s">
        <v>220</v>
      </c>
      <c r="L431" s="4" t="s">
        <v>17</v>
      </c>
      <c r="M431" s="4" t="s">
        <v>221</v>
      </c>
      <c r="S431" s="4" t="str">
        <f>TEXT(Table1[[#This Row],[Date]],"MMM-YY")</f>
        <v>Feb-25</v>
      </c>
      <c r="T431" s="4">
        <f>_xlfn.ISOWEEKNUM(Table1[[#This Row],[Date]])</f>
        <v>8</v>
      </c>
      <c r="U431" s="4" t="str">
        <f>TEXT(Table1[[#This Row],[Expected Business Month]],"YYYY")</f>
        <v>2025</v>
      </c>
    </row>
    <row r="432" spans="1:21">
      <c r="A432" s="19">
        <v>45709</v>
      </c>
      <c r="B432" s="4" t="s">
        <v>230</v>
      </c>
      <c r="C432" s="4" t="s">
        <v>225</v>
      </c>
      <c r="D432" s="4" t="s">
        <v>183</v>
      </c>
      <c r="E432" s="4" t="s">
        <v>21</v>
      </c>
      <c r="F432" s="4" t="s">
        <v>688</v>
      </c>
      <c r="H432" s="4">
        <v>7200</v>
      </c>
      <c r="I432" s="4">
        <v>7200</v>
      </c>
      <c r="J432" s="31">
        <v>45689</v>
      </c>
      <c r="K432" s="4" t="s">
        <v>234</v>
      </c>
      <c r="L432" s="4" t="s">
        <v>17</v>
      </c>
      <c r="M432" s="4" t="s">
        <v>221</v>
      </c>
      <c r="S432" s="4" t="str">
        <f>TEXT(Table1[[#This Row],[Date]],"MMM-YY")</f>
        <v>Feb-25</v>
      </c>
      <c r="T432" s="4">
        <f>_xlfn.ISOWEEKNUM(Table1[[#This Row],[Date]])</f>
        <v>8</v>
      </c>
      <c r="U432" s="4" t="str">
        <f>TEXT(Table1[[#This Row],[Expected Business Month]],"YYYY")</f>
        <v>2025</v>
      </c>
    </row>
    <row r="433" spans="1:21">
      <c r="A433" s="19">
        <v>45709</v>
      </c>
      <c r="B433" s="4" t="s">
        <v>704</v>
      </c>
      <c r="C433" s="4" t="s">
        <v>217</v>
      </c>
      <c r="D433" s="4" t="s">
        <v>195</v>
      </c>
      <c r="E433" s="4" t="s">
        <v>179</v>
      </c>
      <c r="F433" s="4" t="s">
        <v>705</v>
      </c>
      <c r="H433" s="4">
        <v>12592</v>
      </c>
      <c r="I433" s="4">
        <v>12592</v>
      </c>
      <c r="J433" s="31">
        <v>45689</v>
      </c>
      <c r="K433" s="4" t="s">
        <v>220</v>
      </c>
      <c r="L433" s="4" t="s">
        <v>17</v>
      </c>
      <c r="M433" s="4" t="s">
        <v>221</v>
      </c>
      <c r="S433" s="4" t="str">
        <f>TEXT(Table1[[#This Row],[Date]],"MMM-YY")</f>
        <v>Feb-25</v>
      </c>
      <c r="T433" s="4">
        <f>_xlfn.ISOWEEKNUM(Table1[[#This Row],[Date]])</f>
        <v>8</v>
      </c>
      <c r="U433" s="4" t="str">
        <f>TEXT(Table1[[#This Row],[Expected Business Month]],"YYYY")</f>
        <v>2025</v>
      </c>
    </row>
    <row r="434" spans="1:21">
      <c r="A434" s="19">
        <v>45709</v>
      </c>
      <c r="B434" s="4" t="s">
        <v>701</v>
      </c>
      <c r="C434" s="4" t="s">
        <v>225</v>
      </c>
      <c r="D434" s="4" t="s">
        <v>21</v>
      </c>
      <c r="E434" s="4" t="s">
        <v>21</v>
      </c>
      <c r="F434" s="4" t="s">
        <v>640</v>
      </c>
      <c r="H434" s="4">
        <v>166900</v>
      </c>
      <c r="I434" s="4">
        <v>166900</v>
      </c>
      <c r="J434" s="31">
        <v>45689</v>
      </c>
      <c r="K434" s="4" t="s">
        <v>220</v>
      </c>
      <c r="L434" s="4" t="s">
        <v>17</v>
      </c>
      <c r="M434" s="4" t="s">
        <v>221</v>
      </c>
      <c r="S434" s="4" t="str">
        <f>TEXT(Table1[[#This Row],[Date]],"MMM-YY")</f>
        <v>Feb-25</v>
      </c>
      <c r="T434" s="4">
        <f>_xlfn.ISOWEEKNUM(Table1[[#This Row],[Date]])</f>
        <v>8</v>
      </c>
      <c r="U434" s="4" t="str">
        <f>TEXT(Table1[[#This Row],[Expected Business Month]],"YYYY")</f>
        <v>2025</v>
      </c>
    </row>
    <row r="435" spans="1:21">
      <c r="A435" s="19">
        <v>45710</v>
      </c>
      <c r="B435" s="4" t="s">
        <v>701</v>
      </c>
      <c r="C435" s="4" t="s">
        <v>225</v>
      </c>
      <c r="D435" s="4" t="s">
        <v>21</v>
      </c>
      <c r="E435" s="4" t="s">
        <v>21</v>
      </c>
      <c r="F435" s="4" t="s">
        <v>640</v>
      </c>
      <c r="H435" s="4">
        <v>115770</v>
      </c>
      <c r="I435" s="4">
        <v>115770</v>
      </c>
      <c r="J435" s="31">
        <v>45689</v>
      </c>
      <c r="K435" s="4" t="s">
        <v>220</v>
      </c>
      <c r="L435" s="4" t="s">
        <v>17</v>
      </c>
      <c r="M435" s="4" t="s">
        <v>221</v>
      </c>
      <c r="S435" s="4" t="str">
        <f>TEXT(Table1[[#This Row],[Date]],"MMM-YY")</f>
        <v>Feb-25</v>
      </c>
      <c r="T435" s="4">
        <f>_xlfn.ISOWEEKNUM(Table1[[#This Row],[Date]])</f>
        <v>8</v>
      </c>
      <c r="U435" s="4" t="str">
        <f>TEXT(Table1[[#This Row],[Expected Business Month]],"YYYY")</f>
        <v>2025</v>
      </c>
    </row>
    <row r="436" spans="1:21">
      <c r="A436" s="19">
        <v>45712</v>
      </c>
      <c r="B436" s="4" t="s">
        <v>704</v>
      </c>
      <c r="C436" s="4" t="s">
        <v>217</v>
      </c>
      <c r="D436" s="4" t="s">
        <v>195</v>
      </c>
      <c r="E436" s="4" t="s">
        <v>179</v>
      </c>
      <c r="F436" s="4" t="s">
        <v>705</v>
      </c>
      <c r="H436" s="4">
        <v>8052</v>
      </c>
      <c r="I436" s="4">
        <v>8052</v>
      </c>
      <c r="J436" s="31">
        <v>45689</v>
      </c>
      <c r="K436" s="4" t="s">
        <v>220</v>
      </c>
      <c r="L436" s="4" t="s">
        <v>17</v>
      </c>
      <c r="M436" s="4" t="s">
        <v>221</v>
      </c>
      <c r="S436" s="4" t="str">
        <f>TEXT(Table1[[#This Row],[Date]],"MMM-YY")</f>
        <v>Feb-25</v>
      </c>
      <c r="T436" s="4">
        <f>_xlfn.ISOWEEKNUM(Table1[[#This Row],[Date]])</f>
        <v>9</v>
      </c>
      <c r="U436" s="4" t="str">
        <f>TEXT(Table1[[#This Row],[Expected Business Month]],"YYYY")</f>
        <v>2025</v>
      </c>
    </row>
    <row r="437" spans="1:21">
      <c r="A437" s="19">
        <v>45712</v>
      </c>
      <c r="B437" s="4" t="s">
        <v>230</v>
      </c>
      <c r="C437" s="4" t="s">
        <v>225</v>
      </c>
      <c r="D437" s="4" t="s">
        <v>183</v>
      </c>
      <c r="E437" s="4" t="s">
        <v>21</v>
      </c>
      <c r="F437" s="4" t="s">
        <v>688</v>
      </c>
      <c r="H437" s="4">
        <v>16942</v>
      </c>
      <c r="I437" s="4">
        <v>16942</v>
      </c>
      <c r="J437" s="31">
        <v>45689</v>
      </c>
      <c r="K437" s="4" t="s">
        <v>234</v>
      </c>
      <c r="L437" s="4" t="s">
        <v>17</v>
      </c>
      <c r="M437" s="4" t="s">
        <v>221</v>
      </c>
      <c r="S437" s="4" t="str">
        <f>TEXT(Table1[[#This Row],[Date]],"MMM-YY")</f>
        <v>Feb-25</v>
      </c>
      <c r="T437" s="4">
        <f>_xlfn.ISOWEEKNUM(Table1[[#This Row],[Date]])</f>
        <v>9</v>
      </c>
      <c r="U437" s="4" t="str">
        <f>TEXT(Table1[[#This Row],[Expected Business Month]],"YYYY")</f>
        <v>2025</v>
      </c>
    </row>
    <row r="438" spans="1:21">
      <c r="A438" s="19">
        <v>45713</v>
      </c>
      <c r="B438" s="4" t="s">
        <v>706</v>
      </c>
      <c r="C438" s="4" t="s">
        <v>217</v>
      </c>
      <c r="D438" s="4" t="s">
        <v>195</v>
      </c>
      <c r="E438" s="4" t="s">
        <v>179</v>
      </c>
      <c r="F438" s="4" t="s">
        <v>705</v>
      </c>
      <c r="H438" s="4">
        <v>16527</v>
      </c>
      <c r="I438" s="4">
        <v>16527</v>
      </c>
      <c r="J438" s="31">
        <v>45689</v>
      </c>
      <c r="K438" s="4" t="s">
        <v>220</v>
      </c>
      <c r="L438" s="4" t="s">
        <v>17</v>
      </c>
      <c r="M438" s="4" t="s">
        <v>221</v>
      </c>
      <c r="S438" s="4" t="str">
        <f>TEXT(Table1[[#This Row],[Date]],"MMM-YY")</f>
        <v>Feb-25</v>
      </c>
      <c r="T438" s="4">
        <f>_xlfn.ISOWEEKNUM(Table1[[#This Row],[Date]])</f>
        <v>9</v>
      </c>
      <c r="U438" s="4" t="str">
        <f>TEXT(Table1[[#This Row],[Expected Business Month]],"YYYY")</f>
        <v>2025</v>
      </c>
    </row>
    <row r="439" spans="1:21">
      <c r="A439" s="19">
        <v>45713</v>
      </c>
      <c r="B439" s="4" t="s">
        <v>230</v>
      </c>
      <c r="C439" s="4" t="s">
        <v>225</v>
      </c>
      <c r="D439" s="4" t="s">
        <v>183</v>
      </c>
      <c r="E439" s="4" t="s">
        <v>21</v>
      </c>
      <c r="F439" s="4" t="s">
        <v>688</v>
      </c>
      <c r="H439" s="4">
        <v>16985</v>
      </c>
      <c r="I439" s="4">
        <v>16985</v>
      </c>
      <c r="J439" s="31">
        <v>45689</v>
      </c>
      <c r="K439" s="4" t="s">
        <v>234</v>
      </c>
      <c r="L439" s="4" t="s">
        <v>17</v>
      </c>
      <c r="M439" s="4" t="s">
        <v>221</v>
      </c>
      <c r="S439" s="4" t="str">
        <f>TEXT(Table1[[#This Row],[Date]],"MMM-YY")</f>
        <v>Feb-25</v>
      </c>
      <c r="T439" s="4">
        <f>_xlfn.ISOWEEKNUM(Table1[[#This Row],[Date]])</f>
        <v>9</v>
      </c>
      <c r="U439" s="4" t="str">
        <f>TEXT(Table1[[#This Row],[Expected Business Month]],"YYYY")</f>
        <v>2025</v>
      </c>
    </row>
    <row r="440" spans="1:21">
      <c r="A440" s="19">
        <v>45714</v>
      </c>
      <c r="B440" s="4" t="s">
        <v>708</v>
      </c>
      <c r="C440" s="4" t="s">
        <v>217</v>
      </c>
      <c r="D440" s="4" t="s">
        <v>195</v>
      </c>
      <c r="E440" s="4" t="s">
        <v>179</v>
      </c>
      <c r="F440" s="4" t="s">
        <v>709</v>
      </c>
      <c r="H440" s="4">
        <v>2277</v>
      </c>
      <c r="I440" s="4">
        <v>2277</v>
      </c>
      <c r="J440" s="31">
        <v>45689</v>
      </c>
      <c r="K440" s="4" t="s">
        <v>220</v>
      </c>
      <c r="L440" s="4" t="s">
        <v>17</v>
      </c>
      <c r="M440" s="4" t="s">
        <v>221</v>
      </c>
      <c r="S440" s="4" t="str">
        <f>TEXT(Table1[[#This Row],[Date]],"MMM-YY")</f>
        <v>Feb-25</v>
      </c>
      <c r="T440" s="4">
        <f>_xlfn.ISOWEEKNUM(Table1[[#This Row],[Date]])</f>
        <v>9</v>
      </c>
      <c r="U440" s="4" t="str">
        <f>TEXT(Table1[[#This Row],[Expected Business Month]],"YYYY")</f>
        <v>2025</v>
      </c>
    </row>
    <row r="441" spans="1:21">
      <c r="A441" s="19">
        <v>45715</v>
      </c>
      <c r="B441" s="4" t="s">
        <v>230</v>
      </c>
      <c r="C441" s="4" t="s">
        <v>225</v>
      </c>
      <c r="D441" s="4" t="s">
        <v>183</v>
      </c>
      <c r="E441" s="4" t="s">
        <v>21</v>
      </c>
      <c r="F441" s="4" t="s">
        <v>688</v>
      </c>
      <c r="H441" s="4">
        <v>14960</v>
      </c>
      <c r="I441" s="4">
        <v>14960</v>
      </c>
      <c r="J441" s="31">
        <v>45689</v>
      </c>
      <c r="K441" s="4" t="s">
        <v>234</v>
      </c>
      <c r="L441" s="4" t="s">
        <v>17</v>
      </c>
      <c r="M441" s="4" t="s">
        <v>221</v>
      </c>
      <c r="S441" s="4" t="str">
        <f>TEXT(Table1[[#This Row],[Date]],"MMM-YY")</f>
        <v>Feb-25</v>
      </c>
      <c r="T441" s="4">
        <f>_xlfn.ISOWEEKNUM(Table1[[#This Row],[Date]])</f>
        <v>9</v>
      </c>
      <c r="U441" s="4" t="str">
        <f>TEXT(Table1[[#This Row],[Expected Business Month]],"YYYY")</f>
        <v>2025</v>
      </c>
    </row>
    <row r="442" spans="1:21">
      <c r="A442" s="19">
        <v>45716</v>
      </c>
      <c r="B442" s="4" t="s">
        <v>715</v>
      </c>
      <c r="C442" s="4" t="s">
        <v>225</v>
      </c>
      <c r="D442" s="4" t="s">
        <v>195</v>
      </c>
      <c r="E442" s="4" t="s">
        <v>61</v>
      </c>
      <c r="F442" s="4" t="s">
        <v>485</v>
      </c>
      <c r="H442" s="4">
        <v>2453</v>
      </c>
      <c r="I442" s="4">
        <v>2453</v>
      </c>
      <c r="J442" s="31">
        <v>45689</v>
      </c>
      <c r="K442" s="4" t="s">
        <v>234</v>
      </c>
      <c r="L442" s="4" t="s">
        <v>17</v>
      </c>
      <c r="M442" s="4" t="s">
        <v>221</v>
      </c>
      <c r="S442" s="4" t="str">
        <f>TEXT(Table1[[#This Row],[Date]],"MMM-YY")</f>
        <v>Feb-25</v>
      </c>
      <c r="T442" s="4">
        <f>_xlfn.ISOWEEKNUM(Table1[[#This Row],[Date]])</f>
        <v>9</v>
      </c>
      <c r="U442" s="4" t="str">
        <f>TEXT(Table1[[#This Row],[Expected Business Month]],"YYYY")</f>
        <v>2025</v>
      </c>
    </row>
    <row r="443" spans="1:21" hidden="1">
      <c r="A443" s="19">
        <v>45716</v>
      </c>
      <c r="B443" s="4" t="s">
        <v>716</v>
      </c>
      <c r="C443" s="4" t="s">
        <v>217</v>
      </c>
      <c r="D443" s="4" t="s">
        <v>21</v>
      </c>
      <c r="E443" s="4" t="s">
        <v>21</v>
      </c>
      <c r="F443" s="4" t="s">
        <v>717</v>
      </c>
      <c r="J443" s="31">
        <v>45717</v>
      </c>
      <c r="K443" s="4" t="s">
        <v>220</v>
      </c>
      <c r="L443" s="4" t="s">
        <v>27</v>
      </c>
      <c r="M443" s="4" t="s">
        <v>221</v>
      </c>
      <c r="S443" s="4" t="str">
        <f>TEXT(Table1[[#This Row],[Date]],"MMM-YY")</f>
        <v>Feb-25</v>
      </c>
      <c r="T443" s="4">
        <f>_xlfn.ISOWEEKNUM(Table1[[#This Row],[Date]])</f>
        <v>9</v>
      </c>
      <c r="U443" s="4" t="str">
        <f>TEXT(Table1[[#This Row],[Expected Business Month]],"YYYY")</f>
        <v>2025</v>
      </c>
    </row>
    <row r="444" spans="1:21">
      <c r="A444" s="19">
        <v>45716</v>
      </c>
      <c r="B444" s="4" t="s">
        <v>230</v>
      </c>
      <c r="C444" s="4" t="s">
        <v>225</v>
      </c>
      <c r="D444" s="4" t="s">
        <v>183</v>
      </c>
      <c r="E444" s="4" t="s">
        <v>21</v>
      </c>
      <c r="F444" s="4" t="s">
        <v>688</v>
      </c>
      <c r="H444" s="4">
        <v>18712</v>
      </c>
      <c r="I444" s="4">
        <v>18712</v>
      </c>
      <c r="J444" s="31">
        <v>45689</v>
      </c>
      <c r="K444" s="4" t="s">
        <v>234</v>
      </c>
      <c r="L444" s="4" t="s">
        <v>17</v>
      </c>
      <c r="M444" s="4" t="s">
        <v>221</v>
      </c>
      <c r="S444" s="4" t="str">
        <f>TEXT(Table1[[#This Row],[Date]],"MMM-YY")</f>
        <v>Feb-25</v>
      </c>
      <c r="T444" s="4">
        <f>_xlfn.ISOWEEKNUM(Table1[[#This Row],[Date]])</f>
        <v>9</v>
      </c>
      <c r="U444" s="4" t="str">
        <f>TEXT(Table1[[#This Row],[Expected Business Month]],"YYYY")</f>
        <v>2025</v>
      </c>
    </row>
    <row r="445" spans="1:21" hidden="1">
      <c r="A445" s="19">
        <v>45716</v>
      </c>
      <c r="B445" s="4" t="s">
        <v>718</v>
      </c>
      <c r="C445" s="4" t="s">
        <v>217</v>
      </c>
      <c r="D445" s="4" t="s">
        <v>21</v>
      </c>
      <c r="E445" s="4" t="s">
        <v>21</v>
      </c>
      <c r="F445" s="4" t="s">
        <v>690</v>
      </c>
      <c r="J445" s="31">
        <v>45717</v>
      </c>
      <c r="K445" s="4" t="s">
        <v>220</v>
      </c>
      <c r="L445" s="4" t="s">
        <v>27</v>
      </c>
      <c r="M445" s="4" t="s">
        <v>221</v>
      </c>
      <c r="S445" s="4" t="str">
        <f>TEXT(Table1[[#This Row],[Date]],"MMM-YY")</f>
        <v>Feb-25</v>
      </c>
      <c r="T445" s="4">
        <f>_xlfn.ISOWEEKNUM(Table1[[#This Row],[Date]])</f>
        <v>9</v>
      </c>
      <c r="U445" s="4" t="str">
        <f>TEXT(Table1[[#This Row],[Expected Business Month]],"YYYY")</f>
        <v>2025</v>
      </c>
    </row>
    <row r="446" spans="1:21" hidden="1">
      <c r="A446" s="19">
        <v>45716</v>
      </c>
      <c r="B446" s="4" t="s">
        <v>719</v>
      </c>
      <c r="C446" s="4" t="s">
        <v>217</v>
      </c>
      <c r="D446" s="4" t="s">
        <v>21</v>
      </c>
      <c r="E446" s="4" t="s">
        <v>21</v>
      </c>
      <c r="F446" s="4" t="s">
        <v>690</v>
      </c>
      <c r="J446" s="31">
        <v>45717</v>
      </c>
      <c r="K446" s="4" t="s">
        <v>220</v>
      </c>
      <c r="L446" s="4" t="s">
        <v>27</v>
      </c>
      <c r="M446" s="4" t="s">
        <v>221</v>
      </c>
      <c r="S446" s="4" t="str">
        <f>TEXT(Table1[[#This Row],[Date]],"MMM-YY")</f>
        <v>Feb-25</v>
      </c>
      <c r="T446" s="4">
        <f>_xlfn.ISOWEEKNUM(Table1[[#This Row],[Date]])</f>
        <v>9</v>
      </c>
      <c r="U446" s="4" t="str">
        <f>TEXT(Table1[[#This Row],[Expected Business Month]],"YYYY")</f>
        <v>2025</v>
      </c>
    </row>
    <row r="447" spans="1:21" hidden="1">
      <c r="A447" s="19">
        <v>45716</v>
      </c>
      <c r="B447" s="4" t="s">
        <v>720</v>
      </c>
      <c r="C447" s="4" t="s">
        <v>217</v>
      </c>
      <c r="D447" s="4" t="s">
        <v>21</v>
      </c>
      <c r="E447" s="4" t="s">
        <v>21</v>
      </c>
      <c r="F447" s="4" t="s">
        <v>690</v>
      </c>
      <c r="J447" s="31">
        <v>45717</v>
      </c>
      <c r="K447" s="4" t="s">
        <v>220</v>
      </c>
      <c r="L447" s="4" t="s">
        <v>27</v>
      </c>
      <c r="M447" s="4" t="s">
        <v>221</v>
      </c>
      <c r="S447" s="4" t="str">
        <f>TEXT(Table1[[#This Row],[Date]],"MMM-YY")</f>
        <v>Feb-25</v>
      </c>
      <c r="T447" s="4">
        <f>_xlfn.ISOWEEKNUM(Table1[[#This Row],[Date]])</f>
        <v>9</v>
      </c>
      <c r="U447" s="4" t="str">
        <f>TEXT(Table1[[#This Row],[Expected Business Month]],"YYYY")</f>
        <v>2025</v>
      </c>
    </row>
    <row r="448" spans="1:21" hidden="1">
      <c r="A448" s="19">
        <v>45718</v>
      </c>
      <c r="B448" s="4" t="s">
        <v>716</v>
      </c>
      <c r="C448" s="4" t="s">
        <v>217</v>
      </c>
      <c r="D448" s="4" t="s">
        <v>21</v>
      </c>
      <c r="E448" s="4" t="s">
        <v>21</v>
      </c>
      <c r="F448" s="4" t="s">
        <v>717</v>
      </c>
      <c r="J448" s="31">
        <v>45717</v>
      </c>
      <c r="K448" s="4" t="s">
        <v>220</v>
      </c>
      <c r="L448" s="4" t="s">
        <v>27</v>
      </c>
      <c r="M448" s="4" t="s">
        <v>221</v>
      </c>
      <c r="S448" s="4" t="str">
        <f>TEXT(Table1[[#This Row],[Date]],"MMM-YY")</f>
        <v>Mar-25</v>
      </c>
      <c r="T448" s="4">
        <f>_xlfn.ISOWEEKNUM(Table1[[#This Row],[Date]])</f>
        <v>9</v>
      </c>
      <c r="U448" s="4" t="str">
        <f>TEXT(Table1[[#This Row],[Expected Business Month]],"YYYY")</f>
        <v>2025</v>
      </c>
    </row>
    <row r="449" spans="1:21" hidden="1">
      <c r="A449" s="19">
        <v>45719</v>
      </c>
      <c r="B449" s="4" t="s">
        <v>716</v>
      </c>
      <c r="C449" s="4" t="s">
        <v>217</v>
      </c>
      <c r="D449" s="4" t="s">
        <v>21</v>
      </c>
      <c r="E449" s="4" t="s">
        <v>21</v>
      </c>
      <c r="F449" s="4" t="s">
        <v>717</v>
      </c>
      <c r="J449" s="31">
        <v>45717</v>
      </c>
      <c r="K449" s="4" t="s">
        <v>220</v>
      </c>
      <c r="L449" s="4" t="s">
        <v>27</v>
      </c>
      <c r="M449" s="4" t="s">
        <v>221</v>
      </c>
      <c r="S449" s="4" t="str">
        <f>TEXT(Table1[[#This Row],[Date]],"MMM-YY")</f>
        <v>Mar-25</v>
      </c>
      <c r="T449" s="4">
        <f>_xlfn.ISOWEEKNUM(Table1[[#This Row],[Date]])</f>
        <v>10</v>
      </c>
      <c r="U449" s="4" t="str">
        <f>TEXT(Table1[[#This Row],[Expected Business Month]],"YYYY")</f>
        <v>2025</v>
      </c>
    </row>
    <row r="450" spans="1:21">
      <c r="A450" s="19">
        <v>45719</v>
      </c>
      <c r="B450" s="4" t="s">
        <v>704</v>
      </c>
      <c r="C450" s="4" t="s">
        <v>217</v>
      </c>
      <c r="D450" s="4" t="s">
        <v>195</v>
      </c>
      <c r="E450" s="4" t="s">
        <v>179</v>
      </c>
      <c r="F450" s="4" t="s">
        <v>705</v>
      </c>
      <c r="H450" s="4">
        <v>3048</v>
      </c>
      <c r="I450" s="4">
        <v>3048</v>
      </c>
      <c r="J450" s="31">
        <v>45717</v>
      </c>
      <c r="K450" s="4" t="s">
        <v>220</v>
      </c>
      <c r="L450" s="4" t="s">
        <v>17</v>
      </c>
      <c r="M450" s="4" t="s">
        <v>221</v>
      </c>
      <c r="S450" s="4" t="str">
        <f>TEXT(Table1[[#This Row],[Date]],"MMM-YY")</f>
        <v>Mar-25</v>
      </c>
      <c r="T450" s="4">
        <f>_xlfn.ISOWEEKNUM(Table1[[#This Row],[Date]])</f>
        <v>10</v>
      </c>
      <c r="U450" s="4" t="str">
        <f>TEXT(Table1[[#This Row],[Expected Business Month]],"YYYY")</f>
        <v>2025</v>
      </c>
    </row>
    <row r="451" spans="1:21">
      <c r="A451" s="19">
        <v>45719</v>
      </c>
      <c r="B451" s="4" t="s">
        <v>230</v>
      </c>
      <c r="C451" s="4" t="s">
        <v>225</v>
      </c>
      <c r="D451" s="4" t="s">
        <v>183</v>
      </c>
      <c r="E451" s="4" t="s">
        <v>21</v>
      </c>
      <c r="F451" s="4" t="s">
        <v>688</v>
      </c>
      <c r="H451" s="4">
        <v>5060</v>
      </c>
      <c r="I451" s="4">
        <v>5060</v>
      </c>
      <c r="J451" s="31">
        <v>45717</v>
      </c>
      <c r="K451" s="4" t="s">
        <v>234</v>
      </c>
      <c r="L451" s="4" t="s">
        <v>17</v>
      </c>
      <c r="M451" s="4" t="s">
        <v>221</v>
      </c>
      <c r="S451" s="4" t="str">
        <f>TEXT(Table1[[#This Row],[Date]],"MMM-YY")</f>
        <v>Mar-25</v>
      </c>
      <c r="T451" s="4">
        <f>_xlfn.ISOWEEKNUM(Table1[[#This Row],[Date]])</f>
        <v>10</v>
      </c>
      <c r="U451" s="4" t="str">
        <f>TEXT(Table1[[#This Row],[Expected Business Month]],"YYYY")</f>
        <v>2025</v>
      </c>
    </row>
    <row r="452" spans="1:21">
      <c r="A452" s="19">
        <v>45720</v>
      </c>
      <c r="B452" s="4" t="s">
        <v>706</v>
      </c>
      <c r="C452" s="4" t="s">
        <v>217</v>
      </c>
      <c r="D452" s="4" t="s">
        <v>195</v>
      </c>
      <c r="E452" s="4" t="s">
        <v>179</v>
      </c>
      <c r="F452" s="4" t="s">
        <v>705</v>
      </c>
      <c r="H452" s="4">
        <v>16038</v>
      </c>
      <c r="I452" s="4">
        <v>16038</v>
      </c>
      <c r="J452" s="31">
        <v>45717</v>
      </c>
      <c r="K452" s="4" t="s">
        <v>220</v>
      </c>
      <c r="L452" s="4" t="s">
        <v>17</v>
      </c>
      <c r="M452" s="4" t="s">
        <v>221</v>
      </c>
      <c r="S452" s="4" t="str">
        <f>TEXT(Table1[[#This Row],[Date]],"MMM-YY")</f>
        <v>Mar-25</v>
      </c>
      <c r="T452" s="4">
        <f>_xlfn.ISOWEEKNUM(Table1[[#This Row],[Date]])</f>
        <v>10</v>
      </c>
      <c r="U452" s="4" t="str">
        <f>TEXT(Table1[[#This Row],[Expected Business Month]],"YYYY")</f>
        <v>2025</v>
      </c>
    </row>
    <row r="453" spans="1:21">
      <c r="A453" s="19">
        <v>45720</v>
      </c>
      <c r="B453" s="4" t="s">
        <v>713</v>
      </c>
      <c r="C453" s="4" t="s">
        <v>217</v>
      </c>
      <c r="D453" s="4" t="s">
        <v>195</v>
      </c>
      <c r="E453" s="4" t="s">
        <v>179</v>
      </c>
      <c r="F453" s="4" t="s">
        <v>714</v>
      </c>
      <c r="H453" s="4">
        <v>9250</v>
      </c>
      <c r="I453" s="4">
        <v>9250</v>
      </c>
      <c r="J453" s="31">
        <v>45717</v>
      </c>
      <c r="K453" s="4" t="s">
        <v>220</v>
      </c>
      <c r="L453" s="4" t="s">
        <v>17</v>
      </c>
      <c r="M453" s="4" t="s">
        <v>221</v>
      </c>
      <c r="S453" s="4" t="str">
        <f>TEXT(Table1[[#This Row],[Date]],"MMM-YY")</f>
        <v>Mar-25</v>
      </c>
      <c r="T453" s="4">
        <f>_xlfn.ISOWEEKNUM(Table1[[#This Row],[Date]])</f>
        <v>10</v>
      </c>
      <c r="U453" s="4" t="str">
        <f>TEXT(Table1[[#This Row],[Expected Business Month]],"YYYY")</f>
        <v>2025</v>
      </c>
    </row>
    <row r="454" spans="1:21" hidden="1">
      <c r="A454" s="19">
        <v>45720</v>
      </c>
      <c r="B454" s="4" t="s">
        <v>716</v>
      </c>
      <c r="C454" s="4" t="s">
        <v>217</v>
      </c>
      <c r="D454" s="4" t="s">
        <v>21</v>
      </c>
      <c r="E454" s="4" t="s">
        <v>21</v>
      </c>
      <c r="F454" s="4" t="s">
        <v>717</v>
      </c>
      <c r="J454" s="31">
        <v>45717</v>
      </c>
      <c r="K454" s="4" t="s">
        <v>220</v>
      </c>
      <c r="L454" s="4" t="s">
        <v>27</v>
      </c>
      <c r="M454" s="4" t="s">
        <v>221</v>
      </c>
      <c r="S454" s="4" t="str">
        <f>TEXT(Table1[[#This Row],[Date]],"MMM-YY")</f>
        <v>Mar-25</v>
      </c>
      <c r="T454" s="4">
        <f>_xlfn.ISOWEEKNUM(Table1[[#This Row],[Date]])</f>
        <v>10</v>
      </c>
      <c r="U454" s="4" t="str">
        <f>TEXT(Table1[[#This Row],[Expected Business Month]],"YYYY")</f>
        <v>2025</v>
      </c>
    </row>
    <row r="455" spans="1:21">
      <c r="A455" s="19">
        <v>45720</v>
      </c>
      <c r="B455" s="4" t="s">
        <v>230</v>
      </c>
      <c r="C455" s="4" t="s">
        <v>225</v>
      </c>
      <c r="D455" s="4" t="s">
        <v>183</v>
      </c>
      <c r="E455" s="4" t="s">
        <v>21</v>
      </c>
      <c r="F455" s="4" t="s">
        <v>688</v>
      </c>
      <c r="H455" s="4">
        <v>9600</v>
      </c>
      <c r="I455" s="4">
        <v>9600</v>
      </c>
      <c r="J455" s="31">
        <v>45717</v>
      </c>
      <c r="K455" s="4" t="s">
        <v>234</v>
      </c>
      <c r="L455" s="4" t="s">
        <v>17</v>
      </c>
      <c r="M455" s="4" t="s">
        <v>221</v>
      </c>
      <c r="S455" s="4" t="str">
        <f>TEXT(Table1[[#This Row],[Date]],"MMM-YY")</f>
        <v>Mar-25</v>
      </c>
      <c r="T455" s="4">
        <f>_xlfn.ISOWEEKNUM(Table1[[#This Row],[Date]])</f>
        <v>10</v>
      </c>
      <c r="U455" s="4" t="str">
        <f>TEXT(Table1[[#This Row],[Expected Business Month]],"YYYY")</f>
        <v>2025</v>
      </c>
    </row>
    <row r="456" spans="1:21">
      <c r="A456" s="19">
        <v>45721</v>
      </c>
      <c r="B456" s="4" t="s">
        <v>230</v>
      </c>
      <c r="C456" s="4" t="s">
        <v>225</v>
      </c>
      <c r="D456" s="4" t="s">
        <v>183</v>
      </c>
      <c r="E456" s="4" t="s">
        <v>21</v>
      </c>
      <c r="F456" s="4" t="s">
        <v>688</v>
      </c>
      <c r="H456" s="4">
        <v>13970</v>
      </c>
      <c r="I456" s="4">
        <v>13970</v>
      </c>
      <c r="J456" s="31">
        <v>45717</v>
      </c>
      <c r="K456" s="4" t="s">
        <v>234</v>
      </c>
      <c r="L456" s="4" t="s">
        <v>17</v>
      </c>
      <c r="M456" s="4" t="s">
        <v>221</v>
      </c>
      <c r="S456" s="4" t="str">
        <f>TEXT(Table1[[#This Row],[Date]],"MMM-YY")</f>
        <v>Mar-25</v>
      </c>
      <c r="T456" s="4">
        <f>_xlfn.ISOWEEKNUM(Table1[[#This Row],[Date]])</f>
        <v>10</v>
      </c>
      <c r="U456" s="4" t="str">
        <f>TEXT(Table1[[#This Row],[Expected Business Month]],"YYYY")</f>
        <v>2025</v>
      </c>
    </row>
    <row r="457" spans="1:21" hidden="1">
      <c r="A457" s="19">
        <v>45721</v>
      </c>
      <c r="B457" s="4" t="s">
        <v>716</v>
      </c>
      <c r="C457" s="4" t="s">
        <v>217</v>
      </c>
      <c r="D457" s="4" t="s">
        <v>21</v>
      </c>
      <c r="E457" s="4" t="s">
        <v>21</v>
      </c>
      <c r="F457" s="4" t="s">
        <v>717</v>
      </c>
      <c r="J457" s="31">
        <v>45717</v>
      </c>
      <c r="K457" s="4" t="s">
        <v>220</v>
      </c>
      <c r="L457" s="4" t="s">
        <v>27</v>
      </c>
      <c r="M457" s="4" t="s">
        <v>221</v>
      </c>
      <c r="S457" s="4" t="str">
        <f>TEXT(Table1[[#This Row],[Date]],"MMM-YY")</f>
        <v>Mar-25</v>
      </c>
      <c r="T457" s="4">
        <f>_xlfn.ISOWEEKNUM(Table1[[#This Row],[Date]])</f>
        <v>10</v>
      </c>
      <c r="U457" s="4" t="str">
        <f>TEXT(Table1[[#This Row],[Expected Business Month]],"YYYY")</f>
        <v>2025</v>
      </c>
    </row>
    <row r="458" spans="1:21">
      <c r="A458" s="19">
        <v>45721</v>
      </c>
      <c r="B458" s="4" t="s">
        <v>708</v>
      </c>
      <c r="C458" s="4" t="s">
        <v>217</v>
      </c>
      <c r="D458" s="4" t="s">
        <v>195</v>
      </c>
      <c r="E458" s="4" t="s">
        <v>179</v>
      </c>
      <c r="F458" s="4" t="s">
        <v>709</v>
      </c>
      <c r="H458" s="4">
        <v>12277</v>
      </c>
      <c r="I458" s="4">
        <v>12277</v>
      </c>
      <c r="J458" s="31">
        <v>45717</v>
      </c>
      <c r="K458" s="4" t="s">
        <v>220</v>
      </c>
      <c r="L458" s="4" t="s">
        <v>17</v>
      </c>
      <c r="M458" s="4" t="s">
        <v>221</v>
      </c>
      <c r="S458" s="4" t="str">
        <f>TEXT(Table1[[#This Row],[Date]],"MMM-YY")</f>
        <v>Mar-25</v>
      </c>
      <c r="T458" s="4">
        <f>_xlfn.ISOWEEKNUM(Table1[[#This Row],[Date]])</f>
        <v>10</v>
      </c>
      <c r="U458" s="4" t="str">
        <f>TEXT(Table1[[#This Row],[Expected Business Month]],"YYYY")</f>
        <v>2025</v>
      </c>
    </row>
    <row r="459" spans="1:21">
      <c r="A459" s="19">
        <v>45721</v>
      </c>
      <c r="B459" s="4" t="s">
        <v>677</v>
      </c>
      <c r="C459" s="4" t="s">
        <v>225</v>
      </c>
      <c r="D459" s="4" t="s">
        <v>195</v>
      </c>
      <c r="E459" s="4" t="s">
        <v>32</v>
      </c>
      <c r="F459" s="4" t="s">
        <v>561</v>
      </c>
      <c r="G459" s="17" t="s">
        <v>562</v>
      </c>
      <c r="H459" s="4">
        <v>39236</v>
      </c>
      <c r="I459" s="4">
        <v>39236</v>
      </c>
      <c r="J459" s="31">
        <v>45717</v>
      </c>
      <c r="K459" s="4" t="s">
        <v>220</v>
      </c>
      <c r="L459" s="4" t="s">
        <v>17</v>
      </c>
      <c r="M459" s="4" t="s">
        <v>221</v>
      </c>
      <c r="S459" s="4" t="str">
        <f>TEXT(Table1[[#This Row],[Date]],"MMM-YY")</f>
        <v>Mar-25</v>
      </c>
      <c r="T459" s="4">
        <f>_xlfn.ISOWEEKNUM(Table1[[#This Row],[Date]])</f>
        <v>10</v>
      </c>
      <c r="U459" s="4" t="str">
        <f>TEXT(Table1[[#This Row],[Expected Business Month]],"YYYY")</f>
        <v>2025</v>
      </c>
    </row>
    <row r="460" spans="1:21">
      <c r="A460" s="19">
        <v>45722</v>
      </c>
      <c r="B460" s="4" t="s">
        <v>230</v>
      </c>
      <c r="C460" s="4" t="s">
        <v>225</v>
      </c>
      <c r="D460" s="4" t="s">
        <v>183</v>
      </c>
      <c r="E460" s="4" t="s">
        <v>21</v>
      </c>
      <c r="F460" s="4" t="s">
        <v>688</v>
      </c>
      <c r="H460" s="4">
        <v>9590</v>
      </c>
      <c r="I460" s="4">
        <v>9590</v>
      </c>
      <c r="J460" s="31">
        <v>45717</v>
      </c>
      <c r="K460" s="4" t="s">
        <v>234</v>
      </c>
      <c r="L460" s="4" t="s">
        <v>17</v>
      </c>
      <c r="M460" s="4" t="s">
        <v>221</v>
      </c>
      <c r="S460" s="4" t="str">
        <f>TEXT(Table1[[#This Row],[Date]],"MMM-YY")</f>
        <v>Mar-25</v>
      </c>
      <c r="T460" s="4">
        <f>_xlfn.ISOWEEKNUM(Table1[[#This Row],[Date]])</f>
        <v>10</v>
      </c>
      <c r="U460" s="4" t="str">
        <f>TEXT(Table1[[#This Row],[Expected Business Month]],"YYYY")</f>
        <v>2025</v>
      </c>
    </row>
    <row r="461" spans="1:21" hidden="1">
      <c r="A461" s="19">
        <v>45722</v>
      </c>
      <c r="B461" s="4" t="s">
        <v>716</v>
      </c>
      <c r="C461" s="4" t="s">
        <v>217</v>
      </c>
      <c r="D461" s="4" t="s">
        <v>21</v>
      </c>
      <c r="E461" s="4" t="s">
        <v>21</v>
      </c>
      <c r="F461" s="4" t="s">
        <v>717</v>
      </c>
      <c r="J461" s="31">
        <v>45717</v>
      </c>
      <c r="K461" s="4" t="s">
        <v>220</v>
      </c>
      <c r="L461" s="4" t="s">
        <v>27</v>
      </c>
      <c r="M461" s="4" t="s">
        <v>221</v>
      </c>
      <c r="S461" s="4" t="str">
        <f>TEXT(Table1[[#This Row],[Date]],"MMM-YY")</f>
        <v>Mar-25</v>
      </c>
      <c r="T461" s="4">
        <f>_xlfn.ISOWEEKNUM(Table1[[#This Row],[Date]])</f>
        <v>10</v>
      </c>
      <c r="U461" s="4" t="str">
        <f>TEXT(Table1[[#This Row],[Expected Business Month]],"YYYY")</f>
        <v>2025</v>
      </c>
    </row>
    <row r="462" spans="1:21" hidden="1">
      <c r="A462" s="19">
        <v>45723</v>
      </c>
      <c r="B462" s="4" t="s">
        <v>716</v>
      </c>
      <c r="C462" s="4" t="s">
        <v>217</v>
      </c>
      <c r="D462" s="4" t="s">
        <v>21</v>
      </c>
      <c r="E462" s="4" t="s">
        <v>21</v>
      </c>
      <c r="F462" s="4" t="s">
        <v>717</v>
      </c>
      <c r="J462" s="31">
        <v>45717</v>
      </c>
      <c r="K462" s="4" t="s">
        <v>220</v>
      </c>
      <c r="L462" s="4" t="s">
        <v>27</v>
      </c>
      <c r="M462" s="4" t="s">
        <v>221</v>
      </c>
      <c r="S462" s="4" t="str">
        <f>TEXT(Table1[[#This Row],[Date]],"MMM-YY")</f>
        <v>Mar-25</v>
      </c>
      <c r="T462" s="4">
        <f>_xlfn.ISOWEEKNUM(Table1[[#This Row],[Date]])</f>
        <v>10</v>
      </c>
      <c r="U462" s="4" t="str">
        <f>TEXT(Table1[[#This Row],[Expected Business Month]],"YYYY")</f>
        <v>2025</v>
      </c>
    </row>
    <row r="463" spans="1:21">
      <c r="A463" s="19">
        <v>45723</v>
      </c>
      <c r="B463" s="4" t="s">
        <v>230</v>
      </c>
      <c r="C463" s="4" t="s">
        <v>225</v>
      </c>
      <c r="D463" s="4" t="s">
        <v>183</v>
      </c>
      <c r="E463" s="4" t="s">
        <v>21</v>
      </c>
      <c r="F463" s="4" t="s">
        <v>688</v>
      </c>
      <c r="H463" s="4">
        <v>4360</v>
      </c>
      <c r="I463" s="4">
        <v>4360</v>
      </c>
      <c r="J463" s="31">
        <v>45717</v>
      </c>
      <c r="K463" s="4" t="s">
        <v>234</v>
      </c>
      <c r="L463" s="4" t="s">
        <v>17</v>
      </c>
      <c r="M463" s="4" t="s">
        <v>221</v>
      </c>
      <c r="S463" s="4" t="str">
        <f>TEXT(Table1[[#This Row],[Date]],"MMM-YY")</f>
        <v>Mar-25</v>
      </c>
      <c r="T463" s="4">
        <f>_xlfn.ISOWEEKNUM(Table1[[#This Row],[Date]])</f>
        <v>10</v>
      </c>
      <c r="U463" s="4" t="str">
        <f>TEXT(Table1[[#This Row],[Expected Business Month]],"YYYY")</f>
        <v>2025</v>
      </c>
    </row>
    <row r="464" spans="1:21" hidden="1">
      <c r="A464" s="19">
        <v>45724</v>
      </c>
      <c r="B464" s="4" t="s">
        <v>716</v>
      </c>
      <c r="C464" s="4" t="s">
        <v>217</v>
      </c>
      <c r="D464" s="4" t="s">
        <v>21</v>
      </c>
      <c r="E464" s="4" t="s">
        <v>21</v>
      </c>
      <c r="F464" s="4" t="s">
        <v>717</v>
      </c>
      <c r="J464" s="31">
        <v>45717</v>
      </c>
      <c r="K464" s="4" t="s">
        <v>220</v>
      </c>
      <c r="L464" s="4" t="s">
        <v>27</v>
      </c>
      <c r="M464" s="4" t="s">
        <v>221</v>
      </c>
      <c r="S464" s="4" t="str">
        <f>TEXT(Table1[[#This Row],[Date]],"MMM-YY")</f>
        <v>Mar-25</v>
      </c>
      <c r="T464" s="4">
        <f>_xlfn.ISOWEEKNUM(Table1[[#This Row],[Date]])</f>
        <v>10</v>
      </c>
      <c r="U464" s="4" t="str">
        <f>TEXT(Table1[[#This Row],[Expected Business Month]],"YYYY")</f>
        <v>2025</v>
      </c>
    </row>
    <row r="465" spans="1:21">
      <c r="A465" s="19">
        <v>45724</v>
      </c>
      <c r="B465" s="4" t="s">
        <v>718</v>
      </c>
      <c r="C465" s="4" t="s">
        <v>217</v>
      </c>
      <c r="D465" s="4" t="s">
        <v>21</v>
      </c>
      <c r="E465" s="4" t="s">
        <v>21</v>
      </c>
      <c r="F465" s="4" t="s">
        <v>690</v>
      </c>
      <c r="H465" s="4">
        <v>315360</v>
      </c>
      <c r="I465" s="4">
        <v>315360</v>
      </c>
      <c r="J465" s="31">
        <v>45717</v>
      </c>
      <c r="K465" s="4" t="s">
        <v>220</v>
      </c>
      <c r="L465" s="4" t="s">
        <v>17</v>
      </c>
      <c r="M465" s="4" t="s">
        <v>221</v>
      </c>
      <c r="S465" s="4" t="str">
        <f>TEXT(Table1[[#This Row],[Date]],"MMM-YY")</f>
        <v>Mar-25</v>
      </c>
      <c r="T465" s="4">
        <f>_xlfn.ISOWEEKNUM(Table1[[#This Row],[Date]])</f>
        <v>10</v>
      </c>
      <c r="U465" s="4" t="str">
        <f>TEXT(Table1[[#This Row],[Expected Business Month]],"YYYY")</f>
        <v>2025</v>
      </c>
    </row>
    <row r="466" spans="1:21" hidden="1">
      <c r="A466" s="19">
        <v>45725</v>
      </c>
      <c r="B466" s="4" t="s">
        <v>716</v>
      </c>
      <c r="C466" s="4" t="s">
        <v>217</v>
      </c>
      <c r="D466" s="4" t="s">
        <v>21</v>
      </c>
      <c r="E466" s="4" t="s">
        <v>21</v>
      </c>
      <c r="F466" s="4" t="s">
        <v>717</v>
      </c>
      <c r="J466" s="31">
        <v>45717</v>
      </c>
      <c r="K466" s="4" t="s">
        <v>220</v>
      </c>
      <c r="L466" s="4" t="s">
        <v>27</v>
      </c>
      <c r="M466" s="4" t="s">
        <v>221</v>
      </c>
      <c r="S466" s="4" t="str">
        <f>TEXT(Table1[[#This Row],[Date]],"MMM-YY")</f>
        <v>Mar-25</v>
      </c>
      <c r="T466" s="4">
        <f>_xlfn.ISOWEEKNUM(Table1[[#This Row],[Date]])</f>
        <v>10</v>
      </c>
      <c r="U466" s="4" t="str">
        <f>TEXT(Table1[[#This Row],[Expected Business Month]],"YYYY")</f>
        <v>2025</v>
      </c>
    </row>
    <row r="467" spans="1:21">
      <c r="A467" s="19">
        <v>45726</v>
      </c>
      <c r="B467" s="4" t="s">
        <v>230</v>
      </c>
      <c r="C467" s="4" t="s">
        <v>225</v>
      </c>
      <c r="D467" s="4" t="s">
        <v>183</v>
      </c>
      <c r="E467" s="4" t="s">
        <v>21</v>
      </c>
      <c r="F467" s="4" t="s">
        <v>688</v>
      </c>
      <c r="H467" s="4">
        <v>3910</v>
      </c>
      <c r="I467" s="4">
        <v>3910</v>
      </c>
      <c r="J467" s="31">
        <v>45717</v>
      </c>
      <c r="K467" s="4" t="s">
        <v>234</v>
      </c>
      <c r="L467" s="4" t="s">
        <v>17</v>
      </c>
      <c r="M467" s="4" t="s">
        <v>221</v>
      </c>
      <c r="S467" s="4" t="str">
        <f>TEXT(Table1[[#This Row],[Date]],"MMM-YY")</f>
        <v>Mar-25</v>
      </c>
      <c r="T467" s="4">
        <f>_xlfn.ISOWEEKNUM(Table1[[#This Row],[Date]])</f>
        <v>11</v>
      </c>
      <c r="U467" s="4" t="str">
        <f>TEXT(Table1[[#This Row],[Expected Business Month]],"YYYY")</f>
        <v>2025</v>
      </c>
    </row>
    <row r="468" spans="1:21" hidden="1">
      <c r="A468" s="19">
        <v>45726</v>
      </c>
      <c r="B468" s="4" t="s">
        <v>716</v>
      </c>
      <c r="C468" s="4" t="s">
        <v>217</v>
      </c>
      <c r="D468" s="4" t="s">
        <v>21</v>
      </c>
      <c r="E468" s="4" t="s">
        <v>21</v>
      </c>
      <c r="F468" s="4" t="s">
        <v>717</v>
      </c>
      <c r="J468" s="31">
        <v>45717</v>
      </c>
      <c r="K468" s="4" t="s">
        <v>220</v>
      </c>
      <c r="L468" s="4" t="s">
        <v>27</v>
      </c>
      <c r="M468" s="4" t="s">
        <v>221</v>
      </c>
      <c r="S468" s="4" t="str">
        <f>TEXT(Table1[[#This Row],[Date]],"MMM-YY")</f>
        <v>Mar-25</v>
      </c>
      <c r="T468" s="4">
        <f>_xlfn.ISOWEEKNUM(Table1[[#This Row],[Date]])</f>
        <v>11</v>
      </c>
      <c r="U468" s="4" t="str">
        <f>TEXT(Table1[[#This Row],[Expected Business Month]],"YYYY")</f>
        <v>2025</v>
      </c>
    </row>
    <row r="469" spans="1:21">
      <c r="A469" s="19">
        <v>45727</v>
      </c>
      <c r="B469" s="4" t="s">
        <v>230</v>
      </c>
      <c r="C469" s="4" t="s">
        <v>225</v>
      </c>
      <c r="D469" s="4" t="s">
        <v>183</v>
      </c>
      <c r="E469" s="4" t="s">
        <v>21</v>
      </c>
      <c r="F469" s="4" t="s">
        <v>688</v>
      </c>
      <c r="H469" s="4">
        <v>9280</v>
      </c>
      <c r="I469" s="4">
        <v>9280</v>
      </c>
      <c r="J469" s="31">
        <v>45717</v>
      </c>
      <c r="K469" s="4" t="s">
        <v>234</v>
      </c>
      <c r="L469" s="4" t="s">
        <v>17</v>
      </c>
      <c r="M469" s="4" t="s">
        <v>221</v>
      </c>
      <c r="S469" s="4" t="str">
        <f>TEXT(Table1[[#This Row],[Date]],"MMM-YY")</f>
        <v>Mar-25</v>
      </c>
      <c r="T469" s="4">
        <f>_xlfn.ISOWEEKNUM(Table1[[#This Row],[Date]])</f>
        <v>11</v>
      </c>
      <c r="U469" s="4" t="str">
        <f>TEXT(Table1[[#This Row],[Expected Business Month]],"YYYY")</f>
        <v>2025</v>
      </c>
    </row>
    <row r="470" spans="1:21" hidden="1">
      <c r="A470" s="19">
        <v>45727</v>
      </c>
      <c r="B470" s="4" t="s">
        <v>716</v>
      </c>
      <c r="C470" s="4" t="s">
        <v>217</v>
      </c>
      <c r="D470" s="4" t="s">
        <v>21</v>
      </c>
      <c r="E470" s="4" t="s">
        <v>21</v>
      </c>
      <c r="F470" s="4" t="s">
        <v>717</v>
      </c>
      <c r="J470" s="31">
        <v>45717</v>
      </c>
      <c r="K470" s="4" t="s">
        <v>220</v>
      </c>
      <c r="L470" s="4" t="s">
        <v>27</v>
      </c>
      <c r="M470" s="4" t="s">
        <v>221</v>
      </c>
      <c r="S470" s="4" t="str">
        <f>TEXT(Table1[[#This Row],[Date]],"MMM-YY")</f>
        <v>Mar-25</v>
      </c>
      <c r="T470" s="4">
        <f>_xlfn.ISOWEEKNUM(Table1[[#This Row],[Date]])</f>
        <v>11</v>
      </c>
      <c r="U470" s="4" t="str">
        <f>TEXT(Table1[[#This Row],[Expected Business Month]],"YYYY")</f>
        <v>2025</v>
      </c>
    </row>
    <row r="471" spans="1:21">
      <c r="A471" s="19">
        <v>45728</v>
      </c>
      <c r="B471" s="4" t="s">
        <v>230</v>
      </c>
      <c r="C471" s="4" t="s">
        <v>225</v>
      </c>
      <c r="D471" s="4" t="s">
        <v>183</v>
      </c>
      <c r="E471" s="4" t="s">
        <v>21</v>
      </c>
      <c r="F471" s="4" t="s">
        <v>688</v>
      </c>
      <c r="H471" s="4">
        <v>13210</v>
      </c>
      <c r="I471" s="4">
        <v>13210</v>
      </c>
      <c r="J471" s="31">
        <v>45717</v>
      </c>
      <c r="K471" s="4" t="s">
        <v>234</v>
      </c>
      <c r="L471" s="4" t="s">
        <v>17</v>
      </c>
      <c r="M471" s="4" t="s">
        <v>221</v>
      </c>
      <c r="S471" s="4" t="str">
        <f>TEXT(Table1[[#This Row],[Date]],"MMM-YY")</f>
        <v>Mar-25</v>
      </c>
      <c r="T471" s="4">
        <f>_xlfn.ISOWEEKNUM(Table1[[#This Row],[Date]])</f>
        <v>11</v>
      </c>
      <c r="U471" s="4" t="str">
        <f>TEXT(Table1[[#This Row],[Expected Business Month]],"YYYY")</f>
        <v>2025</v>
      </c>
    </row>
    <row r="472" spans="1:21" hidden="1">
      <c r="A472" s="19">
        <v>45728</v>
      </c>
      <c r="B472" s="4" t="s">
        <v>716</v>
      </c>
      <c r="C472" s="4" t="s">
        <v>217</v>
      </c>
      <c r="D472" s="4" t="s">
        <v>21</v>
      </c>
      <c r="E472" s="4" t="s">
        <v>21</v>
      </c>
      <c r="F472" s="4" t="s">
        <v>717</v>
      </c>
      <c r="J472" s="31">
        <v>45717</v>
      </c>
      <c r="K472" s="4" t="s">
        <v>220</v>
      </c>
      <c r="L472" s="4" t="s">
        <v>27</v>
      </c>
      <c r="M472" s="4" t="s">
        <v>221</v>
      </c>
      <c r="S472" s="4" t="str">
        <f>TEXT(Table1[[#This Row],[Date]],"MMM-YY")</f>
        <v>Mar-25</v>
      </c>
      <c r="T472" s="4">
        <f>_xlfn.ISOWEEKNUM(Table1[[#This Row],[Date]])</f>
        <v>11</v>
      </c>
      <c r="U472" s="4" t="str">
        <f>TEXT(Table1[[#This Row],[Expected Business Month]],"YYYY")</f>
        <v>2025</v>
      </c>
    </row>
    <row r="473" spans="1:21">
      <c r="A473" s="19">
        <v>45728</v>
      </c>
      <c r="B473" s="4" t="s">
        <v>721</v>
      </c>
      <c r="C473" s="4" t="s">
        <v>217</v>
      </c>
      <c r="D473" s="4" t="s">
        <v>195</v>
      </c>
      <c r="E473" s="4" t="s">
        <v>181</v>
      </c>
      <c r="F473" s="4" t="s">
        <v>722</v>
      </c>
      <c r="H473" s="4">
        <v>13065</v>
      </c>
      <c r="I473" s="4">
        <v>13065</v>
      </c>
      <c r="J473" s="31">
        <v>45717</v>
      </c>
      <c r="K473" s="4" t="s">
        <v>220</v>
      </c>
      <c r="L473" s="4" t="s">
        <v>17</v>
      </c>
      <c r="M473" s="4" t="s">
        <v>221</v>
      </c>
      <c r="S473" s="4" t="str">
        <f>TEXT(Table1[[#This Row],[Date]],"MMM-YY")</f>
        <v>Mar-25</v>
      </c>
      <c r="T473" s="4">
        <f>_xlfn.ISOWEEKNUM(Table1[[#This Row],[Date]])</f>
        <v>11</v>
      </c>
      <c r="U473" s="4" t="str">
        <f>TEXT(Table1[[#This Row],[Expected Business Month]],"YYYY")</f>
        <v>2025</v>
      </c>
    </row>
    <row r="474" spans="1:21">
      <c r="A474" s="19">
        <v>45728</v>
      </c>
      <c r="B474" s="4" t="s">
        <v>677</v>
      </c>
      <c r="C474" s="4" t="s">
        <v>225</v>
      </c>
      <c r="D474" s="4" t="s">
        <v>195</v>
      </c>
      <c r="E474" s="4" t="s">
        <v>32</v>
      </c>
      <c r="F474" s="4" t="s">
        <v>561</v>
      </c>
      <c r="G474" s="17" t="s">
        <v>562</v>
      </c>
      <c r="H474" s="4">
        <v>34332</v>
      </c>
      <c r="I474" s="4">
        <v>34332</v>
      </c>
      <c r="J474" s="31">
        <v>45717</v>
      </c>
      <c r="K474" s="4" t="s">
        <v>220</v>
      </c>
      <c r="L474" s="4" t="s">
        <v>17</v>
      </c>
      <c r="M474" s="4" t="s">
        <v>221</v>
      </c>
      <c r="S474" s="4" t="str">
        <f>TEXT(Table1[[#This Row],[Date]],"MMM-YY")</f>
        <v>Mar-25</v>
      </c>
      <c r="T474" s="4">
        <f>_xlfn.ISOWEEKNUM(Table1[[#This Row],[Date]])</f>
        <v>11</v>
      </c>
      <c r="U474" s="4" t="str">
        <f>TEXT(Table1[[#This Row],[Expected Business Month]],"YYYY")</f>
        <v>2025</v>
      </c>
    </row>
    <row r="475" spans="1:21">
      <c r="A475" s="19">
        <v>45729</v>
      </c>
      <c r="B475" s="4" t="s">
        <v>230</v>
      </c>
      <c r="C475" s="4" t="s">
        <v>225</v>
      </c>
      <c r="D475" s="4" t="s">
        <v>183</v>
      </c>
      <c r="E475" s="4" t="s">
        <v>21</v>
      </c>
      <c r="F475" s="4" t="s">
        <v>688</v>
      </c>
      <c r="H475" s="4">
        <v>8840</v>
      </c>
      <c r="I475" s="4">
        <v>8840</v>
      </c>
      <c r="J475" s="31">
        <v>45717</v>
      </c>
      <c r="K475" s="4" t="s">
        <v>234</v>
      </c>
      <c r="L475" s="4" t="s">
        <v>17</v>
      </c>
      <c r="M475" s="4" t="s">
        <v>221</v>
      </c>
      <c r="S475" s="4" t="str">
        <f>TEXT(Table1[[#This Row],[Date]],"MMM-YY")</f>
        <v>Mar-25</v>
      </c>
      <c r="T475" s="4">
        <f>_xlfn.ISOWEEKNUM(Table1[[#This Row],[Date]])</f>
        <v>11</v>
      </c>
      <c r="U475" s="4" t="str">
        <f>TEXT(Table1[[#This Row],[Expected Business Month]],"YYYY")</f>
        <v>2025</v>
      </c>
    </row>
    <row r="476" spans="1:21" hidden="1">
      <c r="A476" s="19">
        <v>45729</v>
      </c>
      <c r="B476" s="4" t="s">
        <v>716</v>
      </c>
      <c r="C476" s="4" t="s">
        <v>217</v>
      </c>
      <c r="D476" s="4" t="s">
        <v>21</v>
      </c>
      <c r="E476" s="4" t="s">
        <v>21</v>
      </c>
      <c r="F476" s="4" t="s">
        <v>717</v>
      </c>
      <c r="J476" s="31">
        <v>45717</v>
      </c>
      <c r="K476" s="4" t="s">
        <v>220</v>
      </c>
      <c r="L476" s="4" t="s">
        <v>27</v>
      </c>
      <c r="M476" s="4" t="s">
        <v>221</v>
      </c>
      <c r="S476" s="4" t="str">
        <f>TEXT(Table1[[#This Row],[Date]],"MMM-YY")</f>
        <v>Mar-25</v>
      </c>
      <c r="T476" s="4">
        <f>_xlfn.ISOWEEKNUM(Table1[[#This Row],[Date]])</f>
        <v>11</v>
      </c>
      <c r="U476" s="4" t="str">
        <f>TEXT(Table1[[#This Row],[Expected Business Month]],"YYYY")</f>
        <v>2025</v>
      </c>
    </row>
    <row r="477" spans="1:21">
      <c r="A477" s="19">
        <v>45731</v>
      </c>
      <c r="B477" s="4" t="s">
        <v>723</v>
      </c>
      <c r="C477" s="4" t="s">
        <v>217</v>
      </c>
      <c r="D477" s="4" t="s">
        <v>724</v>
      </c>
      <c r="E477" s="4" t="s">
        <v>21</v>
      </c>
      <c r="F477" s="4" t="s">
        <v>725</v>
      </c>
      <c r="H477" s="4">
        <v>10990</v>
      </c>
      <c r="I477" s="4">
        <v>10990</v>
      </c>
      <c r="J477" s="31">
        <v>45717</v>
      </c>
      <c r="K477" s="4" t="s">
        <v>220</v>
      </c>
      <c r="L477" s="4" t="s">
        <v>17</v>
      </c>
      <c r="M477" s="4" t="s">
        <v>221</v>
      </c>
      <c r="S477" s="4" t="str">
        <f>TEXT(Table1[[#This Row],[Date]],"MMM-YY")</f>
        <v>Mar-25</v>
      </c>
      <c r="T477" s="4">
        <f>_xlfn.ISOWEEKNUM(Table1[[#This Row],[Date]])</f>
        <v>11</v>
      </c>
      <c r="U477" s="4" t="str">
        <f>TEXT(Table1[[#This Row],[Expected Business Month]],"YYYY")</f>
        <v>2025</v>
      </c>
    </row>
    <row r="478" spans="1:21" hidden="1">
      <c r="A478" s="19">
        <v>45732</v>
      </c>
      <c r="B478" s="4" t="s">
        <v>716</v>
      </c>
      <c r="C478" s="4" t="s">
        <v>217</v>
      </c>
      <c r="D478" s="4" t="s">
        <v>21</v>
      </c>
      <c r="E478" s="4" t="s">
        <v>21</v>
      </c>
      <c r="F478" s="4" t="s">
        <v>717</v>
      </c>
      <c r="J478" s="31">
        <v>45717</v>
      </c>
      <c r="K478" s="4" t="s">
        <v>220</v>
      </c>
      <c r="L478" s="4" t="s">
        <v>27</v>
      </c>
      <c r="M478" s="4" t="s">
        <v>221</v>
      </c>
      <c r="S478" s="4" t="str">
        <f>TEXT(Table1[[#This Row],[Date]],"MMM-YY")</f>
        <v>Mar-25</v>
      </c>
      <c r="T478" s="4">
        <f>_xlfn.ISOWEEKNUM(Table1[[#This Row],[Date]])</f>
        <v>11</v>
      </c>
      <c r="U478" s="4" t="str">
        <f>TEXT(Table1[[#This Row],[Expected Business Month]],"YYYY")</f>
        <v>2025</v>
      </c>
    </row>
    <row r="479" spans="1:21">
      <c r="A479" s="19">
        <v>45733</v>
      </c>
      <c r="B479" s="4" t="s">
        <v>230</v>
      </c>
      <c r="C479" s="4" t="s">
        <v>225</v>
      </c>
      <c r="D479" s="4" t="s">
        <v>183</v>
      </c>
      <c r="E479" s="4" t="s">
        <v>21</v>
      </c>
      <c r="F479" s="4" t="s">
        <v>688</v>
      </c>
      <c r="H479" s="4">
        <v>9750</v>
      </c>
      <c r="I479" s="4">
        <v>9750</v>
      </c>
      <c r="J479" s="31">
        <v>45717</v>
      </c>
      <c r="K479" s="4" t="s">
        <v>234</v>
      </c>
      <c r="L479" s="4" t="s">
        <v>17</v>
      </c>
      <c r="M479" s="4" t="s">
        <v>221</v>
      </c>
      <c r="S479" s="4" t="str">
        <f>TEXT(Table1[[#This Row],[Date]],"MMM-YY")</f>
        <v>Mar-25</v>
      </c>
      <c r="T479" s="4">
        <f>_xlfn.ISOWEEKNUM(Table1[[#This Row],[Date]])</f>
        <v>12</v>
      </c>
      <c r="U479" s="4" t="str">
        <f>TEXT(Table1[[#This Row],[Expected Business Month]],"YYYY")</f>
        <v>2025</v>
      </c>
    </row>
    <row r="480" spans="1:21" hidden="1">
      <c r="A480" s="19">
        <v>45733</v>
      </c>
      <c r="B480" s="4" t="s">
        <v>716</v>
      </c>
      <c r="C480" s="4" t="s">
        <v>217</v>
      </c>
      <c r="D480" s="4" t="s">
        <v>21</v>
      </c>
      <c r="E480" s="4" t="s">
        <v>21</v>
      </c>
      <c r="F480" s="4" t="s">
        <v>717</v>
      </c>
      <c r="J480" s="31">
        <v>45717</v>
      </c>
      <c r="K480" s="4" t="s">
        <v>220</v>
      </c>
      <c r="L480" s="4" t="s">
        <v>27</v>
      </c>
      <c r="M480" s="4" t="s">
        <v>221</v>
      </c>
      <c r="S480" s="4" t="str">
        <f>TEXT(Table1[[#This Row],[Date]],"MMM-YY")</f>
        <v>Mar-25</v>
      </c>
      <c r="T480" s="4">
        <f>_xlfn.ISOWEEKNUM(Table1[[#This Row],[Date]])</f>
        <v>12</v>
      </c>
      <c r="U480" s="4" t="str">
        <f>TEXT(Table1[[#This Row],[Expected Business Month]],"YYYY")</f>
        <v>2025</v>
      </c>
    </row>
    <row r="481" spans="1:21" hidden="1">
      <c r="A481" s="19">
        <v>45734</v>
      </c>
      <c r="B481" s="4" t="s">
        <v>726</v>
      </c>
      <c r="C481" s="4" t="s">
        <v>217</v>
      </c>
      <c r="D481" s="4" t="s">
        <v>195</v>
      </c>
      <c r="E481" s="4" t="s">
        <v>61</v>
      </c>
      <c r="F481" s="4" t="s">
        <v>727</v>
      </c>
      <c r="H481" s="4">
        <v>90000</v>
      </c>
      <c r="J481" s="31">
        <v>45717</v>
      </c>
      <c r="K481" s="4" t="s">
        <v>220</v>
      </c>
      <c r="L481" s="4" t="s">
        <v>11</v>
      </c>
      <c r="M481" s="4" t="s">
        <v>221</v>
      </c>
      <c r="S481" s="4" t="str">
        <f>TEXT(Table1[[#This Row],[Date]],"MMM-YY")</f>
        <v>Mar-25</v>
      </c>
      <c r="T481" s="4">
        <f>_xlfn.ISOWEEKNUM(Table1[[#This Row],[Date]])</f>
        <v>12</v>
      </c>
      <c r="U481" s="4" t="str">
        <f>TEXT(Table1[[#This Row],[Expected Business Month]],"YYYY")</f>
        <v>2025</v>
      </c>
    </row>
    <row r="482" spans="1:21">
      <c r="A482" s="19">
        <v>45735</v>
      </c>
      <c r="B482" s="4" t="s">
        <v>728</v>
      </c>
      <c r="C482" s="4" t="s">
        <v>217</v>
      </c>
      <c r="D482" s="4" t="s">
        <v>389</v>
      </c>
      <c r="E482" s="4" t="s">
        <v>103</v>
      </c>
      <c r="F482" s="4" t="s">
        <v>729</v>
      </c>
      <c r="H482" s="4">
        <v>19397</v>
      </c>
      <c r="I482" s="4">
        <v>19397</v>
      </c>
      <c r="J482" s="31">
        <v>45717</v>
      </c>
      <c r="K482" s="4" t="s">
        <v>220</v>
      </c>
      <c r="L482" s="4" t="s">
        <v>17</v>
      </c>
      <c r="M482" s="4" t="s">
        <v>221</v>
      </c>
      <c r="S482" s="4" t="str">
        <f>TEXT(Table1[[#This Row],[Date]],"MMM-YY")</f>
        <v>Mar-25</v>
      </c>
      <c r="T482" s="4">
        <f>_xlfn.ISOWEEKNUM(Table1[[#This Row],[Date]])</f>
        <v>12</v>
      </c>
      <c r="U482" s="4" t="str">
        <f>TEXT(Table1[[#This Row],[Expected Business Month]],"YYYY")</f>
        <v>2025</v>
      </c>
    </row>
    <row r="483" spans="1:21">
      <c r="A483" s="19">
        <v>45735</v>
      </c>
      <c r="B483" s="4" t="s">
        <v>677</v>
      </c>
      <c r="C483" s="4" t="s">
        <v>225</v>
      </c>
      <c r="D483" s="4" t="s">
        <v>195</v>
      </c>
      <c r="E483" s="4" t="s">
        <v>32</v>
      </c>
      <c r="F483" s="4" t="s">
        <v>561</v>
      </c>
      <c r="G483" s="17" t="s">
        <v>562</v>
      </c>
      <c r="H483" s="4">
        <v>30899</v>
      </c>
      <c r="I483" s="4">
        <v>30899</v>
      </c>
      <c r="J483" s="31">
        <v>45717</v>
      </c>
      <c r="K483" s="4" t="s">
        <v>220</v>
      </c>
      <c r="L483" s="4" t="s">
        <v>17</v>
      </c>
      <c r="M483" s="4" t="s">
        <v>221</v>
      </c>
      <c r="S483" s="4" t="str">
        <f>TEXT(Table1[[#This Row],[Date]],"MMM-YY")</f>
        <v>Mar-25</v>
      </c>
      <c r="T483" s="4">
        <f>_xlfn.ISOWEEKNUM(Table1[[#This Row],[Date]])</f>
        <v>12</v>
      </c>
      <c r="U483" s="4" t="str">
        <f>TEXT(Table1[[#This Row],[Expected Business Month]],"YYYY")</f>
        <v>2025</v>
      </c>
    </row>
    <row r="484" spans="1:21">
      <c r="A484" s="19">
        <v>45735</v>
      </c>
      <c r="B484" s="4" t="s">
        <v>230</v>
      </c>
      <c r="C484" s="4" t="s">
        <v>225</v>
      </c>
      <c r="D484" s="4" t="s">
        <v>183</v>
      </c>
      <c r="E484" s="4" t="s">
        <v>21</v>
      </c>
      <c r="F484" s="4" t="s">
        <v>688</v>
      </c>
      <c r="H484" s="4">
        <v>30590</v>
      </c>
      <c r="I484" s="4">
        <v>30590</v>
      </c>
      <c r="J484" s="31">
        <v>45717</v>
      </c>
      <c r="K484" s="4" t="s">
        <v>234</v>
      </c>
      <c r="L484" s="4" t="s">
        <v>17</v>
      </c>
      <c r="M484" s="4" t="s">
        <v>221</v>
      </c>
      <c r="S484" s="4" t="str">
        <f>TEXT(Table1[[#This Row],[Date]],"MMM-YY")</f>
        <v>Mar-25</v>
      </c>
      <c r="T484" s="4">
        <f>_xlfn.ISOWEEKNUM(Table1[[#This Row],[Date]])</f>
        <v>12</v>
      </c>
      <c r="U484" s="4" t="str">
        <f>TEXT(Table1[[#This Row],[Expected Business Month]],"YYYY")</f>
        <v>2025</v>
      </c>
    </row>
    <row r="485" spans="1:21" hidden="1">
      <c r="A485" s="19">
        <v>45735</v>
      </c>
      <c r="B485" s="4" t="s">
        <v>716</v>
      </c>
      <c r="C485" s="4" t="s">
        <v>217</v>
      </c>
      <c r="D485" s="4" t="s">
        <v>21</v>
      </c>
      <c r="E485" s="4" t="s">
        <v>21</v>
      </c>
      <c r="F485" s="4" t="s">
        <v>717</v>
      </c>
      <c r="J485" s="31">
        <v>45717</v>
      </c>
      <c r="K485" s="4" t="s">
        <v>220</v>
      </c>
      <c r="L485" s="4" t="s">
        <v>27</v>
      </c>
      <c r="M485" s="4" t="s">
        <v>221</v>
      </c>
      <c r="S485" s="4" t="str">
        <f>TEXT(Table1[[#This Row],[Date]],"MMM-YY")</f>
        <v>Mar-25</v>
      </c>
      <c r="T485" s="4">
        <f>_xlfn.ISOWEEKNUM(Table1[[#This Row],[Date]])</f>
        <v>12</v>
      </c>
      <c r="U485" s="4" t="str">
        <f>TEXT(Table1[[#This Row],[Expected Business Month]],"YYYY")</f>
        <v>2025</v>
      </c>
    </row>
    <row r="486" spans="1:21">
      <c r="A486" s="19">
        <v>45736</v>
      </c>
      <c r="B486" s="4" t="s">
        <v>230</v>
      </c>
      <c r="C486" s="4" t="s">
        <v>225</v>
      </c>
      <c r="D486" s="4" t="s">
        <v>183</v>
      </c>
      <c r="E486" s="4" t="s">
        <v>21</v>
      </c>
      <c r="F486" s="4" t="s">
        <v>688</v>
      </c>
      <c r="H486" s="4">
        <v>27220</v>
      </c>
      <c r="I486" s="4">
        <v>27220</v>
      </c>
      <c r="J486" s="31">
        <v>45717</v>
      </c>
      <c r="K486" s="4" t="s">
        <v>234</v>
      </c>
      <c r="L486" s="4" t="s">
        <v>17</v>
      </c>
      <c r="M486" s="4" t="s">
        <v>221</v>
      </c>
      <c r="S486" s="4" t="str">
        <f>TEXT(Table1[[#This Row],[Date]],"MMM-YY")</f>
        <v>Mar-25</v>
      </c>
      <c r="T486" s="4">
        <f>_xlfn.ISOWEEKNUM(Table1[[#This Row],[Date]])</f>
        <v>12</v>
      </c>
      <c r="U486" s="4" t="str">
        <f>TEXT(Table1[[#This Row],[Expected Business Month]],"YYYY")</f>
        <v>2025</v>
      </c>
    </row>
    <row r="487" spans="1:21" hidden="1">
      <c r="A487" s="19">
        <v>45736</v>
      </c>
      <c r="B487" s="4" t="s">
        <v>730</v>
      </c>
      <c r="C487" s="4" t="s">
        <v>217</v>
      </c>
      <c r="D487" s="4" t="s">
        <v>195</v>
      </c>
      <c r="E487" s="4" t="s">
        <v>61</v>
      </c>
      <c r="F487" s="4" t="s">
        <v>731</v>
      </c>
      <c r="J487" s="31">
        <v>45748</v>
      </c>
      <c r="K487" s="4" t="s">
        <v>220</v>
      </c>
      <c r="L487" s="4" t="s">
        <v>16</v>
      </c>
      <c r="M487" s="4" t="s">
        <v>538</v>
      </c>
      <c r="S487" s="4" t="str">
        <f>TEXT(Table1[[#This Row],[Date]],"MMM-YY")</f>
        <v>Mar-25</v>
      </c>
      <c r="T487" s="4">
        <f>_xlfn.ISOWEEKNUM(Table1[[#This Row],[Date]])</f>
        <v>12</v>
      </c>
      <c r="U487" s="4" t="str">
        <f>TEXT(Table1[[#This Row],[Expected Business Month]],"YYYY")</f>
        <v>2025</v>
      </c>
    </row>
    <row r="488" spans="1:21">
      <c r="A488" s="19">
        <v>45737</v>
      </c>
      <c r="B488" s="4" t="s">
        <v>230</v>
      </c>
      <c r="C488" s="4" t="s">
        <v>225</v>
      </c>
      <c r="D488" s="4" t="s">
        <v>183</v>
      </c>
      <c r="E488" s="4" t="s">
        <v>21</v>
      </c>
      <c r="F488" s="4" t="s">
        <v>688</v>
      </c>
      <c r="H488" s="4">
        <v>7730</v>
      </c>
      <c r="I488" s="4">
        <v>7730</v>
      </c>
      <c r="J488" s="31">
        <v>45717</v>
      </c>
      <c r="K488" s="4" t="s">
        <v>234</v>
      </c>
      <c r="L488" s="4" t="s">
        <v>17</v>
      </c>
      <c r="M488" s="4" t="s">
        <v>221</v>
      </c>
      <c r="S488" s="4" t="str">
        <f>TEXT(Table1[[#This Row],[Date]],"MMM-YY")</f>
        <v>Mar-25</v>
      </c>
      <c r="T488" s="4">
        <f>_xlfn.ISOWEEKNUM(Table1[[#This Row],[Date]])</f>
        <v>12</v>
      </c>
      <c r="U488" s="4" t="str">
        <f>TEXT(Table1[[#This Row],[Expected Business Month]],"YYYY")</f>
        <v>2025</v>
      </c>
    </row>
    <row r="489" spans="1:21" hidden="1">
      <c r="A489" s="19">
        <v>45739</v>
      </c>
      <c r="B489" s="4" t="s">
        <v>716</v>
      </c>
      <c r="C489" s="4" t="s">
        <v>217</v>
      </c>
      <c r="D489" s="4" t="s">
        <v>21</v>
      </c>
      <c r="E489" s="4" t="s">
        <v>21</v>
      </c>
      <c r="F489" s="4" t="s">
        <v>717</v>
      </c>
      <c r="J489" s="31">
        <v>45717</v>
      </c>
      <c r="K489" s="4" t="s">
        <v>220</v>
      </c>
      <c r="L489" s="4" t="s">
        <v>27</v>
      </c>
      <c r="M489" s="4" t="s">
        <v>221</v>
      </c>
      <c r="S489" s="4" t="str">
        <f>TEXT(Table1[[#This Row],[Date]],"MMM-YY")</f>
        <v>Mar-25</v>
      </c>
      <c r="T489" s="4">
        <f>_xlfn.ISOWEEKNUM(Table1[[#This Row],[Date]])</f>
        <v>12</v>
      </c>
      <c r="U489" s="4" t="str">
        <f>TEXT(Table1[[#This Row],[Expected Business Month]],"YYYY")</f>
        <v>2025</v>
      </c>
    </row>
    <row r="490" spans="1:21" hidden="1">
      <c r="A490" s="19">
        <v>45740</v>
      </c>
      <c r="B490" s="4" t="s">
        <v>716</v>
      </c>
      <c r="C490" s="4" t="s">
        <v>217</v>
      </c>
      <c r="D490" s="4" t="s">
        <v>21</v>
      </c>
      <c r="E490" s="4" t="s">
        <v>21</v>
      </c>
      <c r="F490" s="4" t="s">
        <v>717</v>
      </c>
      <c r="J490" s="31">
        <v>45717</v>
      </c>
      <c r="K490" s="4" t="s">
        <v>220</v>
      </c>
      <c r="L490" s="4" t="s">
        <v>27</v>
      </c>
      <c r="M490" s="4" t="s">
        <v>221</v>
      </c>
      <c r="S490" s="4" t="str">
        <f>TEXT(Table1[[#This Row],[Date]],"MMM-YY")</f>
        <v>Mar-25</v>
      </c>
      <c r="T490" s="4">
        <f>_xlfn.ISOWEEKNUM(Table1[[#This Row],[Date]])</f>
        <v>13</v>
      </c>
      <c r="U490" s="4" t="str">
        <f>TEXT(Table1[[#This Row],[Expected Business Month]],"YYYY")</f>
        <v>2025</v>
      </c>
    </row>
    <row r="491" spans="1:21">
      <c r="A491" s="19">
        <v>45740</v>
      </c>
      <c r="B491" s="4" t="s">
        <v>230</v>
      </c>
      <c r="C491" s="4" t="s">
        <v>225</v>
      </c>
      <c r="D491" s="4" t="s">
        <v>183</v>
      </c>
      <c r="E491" s="4" t="s">
        <v>21</v>
      </c>
      <c r="F491" s="4" t="s">
        <v>688</v>
      </c>
      <c r="H491" s="4">
        <v>10610</v>
      </c>
      <c r="I491" s="4">
        <v>10610</v>
      </c>
      <c r="J491" s="31">
        <v>45717</v>
      </c>
      <c r="K491" s="4" t="s">
        <v>234</v>
      </c>
      <c r="L491" s="4" t="s">
        <v>17</v>
      </c>
      <c r="M491" s="4" t="s">
        <v>221</v>
      </c>
      <c r="S491" s="4" t="str">
        <f>TEXT(Table1[[#This Row],[Date]],"MMM-YY")</f>
        <v>Mar-25</v>
      </c>
      <c r="T491" s="4">
        <f>_xlfn.ISOWEEKNUM(Table1[[#This Row],[Date]])</f>
        <v>13</v>
      </c>
      <c r="U491" s="4" t="str">
        <f>TEXT(Table1[[#This Row],[Expected Business Month]],"YYYY")</f>
        <v>2025</v>
      </c>
    </row>
    <row r="492" spans="1:21" hidden="1">
      <c r="A492" s="19">
        <v>45741</v>
      </c>
      <c r="B492" s="4" t="s">
        <v>696</v>
      </c>
      <c r="C492" s="4" t="s">
        <v>225</v>
      </c>
      <c r="D492" s="4" t="s">
        <v>195</v>
      </c>
      <c r="E492" s="4" t="s">
        <v>61</v>
      </c>
      <c r="F492" s="4" t="s">
        <v>697</v>
      </c>
      <c r="J492" s="31">
        <v>45809</v>
      </c>
      <c r="K492" s="4" t="s">
        <v>220</v>
      </c>
      <c r="L492" s="4" t="s">
        <v>27</v>
      </c>
      <c r="M492" s="4" t="s">
        <v>221</v>
      </c>
      <c r="S492" s="4" t="str">
        <f>TEXT(Table1[[#This Row],[Date]],"MMM-YY")</f>
        <v>Mar-25</v>
      </c>
      <c r="T492" s="4">
        <f>_xlfn.ISOWEEKNUM(Table1[[#This Row],[Date]])</f>
        <v>13</v>
      </c>
      <c r="U492" s="4" t="str">
        <f>TEXT(Table1[[#This Row],[Expected Business Month]],"YYYY")</f>
        <v>2025</v>
      </c>
    </row>
    <row r="493" spans="1:21">
      <c r="A493" s="19">
        <v>45741</v>
      </c>
      <c r="B493" s="4" t="s">
        <v>732</v>
      </c>
      <c r="C493" s="4" t="s">
        <v>217</v>
      </c>
      <c r="D493" s="4" t="s">
        <v>195</v>
      </c>
      <c r="E493" s="4" t="s">
        <v>61</v>
      </c>
      <c r="F493" s="4" t="s">
        <v>733</v>
      </c>
      <c r="H493" s="4">
        <v>45172</v>
      </c>
      <c r="I493" s="4">
        <v>45172</v>
      </c>
      <c r="J493" s="31">
        <v>45717</v>
      </c>
      <c r="K493" s="4" t="s">
        <v>220</v>
      </c>
      <c r="L493" s="4" t="s">
        <v>17</v>
      </c>
      <c r="M493" s="4" t="s">
        <v>221</v>
      </c>
      <c r="S493" s="4" t="str">
        <f>TEXT(Table1[[#This Row],[Date]],"MMM-YY")</f>
        <v>Mar-25</v>
      </c>
      <c r="T493" s="4">
        <f>_xlfn.ISOWEEKNUM(Table1[[#This Row],[Date]])</f>
        <v>13</v>
      </c>
      <c r="U493" s="4" t="str">
        <f>TEXT(Table1[[#This Row],[Expected Business Month]],"YYYY")</f>
        <v>2025</v>
      </c>
    </row>
    <row r="494" spans="1:21" hidden="1">
      <c r="A494" s="19">
        <v>45741</v>
      </c>
      <c r="B494" s="4" t="s">
        <v>734</v>
      </c>
      <c r="C494" s="4" t="s">
        <v>217</v>
      </c>
      <c r="D494" s="4" t="s">
        <v>21</v>
      </c>
      <c r="E494" s="4" t="s">
        <v>21</v>
      </c>
      <c r="F494" s="4" t="s">
        <v>414</v>
      </c>
      <c r="J494" s="31">
        <v>45748</v>
      </c>
      <c r="K494" s="4" t="s">
        <v>220</v>
      </c>
      <c r="L494" s="4" t="s">
        <v>27</v>
      </c>
      <c r="M494" s="4" t="s">
        <v>221</v>
      </c>
      <c r="S494" s="4" t="str">
        <f>TEXT(Table1[[#This Row],[Date]],"MMM-YY")</f>
        <v>Mar-25</v>
      </c>
      <c r="T494" s="4">
        <f>_xlfn.ISOWEEKNUM(Table1[[#This Row],[Date]])</f>
        <v>13</v>
      </c>
      <c r="U494" s="4" t="str">
        <f>TEXT(Table1[[#This Row],[Expected Business Month]],"YYYY")</f>
        <v>2025</v>
      </c>
    </row>
    <row r="495" spans="1:21">
      <c r="A495" s="19">
        <v>45742</v>
      </c>
      <c r="B495" s="4" t="s">
        <v>247</v>
      </c>
      <c r="C495" s="4" t="s">
        <v>225</v>
      </c>
      <c r="D495" s="4" t="s">
        <v>195</v>
      </c>
      <c r="E495" s="4" t="s">
        <v>61</v>
      </c>
      <c r="F495" s="4" t="s">
        <v>688</v>
      </c>
      <c r="H495" s="4">
        <v>104000</v>
      </c>
      <c r="I495" s="4">
        <v>104000</v>
      </c>
      <c r="J495" s="31">
        <v>45717</v>
      </c>
      <c r="K495" s="4" t="s">
        <v>234</v>
      </c>
      <c r="L495" s="4" t="s">
        <v>17</v>
      </c>
      <c r="M495" s="4" t="s">
        <v>221</v>
      </c>
      <c r="S495" s="4" t="str">
        <f>TEXT(Table1[[#This Row],[Date]],"MMM-YY")</f>
        <v>Mar-25</v>
      </c>
      <c r="T495" s="4">
        <f>_xlfn.ISOWEEKNUM(Table1[[#This Row],[Date]])</f>
        <v>13</v>
      </c>
      <c r="U495" s="4" t="str">
        <f>TEXT(Table1[[#This Row],[Expected Business Month]],"YYYY")</f>
        <v>2025</v>
      </c>
    </row>
    <row r="496" spans="1:21">
      <c r="A496" s="19">
        <v>45742</v>
      </c>
      <c r="B496" s="4" t="s">
        <v>735</v>
      </c>
      <c r="C496" s="4" t="s">
        <v>217</v>
      </c>
      <c r="D496" s="4" t="s">
        <v>195</v>
      </c>
      <c r="E496" s="4" t="s">
        <v>61</v>
      </c>
      <c r="F496" s="4" t="s">
        <v>231</v>
      </c>
      <c r="H496" s="4">
        <v>9810</v>
      </c>
      <c r="I496" s="4">
        <v>9810</v>
      </c>
      <c r="J496" s="31">
        <v>45717</v>
      </c>
      <c r="K496" s="4" t="s">
        <v>220</v>
      </c>
      <c r="L496" s="4" t="s">
        <v>17</v>
      </c>
      <c r="M496" s="4" t="s">
        <v>221</v>
      </c>
      <c r="S496" s="4" t="str">
        <f>TEXT(Table1[[#This Row],[Date]],"MMM-YY")</f>
        <v>Mar-25</v>
      </c>
      <c r="T496" s="4">
        <f>_xlfn.ISOWEEKNUM(Table1[[#This Row],[Date]])</f>
        <v>13</v>
      </c>
      <c r="U496" s="4" t="str">
        <f>TEXT(Table1[[#This Row],[Expected Business Month]],"YYYY")</f>
        <v>2025</v>
      </c>
    </row>
    <row r="497" spans="1:21">
      <c r="A497" s="19">
        <v>45742</v>
      </c>
      <c r="B497" s="4" t="s">
        <v>732</v>
      </c>
      <c r="C497" s="4" t="s">
        <v>217</v>
      </c>
      <c r="D497" s="4" t="s">
        <v>195</v>
      </c>
      <c r="E497" s="4" t="s">
        <v>61</v>
      </c>
      <c r="F497" s="4" t="s">
        <v>733</v>
      </c>
      <c r="H497" s="4">
        <v>34276</v>
      </c>
      <c r="I497" s="4">
        <v>34276</v>
      </c>
      <c r="J497" s="31">
        <v>45717</v>
      </c>
      <c r="K497" s="4" t="s">
        <v>220</v>
      </c>
      <c r="L497" s="4" t="s">
        <v>17</v>
      </c>
      <c r="M497" s="4" t="s">
        <v>221</v>
      </c>
      <c r="S497" s="4" t="str">
        <f>TEXT(Table1[[#This Row],[Date]],"MMM-YY")</f>
        <v>Mar-25</v>
      </c>
      <c r="T497" s="4">
        <f>_xlfn.ISOWEEKNUM(Table1[[#This Row],[Date]])</f>
        <v>13</v>
      </c>
      <c r="U497" s="4" t="str">
        <f>TEXT(Table1[[#This Row],[Expected Business Month]],"YYYY")</f>
        <v>2025</v>
      </c>
    </row>
    <row r="498" spans="1:21">
      <c r="A498" s="19">
        <v>45742</v>
      </c>
      <c r="B498" s="4" t="s">
        <v>677</v>
      </c>
      <c r="C498" s="4" t="s">
        <v>225</v>
      </c>
      <c r="D498" s="4" t="s">
        <v>195</v>
      </c>
      <c r="E498" s="4" t="s">
        <v>32</v>
      </c>
      <c r="F498" s="4" t="s">
        <v>561</v>
      </c>
      <c r="G498" s="17" t="s">
        <v>562</v>
      </c>
      <c r="H498" s="4">
        <v>32792</v>
      </c>
      <c r="I498" s="4">
        <v>32792</v>
      </c>
      <c r="J498" s="31">
        <v>45717</v>
      </c>
      <c r="K498" s="4" t="s">
        <v>220</v>
      </c>
      <c r="L498" s="4" t="s">
        <v>17</v>
      </c>
      <c r="M498" s="4" t="s">
        <v>221</v>
      </c>
      <c r="S498" s="4" t="str">
        <f>TEXT(Table1[[#This Row],[Date]],"MMM-YY")</f>
        <v>Mar-25</v>
      </c>
      <c r="T498" s="4">
        <f>_xlfn.ISOWEEKNUM(Table1[[#This Row],[Date]])</f>
        <v>13</v>
      </c>
      <c r="U498" s="4" t="str">
        <f>TEXT(Table1[[#This Row],[Expected Business Month]],"YYYY")</f>
        <v>2025</v>
      </c>
    </row>
    <row r="499" spans="1:21">
      <c r="A499" s="19">
        <v>45743</v>
      </c>
      <c r="B499" s="4" t="s">
        <v>230</v>
      </c>
      <c r="C499" s="4" t="s">
        <v>225</v>
      </c>
      <c r="D499" s="4" t="s">
        <v>183</v>
      </c>
      <c r="E499" s="4" t="s">
        <v>21</v>
      </c>
      <c r="F499" s="4" t="s">
        <v>688</v>
      </c>
      <c r="H499" s="4">
        <v>5790</v>
      </c>
      <c r="I499" s="4">
        <v>5790</v>
      </c>
      <c r="J499" s="31">
        <v>45717</v>
      </c>
      <c r="K499" s="4" t="s">
        <v>234</v>
      </c>
      <c r="L499" s="4" t="s">
        <v>17</v>
      </c>
      <c r="M499" s="4" t="s">
        <v>221</v>
      </c>
      <c r="S499" s="4" t="str">
        <f>TEXT(Table1[[#This Row],[Date]],"MMM-YY")</f>
        <v>Mar-25</v>
      </c>
      <c r="T499" s="4">
        <f>_xlfn.ISOWEEKNUM(Table1[[#This Row],[Date]])</f>
        <v>13</v>
      </c>
      <c r="U499" s="4" t="str">
        <f>TEXT(Table1[[#This Row],[Expected Business Month]],"YYYY")</f>
        <v>2025</v>
      </c>
    </row>
    <row r="500" spans="1:21">
      <c r="A500" s="19">
        <v>45743</v>
      </c>
      <c r="B500" s="4" t="s">
        <v>736</v>
      </c>
      <c r="C500" s="4" t="s">
        <v>217</v>
      </c>
      <c r="D500" s="4" t="s">
        <v>21</v>
      </c>
      <c r="E500" s="4" t="s">
        <v>21</v>
      </c>
      <c r="H500" s="4">
        <v>97300</v>
      </c>
      <c r="I500" s="4">
        <v>97300</v>
      </c>
      <c r="J500" s="31">
        <v>45717</v>
      </c>
      <c r="K500" s="4" t="s">
        <v>220</v>
      </c>
      <c r="L500" s="4" t="s">
        <v>17</v>
      </c>
      <c r="M500" s="4" t="s">
        <v>221</v>
      </c>
      <c r="S500" s="4" t="str">
        <f>TEXT(Table1[[#This Row],[Date]],"MMM-YY")</f>
        <v>Mar-25</v>
      </c>
      <c r="T500" s="4">
        <f>_xlfn.ISOWEEKNUM(Table1[[#This Row],[Date]])</f>
        <v>13</v>
      </c>
      <c r="U500" s="4" t="str">
        <f>TEXT(Table1[[#This Row],[Expected Business Month]],"YYYY")</f>
        <v>2025</v>
      </c>
    </row>
    <row r="501" spans="1:21">
      <c r="A501" s="19">
        <v>45743</v>
      </c>
      <c r="B501" s="4" t="s">
        <v>737</v>
      </c>
      <c r="C501" s="4" t="s">
        <v>217</v>
      </c>
      <c r="D501" s="4" t="s">
        <v>21</v>
      </c>
      <c r="E501" s="4" t="s">
        <v>21</v>
      </c>
      <c r="H501" s="4">
        <v>91810</v>
      </c>
      <c r="I501" s="4">
        <v>91810</v>
      </c>
      <c r="J501" s="31">
        <v>45717</v>
      </c>
      <c r="K501" s="4" t="s">
        <v>220</v>
      </c>
      <c r="L501" s="4" t="s">
        <v>17</v>
      </c>
      <c r="M501" s="4" t="s">
        <v>221</v>
      </c>
      <c r="S501" s="4" t="str">
        <f>TEXT(Table1[[#This Row],[Date]],"MMM-YY")</f>
        <v>Mar-25</v>
      </c>
      <c r="T501" s="4">
        <f>_xlfn.ISOWEEKNUM(Table1[[#This Row],[Date]])</f>
        <v>13</v>
      </c>
      <c r="U501" s="4" t="str">
        <f>TEXT(Table1[[#This Row],[Expected Business Month]],"YYYY")</f>
        <v>2025</v>
      </c>
    </row>
    <row r="502" spans="1:21">
      <c r="A502" s="19">
        <v>45746</v>
      </c>
      <c r="B502" s="4" t="s">
        <v>716</v>
      </c>
      <c r="C502" s="4" t="s">
        <v>217</v>
      </c>
      <c r="D502" s="4" t="s">
        <v>21</v>
      </c>
      <c r="E502" s="4" t="s">
        <v>21</v>
      </c>
      <c r="F502" s="4" t="s">
        <v>717</v>
      </c>
      <c r="H502" s="4">
        <v>248289</v>
      </c>
      <c r="I502" s="4">
        <v>248289</v>
      </c>
      <c r="J502" s="31">
        <v>45717</v>
      </c>
      <c r="K502" s="4" t="s">
        <v>220</v>
      </c>
      <c r="L502" s="4" t="s">
        <v>17</v>
      </c>
      <c r="M502" s="4" t="s">
        <v>221</v>
      </c>
      <c r="S502" s="4" t="str">
        <f>TEXT(Table1[[#This Row],[Date]],"MMM-YY")</f>
        <v>Mar-25</v>
      </c>
      <c r="T502" s="4">
        <f>_xlfn.ISOWEEKNUM(Table1[[#This Row],[Date]])</f>
        <v>13</v>
      </c>
      <c r="U502" s="4" t="str">
        <f>TEXT(Table1[[#This Row],[Expected Business Month]],"YYYY")</f>
        <v>2025</v>
      </c>
    </row>
    <row r="503" spans="1:21">
      <c r="A503" s="19">
        <v>45747</v>
      </c>
      <c r="B503" s="4" t="s">
        <v>738</v>
      </c>
      <c r="C503" s="4" t="s">
        <v>217</v>
      </c>
      <c r="D503" s="4" t="s">
        <v>21</v>
      </c>
      <c r="E503" s="4" t="s">
        <v>21</v>
      </c>
      <c r="F503" s="4" t="s">
        <v>739</v>
      </c>
      <c r="H503" s="4">
        <v>29941</v>
      </c>
      <c r="I503" s="4">
        <v>29941</v>
      </c>
      <c r="J503" s="31">
        <v>45717</v>
      </c>
      <c r="K503" s="4" t="s">
        <v>220</v>
      </c>
      <c r="L503" s="4" t="s">
        <v>17</v>
      </c>
      <c r="M503" s="4" t="s">
        <v>221</v>
      </c>
      <c r="S503" s="4" t="str">
        <f>TEXT(Table1[[#This Row],[Date]],"MMM-YY")</f>
        <v>Mar-25</v>
      </c>
      <c r="T503" s="4">
        <f>_xlfn.ISOWEEKNUM(Table1[[#This Row],[Date]])</f>
        <v>14</v>
      </c>
      <c r="U503" s="4" t="str">
        <f>TEXT(Table1[[#This Row],[Expected Business Month]],"YYYY")</f>
        <v>2025</v>
      </c>
    </row>
    <row r="504" spans="1:21" hidden="1">
      <c r="A504" s="19">
        <v>45747</v>
      </c>
      <c r="B504" s="4" t="s">
        <v>352</v>
      </c>
      <c r="C504" s="4" t="s">
        <v>217</v>
      </c>
      <c r="D504" s="4" t="s">
        <v>195</v>
      </c>
      <c r="E504" s="4" t="s">
        <v>61</v>
      </c>
      <c r="F504" s="4" t="s">
        <v>231</v>
      </c>
      <c r="J504" s="31">
        <v>45748</v>
      </c>
      <c r="K504" s="4" t="s">
        <v>220</v>
      </c>
      <c r="L504" s="4" t="s">
        <v>16</v>
      </c>
      <c r="M504" s="4" t="s">
        <v>538</v>
      </c>
      <c r="S504" s="4" t="str">
        <f>TEXT(Table1[[#This Row],[Date]],"MMM-YY")</f>
        <v>Mar-25</v>
      </c>
      <c r="T504" s="4">
        <f>_xlfn.ISOWEEKNUM(Table1[[#This Row],[Date]])</f>
        <v>14</v>
      </c>
      <c r="U504" s="4" t="str">
        <f>TEXT(Table1[[#This Row],[Expected Business Month]],"YYYY")</f>
        <v>2025</v>
      </c>
    </row>
    <row r="505" spans="1:21" hidden="1">
      <c r="A505" s="19">
        <v>45747</v>
      </c>
      <c r="B505" s="4" t="s">
        <v>352</v>
      </c>
      <c r="C505" s="4" t="s">
        <v>217</v>
      </c>
      <c r="D505" s="4" t="s">
        <v>195</v>
      </c>
      <c r="E505" s="4" t="s">
        <v>61</v>
      </c>
      <c r="F505" s="4" t="s">
        <v>231</v>
      </c>
      <c r="J505" s="31">
        <v>45748</v>
      </c>
      <c r="K505" s="4" t="s">
        <v>740</v>
      </c>
      <c r="L505" s="4" t="s">
        <v>16</v>
      </c>
      <c r="M505" s="4" t="s">
        <v>538</v>
      </c>
      <c r="S505" s="4" t="str">
        <f>TEXT(Table1[[#This Row],[Date]],"MMM-YY")</f>
        <v>Mar-25</v>
      </c>
      <c r="T505" s="4">
        <f>_xlfn.ISOWEEKNUM(Table1[[#This Row],[Date]])</f>
        <v>14</v>
      </c>
      <c r="U505" s="4" t="str">
        <f>TEXT(Table1[[#This Row],[Expected Business Month]],"YYYY")</f>
        <v>2025</v>
      </c>
    </row>
    <row r="506" spans="1:21" hidden="1">
      <c r="A506" s="19">
        <v>45747</v>
      </c>
      <c r="B506" s="4" t="s">
        <v>230</v>
      </c>
      <c r="C506" s="4" t="s">
        <v>217</v>
      </c>
      <c r="D506" s="4" t="s">
        <v>183</v>
      </c>
      <c r="E506" s="4" t="s">
        <v>181</v>
      </c>
      <c r="F506" s="4" t="s">
        <v>437</v>
      </c>
      <c r="J506" s="31">
        <v>45748</v>
      </c>
      <c r="K506" s="4" t="s">
        <v>234</v>
      </c>
      <c r="L506" s="4" t="s">
        <v>16</v>
      </c>
      <c r="M506" s="4" t="s">
        <v>538</v>
      </c>
      <c r="S506" s="4" t="str">
        <f>TEXT(Table1[[#This Row],[Date]],"MMM-YY")</f>
        <v>Mar-25</v>
      </c>
      <c r="T506" s="4">
        <f>_xlfn.ISOWEEKNUM(Table1[[#This Row],[Date]])</f>
        <v>14</v>
      </c>
      <c r="U506" s="4" t="str">
        <f>TEXT(Table1[[#This Row],[Expected Business Month]],"YYYY")</f>
        <v>2025</v>
      </c>
    </row>
    <row r="507" spans="1:21">
      <c r="A507" s="19">
        <v>45748</v>
      </c>
      <c r="B507" s="4" t="s">
        <v>706</v>
      </c>
      <c r="C507" s="4" t="s">
        <v>217</v>
      </c>
      <c r="D507" s="4" t="s">
        <v>195</v>
      </c>
      <c r="E507" s="4" t="s">
        <v>179</v>
      </c>
      <c r="F507" s="4" t="s">
        <v>705</v>
      </c>
      <c r="H507" s="4">
        <v>8593</v>
      </c>
      <c r="I507" s="4">
        <v>8593</v>
      </c>
      <c r="J507" s="31">
        <v>45748</v>
      </c>
      <c r="K507" s="4" t="s">
        <v>220</v>
      </c>
      <c r="L507" s="4" t="s">
        <v>17</v>
      </c>
      <c r="M507" s="4" t="s">
        <v>221</v>
      </c>
      <c r="S507" s="4" t="str">
        <f>TEXT(Table1[[#This Row],[Date]],"MMM-YY")</f>
        <v>Apr-25</v>
      </c>
      <c r="T507" s="4">
        <f>_xlfn.ISOWEEKNUM(Table1[[#This Row],[Date]])</f>
        <v>14</v>
      </c>
      <c r="U507" s="4" t="str">
        <f>TEXT(Table1[[#This Row],[Expected Business Month]],"YYYY")</f>
        <v>2025</v>
      </c>
    </row>
    <row r="508" spans="1:21">
      <c r="A508" s="19">
        <v>45748</v>
      </c>
      <c r="B508" s="4" t="s">
        <v>230</v>
      </c>
      <c r="C508" s="4" t="s">
        <v>225</v>
      </c>
      <c r="D508" s="4" t="s">
        <v>183</v>
      </c>
      <c r="E508" s="4" t="s">
        <v>21</v>
      </c>
      <c r="F508" s="4" t="s">
        <v>688</v>
      </c>
      <c r="H508" s="4">
        <v>6390</v>
      </c>
      <c r="I508" s="4">
        <v>6390</v>
      </c>
      <c r="J508" s="31">
        <v>45748</v>
      </c>
      <c r="K508" s="4" t="s">
        <v>234</v>
      </c>
      <c r="L508" s="4" t="s">
        <v>17</v>
      </c>
      <c r="M508" s="4" t="s">
        <v>221</v>
      </c>
      <c r="S508" s="4" t="str">
        <f>TEXT(Table1[[#This Row],[Date]],"MMM-YY")</f>
        <v>Apr-25</v>
      </c>
      <c r="T508" s="4">
        <f>_xlfn.ISOWEEKNUM(Table1[[#This Row],[Date]])</f>
        <v>14</v>
      </c>
      <c r="U508" s="4" t="str">
        <f>TEXT(Table1[[#This Row],[Expected Business Month]],"YYYY")</f>
        <v>2025</v>
      </c>
    </row>
    <row r="509" spans="1:21">
      <c r="A509" s="19">
        <v>45749</v>
      </c>
      <c r="B509" s="4" t="s">
        <v>741</v>
      </c>
      <c r="C509" s="4" t="s">
        <v>217</v>
      </c>
      <c r="D509" s="4" t="s">
        <v>183</v>
      </c>
      <c r="E509" s="4" t="s">
        <v>181</v>
      </c>
      <c r="F509" s="4" t="s">
        <v>437</v>
      </c>
      <c r="H509" s="4">
        <v>8884</v>
      </c>
      <c r="I509" s="4">
        <v>8884</v>
      </c>
      <c r="J509" s="31">
        <v>45748</v>
      </c>
      <c r="K509" s="4" t="s">
        <v>220</v>
      </c>
      <c r="L509" s="4" t="s">
        <v>17</v>
      </c>
      <c r="M509" s="4" t="s">
        <v>221</v>
      </c>
      <c r="S509" s="4" t="str">
        <f>TEXT(Table1[[#This Row],[Date]],"MMM-YY")</f>
        <v>Apr-25</v>
      </c>
      <c r="T509" s="4">
        <f>_xlfn.ISOWEEKNUM(Table1[[#This Row],[Date]])</f>
        <v>14</v>
      </c>
      <c r="U509" s="4" t="str">
        <f>TEXT(Table1[[#This Row],[Expected Business Month]],"YYYY")</f>
        <v>2025</v>
      </c>
    </row>
    <row r="510" spans="1:21">
      <c r="A510" s="19">
        <v>45749</v>
      </c>
      <c r="B510" s="4" t="s">
        <v>677</v>
      </c>
      <c r="C510" s="4" t="s">
        <v>225</v>
      </c>
      <c r="D510" s="4" t="s">
        <v>195</v>
      </c>
      <c r="E510" s="4" t="s">
        <v>32</v>
      </c>
      <c r="F510" s="4" t="s">
        <v>561</v>
      </c>
      <c r="G510" s="17" t="s">
        <v>562</v>
      </c>
      <c r="H510" s="4">
        <v>34332</v>
      </c>
      <c r="I510" s="4">
        <v>34332</v>
      </c>
      <c r="J510" s="31">
        <v>45748</v>
      </c>
      <c r="K510" s="4" t="s">
        <v>220</v>
      </c>
      <c r="L510" s="4" t="s">
        <v>17</v>
      </c>
      <c r="M510" s="4" t="s">
        <v>221</v>
      </c>
      <c r="S510" s="4" t="str">
        <f>TEXT(Table1[[#This Row],[Date]],"MMM-YY")</f>
        <v>Apr-25</v>
      </c>
      <c r="T510" s="4">
        <f>_xlfn.ISOWEEKNUM(Table1[[#This Row],[Date]])</f>
        <v>14</v>
      </c>
      <c r="U510" s="4" t="str">
        <f>TEXT(Table1[[#This Row],[Expected Business Month]],"YYYY")</f>
        <v>2025</v>
      </c>
    </row>
    <row r="511" spans="1:21">
      <c r="A511" s="19">
        <v>45749</v>
      </c>
      <c r="B511" s="4" t="s">
        <v>742</v>
      </c>
      <c r="C511" s="4" t="s">
        <v>217</v>
      </c>
      <c r="D511" s="4" t="s">
        <v>195</v>
      </c>
      <c r="E511" s="4" t="s">
        <v>12</v>
      </c>
      <c r="F511" s="4" t="s">
        <v>561</v>
      </c>
      <c r="G511" s="17" t="s">
        <v>562</v>
      </c>
      <c r="H511" s="4">
        <v>63225</v>
      </c>
      <c r="I511" s="4">
        <v>63225</v>
      </c>
      <c r="J511" s="31">
        <v>45748</v>
      </c>
      <c r="K511" s="4" t="s">
        <v>220</v>
      </c>
      <c r="L511" s="4" t="s">
        <v>17</v>
      </c>
      <c r="M511" s="4" t="s">
        <v>221</v>
      </c>
      <c r="S511" s="4" t="str">
        <f>TEXT(Table1[[#This Row],[Date]],"MMM-YY")</f>
        <v>Apr-25</v>
      </c>
      <c r="T511" s="4">
        <f>_xlfn.ISOWEEKNUM(Table1[[#This Row],[Date]])</f>
        <v>14</v>
      </c>
      <c r="U511" s="4" t="str">
        <f>TEXT(Table1[[#This Row],[Expected Business Month]],"YYYY")</f>
        <v>2025</v>
      </c>
    </row>
    <row r="512" spans="1:21">
      <c r="A512" s="19">
        <v>45750</v>
      </c>
      <c r="B512" s="4" t="s">
        <v>230</v>
      </c>
      <c r="C512" s="4" t="s">
        <v>225</v>
      </c>
      <c r="D512" s="4" t="s">
        <v>183</v>
      </c>
      <c r="E512" s="4" t="s">
        <v>21</v>
      </c>
      <c r="F512" s="4" t="s">
        <v>688</v>
      </c>
      <c r="H512" s="4">
        <v>7300</v>
      </c>
      <c r="I512" s="4">
        <v>7300</v>
      </c>
      <c r="J512" s="31">
        <v>45748</v>
      </c>
      <c r="K512" s="4" t="s">
        <v>234</v>
      </c>
      <c r="L512" s="4" t="s">
        <v>17</v>
      </c>
      <c r="M512" s="4" t="s">
        <v>221</v>
      </c>
      <c r="S512" s="4" t="str">
        <f>TEXT(Table1[[#This Row],[Date]],"MMM-YY")</f>
        <v>Apr-25</v>
      </c>
      <c r="T512" s="4">
        <f>_xlfn.ISOWEEKNUM(Table1[[#This Row],[Date]])</f>
        <v>14</v>
      </c>
      <c r="U512" s="4" t="str">
        <f>TEXT(Table1[[#This Row],[Expected Business Month]],"YYYY")</f>
        <v>2025</v>
      </c>
    </row>
    <row r="513" spans="1:21">
      <c r="A513" s="19">
        <v>45750</v>
      </c>
      <c r="B513" s="4" t="s">
        <v>647</v>
      </c>
      <c r="C513" s="4" t="s">
        <v>217</v>
      </c>
      <c r="D513" s="4" t="s">
        <v>195</v>
      </c>
      <c r="E513" s="4" t="s">
        <v>167</v>
      </c>
      <c r="F513" s="4" t="s">
        <v>743</v>
      </c>
      <c r="G513" s="17" t="s">
        <v>240</v>
      </c>
      <c r="H513" s="4">
        <v>27169</v>
      </c>
      <c r="I513" s="4">
        <v>27169</v>
      </c>
      <c r="J513" s="31">
        <v>45748</v>
      </c>
      <c r="K513" s="4" t="s">
        <v>220</v>
      </c>
      <c r="L513" s="4" t="s">
        <v>17</v>
      </c>
      <c r="M513" s="4" t="s">
        <v>221</v>
      </c>
      <c r="S513" s="4" t="str">
        <f>TEXT(Table1[[#This Row],[Date]],"MMM-YY")</f>
        <v>Apr-25</v>
      </c>
      <c r="T513" s="4">
        <f>_xlfn.ISOWEEKNUM(Table1[[#This Row],[Date]])</f>
        <v>14</v>
      </c>
      <c r="U513" s="4" t="str">
        <f>TEXT(Table1[[#This Row],[Expected Business Month]],"YYYY")</f>
        <v>2025</v>
      </c>
    </row>
    <row r="514" spans="1:21">
      <c r="A514" s="19">
        <v>45750</v>
      </c>
      <c r="B514" s="4" t="s">
        <v>744</v>
      </c>
      <c r="C514" s="4" t="s">
        <v>217</v>
      </c>
      <c r="D514" s="4" t="s">
        <v>195</v>
      </c>
      <c r="E514" s="4" t="s">
        <v>61</v>
      </c>
      <c r="F514" s="4" t="s">
        <v>745</v>
      </c>
      <c r="H514" s="4">
        <v>31731</v>
      </c>
      <c r="I514" s="4">
        <v>31731</v>
      </c>
      <c r="J514" s="31">
        <v>45748</v>
      </c>
      <c r="K514" s="4" t="s">
        <v>220</v>
      </c>
      <c r="L514" s="4" t="s">
        <v>17</v>
      </c>
      <c r="M514" s="4" t="s">
        <v>221</v>
      </c>
      <c r="S514" s="4" t="str">
        <f>TEXT(Table1[[#This Row],[Date]],"MMM-YY")</f>
        <v>Apr-25</v>
      </c>
      <c r="T514" s="4">
        <f>_xlfn.ISOWEEKNUM(Table1[[#This Row],[Date]])</f>
        <v>14</v>
      </c>
      <c r="U514" s="4" t="str">
        <f>TEXT(Table1[[#This Row],[Expected Business Month]],"YYYY")</f>
        <v>2025</v>
      </c>
    </row>
    <row r="515" spans="1:21">
      <c r="A515" s="19">
        <v>45750</v>
      </c>
      <c r="B515" s="4" t="s">
        <v>708</v>
      </c>
      <c r="C515" s="4" t="s">
        <v>217</v>
      </c>
      <c r="D515" s="4" t="s">
        <v>195</v>
      </c>
      <c r="E515" s="4" t="s">
        <v>179</v>
      </c>
      <c r="F515" s="4" t="s">
        <v>709</v>
      </c>
      <c r="H515" s="4">
        <v>10653</v>
      </c>
      <c r="I515" s="4">
        <v>10653</v>
      </c>
      <c r="J515" s="31">
        <v>45748</v>
      </c>
      <c r="K515" s="4" t="s">
        <v>220</v>
      </c>
      <c r="L515" s="4" t="s">
        <v>17</v>
      </c>
      <c r="M515" s="4" t="s">
        <v>221</v>
      </c>
      <c r="S515" s="4" t="str">
        <f>TEXT(Table1[[#This Row],[Date]],"MMM-YY")</f>
        <v>Apr-25</v>
      </c>
      <c r="T515" s="4">
        <f>_xlfn.ISOWEEKNUM(Table1[[#This Row],[Date]])</f>
        <v>14</v>
      </c>
      <c r="U515" s="4" t="str">
        <f>TEXT(Table1[[#This Row],[Expected Business Month]],"YYYY")</f>
        <v>2025</v>
      </c>
    </row>
    <row r="516" spans="1:21">
      <c r="A516" s="19">
        <v>45750</v>
      </c>
      <c r="B516" s="4" t="s">
        <v>746</v>
      </c>
      <c r="C516" s="4" t="s">
        <v>217</v>
      </c>
      <c r="D516" s="4" t="s">
        <v>21</v>
      </c>
      <c r="E516" s="4" t="s">
        <v>21</v>
      </c>
      <c r="F516" s="4" t="s">
        <v>747</v>
      </c>
      <c r="H516" s="4">
        <v>35863</v>
      </c>
      <c r="I516" s="4">
        <v>35863</v>
      </c>
      <c r="J516" s="31">
        <v>45748</v>
      </c>
      <c r="K516" s="4" t="s">
        <v>220</v>
      </c>
      <c r="L516" s="4" t="s">
        <v>17</v>
      </c>
      <c r="M516" s="4" t="s">
        <v>221</v>
      </c>
      <c r="S516" s="4" t="str">
        <f>TEXT(Table1[[#This Row],[Date]],"MMM-YY")</f>
        <v>Apr-25</v>
      </c>
      <c r="T516" s="4">
        <f>_xlfn.ISOWEEKNUM(Table1[[#This Row],[Date]])</f>
        <v>14</v>
      </c>
      <c r="U516" s="4" t="str">
        <f>TEXT(Table1[[#This Row],[Expected Business Month]],"YYYY")</f>
        <v>2025</v>
      </c>
    </row>
    <row r="517" spans="1:21">
      <c r="A517" s="19">
        <v>45751</v>
      </c>
      <c r="B517" s="4" t="s">
        <v>230</v>
      </c>
      <c r="C517" s="4" t="s">
        <v>225</v>
      </c>
      <c r="D517" s="4" t="s">
        <v>183</v>
      </c>
      <c r="E517" s="4" t="s">
        <v>21</v>
      </c>
      <c r="F517" s="4" t="s">
        <v>688</v>
      </c>
      <c r="H517" s="4">
        <v>5970</v>
      </c>
      <c r="I517" s="4">
        <v>5970</v>
      </c>
      <c r="J517" s="31">
        <v>45748</v>
      </c>
      <c r="K517" s="4" t="s">
        <v>234</v>
      </c>
      <c r="L517" s="4" t="s">
        <v>17</v>
      </c>
      <c r="M517" s="4" t="s">
        <v>221</v>
      </c>
      <c r="S517" s="4" t="str">
        <f>TEXT(Table1[[#This Row],[Date]],"MMM-YY")</f>
        <v>Apr-25</v>
      </c>
      <c r="T517" s="4">
        <f>_xlfn.ISOWEEKNUM(Table1[[#This Row],[Date]])</f>
        <v>14</v>
      </c>
      <c r="U517" s="4" t="str">
        <f>TEXT(Table1[[#This Row],[Expected Business Month]],"YYYY")</f>
        <v>2025</v>
      </c>
    </row>
    <row r="518" spans="1:21">
      <c r="A518" s="19">
        <v>45753</v>
      </c>
      <c r="B518" s="4" t="s">
        <v>734</v>
      </c>
      <c r="C518" s="4" t="s">
        <v>217</v>
      </c>
      <c r="D518" s="4" t="s">
        <v>21</v>
      </c>
      <c r="E518" s="4" t="s">
        <v>21</v>
      </c>
      <c r="F518" s="4" t="s">
        <v>414</v>
      </c>
      <c r="H518" s="4">
        <v>67584</v>
      </c>
      <c r="I518" s="4">
        <v>67584</v>
      </c>
      <c r="J518" s="31">
        <v>45748</v>
      </c>
      <c r="K518" s="4" t="s">
        <v>220</v>
      </c>
      <c r="L518" s="4" t="s">
        <v>17</v>
      </c>
      <c r="M518" s="4" t="s">
        <v>221</v>
      </c>
      <c r="S518" s="4" t="str">
        <f>TEXT(Table1[[#This Row],[Date]],"MMM-YY")</f>
        <v>Apr-25</v>
      </c>
      <c r="T518" s="4">
        <f>_xlfn.ISOWEEKNUM(Table1[[#This Row],[Date]])</f>
        <v>14</v>
      </c>
      <c r="U518" s="4" t="str">
        <f>TEXT(Table1[[#This Row],[Expected Business Month]],"YYYY")</f>
        <v>2025</v>
      </c>
    </row>
    <row r="519" spans="1:21">
      <c r="A519" s="19">
        <v>45754</v>
      </c>
      <c r="B519" s="4" t="s">
        <v>230</v>
      </c>
      <c r="C519" s="4" t="s">
        <v>225</v>
      </c>
      <c r="D519" s="4" t="s">
        <v>183</v>
      </c>
      <c r="E519" s="4" t="s">
        <v>21</v>
      </c>
      <c r="F519" s="4" t="s">
        <v>688</v>
      </c>
      <c r="H519" s="4">
        <v>6190</v>
      </c>
      <c r="I519" s="4">
        <v>6190</v>
      </c>
      <c r="J519" s="31">
        <v>45748</v>
      </c>
      <c r="K519" s="4" t="s">
        <v>234</v>
      </c>
      <c r="L519" s="4" t="s">
        <v>17</v>
      </c>
      <c r="M519" s="4" t="s">
        <v>221</v>
      </c>
      <c r="S519" s="4" t="str">
        <f>TEXT(Table1[[#This Row],[Date]],"MMM-YY")</f>
        <v>Apr-25</v>
      </c>
      <c r="T519" s="4">
        <f>_xlfn.ISOWEEKNUM(Table1[[#This Row],[Date]])</f>
        <v>15</v>
      </c>
      <c r="U519" s="4" t="str">
        <f>TEXT(Table1[[#This Row],[Expected Business Month]],"YYYY")</f>
        <v>2025</v>
      </c>
    </row>
    <row r="520" spans="1:21">
      <c r="A520" s="19">
        <v>45754</v>
      </c>
      <c r="B520" s="4" t="s">
        <v>471</v>
      </c>
      <c r="C520" s="4" t="s">
        <v>217</v>
      </c>
      <c r="D520" s="4" t="s">
        <v>195</v>
      </c>
      <c r="E520" s="4" t="s">
        <v>25</v>
      </c>
      <c r="F520" s="4" t="s">
        <v>472</v>
      </c>
      <c r="G520" s="17" t="s">
        <v>431</v>
      </c>
      <c r="H520" s="30">
        <v>46905</v>
      </c>
      <c r="I520" s="30">
        <v>46905</v>
      </c>
      <c r="J520" s="31">
        <v>45748</v>
      </c>
      <c r="K520" s="4" t="s">
        <v>220</v>
      </c>
      <c r="L520" s="4" t="s">
        <v>17</v>
      </c>
      <c r="M520" s="4" t="s">
        <v>221</v>
      </c>
      <c r="S520" s="4" t="str">
        <f>TEXT(Table1[[#This Row],[Date]],"MMM-YY")</f>
        <v>Apr-25</v>
      </c>
      <c r="T520" s="4">
        <f>_xlfn.ISOWEEKNUM(Table1[[#This Row],[Date]])</f>
        <v>15</v>
      </c>
      <c r="U520" s="4" t="str">
        <f>TEXT(Table1[[#This Row],[Expected Business Month]],"YYYY")</f>
        <v>2025</v>
      </c>
    </row>
    <row r="521" spans="1:21">
      <c r="A521" s="19">
        <v>45755</v>
      </c>
      <c r="B521" s="4" t="s">
        <v>230</v>
      </c>
      <c r="C521" s="4" t="s">
        <v>225</v>
      </c>
      <c r="D521" s="4" t="s">
        <v>183</v>
      </c>
      <c r="E521" s="4" t="s">
        <v>21</v>
      </c>
      <c r="F521" s="4" t="s">
        <v>688</v>
      </c>
      <c r="H521" s="4">
        <v>4130</v>
      </c>
      <c r="I521" s="4">
        <v>4130</v>
      </c>
      <c r="J521" s="31">
        <v>45748</v>
      </c>
      <c r="K521" s="4" t="s">
        <v>234</v>
      </c>
      <c r="L521" s="4" t="s">
        <v>17</v>
      </c>
      <c r="M521" s="4" t="s">
        <v>221</v>
      </c>
      <c r="S521" s="4" t="str">
        <f>TEXT(Table1[[#This Row],[Date]],"MMM-YY")</f>
        <v>Apr-25</v>
      </c>
      <c r="T521" s="4">
        <f>_xlfn.ISOWEEKNUM(Table1[[#This Row],[Date]])</f>
        <v>15</v>
      </c>
      <c r="U521" s="4" t="str">
        <f>TEXT(Table1[[#This Row],[Expected Business Month]],"YYYY")</f>
        <v>2025</v>
      </c>
    </row>
    <row r="522" spans="1:21">
      <c r="A522" s="19">
        <v>45755</v>
      </c>
      <c r="B522" s="4" t="s">
        <v>708</v>
      </c>
      <c r="C522" s="4" t="s">
        <v>217</v>
      </c>
      <c r="D522" s="4" t="s">
        <v>195</v>
      </c>
      <c r="E522" s="4" t="s">
        <v>179</v>
      </c>
      <c r="F522" s="4" t="s">
        <v>709</v>
      </c>
      <c r="H522" s="4">
        <v>5009</v>
      </c>
      <c r="I522" s="4">
        <v>5009</v>
      </c>
      <c r="J522" s="31">
        <v>45748</v>
      </c>
      <c r="K522" s="4" t="s">
        <v>220</v>
      </c>
      <c r="L522" s="4" t="s">
        <v>17</v>
      </c>
      <c r="M522" s="4" t="s">
        <v>221</v>
      </c>
      <c r="S522" s="4" t="str">
        <f>TEXT(Table1[[#This Row],[Date]],"MMM-YY")</f>
        <v>Apr-25</v>
      </c>
      <c r="T522" s="4">
        <f>_xlfn.ISOWEEKNUM(Table1[[#This Row],[Date]])</f>
        <v>15</v>
      </c>
      <c r="U522" s="4" t="str">
        <f>TEXT(Table1[[#This Row],[Expected Business Month]],"YYYY")</f>
        <v>2025</v>
      </c>
    </row>
    <row r="523" spans="1:21">
      <c r="A523" s="19">
        <v>45756</v>
      </c>
      <c r="B523" s="4" t="s">
        <v>706</v>
      </c>
      <c r="C523" s="4" t="s">
        <v>217</v>
      </c>
      <c r="D523" s="4" t="s">
        <v>195</v>
      </c>
      <c r="E523" s="4" t="s">
        <v>179</v>
      </c>
      <c r="F523" s="4" t="s">
        <v>707</v>
      </c>
      <c r="H523" s="4">
        <v>15154</v>
      </c>
      <c r="I523" s="4">
        <v>15154</v>
      </c>
      <c r="J523" s="31">
        <v>45748</v>
      </c>
      <c r="K523" s="4" t="s">
        <v>220</v>
      </c>
      <c r="L523" s="4" t="s">
        <v>17</v>
      </c>
      <c r="M523" s="4" t="s">
        <v>221</v>
      </c>
      <c r="S523" s="4" t="str">
        <f>TEXT(Table1[[#This Row],[Date]],"MMM-YY")</f>
        <v>Apr-25</v>
      </c>
      <c r="T523" s="4">
        <f>_xlfn.ISOWEEKNUM(Table1[[#This Row],[Date]])</f>
        <v>15</v>
      </c>
      <c r="U523" s="4" t="str">
        <f>TEXT(Table1[[#This Row],[Expected Business Month]],"YYYY")</f>
        <v>2025</v>
      </c>
    </row>
    <row r="524" spans="1:21">
      <c r="A524" s="19">
        <v>45756</v>
      </c>
      <c r="B524" s="4" t="s">
        <v>230</v>
      </c>
      <c r="C524" s="4" t="s">
        <v>225</v>
      </c>
      <c r="D524" s="4" t="s">
        <v>183</v>
      </c>
      <c r="E524" s="4" t="s">
        <v>21</v>
      </c>
      <c r="F524" s="4" t="s">
        <v>688</v>
      </c>
      <c r="H524" s="4">
        <v>23220</v>
      </c>
      <c r="I524" s="4">
        <v>23220</v>
      </c>
      <c r="J524" s="31">
        <v>45748</v>
      </c>
      <c r="K524" s="4" t="s">
        <v>234</v>
      </c>
      <c r="L524" s="4" t="s">
        <v>17</v>
      </c>
      <c r="M524" s="4" t="s">
        <v>221</v>
      </c>
      <c r="S524" s="4" t="str">
        <f>TEXT(Table1[[#This Row],[Date]],"MMM-YY")</f>
        <v>Apr-25</v>
      </c>
      <c r="T524" s="4">
        <f>_xlfn.ISOWEEKNUM(Table1[[#This Row],[Date]])</f>
        <v>15</v>
      </c>
      <c r="U524" s="4" t="str">
        <f>TEXT(Table1[[#This Row],[Expected Business Month]],"YYYY")</f>
        <v>2025</v>
      </c>
    </row>
    <row r="525" spans="1:21">
      <c r="A525" s="19">
        <v>45756</v>
      </c>
      <c r="B525" s="4" t="s">
        <v>730</v>
      </c>
      <c r="C525" s="4" t="s">
        <v>217</v>
      </c>
      <c r="D525" s="4" t="s">
        <v>195</v>
      </c>
      <c r="E525" s="4" t="s">
        <v>61</v>
      </c>
      <c r="F525" s="4" t="s">
        <v>437</v>
      </c>
      <c r="H525" s="4">
        <v>17247</v>
      </c>
      <c r="I525" s="4">
        <v>17247</v>
      </c>
      <c r="J525" s="31">
        <v>45748</v>
      </c>
      <c r="K525" s="4" t="s">
        <v>220</v>
      </c>
      <c r="L525" s="4" t="s">
        <v>17</v>
      </c>
      <c r="M525" s="4" t="s">
        <v>221</v>
      </c>
      <c r="S525" s="4" t="str">
        <f>TEXT(Table1[[#This Row],[Date]],"MMM-YY")</f>
        <v>Apr-25</v>
      </c>
      <c r="T525" s="4">
        <f>_xlfn.ISOWEEKNUM(Table1[[#This Row],[Date]])</f>
        <v>15</v>
      </c>
      <c r="U525" s="4" t="str">
        <f>TEXT(Table1[[#This Row],[Expected Business Month]],"YYYY")</f>
        <v>2025</v>
      </c>
    </row>
    <row r="526" spans="1:21">
      <c r="A526" s="19">
        <v>45757</v>
      </c>
      <c r="B526" s="4" t="s">
        <v>230</v>
      </c>
      <c r="C526" s="4" t="s">
        <v>225</v>
      </c>
      <c r="D526" s="4" t="s">
        <v>183</v>
      </c>
      <c r="E526" s="4" t="s">
        <v>21</v>
      </c>
      <c r="F526" s="4" t="s">
        <v>688</v>
      </c>
      <c r="H526" s="4">
        <v>6100</v>
      </c>
      <c r="I526" s="4">
        <v>6100</v>
      </c>
      <c r="J526" s="31">
        <v>45748</v>
      </c>
      <c r="K526" s="4" t="s">
        <v>234</v>
      </c>
      <c r="L526" s="4" t="s">
        <v>17</v>
      </c>
      <c r="M526" s="4" t="s">
        <v>221</v>
      </c>
      <c r="S526" s="4" t="str">
        <f>TEXT(Table1[[#This Row],[Date]],"MMM-YY")</f>
        <v>Apr-25</v>
      </c>
      <c r="T526" s="4">
        <f>_xlfn.ISOWEEKNUM(Table1[[#This Row],[Date]])</f>
        <v>15</v>
      </c>
      <c r="U526" s="4" t="str">
        <f>TEXT(Table1[[#This Row],[Expected Business Month]],"YYYY")</f>
        <v>2025</v>
      </c>
    </row>
    <row r="527" spans="1:21">
      <c r="A527" s="19">
        <v>45757</v>
      </c>
      <c r="B527" s="4" t="s">
        <v>704</v>
      </c>
      <c r="C527" s="4" t="s">
        <v>217</v>
      </c>
      <c r="D527" s="4" t="s">
        <v>195</v>
      </c>
      <c r="E527" s="4" t="s">
        <v>179</v>
      </c>
      <c r="F527" s="4" t="s">
        <v>705</v>
      </c>
      <c r="H527" s="4">
        <v>7680</v>
      </c>
      <c r="I527" s="4">
        <v>7680</v>
      </c>
      <c r="J527" s="31">
        <v>45748</v>
      </c>
      <c r="K527" s="4" t="s">
        <v>220</v>
      </c>
      <c r="L527" s="4" t="s">
        <v>17</v>
      </c>
      <c r="M527" s="4" t="s">
        <v>221</v>
      </c>
      <c r="S527" s="4" t="str">
        <f>TEXT(Table1[[#This Row],[Date]],"MMM-YY")</f>
        <v>Apr-25</v>
      </c>
      <c r="T527" s="4">
        <f>_xlfn.ISOWEEKNUM(Table1[[#This Row],[Date]])</f>
        <v>15</v>
      </c>
      <c r="U527" s="4" t="str">
        <f>TEXT(Table1[[#This Row],[Expected Business Month]],"YYYY")</f>
        <v>2025</v>
      </c>
    </row>
    <row r="528" spans="1:21">
      <c r="A528" s="19">
        <v>45757</v>
      </c>
      <c r="B528" s="4" t="s">
        <v>677</v>
      </c>
      <c r="C528" s="4" t="s">
        <v>225</v>
      </c>
      <c r="D528" s="4" t="s">
        <v>195</v>
      </c>
      <c r="E528" s="4" t="s">
        <v>32</v>
      </c>
      <c r="F528" s="4" t="s">
        <v>561</v>
      </c>
      <c r="G528" s="17" t="s">
        <v>562</v>
      </c>
      <c r="H528" s="4">
        <v>38929</v>
      </c>
      <c r="I528" s="4">
        <v>38929</v>
      </c>
      <c r="J528" s="31">
        <v>45748</v>
      </c>
      <c r="K528" s="4" t="s">
        <v>220</v>
      </c>
      <c r="L528" s="4" t="s">
        <v>17</v>
      </c>
      <c r="M528" s="4" t="s">
        <v>221</v>
      </c>
      <c r="S528" s="4" t="str">
        <f>TEXT(Table1[[#This Row],[Date]],"MMM-YY")</f>
        <v>Apr-25</v>
      </c>
      <c r="T528" s="4">
        <f>_xlfn.ISOWEEKNUM(Table1[[#This Row],[Date]])</f>
        <v>15</v>
      </c>
      <c r="U528" s="4" t="str">
        <f>TEXT(Table1[[#This Row],[Expected Business Month]],"YYYY")</f>
        <v>2025</v>
      </c>
    </row>
    <row r="529" spans="1:21">
      <c r="A529" s="19">
        <v>45757</v>
      </c>
      <c r="B529" s="4" t="s">
        <v>352</v>
      </c>
      <c r="C529" s="4" t="s">
        <v>217</v>
      </c>
      <c r="D529" s="4" t="s">
        <v>195</v>
      </c>
      <c r="E529" s="4" t="s">
        <v>61</v>
      </c>
      <c r="F529" s="4" t="s">
        <v>437</v>
      </c>
      <c r="H529" s="4">
        <v>134000</v>
      </c>
      <c r="I529" s="4">
        <v>134000</v>
      </c>
      <c r="J529" s="31">
        <v>45748</v>
      </c>
      <c r="K529" s="4" t="s">
        <v>220</v>
      </c>
      <c r="L529" s="4" t="s">
        <v>17</v>
      </c>
      <c r="M529" s="4" t="s">
        <v>221</v>
      </c>
      <c r="S529" s="4" t="str">
        <f>TEXT(Table1[[#This Row],[Date]],"MMM-YY")</f>
        <v>Apr-25</v>
      </c>
      <c r="T529" s="4">
        <f>_xlfn.ISOWEEKNUM(Table1[[#This Row],[Date]])</f>
        <v>15</v>
      </c>
      <c r="U529" s="4" t="str">
        <f>TEXT(Table1[[#This Row],[Expected Business Month]],"YYYY")</f>
        <v>2025</v>
      </c>
    </row>
    <row r="530" spans="1:21">
      <c r="A530" s="19">
        <v>45757</v>
      </c>
      <c r="B530" s="4" t="s">
        <v>748</v>
      </c>
      <c r="C530" s="4" t="s">
        <v>217</v>
      </c>
      <c r="D530" s="4" t="s">
        <v>195</v>
      </c>
      <c r="E530" s="4" t="s">
        <v>61</v>
      </c>
      <c r="F530" s="4" t="s">
        <v>749</v>
      </c>
      <c r="H530" s="4">
        <v>65838</v>
      </c>
      <c r="I530" s="4">
        <v>65838</v>
      </c>
      <c r="J530" s="31">
        <v>45748</v>
      </c>
      <c r="K530" s="4" t="s">
        <v>220</v>
      </c>
      <c r="L530" s="4" t="s">
        <v>17</v>
      </c>
      <c r="M530" s="4" t="s">
        <v>221</v>
      </c>
      <c r="S530" s="4" t="str">
        <f>TEXT(Table1[[#This Row],[Date]],"MMM-YY")</f>
        <v>Apr-25</v>
      </c>
      <c r="T530" s="4">
        <f>_xlfn.ISOWEEKNUM(Table1[[#This Row],[Date]])</f>
        <v>15</v>
      </c>
      <c r="U530" s="4" t="str">
        <f>TEXT(Table1[[#This Row],[Expected Business Month]],"YYYY")</f>
        <v>2025</v>
      </c>
    </row>
    <row r="531" spans="1:21">
      <c r="A531" s="19">
        <v>45762</v>
      </c>
      <c r="B531" s="4" t="s">
        <v>230</v>
      </c>
      <c r="C531" s="4" t="s">
        <v>225</v>
      </c>
      <c r="D531" s="4" t="s">
        <v>183</v>
      </c>
      <c r="E531" s="4" t="s">
        <v>21</v>
      </c>
      <c r="F531" s="4" t="s">
        <v>688</v>
      </c>
      <c r="H531" s="4">
        <v>5110</v>
      </c>
      <c r="I531" s="4">
        <v>5110</v>
      </c>
      <c r="J531" s="31">
        <v>45748</v>
      </c>
      <c r="K531" s="4" t="s">
        <v>234</v>
      </c>
      <c r="L531" s="4" t="s">
        <v>17</v>
      </c>
      <c r="M531" s="4" t="s">
        <v>221</v>
      </c>
      <c r="S531" s="4" t="str">
        <f>TEXT(Table1[[#This Row],[Date]],"MMM-YY")</f>
        <v>Apr-25</v>
      </c>
      <c r="T531" s="4">
        <f>_xlfn.ISOWEEKNUM(Table1[[#This Row],[Date]])</f>
        <v>16</v>
      </c>
      <c r="U531" s="4" t="str">
        <f>TEXT(Table1[[#This Row],[Expected Business Month]],"YYYY")</f>
        <v>2025</v>
      </c>
    </row>
    <row r="532" spans="1:21">
      <c r="A532" s="19">
        <v>45763</v>
      </c>
      <c r="B532" s="4" t="s">
        <v>750</v>
      </c>
      <c r="C532" s="4" t="s">
        <v>217</v>
      </c>
      <c r="D532" s="4" t="s">
        <v>183</v>
      </c>
      <c r="E532" s="4" t="s">
        <v>61</v>
      </c>
      <c r="F532" s="4" t="s">
        <v>437</v>
      </c>
      <c r="H532" s="4">
        <v>13000</v>
      </c>
      <c r="I532" s="4">
        <v>13000</v>
      </c>
      <c r="J532" s="31">
        <v>45748</v>
      </c>
      <c r="K532" s="4" t="s">
        <v>220</v>
      </c>
      <c r="L532" s="4" t="s">
        <v>17</v>
      </c>
      <c r="M532" s="4" t="s">
        <v>221</v>
      </c>
      <c r="S532" s="4" t="str">
        <f>TEXT(Table1[[#This Row],[Date]],"MMM-YY")</f>
        <v>Apr-25</v>
      </c>
      <c r="T532" s="4">
        <f>_xlfn.ISOWEEKNUM(Table1[[#This Row],[Date]])</f>
        <v>16</v>
      </c>
      <c r="U532" s="4" t="str">
        <f>TEXT(Table1[[#This Row],[Expected Business Month]],"YYYY")</f>
        <v>2025</v>
      </c>
    </row>
    <row r="533" spans="1:21">
      <c r="A533" s="19">
        <v>45763</v>
      </c>
      <c r="B533" s="4" t="s">
        <v>230</v>
      </c>
      <c r="C533" s="4" t="s">
        <v>225</v>
      </c>
      <c r="D533" s="4" t="s">
        <v>183</v>
      </c>
      <c r="E533" s="4" t="s">
        <v>21</v>
      </c>
      <c r="F533" s="4" t="s">
        <v>688</v>
      </c>
      <c r="H533" s="4">
        <v>3380</v>
      </c>
      <c r="I533" s="4">
        <v>3380</v>
      </c>
      <c r="J533" s="31">
        <v>45748</v>
      </c>
      <c r="K533" s="4" t="s">
        <v>234</v>
      </c>
      <c r="L533" s="4" t="s">
        <v>17</v>
      </c>
      <c r="M533" s="4" t="s">
        <v>221</v>
      </c>
      <c r="S533" s="4" t="str">
        <f>TEXT(Table1[[#This Row],[Date]],"MMM-YY")</f>
        <v>Apr-25</v>
      </c>
      <c r="T533" s="4">
        <f>_xlfn.ISOWEEKNUM(Table1[[#This Row],[Date]])</f>
        <v>16</v>
      </c>
      <c r="U533" s="4" t="str">
        <f>TEXT(Table1[[#This Row],[Expected Business Month]],"YYYY")</f>
        <v>2025</v>
      </c>
    </row>
    <row r="534" spans="1:21">
      <c r="A534" s="19">
        <v>45763</v>
      </c>
      <c r="B534" s="4" t="s">
        <v>744</v>
      </c>
      <c r="C534" s="4" t="s">
        <v>217</v>
      </c>
      <c r="D534" s="4" t="s">
        <v>195</v>
      </c>
      <c r="E534" s="4" t="s">
        <v>61</v>
      </c>
      <c r="F534" s="4" t="s">
        <v>745</v>
      </c>
      <c r="H534" s="4">
        <v>21201</v>
      </c>
      <c r="I534" s="4">
        <v>21201</v>
      </c>
      <c r="J534" s="31">
        <v>45748</v>
      </c>
      <c r="K534" s="4" t="s">
        <v>220</v>
      </c>
      <c r="L534" s="4" t="s">
        <v>17</v>
      </c>
      <c r="M534" s="4" t="s">
        <v>221</v>
      </c>
      <c r="S534" s="4" t="str">
        <f>TEXT(Table1[[#This Row],[Date]],"MMM-YY")</f>
        <v>Apr-25</v>
      </c>
      <c r="T534" s="4">
        <f>_xlfn.ISOWEEKNUM(Table1[[#This Row],[Date]])</f>
        <v>16</v>
      </c>
      <c r="U534" s="4" t="str">
        <f>TEXT(Table1[[#This Row],[Expected Business Month]],"YYYY")</f>
        <v>2025</v>
      </c>
    </row>
    <row r="535" spans="1:21">
      <c r="A535" s="19">
        <v>45763</v>
      </c>
      <c r="B535" s="4" t="s">
        <v>677</v>
      </c>
      <c r="C535" s="4" t="s">
        <v>225</v>
      </c>
      <c r="D535" s="4" t="s">
        <v>195</v>
      </c>
      <c r="E535" s="4" t="s">
        <v>32</v>
      </c>
      <c r="F535" s="4" t="s">
        <v>561</v>
      </c>
      <c r="G535" s="17" t="s">
        <v>562</v>
      </c>
      <c r="H535" s="4">
        <v>38929</v>
      </c>
      <c r="I535" s="4">
        <v>38929</v>
      </c>
      <c r="J535" s="31">
        <v>45748</v>
      </c>
      <c r="K535" s="4" t="s">
        <v>220</v>
      </c>
      <c r="L535" s="4" t="s">
        <v>17</v>
      </c>
      <c r="M535" s="4" t="s">
        <v>221</v>
      </c>
      <c r="S535" s="4" t="str">
        <f>TEXT(Table1[[#This Row],[Date]],"MMM-YY")</f>
        <v>Apr-25</v>
      </c>
      <c r="T535" s="4">
        <f>_xlfn.ISOWEEKNUM(Table1[[#This Row],[Date]])</f>
        <v>16</v>
      </c>
      <c r="U535" s="4" t="str">
        <f>TEXT(Table1[[#This Row],[Expected Business Month]],"YYYY")</f>
        <v>2025</v>
      </c>
    </row>
    <row r="536" spans="1:21">
      <c r="A536" s="19">
        <v>45763</v>
      </c>
      <c r="B536" s="4" t="s">
        <v>613</v>
      </c>
      <c r="C536" s="4" t="s">
        <v>225</v>
      </c>
      <c r="D536" s="4" t="s">
        <v>195</v>
      </c>
      <c r="E536" s="4" t="s">
        <v>135</v>
      </c>
      <c r="F536" s="4" t="s">
        <v>614</v>
      </c>
      <c r="G536" s="17" t="s">
        <v>586</v>
      </c>
      <c r="H536" s="4">
        <v>10735</v>
      </c>
      <c r="I536" s="4">
        <v>10735</v>
      </c>
      <c r="J536" s="31">
        <v>45748</v>
      </c>
      <c r="K536" s="4" t="s">
        <v>220</v>
      </c>
      <c r="L536" s="4" t="s">
        <v>17</v>
      </c>
      <c r="M536" s="4" t="s">
        <v>221</v>
      </c>
      <c r="P536" s="21"/>
      <c r="S536" s="4" t="str">
        <f>TEXT(Table1[[#This Row],[Date]],"MMM-YY")</f>
        <v>Apr-25</v>
      </c>
      <c r="T536" s="4">
        <f>_xlfn.ISOWEEKNUM(Table1[[#This Row],[Date]])</f>
        <v>16</v>
      </c>
      <c r="U536" s="4" t="str">
        <f>TEXT(Table1[[#This Row],[Expected Business Month]],"YYYY")</f>
        <v>2025</v>
      </c>
    </row>
    <row r="537" spans="1:21">
      <c r="A537" s="19">
        <v>45764</v>
      </c>
      <c r="B537" s="4" t="s">
        <v>230</v>
      </c>
      <c r="C537" s="4" t="s">
        <v>225</v>
      </c>
      <c r="D537" s="4" t="s">
        <v>183</v>
      </c>
      <c r="E537" s="4" t="s">
        <v>21</v>
      </c>
      <c r="F537" s="4" t="s">
        <v>688</v>
      </c>
      <c r="H537" s="4">
        <v>2060</v>
      </c>
      <c r="I537" s="4">
        <v>2060</v>
      </c>
      <c r="J537" s="31">
        <v>45748</v>
      </c>
      <c r="K537" s="4" t="s">
        <v>234</v>
      </c>
      <c r="L537" s="4" t="s">
        <v>17</v>
      </c>
      <c r="M537" s="4" t="s">
        <v>221</v>
      </c>
      <c r="S537" s="4" t="str">
        <f>TEXT(Table1[[#This Row],[Date]],"MMM-YY")</f>
        <v>Apr-25</v>
      </c>
      <c r="T537" s="4">
        <f>_xlfn.ISOWEEKNUM(Table1[[#This Row],[Date]])</f>
        <v>16</v>
      </c>
      <c r="U537" s="4" t="str">
        <f>TEXT(Table1[[#This Row],[Expected Business Month]],"YYYY")</f>
        <v>2025</v>
      </c>
    </row>
    <row r="538" spans="1:21">
      <c r="A538" s="19">
        <v>45768</v>
      </c>
      <c r="B538" s="4" t="s">
        <v>613</v>
      </c>
      <c r="C538" s="4" t="s">
        <v>225</v>
      </c>
      <c r="D538" s="4" t="s">
        <v>195</v>
      </c>
      <c r="E538" s="4" t="s">
        <v>135</v>
      </c>
      <c r="F538" s="4" t="s">
        <v>614</v>
      </c>
      <c r="G538" s="17" t="s">
        <v>586</v>
      </c>
      <c r="H538" s="4">
        <v>11544</v>
      </c>
      <c r="I538" s="4">
        <v>11544</v>
      </c>
      <c r="J538" s="31">
        <v>45748</v>
      </c>
      <c r="K538" s="4" t="s">
        <v>220</v>
      </c>
      <c r="L538" s="4" t="s">
        <v>17</v>
      </c>
      <c r="M538" s="4" t="s">
        <v>221</v>
      </c>
      <c r="P538" s="21"/>
      <c r="S538" s="4" t="str">
        <f>TEXT(Table1[[#This Row],[Date]],"MMM-YY")</f>
        <v>Apr-25</v>
      </c>
      <c r="T538" s="4">
        <f>_xlfn.ISOWEEKNUM(Table1[[#This Row],[Date]])</f>
        <v>17</v>
      </c>
      <c r="U538" s="4" t="str">
        <f>TEXT(Table1[[#This Row],[Expected Business Month]],"YYYY")</f>
        <v>2025</v>
      </c>
    </row>
    <row r="539" spans="1:21">
      <c r="A539" s="19">
        <v>45768</v>
      </c>
      <c r="B539" s="4" t="s">
        <v>230</v>
      </c>
      <c r="C539" s="4" t="s">
        <v>225</v>
      </c>
      <c r="D539" s="4" t="s">
        <v>183</v>
      </c>
      <c r="E539" s="4" t="s">
        <v>21</v>
      </c>
      <c r="F539" s="4" t="s">
        <v>688</v>
      </c>
      <c r="H539" s="4">
        <v>3720</v>
      </c>
      <c r="I539" s="4">
        <v>3720</v>
      </c>
      <c r="J539" s="31">
        <v>45748</v>
      </c>
      <c r="K539" s="4" t="s">
        <v>234</v>
      </c>
      <c r="L539" s="4" t="s">
        <v>17</v>
      </c>
      <c r="M539" s="4" t="s">
        <v>221</v>
      </c>
      <c r="S539" s="4" t="str">
        <f>TEXT(Table1[[#This Row],[Date]],"MMM-YY")</f>
        <v>Apr-25</v>
      </c>
      <c r="T539" s="4">
        <f>_xlfn.ISOWEEKNUM(Table1[[#This Row],[Date]])</f>
        <v>17</v>
      </c>
      <c r="U539" s="4" t="str">
        <f>TEXT(Table1[[#This Row],[Expected Business Month]],"YYYY")</f>
        <v>2025</v>
      </c>
    </row>
    <row r="540" spans="1:21">
      <c r="A540" s="19">
        <v>45769</v>
      </c>
      <c r="B540" s="4" t="s">
        <v>613</v>
      </c>
      <c r="C540" s="4" t="s">
        <v>225</v>
      </c>
      <c r="D540" s="4" t="s">
        <v>195</v>
      </c>
      <c r="E540" s="4" t="s">
        <v>135</v>
      </c>
      <c r="F540" s="4" t="s">
        <v>614</v>
      </c>
      <c r="G540" s="17" t="s">
        <v>586</v>
      </c>
      <c r="H540" s="4">
        <v>6718</v>
      </c>
      <c r="I540" s="4">
        <v>6718</v>
      </c>
      <c r="J540" s="31">
        <v>45748</v>
      </c>
      <c r="K540" s="4" t="s">
        <v>220</v>
      </c>
      <c r="L540" s="4" t="s">
        <v>17</v>
      </c>
      <c r="M540" s="4" t="s">
        <v>221</v>
      </c>
      <c r="P540" s="21"/>
      <c r="S540" s="4" t="str">
        <f>TEXT(Table1[[#This Row],[Date]],"MMM-YY")</f>
        <v>Apr-25</v>
      </c>
      <c r="T540" s="4">
        <f>_xlfn.ISOWEEKNUM(Table1[[#This Row],[Date]])</f>
        <v>17</v>
      </c>
      <c r="U540" s="4" t="str">
        <f>TEXT(Table1[[#This Row],[Expected Business Month]],"YYYY")</f>
        <v>2025</v>
      </c>
    </row>
    <row r="541" spans="1:21">
      <c r="A541" s="19">
        <v>45770</v>
      </c>
      <c r="B541" s="4" t="s">
        <v>677</v>
      </c>
      <c r="C541" s="4" t="s">
        <v>225</v>
      </c>
      <c r="D541" s="4" t="s">
        <v>195</v>
      </c>
      <c r="E541" s="4" t="s">
        <v>32</v>
      </c>
      <c r="F541" s="4" t="s">
        <v>561</v>
      </c>
      <c r="G541" s="17" t="s">
        <v>562</v>
      </c>
      <c r="H541" s="4">
        <v>38929</v>
      </c>
      <c r="I541" s="4">
        <v>38929</v>
      </c>
      <c r="J541" s="31">
        <v>45748</v>
      </c>
      <c r="K541" s="4" t="s">
        <v>220</v>
      </c>
      <c r="L541" s="4" t="s">
        <v>17</v>
      </c>
      <c r="M541" s="4" t="s">
        <v>221</v>
      </c>
      <c r="S541" s="4" t="str">
        <f>TEXT(Table1[[#This Row],[Date]],"MMM-YY")</f>
        <v>Apr-25</v>
      </c>
      <c r="T541" s="4">
        <f>_xlfn.ISOWEEKNUM(Table1[[#This Row],[Date]])</f>
        <v>17</v>
      </c>
      <c r="U541" s="4" t="str">
        <f>TEXT(Table1[[#This Row],[Expected Business Month]],"YYYY")</f>
        <v>2025</v>
      </c>
    </row>
    <row r="542" spans="1:21">
      <c r="A542" s="19">
        <v>45770</v>
      </c>
      <c r="B542" s="4" t="s">
        <v>230</v>
      </c>
      <c r="C542" s="4" t="s">
        <v>225</v>
      </c>
      <c r="D542" s="4" t="s">
        <v>183</v>
      </c>
      <c r="E542" s="4" t="s">
        <v>21</v>
      </c>
      <c r="F542" s="4" t="s">
        <v>688</v>
      </c>
      <c r="H542" s="4">
        <v>3830</v>
      </c>
      <c r="I542" s="4">
        <v>3830</v>
      </c>
      <c r="J542" s="31">
        <v>45748</v>
      </c>
      <c r="K542" s="4" t="s">
        <v>234</v>
      </c>
      <c r="L542" s="4" t="s">
        <v>17</v>
      </c>
      <c r="M542" s="4" t="s">
        <v>221</v>
      </c>
      <c r="S542" s="4" t="str">
        <f>TEXT(Table1[[#This Row],[Date]],"MMM-YY")</f>
        <v>Apr-25</v>
      </c>
      <c r="T542" s="4">
        <f>_xlfn.ISOWEEKNUM(Table1[[#This Row],[Date]])</f>
        <v>17</v>
      </c>
      <c r="U542" s="4" t="str">
        <f>TEXT(Table1[[#This Row],[Expected Business Month]],"YYYY")</f>
        <v>2025</v>
      </c>
    </row>
    <row r="543" spans="1:21">
      <c r="A543" s="19">
        <v>45770</v>
      </c>
      <c r="B543" s="4" t="s">
        <v>613</v>
      </c>
      <c r="C543" s="4" t="s">
        <v>225</v>
      </c>
      <c r="D543" s="4" t="s">
        <v>195</v>
      </c>
      <c r="E543" s="4" t="s">
        <v>135</v>
      </c>
      <c r="F543" s="4" t="s">
        <v>614</v>
      </c>
      <c r="G543" s="17" t="s">
        <v>586</v>
      </c>
      <c r="H543" s="4">
        <v>8449</v>
      </c>
      <c r="I543" s="4">
        <v>8449</v>
      </c>
      <c r="J543" s="31">
        <v>45748</v>
      </c>
      <c r="K543" s="4" t="s">
        <v>220</v>
      </c>
      <c r="L543" s="4" t="s">
        <v>17</v>
      </c>
      <c r="M543" s="4" t="s">
        <v>221</v>
      </c>
      <c r="P543" s="21"/>
      <c r="S543" s="4" t="str">
        <f>TEXT(Table1[[#This Row],[Date]],"MMM-YY")</f>
        <v>Apr-25</v>
      </c>
      <c r="T543" s="4">
        <f>_xlfn.ISOWEEKNUM(Table1[[#This Row],[Date]])</f>
        <v>17</v>
      </c>
      <c r="U543" s="4" t="str">
        <f>TEXT(Table1[[#This Row],[Expected Business Month]],"YYYY")</f>
        <v>2025</v>
      </c>
    </row>
    <row r="544" spans="1:21">
      <c r="A544" s="19">
        <v>45771</v>
      </c>
      <c r="B544" s="4" t="s">
        <v>613</v>
      </c>
      <c r="C544" s="4" t="s">
        <v>225</v>
      </c>
      <c r="D544" s="4" t="s">
        <v>195</v>
      </c>
      <c r="E544" s="4" t="s">
        <v>135</v>
      </c>
      <c r="F544" s="4" t="s">
        <v>614</v>
      </c>
      <c r="G544" s="17" t="s">
        <v>586</v>
      </c>
      <c r="H544" s="4">
        <v>4328</v>
      </c>
      <c r="I544" s="4">
        <v>4328</v>
      </c>
      <c r="J544" s="31">
        <v>45748</v>
      </c>
      <c r="K544" s="4" t="s">
        <v>220</v>
      </c>
      <c r="L544" s="4" t="s">
        <v>17</v>
      </c>
      <c r="M544" s="4" t="s">
        <v>221</v>
      </c>
      <c r="P544" s="21"/>
      <c r="S544" s="4" t="str">
        <f>TEXT(Table1[[#This Row],[Date]],"MMM-YY")</f>
        <v>Apr-25</v>
      </c>
      <c r="T544" s="4">
        <f>_xlfn.ISOWEEKNUM(Table1[[#This Row],[Date]])</f>
        <v>17</v>
      </c>
      <c r="U544" s="4" t="str">
        <f>TEXT(Table1[[#This Row],[Expected Business Month]],"YYYY")</f>
        <v>2025</v>
      </c>
    </row>
    <row r="545" spans="1:21">
      <c r="A545" s="19">
        <v>45772</v>
      </c>
      <c r="B545" s="4" t="s">
        <v>613</v>
      </c>
      <c r="C545" s="4" t="s">
        <v>225</v>
      </c>
      <c r="D545" s="4" t="s">
        <v>195</v>
      </c>
      <c r="E545" s="4" t="s">
        <v>135</v>
      </c>
      <c r="F545" s="4" t="s">
        <v>614</v>
      </c>
      <c r="G545" s="17" t="s">
        <v>586</v>
      </c>
      <c r="H545" s="4">
        <v>7353</v>
      </c>
      <c r="I545" s="4">
        <v>7353</v>
      </c>
      <c r="J545" s="31">
        <v>45748</v>
      </c>
      <c r="K545" s="4" t="s">
        <v>220</v>
      </c>
      <c r="L545" s="4" t="s">
        <v>17</v>
      </c>
      <c r="M545" s="4" t="s">
        <v>221</v>
      </c>
      <c r="P545" s="21"/>
      <c r="S545" s="4" t="str">
        <f>TEXT(Table1[[#This Row],[Date]],"MMM-YY")</f>
        <v>Apr-25</v>
      </c>
      <c r="T545" s="4">
        <f>_xlfn.ISOWEEKNUM(Table1[[#This Row],[Date]])</f>
        <v>17</v>
      </c>
      <c r="U545" s="4" t="str">
        <f>TEXT(Table1[[#This Row],[Expected Business Month]],"YYYY")</f>
        <v>2025</v>
      </c>
    </row>
    <row r="546" spans="1:21">
      <c r="A546" s="19">
        <v>45775</v>
      </c>
      <c r="B546" s="4" t="s">
        <v>708</v>
      </c>
      <c r="C546" s="4" t="s">
        <v>217</v>
      </c>
      <c r="D546" s="4" t="s">
        <v>195</v>
      </c>
      <c r="E546" s="4" t="s">
        <v>179</v>
      </c>
      <c r="F546" s="4" t="s">
        <v>709</v>
      </c>
      <c r="H546" s="4">
        <v>2545</v>
      </c>
      <c r="I546" s="4">
        <v>2545</v>
      </c>
      <c r="J546" s="31">
        <v>45748</v>
      </c>
      <c r="K546" s="4" t="s">
        <v>220</v>
      </c>
      <c r="L546" s="4" t="s">
        <v>17</v>
      </c>
      <c r="M546" s="4" t="s">
        <v>221</v>
      </c>
      <c r="S546" s="4" t="str">
        <f>TEXT(Table1[[#This Row],[Date]],"MMM-YY")</f>
        <v>Apr-25</v>
      </c>
      <c r="T546" s="4">
        <f>_xlfn.ISOWEEKNUM(Table1[[#This Row],[Date]])</f>
        <v>18</v>
      </c>
      <c r="U546" s="4" t="str">
        <f>TEXT(Table1[[#This Row],[Expected Business Month]],"YYYY")</f>
        <v>2025</v>
      </c>
    </row>
    <row r="547" spans="1:21">
      <c r="A547" s="19">
        <v>45776</v>
      </c>
      <c r="B547" s="4" t="s">
        <v>706</v>
      </c>
      <c r="C547" s="4" t="s">
        <v>217</v>
      </c>
      <c r="D547" s="4" t="s">
        <v>195</v>
      </c>
      <c r="E547" s="4" t="s">
        <v>179</v>
      </c>
      <c r="F547" s="4" t="s">
        <v>707</v>
      </c>
      <c r="H547" s="4">
        <v>14146</v>
      </c>
      <c r="I547" s="4">
        <v>14146</v>
      </c>
      <c r="J547" s="31">
        <v>45748</v>
      </c>
      <c r="K547" s="4" t="s">
        <v>220</v>
      </c>
      <c r="L547" s="4" t="s">
        <v>17</v>
      </c>
      <c r="M547" s="4" t="s">
        <v>221</v>
      </c>
      <c r="S547" s="4" t="str">
        <f>TEXT(Table1[[#This Row],[Date]],"MMM-YY")</f>
        <v>Apr-25</v>
      </c>
      <c r="T547" s="4">
        <f>_xlfn.ISOWEEKNUM(Table1[[#This Row],[Date]])</f>
        <v>18</v>
      </c>
      <c r="U547" s="4" t="str">
        <f>TEXT(Table1[[#This Row],[Expected Business Month]],"YYYY")</f>
        <v>2025</v>
      </c>
    </row>
    <row r="548" spans="1:21">
      <c r="A548" s="19">
        <v>45776</v>
      </c>
      <c r="B548" s="4" t="s">
        <v>189</v>
      </c>
      <c r="C548" s="4" t="s">
        <v>217</v>
      </c>
      <c r="D548" s="4" t="s">
        <v>21</v>
      </c>
      <c r="E548" s="4" t="s">
        <v>21</v>
      </c>
      <c r="F548" s="4" t="s">
        <v>751</v>
      </c>
      <c r="H548" s="4">
        <v>9354</v>
      </c>
      <c r="I548" s="4">
        <v>9354</v>
      </c>
      <c r="J548" s="31">
        <v>45748</v>
      </c>
      <c r="K548" s="4" t="s">
        <v>220</v>
      </c>
      <c r="L548" s="4" t="s">
        <v>17</v>
      </c>
      <c r="M548" s="4" t="s">
        <v>221</v>
      </c>
      <c r="S548" s="4" t="str">
        <f>TEXT(Table1[[#This Row],[Date]],"MMM-YY")</f>
        <v>Apr-25</v>
      </c>
      <c r="T548" s="4">
        <f>_xlfn.ISOWEEKNUM(Table1[[#This Row],[Date]])</f>
        <v>18</v>
      </c>
      <c r="U548" s="4" t="str">
        <f>TEXT(Table1[[#This Row],[Expected Business Month]],"YYYY")</f>
        <v>2025</v>
      </c>
    </row>
    <row r="549" spans="1:21">
      <c r="A549" s="19">
        <v>45777</v>
      </c>
      <c r="B549" s="4" t="s">
        <v>704</v>
      </c>
      <c r="C549" s="4" t="s">
        <v>217</v>
      </c>
      <c r="D549" s="4" t="s">
        <v>195</v>
      </c>
      <c r="E549" s="4" t="s">
        <v>179</v>
      </c>
      <c r="F549" s="4" t="s">
        <v>705</v>
      </c>
      <c r="H549" s="4">
        <v>9742</v>
      </c>
      <c r="I549" s="4">
        <v>9742</v>
      </c>
      <c r="J549" s="31">
        <v>45748</v>
      </c>
      <c r="K549" s="4" t="s">
        <v>220</v>
      </c>
      <c r="L549" s="4" t="s">
        <v>17</v>
      </c>
      <c r="M549" s="4" t="s">
        <v>221</v>
      </c>
      <c r="S549" s="4" t="str">
        <f>TEXT(Table1[[#This Row],[Date]],"MMM-YY")</f>
        <v>Apr-25</v>
      </c>
      <c r="T549" s="4">
        <f>_xlfn.ISOWEEKNUM(Table1[[#This Row],[Date]])</f>
        <v>18</v>
      </c>
      <c r="U549" s="4" t="str">
        <f>TEXT(Table1[[#This Row],[Expected Business Month]],"YYYY")</f>
        <v>2025</v>
      </c>
    </row>
    <row r="550" spans="1:21">
      <c r="A550" s="19">
        <v>45782</v>
      </c>
      <c r="B550" s="4" t="s">
        <v>708</v>
      </c>
      <c r="C550" s="4" t="s">
        <v>217</v>
      </c>
      <c r="D550" s="4" t="s">
        <v>195</v>
      </c>
      <c r="E550" s="4" t="s">
        <v>179</v>
      </c>
      <c r="F550" s="4" t="s">
        <v>709</v>
      </c>
      <c r="H550" s="4">
        <v>4142</v>
      </c>
      <c r="I550" s="4">
        <v>4142</v>
      </c>
      <c r="J550" s="31">
        <v>45778</v>
      </c>
      <c r="K550" s="4" t="s">
        <v>220</v>
      </c>
      <c r="L550" s="4" t="s">
        <v>17</v>
      </c>
      <c r="M550" s="4" t="s">
        <v>221</v>
      </c>
      <c r="S550" s="4" t="str">
        <f>TEXT(Table1[[#This Row],[Date]],"MMM-YY")</f>
        <v>May-25</v>
      </c>
      <c r="T550" s="4">
        <f>_xlfn.ISOWEEKNUM(Table1[[#This Row],[Date]])</f>
        <v>19</v>
      </c>
      <c r="U550" s="4" t="str">
        <f>TEXT(Table1[[#This Row],[Expected Business Month]],"YYYY")</f>
        <v>2025</v>
      </c>
    </row>
    <row r="551" spans="1:21" hidden="1">
      <c r="A551" s="19">
        <v>45783</v>
      </c>
      <c r="B551" s="4" t="s">
        <v>752</v>
      </c>
      <c r="C551" s="4" t="s">
        <v>217</v>
      </c>
      <c r="D551" s="4" t="s">
        <v>21</v>
      </c>
      <c r="E551" s="4" t="s">
        <v>21</v>
      </c>
      <c r="F551" s="4" t="s">
        <v>753</v>
      </c>
      <c r="J551" s="31">
        <v>45778</v>
      </c>
      <c r="K551" s="4" t="s">
        <v>220</v>
      </c>
      <c r="L551" s="4" t="s">
        <v>27</v>
      </c>
      <c r="M551" s="4" t="s">
        <v>221</v>
      </c>
      <c r="S551" s="4" t="str">
        <f>TEXT(Table1[[#This Row],[Date]],"MMM-YY")</f>
        <v>May-25</v>
      </c>
      <c r="T551" s="4">
        <f>_xlfn.ISOWEEKNUM(Table1[[#This Row],[Date]])</f>
        <v>19</v>
      </c>
      <c r="U551" s="4" t="str">
        <f>TEXT(Table1[[#This Row],[Expected Business Month]],"YYYY")</f>
        <v>2025</v>
      </c>
    </row>
    <row r="552" spans="1:21" hidden="1">
      <c r="A552" s="19">
        <v>45783</v>
      </c>
      <c r="B552" s="4" t="s">
        <v>335</v>
      </c>
      <c r="C552" s="4" t="s">
        <v>217</v>
      </c>
      <c r="D552" s="4" t="s">
        <v>183</v>
      </c>
      <c r="E552" s="4" t="s">
        <v>21</v>
      </c>
      <c r="F552" s="4" t="s">
        <v>336</v>
      </c>
      <c r="J552" s="31">
        <v>45809</v>
      </c>
      <c r="K552" s="4" t="s">
        <v>220</v>
      </c>
      <c r="L552" s="4" t="s">
        <v>27</v>
      </c>
      <c r="M552" s="4" t="s">
        <v>221</v>
      </c>
      <c r="S552" s="4" t="str">
        <f>TEXT(Table1[[#This Row],[Date]],"MMM-YY")</f>
        <v>May-25</v>
      </c>
      <c r="T552" s="4">
        <f>_xlfn.ISOWEEKNUM(Table1[[#This Row],[Date]])</f>
        <v>19</v>
      </c>
      <c r="U552" s="4" t="str">
        <f>TEXT(Table1[[#This Row],[Expected Business Month]],"YYYY")</f>
        <v>2025</v>
      </c>
    </row>
    <row r="553" spans="1:21">
      <c r="A553" s="19">
        <v>45783</v>
      </c>
      <c r="B553" s="4" t="s">
        <v>704</v>
      </c>
      <c r="C553" s="4" t="s">
        <v>217</v>
      </c>
      <c r="D553" s="4" t="s">
        <v>195</v>
      </c>
      <c r="E553" s="4" t="s">
        <v>179</v>
      </c>
      <c r="F553" s="4" t="s">
        <v>705</v>
      </c>
      <c r="H553" s="4">
        <v>1752</v>
      </c>
      <c r="I553" s="4">
        <v>1752</v>
      </c>
      <c r="J553" s="31">
        <v>45778</v>
      </c>
      <c r="K553" s="4" t="s">
        <v>220</v>
      </c>
      <c r="L553" s="4" t="s">
        <v>17</v>
      </c>
      <c r="M553" s="4" t="s">
        <v>221</v>
      </c>
      <c r="S553" s="4" t="str">
        <f>TEXT(Table1[[#This Row],[Date]],"MMM-YY")</f>
        <v>May-25</v>
      </c>
      <c r="T553" s="4">
        <f>_xlfn.ISOWEEKNUM(Table1[[#This Row],[Date]])</f>
        <v>19</v>
      </c>
      <c r="U553" s="4" t="str">
        <f>TEXT(Table1[[#This Row],[Expected Business Month]],"YYYY")</f>
        <v>2025</v>
      </c>
    </row>
    <row r="554" spans="1:21">
      <c r="A554" s="19">
        <v>45784</v>
      </c>
      <c r="B554" s="4" t="s">
        <v>677</v>
      </c>
      <c r="C554" s="4" t="s">
        <v>225</v>
      </c>
      <c r="D554" s="4" t="s">
        <v>195</v>
      </c>
      <c r="E554" s="4" t="s">
        <v>32</v>
      </c>
      <c r="F554" s="4" t="s">
        <v>561</v>
      </c>
      <c r="G554" s="17" t="s">
        <v>562</v>
      </c>
      <c r="H554" s="4">
        <v>37918</v>
      </c>
      <c r="I554" s="4">
        <v>37918</v>
      </c>
      <c r="J554" s="31">
        <v>45778</v>
      </c>
      <c r="K554" s="4" t="s">
        <v>220</v>
      </c>
      <c r="L554" s="4" t="s">
        <v>17</v>
      </c>
      <c r="M554" s="4" t="s">
        <v>221</v>
      </c>
      <c r="S554" s="4" t="str">
        <f>TEXT(Table1[[#This Row],[Date]],"MMM-YY")</f>
        <v>May-25</v>
      </c>
      <c r="T554" s="4">
        <f>_xlfn.ISOWEEKNUM(Table1[[#This Row],[Date]])</f>
        <v>19</v>
      </c>
      <c r="U554" s="4" t="str">
        <f>TEXT(Table1[[#This Row],[Expected Business Month]],"YYYY")</f>
        <v>2025</v>
      </c>
    </row>
    <row r="555" spans="1:21">
      <c r="A555" s="19">
        <v>45784</v>
      </c>
      <c r="B555" s="4" t="s">
        <v>744</v>
      </c>
      <c r="C555" s="4" t="s">
        <v>217</v>
      </c>
      <c r="D555" s="4" t="s">
        <v>195</v>
      </c>
      <c r="E555" s="4" t="s">
        <v>61</v>
      </c>
      <c r="F555" s="4" t="s">
        <v>745</v>
      </c>
      <c r="H555" s="4">
        <v>26000</v>
      </c>
      <c r="I555" s="4">
        <v>26000</v>
      </c>
      <c r="J555" s="31">
        <v>45778</v>
      </c>
      <c r="K555" s="4" t="s">
        <v>220</v>
      </c>
      <c r="L555" s="4" t="s">
        <v>17</v>
      </c>
      <c r="M555" s="4" t="s">
        <v>221</v>
      </c>
      <c r="S555" s="4" t="str">
        <f>TEXT(Table1[[#This Row],[Date]],"MMM-YY")</f>
        <v>May-25</v>
      </c>
      <c r="T555" s="4">
        <f>_xlfn.ISOWEEKNUM(Table1[[#This Row],[Date]])</f>
        <v>19</v>
      </c>
      <c r="U555" s="4" t="str">
        <f>TEXT(Table1[[#This Row],[Expected Business Month]],"YYYY")</f>
        <v>2025</v>
      </c>
    </row>
    <row r="556" spans="1:21">
      <c r="A556" s="19">
        <v>45785</v>
      </c>
      <c r="B556" s="4" t="s">
        <v>750</v>
      </c>
      <c r="C556" s="4" t="s">
        <v>217</v>
      </c>
      <c r="D556" s="4" t="s">
        <v>183</v>
      </c>
      <c r="E556" s="4" t="s">
        <v>61</v>
      </c>
      <c r="F556" s="4" t="s">
        <v>437</v>
      </c>
      <c r="H556" s="4">
        <v>26316</v>
      </c>
      <c r="I556" s="4">
        <v>26316</v>
      </c>
      <c r="J556" s="31">
        <v>45778</v>
      </c>
      <c r="K556" s="4" t="s">
        <v>220</v>
      </c>
      <c r="L556" s="4" t="s">
        <v>17</v>
      </c>
      <c r="M556" s="4" t="s">
        <v>221</v>
      </c>
      <c r="S556" s="4" t="str">
        <f>TEXT(Table1[[#This Row],[Date]],"MMM-YY")</f>
        <v>May-25</v>
      </c>
      <c r="T556" s="4">
        <f>_xlfn.ISOWEEKNUM(Table1[[#This Row],[Date]])</f>
        <v>19</v>
      </c>
      <c r="U556" s="4" t="str">
        <f>TEXT(Table1[[#This Row],[Expected Business Month]],"YYYY")</f>
        <v>2025</v>
      </c>
    </row>
    <row r="557" spans="1:21">
      <c r="A557" s="19">
        <v>45785</v>
      </c>
      <c r="B557" s="4" t="s">
        <v>706</v>
      </c>
      <c r="C557" s="4" t="s">
        <v>217</v>
      </c>
      <c r="D557" s="4" t="s">
        <v>195</v>
      </c>
      <c r="E557" s="4" t="s">
        <v>179</v>
      </c>
      <c r="F557" s="4" t="s">
        <v>707</v>
      </c>
      <c r="H557" s="4">
        <v>20034</v>
      </c>
      <c r="I557" s="4">
        <v>20034</v>
      </c>
      <c r="J557" s="31">
        <v>45778</v>
      </c>
      <c r="K557" s="4" t="s">
        <v>220</v>
      </c>
      <c r="L557" s="4" t="s">
        <v>17</v>
      </c>
      <c r="M557" s="4" t="s">
        <v>221</v>
      </c>
      <c r="S557" s="4" t="str">
        <f>TEXT(Table1[[#This Row],[Date]],"MMM-YY")</f>
        <v>May-25</v>
      </c>
      <c r="T557" s="4">
        <f>_xlfn.ISOWEEKNUM(Table1[[#This Row],[Date]])</f>
        <v>19</v>
      </c>
      <c r="U557" s="4" t="str">
        <f>TEXT(Table1[[#This Row],[Expected Business Month]],"YYYY")</f>
        <v>2025</v>
      </c>
    </row>
    <row r="558" spans="1:21">
      <c r="A558" s="19">
        <v>45785</v>
      </c>
      <c r="B558" s="4" t="s">
        <v>263</v>
      </c>
      <c r="C558" s="4" t="s">
        <v>217</v>
      </c>
      <c r="D558" s="4" t="s">
        <v>183</v>
      </c>
      <c r="E558" s="4" t="s">
        <v>21</v>
      </c>
      <c r="F558" s="4" t="s">
        <v>754</v>
      </c>
      <c r="H558" s="4">
        <v>38090</v>
      </c>
      <c r="I558" s="4">
        <v>38090</v>
      </c>
      <c r="J558" s="31">
        <v>45778</v>
      </c>
      <c r="K558" s="4" t="s">
        <v>220</v>
      </c>
      <c r="L558" s="4" t="s">
        <v>17</v>
      </c>
      <c r="M558" s="4" t="s">
        <v>221</v>
      </c>
      <c r="S558" s="4" t="str">
        <f>TEXT(Table1[[#This Row],[Date]],"MMM-YY")</f>
        <v>May-25</v>
      </c>
      <c r="T558" s="4">
        <f>_xlfn.ISOWEEKNUM(Table1[[#This Row],[Date]])</f>
        <v>19</v>
      </c>
      <c r="U558" s="4" t="str">
        <f>TEXT(Table1[[#This Row],[Expected Business Month]],"YYYY")</f>
        <v>2025</v>
      </c>
    </row>
    <row r="559" spans="1:21">
      <c r="A559" s="19">
        <v>45786</v>
      </c>
      <c r="B559" s="4" t="s">
        <v>755</v>
      </c>
      <c r="C559" s="4" t="s">
        <v>217</v>
      </c>
      <c r="D559" s="4" t="s">
        <v>195</v>
      </c>
      <c r="E559" s="4" t="s">
        <v>145</v>
      </c>
      <c r="F559" s="4" t="s">
        <v>756</v>
      </c>
      <c r="H559" s="4">
        <v>40179</v>
      </c>
      <c r="I559" s="4">
        <v>40179</v>
      </c>
      <c r="J559" s="31">
        <v>45778</v>
      </c>
      <c r="K559" s="4" t="s">
        <v>220</v>
      </c>
      <c r="L559" s="4" t="s">
        <v>17</v>
      </c>
      <c r="M559" s="4" t="s">
        <v>221</v>
      </c>
      <c r="S559" s="4" t="str">
        <f>TEXT(Table1[[#This Row],[Date]],"MMM-YY")</f>
        <v>May-25</v>
      </c>
      <c r="T559" s="4">
        <f>_xlfn.ISOWEEKNUM(Table1[[#This Row],[Date]])</f>
        <v>19</v>
      </c>
      <c r="U559" s="4" t="str">
        <f>TEXT(Table1[[#This Row],[Expected Business Month]],"YYYY")</f>
        <v>2025</v>
      </c>
    </row>
    <row r="560" spans="1:21">
      <c r="A560" s="19">
        <v>45786</v>
      </c>
      <c r="B560" s="4" t="s">
        <v>757</v>
      </c>
      <c r="C560" s="4" t="s">
        <v>217</v>
      </c>
      <c r="D560" s="4" t="s">
        <v>195</v>
      </c>
      <c r="E560" s="4" t="s">
        <v>61</v>
      </c>
      <c r="F560" s="4" t="s">
        <v>751</v>
      </c>
      <c r="H560" s="4">
        <v>9354</v>
      </c>
      <c r="I560" s="4">
        <v>9354</v>
      </c>
      <c r="J560" s="31">
        <v>45778</v>
      </c>
      <c r="K560" s="4" t="s">
        <v>220</v>
      </c>
      <c r="L560" s="4" t="s">
        <v>17</v>
      </c>
      <c r="M560" s="4" t="s">
        <v>221</v>
      </c>
      <c r="S560" s="4" t="str">
        <f>TEXT(Table1[[#This Row],[Date]],"MMM-YY")</f>
        <v>May-25</v>
      </c>
      <c r="T560" s="4">
        <f>_xlfn.ISOWEEKNUM(Table1[[#This Row],[Date]])</f>
        <v>19</v>
      </c>
      <c r="U560" s="4" t="str">
        <f>TEXT(Table1[[#This Row],[Expected Business Month]],"YYYY")</f>
        <v>2025</v>
      </c>
    </row>
    <row r="561" spans="1:21">
      <c r="A561" s="19">
        <v>45788</v>
      </c>
      <c r="B561" s="4" t="s">
        <v>752</v>
      </c>
      <c r="C561" s="4" t="s">
        <v>217</v>
      </c>
      <c r="D561" s="4" t="s">
        <v>21</v>
      </c>
      <c r="E561" s="4" t="s">
        <v>21</v>
      </c>
      <c r="F561" s="4" t="s">
        <v>753</v>
      </c>
      <c r="H561" s="4">
        <v>479220</v>
      </c>
      <c r="I561" s="4">
        <v>479220</v>
      </c>
      <c r="J561" s="31">
        <v>45778</v>
      </c>
      <c r="K561" s="4" t="s">
        <v>220</v>
      </c>
      <c r="L561" s="4" t="s">
        <v>17</v>
      </c>
      <c r="M561" s="4" t="s">
        <v>221</v>
      </c>
      <c r="S561" s="4" t="str">
        <f>TEXT(Table1[[#This Row],[Date]],"MMM-YY")</f>
        <v>May-25</v>
      </c>
      <c r="T561" s="4">
        <f>_xlfn.ISOWEEKNUM(Table1[[#This Row],[Date]])</f>
        <v>19</v>
      </c>
      <c r="U561" s="4" t="str">
        <f>TEXT(Table1[[#This Row],[Expected Business Month]],"YYYY")</f>
        <v>2025</v>
      </c>
    </row>
    <row r="562" spans="1:21">
      <c r="A562" s="19">
        <v>45789</v>
      </c>
      <c r="B562" s="4" t="s">
        <v>471</v>
      </c>
      <c r="C562" s="4" t="s">
        <v>217</v>
      </c>
      <c r="D562" s="4" t="s">
        <v>195</v>
      </c>
      <c r="E562" s="4" t="s">
        <v>25</v>
      </c>
      <c r="F562" s="4" t="s">
        <v>472</v>
      </c>
      <c r="G562" s="17" t="s">
        <v>431</v>
      </c>
      <c r="H562" s="30">
        <v>43525</v>
      </c>
      <c r="I562" s="30">
        <v>43525</v>
      </c>
      <c r="J562" s="31">
        <v>45778</v>
      </c>
      <c r="K562" s="4" t="s">
        <v>220</v>
      </c>
      <c r="L562" s="4" t="s">
        <v>17</v>
      </c>
      <c r="M562" s="4" t="s">
        <v>221</v>
      </c>
      <c r="S562" s="4" t="str">
        <f>TEXT(Table1[[#This Row],[Date]],"MMM-YY")</f>
        <v>May-25</v>
      </c>
      <c r="T562" s="4">
        <f>_xlfn.ISOWEEKNUM(Table1[[#This Row],[Date]])</f>
        <v>20</v>
      </c>
      <c r="U562" s="4" t="str">
        <f>TEXT(Table1[[#This Row],[Expected Business Month]],"YYYY")</f>
        <v>2025</v>
      </c>
    </row>
    <row r="563" spans="1:21">
      <c r="A563" s="19">
        <v>45791</v>
      </c>
      <c r="B563" s="4" t="s">
        <v>758</v>
      </c>
      <c r="C563" s="4" t="s">
        <v>217</v>
      </c>
      <c r="D563" s="4" t="s">
        <v>195</v>
      </c>
      <c r="E563" s="4" t="s">
        <v>129</v>
      </c>
      <c r="F563" s="4" t="s">
        <v>759</v>
      </c>
      <c r="H563" s="4">
        <v>48990</v>
      </c>
      <c r="I563" s="4">
        <v>48990</v>
      </c>
      <c r="J563" s="31">
        <v>45778</v>
      </c>
      <c r="K563" s="4" t="s">
        <v>220</v>
      </c>
      <c r="L563" s="4" t="s">
        <v>17</v>
      </c>
      <c r="M563" s="4" t="s">
        <v>221</v>
      </c>
      <c r="S563" s="4" t="str">
        <f>TEXT(Table1[[#This Row],[Date]],"MMM-YY")</f>
        <v>May-25</v>
      </c>
      <c r="T563" s="4">
        <f>_xlfn.ISOWEEKNUM(Table1[[#This Row],[Date]])</f>
        <v>20</v>
      </c>
      <c r="U563" s="4" t="str">
        <f>TEXT(Table1[[#This Row],[Expected Business Month]],"YYYY")</f>
        <v>2025</v>
      </c>
    </row>
    <row r="564" spans="1:21">
      <c r="A564" s="19">
        <v>45792</v>
      </c>
      <c r="B564" s="4" t="s">
        <v>744</v>
      </c>
      <c r="C564" s="4" t="s">
        <v>217</v>
      </c>
      <c r="D564" s="4" t="s">
        <v>195</v>
      </c>
      <c r="E564" s="4" t="s">
        <v>61</v>
      </c>
      <c r="F564" s="4" t="s">
        <v>745</v>
      </c>
      <c r="H564" s="4">
        <v>28240</v>
      </c>
      <c r="I564" s="4">
        <v>28240</v>
      </c>
      <c r="J564" s="31">
        <v>45778</v>
      </c>
      <c r="K564" s="4" t="s">
        <v>220</v>
      </c>
      <c r="L564" s="4" t="s">
        <v>17</v>
      </c>
      <c r="M564" s="4" t="s">
        <v>221</v>
      </c>
      <c r="S564" s="4" t="str">
        <f>TEXT(Table1[[#This Row],[Date]],"MMM-YY")</f>
        <v>May-25</v>
      </c>
      <c r="T564" s="4">
        <f>_xlfn.ISOWEEKNUM(Table1[[#This Row],[Date]])</f>
        <v>20</v>
      </c>
      <c r="U564" s="4" t="str">
        <f>TEXT(Table1[[#This Row],[Expected Business Month]],"YYYY")</f>
        <v>2025</v>
      </c>
    </row>
    <row r="565" spans="1:21">
      <c r="A565" s="19">
        <v>45797</v>
      </c>
      <c r="B565" s="4" t="s">
        <v>706</v>
      </c>
      <c r="C565" s="4" t="s">
        <v>217</v>
      </c>
      <c r="D565" s="4" t="s">
        <v>195</v>
      </c>
      <c r="E565" s="4" t="s">
        <v>179</v>
      </c>
      <c r="F565" s="4" t="s">
        <v>707</v>
      </c>
      <c r="H565" s="4">
        <v>15926</v>
      </c>
      <c r="I565" s="4">
        <v>15926</v>
      </c>
      <c r="J565" s="31">
        <v>45778</v>
      </c>
      <c r="K565" s="4" t="s">
        <v>220</v>
      </c>
      <c r="L565" s="4" t="s">
        <v>17</v>
      </c>
      <c r="M565" s="4" t="s">
        <v>221</v>
      </c>
      <c r="S565" s="4" t="str">
        <f>TEXT(Table1[[#This Row],[Date]],"MMM-YY")</f>
        <v>May-25</v>
      </c>
      <c r="T565" s="4">
        <f>_xlfn.ISOWEEKNUM(Table1[[#This Row],[Date]])</f>
        <v>21</v>
      </c>
      <c r="U565" s="4" t="str">
        <f>TEXT(Table1[[#This Row],[Expected Business Month]],"YYYY")</f>
        <v>2025</v>
      </c>
    </row>
    <row r="566" spans="1:21">
      <c r="A566" s="19">
        <v>45798</v>
      </c>
      <c r="B566" s="4" t="s">
        <v>760</v>
      </c>
      <c r="C566" s="4" t="s">
        <v>217</v>
      </c>
      <c r="D566" s="4" t="s">
        <v>195</v>
      </c>
      <c r="E566" s="4" t="s">
        <v>179</v>
      </c>
      <c r="F566" s="4" t="s">
        <v>675</v>
      </c>
      <c r="H566" s="4">
        <v>16128</v>
      </c>
      <c r="I566" s="4">
        <v>16128</v>
      </c>
      <c r="J566" s="31">
        <v>45778</v>
      </c>
      <c r="K566" s="4" t="s">
        <v>220</v>
      </c>
      <c r="L566" s="4" t="s">
        <v>17</v>
      </c>
      <c r="M566" s="4" t="s">
        <v>221</v>
      </c>
      <c r="S566" s="4" t="str">
        <f>TEXT(Table1[[#This Row],[Date]],"MMM-YY")</f>
        <v>May-25</v>
      </c>
      <c r="T566" s="4">
        <f>_xlfn.ISOWEEKNUM(Table1[[#This Row],[Date]])</f>
        <v>21</v>
      </c>
      <c r="U566" s="4" t="str">
        <f>TEXT(Table1[[#This Row],[Expected Business Month]],"YYYY")</f>
        <v>2025</v>
      </c>
    </row>
    <row r="567" spans="1:21">
      <c r="A567" s="19">
        <v>45799</v>
      </c>
      <c r="B567" s="4" t="s">
        <v>744</v>
      </c>
      <c r="C567" s="4" t="s">
        <v>217</v>
      </c>
      <c r="D567" s="4" t="s">
        <v>195</v>
      </c>
      <c r="E567" s="4" t="s">
        <v>61</v>
      </c>
      <c r="F567" s="4" t="s">
        <v>745</v>
      </c>
      <c r="H567" s="4">
        <v>20745</v>
      </c>
      <c r="I567" s="4">
        <v>20745</v>
      </c>
      <c r="J567" s="31">
        <v>45778</v>
      </c>
      <c r="K567" s="4" t="s">
        <v>220</v>
      </c>
      <c r="L567" s="4" t="s">
        <v>17</v>
      </c>
      <c r="M567" s="4" t="s">
        <v>221</v>
      </c>
      <c r="S567" s="4" t="str">
        <f>TEXT(Table1[[#This Row],[Date]],"MMM-YY")</f>
        <v>May-25</v>
      </c>
      <c r="T567" s="4">
        <f>_xlfn.ISOWEEKNUM(Table1[[#This Row],[Date]])</f>
        <v>21</v>
      </c>
      <c r="U567" s="4" t="str">
        <f>TEXT(Table1[[#This Row],[Expected Business Month]],"YYYY")</f>
        <v>2025</v>
      </c>
    </row>
    <row r="568" spans="1:21">
      <c r="A568" s="19">
        <v>45803</v>
      </c>
      <c r="B568" s="4" t="s">
        <v>761</v>
      </c>
      <c r="C568" s="4" t="s">
        <v>225</v>
      </c>
      <c r="D568" s="4" t="s">
        <v>195</v>
      </c>
      <c r="E568" s="4" t="s">
        <v>135</v>
      </c>
      <c r="F568" s="4" t="s">
        <v>614</v>
      </c>
      <c r="G568" s="17" t="s">
        <v>586</v>
      </c>
      <c r="H568" s="4">
        <v>1237</v>
      </c>
      <c r="I568" s="4">
        <v>1237</v>
      </c>
      <c r="J568" s="31">
        <v>45778</v>
      </c>
      <c r="K568" s="4" t="s">
        <v>220</v>
      </c>
      <c r="L568" s="4" t="s">
        <v>17</v>
      </c>
      <c r="M568" s="4" t="s">
        <v>221</v>
      </c>
      <c r="P568" s="21"/>
      <c r="S568" s="4" t="str">
        <f>TEXT(Table1[[#This Row],[Date]],"MMM-YY")</f>
        <v>May-25</v>
      </c>
      <c r="T568" s="4">
        <f>_xlfn.ISOWEEKNUM(Table1[[#This Row],[Date]])</f>
        <v>22</v>
      </c>
      <c r="U568" s="4" t="str">
        <f>TEXT(Table1[[#This Row],[Expected Business Month]],"YYYY")</f>
        <v>2025</v>
      </c>
    </row>
    <row r="569" spans="1:21">
      <c r="A569" s="19">
        <v>45804</v>
      </c>
      <c r="B569" s="4" t="s">
        <v>762</v>
      </c>
      <c r="C569" s="4" t="s">
        <v>217</v>
      </c>
      <c r="D569" s="4" t="s">
        <v>195</v>
      </c>
      <c r="E569" s="4" t="s">
        <v>179</v>
      </c>
      <c r="F569" s="4" t="s">
        <v>763</v>
      </c>
      <c r="H569" s="4">
        <v>6879</v>
      </c>
      <c r="I569" s="4">
        <v>6879</v>
      </c>
      <c r="J569" s="31">
        <v>45778</v>
      </c>
      <c r="K569" s="4" t="s">
        <v>220</v>
      </c>
      <c r="L569" s="4" t="s">
        <v>17</v>
      </c>
      <c r="M569" s="4" t="s">
        <v>221</v>
      </c>
      <c r="S569" s="4" t="str">
        <f>TEXT(Table1[[#This Row],[Date]],"MMM-YY")</f>
        <v>May-25</v>
      </c>
      <c r="T569" s="4">
        <f>_xlfn.ISOWEEKNUM(Table1[[#This Row],[Date]])</f>
        <v>22</v>
      </c>
      <c r="U569" s="4" t="str">
        <f>TEXT(Table1[[#This Row],[Expected Business Month]],"YYYY")</f>
        <v>2025</v>
      </c>
    </row>
    <row r="570" spans="1:21">
      <c r="A570" s="19">
        <v>45804</v>
      </c>
      <c r="B570" s="4" t="s">
        <v>764</v>
      </c>
      <c r="C570" s="4" t="s">
        <v>225</v>
      </c>
      <c r="D570" s="4" t="s">
        <v>195</v>
      </c>
      <c r="E570" s="4" t="s">
        <v>135</v>
      </c>
      <c r="F570" s="4" t="s">
        <v>614</v>
      </c>
      <c r="G570" s="17" t="s">
        <v>586</v>
      </c>
      <c r="H570" s="4">
        <v>8376</v>
      </c>
      <c r="I570" s="4">
        <v>8376</v>
      </c>
      <c r="J570" s="31">
        <v>45778</v>
      </c>
      <c r="K570" s="4" t="s">
        <v>220</v>
      </c>
      <c r="L570" s="4" t="s">
        <v>17</v>
      </c>
      <c r="M570" s="4" t="s">
        <v>221</v>
      </c>
      <c r="S570" s="4" t="str">
        <f>TEXT(Table1[[#This Row],[Date]],"MMM-YY")</f>
        <v>May-25</v>
      </c>
      <c r="T570" s="4">
        <f>_xlfn.ISOWEEKNUM(Table1[[#This Row],[Date]])</f>
        <v>22</v>
      </c>
      <c r="U570" s="4" t="str">
        <f>TEXT(Table1[[#This Row],[Expected Business Month]],"YYYY")</f>
        <v>2025</v>
      </c>
    </row>
    <row r="571" spans="1:21">
      <c r="A571" s="19">
        <v>45805</v>
      </c>
      <c r="B571" s="4" t="s">
        <v>765</v>
      </c>
      <c r="C571" s="4" t="s">
        <v>217</v>
      </c>
      <c r="D571" s="4" t="s">
        <v>195</v>
      </c>
      <c r="E571" s="4" t="s">
        <v>179</v>
      </c>
      <c r="F571" s="4" t="s">
        <v>763</v>
      </c>
      <c r="H571" s="4">
        <v>8966</v>
      </c>
      <c r="I571" s="4">
        <v>8966</v>
      </c>
      <c r="J571" s="31">
        <v>45778</v>
      </c>
      <c r="K571" s="4" t="s">
        <v>220</v>
      </c>
      <c r="L571" s="4" t="s">
        <v>17</v>
      </c>
      <c r="M571" s="4" t="s">
        <v>221</v>
      </c>
      <c r="S571" s="4" t="str">
        <f>TEXT(Table1[[#This Row],[Date]],"MMM-YY")</f>
        <v>May-25</v>
      </c>
      <c r="T571" s="4">
        <f>_xlfn.ISOWEEKNUM(Table1[[#This Row],[Date]])</f>
        <v>22</v>
      </c>
      <c r="U571" s="4" t="str">
        <f>TEXT(Table1[[#This Row],[Expected Business Month]],"YYYY")</f>
        <v>2025</v>
      </c>
    </row>
    <row r="572" spans="1:21">
      <c r="A572" s="19">
        <v>45805</v>
      </c>
      <c r="B572" s="4" t="s">
        <v>766</v>
      </c>
      <c r="C572" s="4" t="s">
        <v>225</v>
      </c>
      <c r="D572" s="4" t="s">
        <v>195</v>
      </c>
      <c r="E572" s="4" t="s">
        <v>135</v>
      </c>
      <c r="F572" s="4" t="s">
        <v>614</v>
      </c>
      <c r="G572" s="17" t="s">
        <v>586</v>
      </c>
      <c r="H572" s="4">
        <v>11954</v>
      </c>
      <c r="I572" s="4">
        <v>11954</v>
      </c>
      <c r="J572" s="31">
        <v>45778</v>
      </c>
      <c r="K572" s="4" t="s">
        <v>220</v>
      </c>
      <c r="L572" s="4" t="s">
        <v>17</v>
      </c>
      <c r="M572" s="4" t="s">
        <v>221</v>
      </c>
      <c r="P572" s="21"/>
      <c r="S572" s="4" t="str">
        <f>TEXT(Table1[[#This Row],[Date]],"MMM-YY")</f>
        <v>May-25</v>
      </c>
      <c r="T572" s="4">
        <f>_xlfn.ISOWEEKNUM(Table1[[#This Row],[Date]])</f>
        <v>22</v>
      </c>
      <c r="U572" s="4" t="str">
        <f>TEXT(Table1[[#This Row],[Expected Business Month]],"YYYY")</f>
        <v>2025</v>
      </c>
    </row>
    <row r="573" spans="1:21">
      <c r="A573" s="19">
        <v>45805</v>
      </c>
      <c r="B573" s="4" t="s">
        <v>679</v>
      </c>
      <c r="C573" s="4" t="s">
        <v>225</v>
      </c>
      <c r="D573" s="4" t="s">
        <v>195</v>
      </c>
      <c r="E573" s="4" t="s">
        <v>61</v>
      </c>
      <c r="F573" s="4" t="s">
        <v>333</v>
      </c>
      <c r="G573" s="17" t="s">
        <v>562</v>
      </c>
      <c r="H573" s="4">
        <v>59053</v>
      </c>
      <c r="I573" s="4">
        <v>59053</v>
      </c>
      <c r="J573" s="31">
        <v>45778</v>
      </c>
      <c r="K573" s="4" t="s">
        <v>220</v>
      </c>
      <c r="L573" s="4" t="s">
        <v>17</v>
      </c>
      <c r="M573" s="4" t="s">
        <v>221</v>
      </c>
      <c r="S573" s="4" t="str">
        <f>TEXT(Table1[[#This Row],[Date]],"MMM-YY")</f>
        <v>May-25</v>
      </c>
      <c r="T573" s="4">
        <f>_xlfn.ISOWEEKNUM(Table1[[#This Row],[Date]])</f>
        <v>22</v>
      </c>
      <c r="U573" s="4" t="str">
        <f>TEXT(Table1[[#This Row],[Expected Business Month]],"YYYY")</f>
        <v>2025</v>
      </c>
    </row>
    <row r="574" spans="1:21">
      <c r="A574" s="19">
        <v>45805</v>
      </c>
      <c r="B574" s="4" t="s">
        <v>677</v>
      </c>
      <c r="C574" s="4" t="s">
        <v>225</v>
      </c>
      <c r="D574" s="4" t="s">
        <v>195</v>
      </c>
      <c r="E574" s="4" t="s">
        <v>32</v>
      </c>
      <c r="F574" s="4" t="s">
        <v>561</v>
      </c>
      <c r="G574" s="17" t="s">
        <v>562</v>
      </c>
      <c r="H574" s="4">
        <v>38929</v>
      </c>
      <c r="I574" s="4">
        <v>38929</v>
      </c>
      <c r="J574" s="31">
        <v>45778</v>
      </c>
      <c r="K574" s="4" t="s">
        <v>220</v>
      </c>
      <c r="L574" s="4" t="s">
        <v>17</v>
      </c>
      <c r="M574" s="4" t="s">
        <v>221</v>
      </c>
      <c r="S574" s="4" t="str">
        <f>TEXT(Table1[[#This Row],[Date]],"MMM-YY")</f>
        <v>May-25</v>
      </c>
      <c r="T574" s="4">
        <f>_xlfn.ISOWEEKNUM(Table1[[#This Row],[Date]])</f>
        <v>22</v>
      </c>
      <c r="U574" s="4" t="str">
        <f>TEXT(Table1[[#This Row],[Expected Business Month]],"YYYY")</f>
        <v>2025</v>
      </c>
    </row>
    <row r="575" spans="1:21">
      <c r="A575" s="19">
        <v>45806</v>
      </c>
      <c r="B575" s="4" t="s">
        <v>744</v>
      </c>
      <c r="C575" s="4" t="s">
        <v>217</v>
      </c>
      <c r="D575" s="4" t="s">
        <v>195</v>
      </c>
      <c r="E575" s="4" t="s">
        <v>61</v>
      </c>
      <c r="F575" s="4" t="s">
        <v>745</v>
      </c>
      <c r="H575" s="4">
        <v>19420</v>
      </c>
      <c r="I575" s="4">
        <v>19420</v>
      </c>
      <c r="J575" s="31">
        <v>45778</v>
      </c>
      <c r="K575" s="4" t="s">
        <v>220</v>
      </c>
      <c r="L575" s="4" t="s">
        <v>17</v>
      </c>
      <c r="M575" s="4" t="s">
        <v>221</v>
      </c>
      <c r="S575" s="4" t="str">
        <f>TEXT(Table1[[#This Row],[Date]],"MMM-YY")</f>
        <v>May-25</v>
      </c>
      <c r="T575" s="4">
        <f>_xlfn.ISOWEEKNUM(Table1[[#This Row],[Date]])</f>
        <v>22</v>
      </c>
      <c r="U575" s="4" t="str">
        <f>TEXT(Table1[[#This Row],[Expected Business Month]],"YYYY")</f>
        <v>2025</v>
      </c>
    </row>
    <row r="576" spans="1:21">
      <c r="A576" s="19">
        <v>45806</v>
      </c>
      <c r="B576" s="4" t="s">
        <v>767</v>
      </c>
      <c r="C576" s="4" t="s">
        <v>225</v>
      </c>
      <c r="D576" s="4" t="s">
        <v>195</v>
      </c>
      <c r="E576" s="4" t="s">
        <v>135</v>
      </c>
      <c r="F576" s="4" t="s">
        <v>614</v>
      </c>
      <c r="G576" s="17" t="s">
        <v>586</v>
      </c>
      <c r="H576" s="4">
        <v>6004</v>
      </c>
      <c r="I576" s="4">
        <v>6004</v>
      </c>
      <c r="J576" s="31">
        <v>45778</v>
      </c>
      <c r="K576" s="4" t="s">
        <v>220</v>
      </c>
      <c r="L576" s="4" t="s">
        <v>17</v>
      </c>
      <c r="M576" s="4" t="s">
        <v>221</v>
      </c>
      <c r="P576" s="21"/>
      <c r="S576" s="4" t="str">
        <f>TEXT(Table1[[#This Row],[Date]],"MMM-YY")</f>
        <v>May-25</v>
      </c>
      <c r="T576" s="4">
        <f>_xlfn.ISOWEEKNUM(Table1[[#This Row],[Date]])</f>
        <v>22</v>
      </c>
      <c r="U576" s="4" t="str">
        <f>TEXT(Table1[[#This Row],[Expected Business Month]],"YYYY")</f>
        <v>2025</v>
      </c>
    </row>
    <row r="577" spans="1:21">
      <c r="A577" s="19">
        <v>45806</v>
      </c>
      <c r="B577" s="4" t="s">
        <v>706</v>
      </c>
      <c r="C577" s="4" t="s">
        <v>217</v>
      </c>
      <c r="D577" s="4" t="s">
        <v>195</v>
      </c>
      <c r="E577" s="4" t="s">
        <v>179</v>
      </c>
      <c r="F577" s="4" t="s">
        <v>707</v>
      </c>
      <c r="H577" s="4">
        <v>12400</v>
      </c>
      <c r="I577" s="4">
        <v>12400</v>
      </c>
      <c r="J577" s="31">
        <v>45778</v>
      </c>
      <c r="K577" s="4" t="s">
        <v>220</v>
      </c>
      <c r="L577" s="4" t="s">
        <v>17</v>
      </c>
      <c r="M577" s="4" t="s">
        <v>221</v>
      </c>
      <c r="S577" s="4" t="str">
        <f>TEXT(Table1[[#This Row],[Date]],"MMM-YY")</f>
        <v>May-25</v>
      </c>
      <c r="T577" s="4">
        <f>_xlfn.ISOWEEKNUM(Table1[[#This Row],[Date]])</f>
        <v>22</v>
      </c>
      <c r="U577" s="4" t="str">
        <f>TEXT(Table1[[#This Row],[Expected Business Month]],"YYYY")</f>
        <v>2025</v>
      </c>
    </row>
    <row r="578" spans="1:21">
      <c r="A578" s="19">
        <v>45807</v>
      </c>
      <c r="B578" s="4" t="s">
        <v>768</v>
      </c>
      <c r="C578" s="4" t="s">
        <v>225</v>
      </c>
      <c r="D578" s="4" t="s">
        <v>195</v>
      </c>
      <c r="E578" s="4" t="s">
        <v>135</v>
      </c>
      <c r="F578" s="4" t="s">
        <v>614</v>
      </c>
      <c r="G578" s="17" t="s">
        <v>586</v>
      </c>
      <c r="H578" s="4">
        <v>6200</v>
      </c>
      <c r="I578" s="4">
        <v>6200</v>
      </c>
      <c r="J578" s="31">
        <v>45778</v>
      </c>
      <c r="K578" s="4" t="s">
        <v>220</v>
      </c>
      <c r="L578" s="4" t="s">
        <v>17</v>
      </c>
      <c r="M578" s="4" t="s">
        <v>221</v>
      </c>
      <c r="P578" s="21"/>
      <c r="S578" s="4" t="str">
        <f>TEXT(Table1[[#This Row],[Date]],"MMM-YY")</f>
        <v>May-25</v>
      </c>
      <c r="T578" s="4">
        <f>_xlfn.ISOWEEKNUM(Table1[[#This Row],[Date]])</f>
        <v>22</v>
      </c>
      <c r="U578" s="4" t="str">
        <f>TEXT(Table1[[#This Row],[Expected Business Month]],"YYYY")</f>
        <v>2025</v>
      </c>
    </row>
    <row r="579" spans="1:21">
      <c r="A579" s="19">
        <v>45809</v>
      </c>
      <c r="B579" s="4" t="s">
        <v>769</v>
      </c>
      <c r="C579" s="4" t="s">
        <v>217</v>
      </c>
      <c r="D579" s="4" t="s">
        <v>195</v>
      </c>
      <c r="E579" s="4" t="s">
        <v>61</v>
      </c>
      <c r="F579" s="4" t="s">
        <v>770</v>
      </c>
      <c r="H579" s="4">
        <v>9355</v>
      </c>
      <c r="I579" s="4">
        <v>9355</v>
      </c>
      <c r="J579" s="31">
        <v>45809</v>
      </c>
      <c r="K579" s="4" t="s">
        <v>220</v>
      </c>
      <c r="L579" s="4" t="s">
        <v>17</v>
      </c>
      <c r="M579" s="4" t="s">
        <v>221</v>
      </c>
      <c r="S579" s="4" t="str">
        <f>TEXT(Table1[[#This Row],[Date]],"MMM-YY")</f>
        <v>Jun-25</v>
      </c>
      <c r="T579" s="4">
        <f>_xlfn.ISOWEEKNUM(Table1[[#This Row],[Date]])</f>
        <v>22</v>
      </c>
      <c r="U579" s="4" t="str">
        <f>TEXT(Table1[[#This Row],[Expected Business Month]],"YYYY")</f>
        <v>2025</v>
      </c>
    </row>
    <row r="580" spans="1:21">
      <c r="A580" s="19">
        <v>45811</v>
      </c>
      <c r="B580" s="4" t="s">
        <v>771</v>
      </c>
      <c r="C580" s="4" t="s">
        <v>217</v>
      </c>
      <c r="D580" s="4" t="s">
        <v>195</v>
      </c>
      <c r="E580" s="4" t="s">
        <v>61</v>
      </c>
      <c r="F580" s="4" t="s">
        <v>772</v>
      </c>
      <c r="H580" s="4">
        <v>7430</v>
      </c>
      <c r="I580" s="4">
        <v>7430</v>
      </c>
      <c r="J580" s="31">
        <v>45809</v>
      </c>
      <c r="K580" s="4" t="s">
        <v>220</v>
      </c>
      <c r="L580" s="4" t="s">
        <v>17</v>
      </c>
      <c r="M580" s="4" t="s">
        <v>221</v>
      </c>
      <c r="S580" s="4" t="str">
        <f>TEXT(Table1[[#This Row],[Date]],"MMM-YY")</f>
        <v>Jun-25</v>
      </c>
      <c r="T580" s="4">
        <f>_xlfn.ISOWEEKNUM(Table1[[#This Row],[Date]])</f>
        <v>23</v>
      </c>
      <c r="U580" s="4" t="str">
        <f>TEXT(Table1[[#This Row],[Expected Business Month]],"YYYY")</f>
        <v>2025</v>
      </c>
    </row>
    <row r="581" spans="1:21">
      <c r="A581" s="19">
        <v>45812</v>
      </c>
      <c r="B581" s="4" t="s">
        <v>677</v>
      </c>
      <c r="C581" s="4" t="s">
        <v>225</v>
      </c>
      <c r="D581" s="4" t="s">
        <v>195</v>
      </c>
      <c r="E581" s="4" t="s">
        <v>32</v>
      </c>
      <c r="F581" s="4" t="s">
        <v>561</v>
      </c>
      <c r="G581" s="17" t="s">
        <v>562</v>
      </c>
      <c r="H581" s="4">
        <v>42974</v>
      </c>
      <c r="I581" s="4">
        <v>42974</v>
      </c>
      <c r="J581" s="31">
        <v>45809</v>
      </c>
      <c r="K581" s="4" t="s">
        <v>220</v>
      </c>
      <c r="L581" s="4" t="s">
        <v>17</v>
      </c>
      <c r="M581" s="4" t="s">
        <v>221</v>
      </c>
      <c r="S581" s="4" t="str">
        <f>TEXT(Table1[[#This Row],[Date]],"MMM-YY")</f>
        <v>Jun-25</v>
      </c>
      <c r="T581" s="4">
        <f>_xlfn.ISOWEEKNUM(Table1[[#This Row],[Date]])</f>
        <v>23</v>
      </c>
      <c r="U581" s="4" t="str">
        <f>TEXT(Table1[[#This Row],[Expected Business Month]],"YYYY")</f>
        <v>2025</v>
      </c>
    </row>
    <row r="582" spans="1:21" hidden="1">
      <c r="A582" s="19">
        <v>45813</v>
      </c>
      <c r="B582" s="4" t="s">
        <v>773</v>
      </c>
      <c r="C582" s="4" t="s">
        <v>217</v>
      </c>
      <c r="D582" s="4" t="s">
        <v>195</v>
      </c>
      <c r="E582" s="4" t="s">
        <v>61</v>
      </c>
      <c r="F582" s="4" t="s">
        <v>774</v>
      </c>
      <c r="J582" s="31">
        <v>45809</v>
      </c>
      <c r="K582" s="4" t="s">
        <v>220</v>
      </c>
      <c r="L582" s="4" t="s">
        <v>16</v>
      </c>
      <c r="M582" s="4" t="s">
        <v>538</v>
      </c>
      <c r="S582" s="4" t="str">
        <f>TEXT(Table1[[#This Row],[Date]],"MMM-YY")</f>
        <v>Jun-25</v>
      </c>
      <c r="T582" s="4">
        <f>_xlfn.ISOWEEKNUM(Table1[[#This Row],[Date]])</f>
        <v>23</v>
      </c>
      <c r="U582" s="4" t="str">
        <f>TEXT(Table1[[#This Row],[Expected Business Month]],"YYYY")</f>
        <v>2025</v>
      </c>
    </row>
    <row r="583" spans="1:21">
      <c r="A583" s="19">
        <v>45813</v>
      </c>
      <c r="B583" s="4" t="s">
        <v>744</v>
      </c>
      <c r="C583" s="4" t="s">
        <v>217</v>
      </c>
      <c r="D583" s="4" t="s">
        <v>195</v>
      </c>
      <c r="E583" s="4" t="s">
        <v>61</v>
      </c>
      <c r="F583" s="4" t="s">
        <v>745</v>
      </c>
      <c r="H583" s="4">
        <v>15398</v>
      </c>
      <c r="I583" s="4">
        <v>15398</v>
      </c>
      <c r="J583" s="31">
        <v>45809</v>
      </c>
      <c r="K583" s="4" t="s">
        <v>220</v>
      </c>
      <c r="L583" s="4" t="s">
        <v>17</v>
      </c>
      <c r="M583" s="4" t="s">
        <v>221</v>
      </c>
      <c r="S583" s="4" t="str">
        <f>TEXT(Table1[[#This Row],[Date]],"MMM-YY")</f>
        <v>Jun-25</v>
      </c>
      <c r="T583" s="4">
        <f>_xlfn.ISOWEEKNUM(Table1[[#This Row],[Date]])</f>
        <v>23</v>
      </c>
      <c r="U583" s="4" t="str">
        <f>TEXT(Table1[[#This Row],[Expected Business Month]],"YYYY")</f>
        <v>2025</v>
      </c>
    </row>
    <row r="584" spans="1:21">
      <c r="A584" s="19">
        <v>45818</v>
      </c>
      <c r="B584" s="4" t="s">
        <v>471</v>
      </c>
      <c r="C584" s="4" t="s">
        <v>217</v>
      </c>
      <c r="D584" s="4" t="s">
        <v>195</v>
      </c>
      <c r="E584" s="4" t="s">
        <v>25</v>
      </c>
      <c r="F584" s="4" t="s">
        <v>472</v>
      </c>
      <c r="G584" s="17" t="s">
        <v>431</v>
      </c>
      <c r="H584" s="30">
        <v>43525</v>
      </c>
      <c r="I584" s="30">
        <v>43525</v>
      </c>
      <c r="J584" s="31">
        <v>45809</v>
      </c>
      <c r="K584" s="4" t="s">
        <v>220</v>
      </c>
      <c r="L584" s="4" t="s">
        <v>17</v>
      </c>
      <c r="M584" s="4" t="s">
        <v>221</v>
      </c>
      <c r="S584" s="4" t="str">
        <f>TEXT(Table1[[#This Row],[Date]],"MMM-YY")</f>
        <v>Jun-25</v>
      </c>
      <c r="T584" s="4">
        <f>_xlfn.ISOWEEKNUM(Table1[[#This Row],[Date]])</f>
        <v>24</v>
      </c>
      <c r="U584" s="4" t="str">
        <f>TEXT(Table1[[#This Row],[Expected Business Month]],"YYYY")</f>
        <v>2025</v>
      </c>
    </row>
    <row r="585" spans="1:21">
      <c r="A585" s="19">
        <v>45818</v>
      </c>
      <c r="B585" s="4" t="s">
        <v>775</v>
      </c>
      <c r="C585" s="4" t="s">
        <v>217</v>
      </c>
      <c r="D585" s="4" t="s">
        <v>195</v>
      </c>
      <c r="E585" s="4" t="s">
        <v>179</v>
      </c>
      <c r="F585" s="4" t="s">
        <v>707</v>
      </c>
      <c r="H585" s="4">
        <v>15742</v>
      </c>
      <c r="I585" s="4">
        <v>15742</v>
      </c>
      <c r="J585" s="31">
        <v>45809</v>
      </c>
      <c r="K585" s="4" t="s">
        <v>220</v>
      </c>
      <c r="L585" s="4" t="s">
        <v>17</v>
      </c>
      <c r="M585" s="4" t="s">
        <v>221</v>
      </c>
      <c r="S585" s="4" t="str">
        <f>TEXT(Table1[[#This Row],[Date]],"MMM-YY")</f>
        <v>Jun-25</v>
      </c>
      <c r="T585" s="4">
        <f>_xlfn.ISOWEEKNUM(Table1[[#This Row],[Date]])</f>
        <v>24</v>
      </c>
      <c r="U585" s="4" t="str">
        <f>TEXT(Table1[[#This Row],[Expected Business Month]],"YYYY")</f>
        <v>2025</v>
      </c>
    </row>
    <row r="586" spans="1:21" hidden="1">
      <c r="A586" s="19">
        <v>45819</v>
      </c>
      <c r="B586" s="4" t="s">
        <v>608</v>
      </c>
      <c r="C586" s="4" t="s">
        <v>217</v>
      </c>
      <c r="D586" s="4" t="s">
        <v>195</v>
      </c>
      <c r="E586" s="4" t="s">
        <v>61</v>
      </c>
      <c r="F586" s="4" t="s">
        <v>504</v>
      </c>
      <c r="J586" s="31">
        <v>45809</v>
      </c>
      <c r="K586" s="4" t="s">
        <v>220</v>
      </c>
      <c r="L586" s="4" t="s">
        <v>16</v>
      </c>
      <c r="M586" s="4" t="s">
        <v>538</v>
      </c>
      <c r="S586" s="4" t="str">
        <f>TEXT(Table1[[#This Row],[Date]],"MMM-YY")</f>
        <v>Jun-25</v>
      </c>
      <c r="T586" s="4">
        <f>_xlfn.ISOWEEKNUM(Table1[[#This Row],[Date]])</f>
        <v>24</v>
      </c>
      <c r="U586" s="4" t="str">
        <f>TEXT(Table1[[#This Row],[Expected Business Month]],"YYYY")</f>
        <v>2025</v>
      </c>
    </row>
    <row r="587" spans="1:21">
      <c r="A587" s="19">
        <v>45819</v>
      </c>
      <c r="B587" s="4" t="s">
        <v>765</v>
      </c>
      <c r="C587" s="4" t="s">
        <v>217</v>
      </c>
      <c r="D587" s="4" t="s">
        <v>195</v>
      </c>
      <c r="E587" s="4" t="s">
        <v>179</v>
      </c>
      <c r="F587" s="4" t="s">
        <v>705</v>
      </c>
      <c r="H587" s="4">
        <v>8112</v>
      </c>
      <c r="I587" s="4">
        <v>8112</v>
      </c>
      <c r="J587" s="31">
        <v>45809</v>
      </c>
      <c r="K587" s="4" t="s">
        <v>220</v>
      </c>
      <c r="L587" s="4" t="s">
        <v>17</v>
      </c>
      <c r="M587" s="4" t="s">
        <v>221</v>
      </c>
      <c r="S587" s="4" t="str">
        <f>TEXT(Table1[[#This Row],[Date]],"MMM-YY")</f>
        <v>Jun-25</v>
      </c>
      <c r="T587" s="4">
        <f>_xlfn.ISOWEEKNUM(Table1[[#This Row],[Date]])</f>
        <v>24</v>
      </c>
      <c r="U587" s="4" t="str">
        <f>TEXT(Table1[[#This Row],[Expected Business Month]],"YYYY")</f>
        <v>2025</v>
      </c>
    </row>
    <row r="588" spans="1:21">
      <c r="A588" s="19">
        <v>45819</v>
      </c>
      <c r="B588" s="4" t="s">
        <v>677</v>
      </c>
      <c r="C588" s="4" t="s">
        <v>225</v>
      </c>
      <c r="D588" s="4" t="s">
        <v>195</v>
      </c>
      <c r="E588" s="4" t="s">
        <v>32</v>
      </c>
      <c r="F588" s="4" t="s">
        <v>561</v>
      </c>
      <c r="G588" s="17" t="s">
        <v>562</v>
      </c>
      <c r="H588" s="4">
        <v>28818</v>
      </c>
      <c r="I588" s="4">
        <v>28818</v>
      </c>
      <c r="J588" s="31">
        <v>45809</v>
      </c>
      <c r="K588" s="4" t="s">
        <v>220</v>
      </c>
      <c r="L588" s="4" t="s">
        <v>17</v>
      </c>
      <c r="M588" s="4" t="s">
        <v>221</v>
      </c>
      <c r="S588" s="4" t="str">
        <f>TEXT(Table1[[#This Row],[Date]],"MMM-YY")</f>
        <v>Jun-25</v>
      </c>
      <c r="T588" s="4">
        <f>_xlfn.ISOWEEKNUM(Table1[[#This Row],[Date]])</f>
        <v>24</v>
      </c>
      <c r="U588" s="4" t="str">
        <f>TEXT(Table1[[#This Row],[Expected Business Month]],"YYYY")</f>
        <v>2025</v>
      </c>
    </row>
    <row r="589" spans="1:21">
      <c r="A589" s="19">
        <v>45819</v>
      </c>
      <c r="B589" s="4" t="s">
        <v>679</v>
      </c>
      <c r="C589" s="4" t="s">
        <v>225</v>
      </c>
      <c r="D589" s="4" t="s">
        <v>195</v>
      </c>
      <c r="E589" s="4" t="s">
        <v>61</v>
      </c>
      <c r="F589" s="4" t="s">
        <v>333</v>
      </c>
      <c r="G589" s="17" t="s">
        <v>562</v>
      </c>
      <c r="H589" s="4">
        <v>62072</v>
      </c>
      <c r="I589" s="4">
        <v>62072</v>
      </c>
      <c r="J589" s="31">
        <v>45809</v>
      </c>
      <c r="K589" s="4" t="s">
        <v>220</v>
      </c>
      <c r="L589" s="4" t="s">
        <v>17</v>
      </c>
      <c r="M589" s="4" t="s">
        <v>221</v>
      </c>
      <c r="S589" s="4" t="str">
        <f>TEXT(Table1[[#This Row],[Date]],"MMM-YY")</f>
        <v>Jun-25</v>
      </c>
      <c r="T589" s="4">
        <f>_xlfn.ISOWEEKNUM(Table1[[#This Row],[Date]])</f>
        <v>24</v>
      </c>
      <c r="U589" s="4" t="str">
        <f>TEXT(Table1[[#This Row],[Expected Business Month]],"YYYY")</f>
        <v>2025</v>
      </c>
    </row>
    <row r="590" spans="1:21" hidden="1">
      <c r="A590" s="19">
        <v>45820</v>
      </c>
      <c r="B590" s="4" t="s">
        <v>776</v>
      </c>
      <c r="C590" s="4" t="s">
        <v>225</v>
      </c>
      <c r="D590" s="4" t="s">
        <v>195</v>
      </c>
      <c r="E590" s="4" t="s">
        <v>77</v>
      </c>
      <c r="F590" s="4" t="s">
        <v>777</v>
      </c>
      <c r="G590" s="17" t="s">
        <v>240</v>
      </c>
      <c r="J590" s="31">
        <v>45839</v>
      </c>
      <c r="K590" s="4" t="s">
        <v>220</v>
      </c>
      <c r="L590" s="4" t="s">
        <v>16</v>
      </c>
      <c r="M590" s="4" t="s">
        <v>538</v>
      </c>
      <c r="S590" s="4" t="str">
        <f>TEXT(Table1[[#This Row],[Date]],"MMM-YY")</f>
        <v>Jun-25</v>
      </c>
      <c r="T590" s="4">
        <f>_xlfn.ISOWEEKNUM(Table1[[#This Row],[Date]])</f>
        <v>24</v>
      </c>
      <c r="U590" s="4" t="str">
        <f>TEXT(Table1[[#This Row],[Expected Business Month]],"YYYY")</f>
        <v>2025</v>
      </c>
    </row>
    <row r="591" spans="1:21">
      <c r="A591" s="19">
        <v>45820</v>
      </c>
      <c r="B591" s="4" t="s">
        <v>778</v>
      </c>
      <c r="C591" s="4" t="s">
        <v>217</v>
      </c>
      <c r="D591" s="4" t="s">
        <v>195</v>
      </c>
      <c r="E591" s="4" t="s">
        <v>179</v>
      </c>
      <c r="F591" s="4" t="s">
        <v>763</v>
      </c>
      <c r="H591" s="4">
        <v>12164</v>
      </c>
      <c r="I591" s="4">
        <v>12164</v>
      </c>
      <c r="J591" s="31">
        <v>45809</v>
      </c>
      <c r="K591" s="4" t="s">
        <v>220</v>
      </c>
      <c r="L591" s="4" t="s">
        <v>17</v>
      </c>
      <c r="M591" s="4" t="s">
        <v>221</v>
      </c>
      <c r="S591" s="4" t="str">
        <f>TEXT(Table1[[#This Row],[Date]],"MMM-YY")</f>
        <v>Jun-25</v>
      </c>
      <c r="T591" s="4">
        <f>_xlfn.ISOWEEKNUM(Table1[[#This Row],[Date]])</f>
        <v>24</v>
      </c>
      <c r="U591" s="4" t="str">
        <f>TEXT(Table1[[#This Row],[Expected Business Month]],"YYYY")</f>
        <v>2025</v>
      </c>
    </row>
    <row r="592" spans="1:21">
      <c r="A592" s="19">
        <v>45820</v>
      </c>
      <c r="B592" s="4" t="s">
        <v>744</v>
      </c>
      <c r="C592" s="4" t="s">
        <v>217</v>
      </c>
      <c r="D592" s="4" t="s">
        <v>195</v>
      </c>
      <c r="E592" s="4" t="s">
        <v>61</v>
      </c>
      <c r="F592" s="4" t="s">
        <v>745</v>
      </c>
      <c r="H592" s="4">
        <v>17398</v>
      </c>
      <c r="I592" s="4">
        <v>17398</v>
      </c>
      <c r="J592" s="31">
        <v>45809</v>
      </c>
      <c r="K592" s="4" t="s">
        <v>220</v>
      </c>
      <c r="L592" s="4" t="s">
        <v>17</v>
      </c>
      <c r="M592" s="4" t="s">
        <v>221</v>
      </c>
      <c r="S592" s="4" t="str">
        <f>TEXT(Table1[[#This Row],[Date]],"MMM-YY")</f>
        <v>Jun-25</v>
      </c>
      <c r="T592" s="4">
        <f>_xlfn.ISOWEEKNUM(Table1[[#This Row],[Date]])</f>
        <v>24</v>
      </c>
      <c r="U592" s="4" t="str">
        <f>TEXT(Table1[[#This Row],[Expected Business Month]],"YYYY")</f>
        <v>2025</v>
      </c>
    </row>
    <row r="593" spans="1:21">
      <c r="A593" s="19">
        <v>45821</v>
      </c>
      <c r="B593" s="4" t="s">
        <v>768</v>
      </c>
      <c r="C593" s="4" t="s">
        <v>225</v>
      </c>
      <c r="D593" s="4" t="s">
        <v>195</v>
      </c>
      <c r="E593" s="4" t="s">
        <v>135</v>
      </c>
      <c r="F593" s="4" t="s">
        <v>614</v>
      </c>
      <c r="G593" s="17" t="s">
        <v>586</v>
      </c>
      <c r="H593" s="4">
        <v>8500</v>
      </c>
      <c r="I593" s="4">
        <v>8500</v>
      </c>
      <c r="J593" s="31">
        <v>45809</v>
      </c>
      <c r="K593" s="4" t="s">
        <v>220</v>
      </c>
      <c r="L593" s="4" t="s">
        <v>17</v>
      </c>
      <c r="M593" s="4" t="s">
        <v>221</v>
      </c>
      <c r="S593" s="4" t="str">
        <f>TEXT(Table1[[#This Row],[Date]],"MMM-YY")</f>
        <v>Jun-25</v>
      </c>
      <c r="T593" s="4">
        <f>_xlfn.ISOWEEKNUM(Table1[[#This Row],[Date]])</f>
        <v>24</v>
      </c>
      <c r="U593" s="4" t="str">
        <f>TEXT(Table1[[#This Row],[Expected Business Month]],"YYYY")</f>
        <v>2025</v>
      </c>
    </row>
    <row r="594" spans="1:21" hidden="1">
      <c r="A594" s="19">
        <v>45824</v>
      </c>
      <c r="B594" s="4" t="s">
        <v>779</v>
      </c>
      <c r="C594" s="4" t="s">
        <v>225</v>
      </c>
      <c r="D594" s="4" t="s">
        <v>195</v>
      </c>
      <c r="E594" s="4" t="s">
        <v>61</v>
      </c>
      <c r="F594" s="4" t="s">
        <v>780</v>
      </c>
      <c r="G594" s="17" t="s">
        <v>240</v>
      </c>
      <c r="J594" s="31">
        <v>45839</v>
      </c>
      <c r="K594" s="4" t="s">
        <v>220</v>
      </c>
      <c r="L594" s="4" t="s">
        <v>16</v>
      </c>
      <c r="M594" s="4" t="s">
        <v>538</v>
      </c>
      <c r="S594" s="4" t="str">
        <f>TEXT(Table1[[#This Row],[Date]],"MMM-YY")</f>
        <v>Jun-25</v>
      </c>
      <c r="T594" s="4">
        <f>_xlfn.ISOWEEKNUM(Table1[[#This Row],[Date]])</f>
        <v>25</v>
      </c>
      <c r="U594" s="4" t="str">
        <f>TEXT(Table1[[#This Row],[Expected Business Month]],"YYYY")</f>
        <v>2025</v>
      </c>
    </row>
    <row r="595" spans="1:21" hidden="1">
      <c r="A595" s="19">
        <v>45824</v>
      </c>
      <c r="B595" s="4" t="s">
        <v>292</v>
      </c>
      <c r="C595" s="4" t="s">
        <v>225</v>
      </c>
      <c r="D595" s="4" t="s">
        <v>195</v>
      </c>
      <c r="E595" s="4" t="s">
        <v>12</v>
      </c>
      <c r="F595" s="4" t="s">
        <v>293</v>
      </c>
      <c r="G595" s="17" t="s">
        <v>240</v>
      </c>
      <c r="J595" s="31">
        <v>45839</v>
      </c>
      <c r="K595" s="4" t="s">
        <v>220</v>
      </c>
      <c r="L595" s="4" t="s">
        <v>16</v>
      </c>
      <c r="M595" s="4" t="s">
        <v>538</v>
      </c>
      <c r="S595" s="4" t="str">
        <f>TEXT(Table1[[#This Row],[Date]],"MMM-YY")</f>
        <v>Jun-25</v>
      </c>
      <c r="T595" s="4">
        <f>_xlfn.ISOWEEKNUM(Table1[[#This Row],[Date]])</f>
        <v>25</v>
      </c>
      <c r="U595" s="4" t="str">
        <f>TEXT(Table1[[#This Row],[Expected Business Month]],"YYYY")</f>
        <v>2025</v>
      </c>
    </row>
    <row r="596" spans="1:21">
      <c r="A596" s="19">
        <v>45824</v>
      </c>
      <c r="B596" s="4" t="s">
        <v>764</v>
      </c>
      <c r="C596" s="4" t="s">
        <v>225</v>
      </c>
      <c r="D596" s="4" t="s">
        <v>195</v>
      </c>
      <c r="E596" s="4" t="s">
        <v>135</v>
      </c>
      <c r="F596" s="4" t="s">
        <v>614</v>
      </c>
      <c r="G596" s="17" t="s">
        <v>586</v>
      </c>
      <c r="H596" s="4">
        <v>3087</v>
      </c>
      <c r="I596" s="4">
        <v>3087</v>
      </c>
      <c r="J596" s="31">
        <v>45809</v>
      </c>
      <c r="K596" s="4" t="s">
        <v>220</v>
      </c>
      <c r="L596" s="4" t="s">
        <v>17</v>
      </c>
      <c r="M596" s="4" t="s">
        <v>221</v>
      </c>
      <c r="S596" s="4" t="str">
        <f>TEXT(Table1[[#This Row],[Date]],"MMM-YY")</f>
        <v>Jun-25</v>
      </c>
      <c r="T596" s="4">
        <f>_xlfn.ISOWEEKNUM(Table1[[#This Row],[Date]])</f>
        <v>25</v>
      </c>
      <c r="U596" s="4" t="str">
        <f>TEXT(Table1[[#This Row],[Expected Business Month]],"YYYY")</f>
        <v>2025</v>
      </c>
    </row>
    <row r="597" spans="1:21">
      <c r="A597" s="19">
        <v>45825</v>
      </c>
      <c r="B597" s="4" t="s">
        <v>761</v>
      </c>
      <c r="C597" s="4" t="s">
        <v>225</v>
      </c>
      <c r="D597" s="4" t="s">
        <v>195</v>
      </c>
      <c r="E597" s="4" t="s">
        <v>135</v>
      </c>
      <c r="F597" s="4" t="s">
        <v>614</v>
      </c>
      <c r="G597" s="17" t="s">
        <v>586</v>
      </c>
      <c r="H597" s="4">
        <v>6679</v>
      </c>
      <c r="I597" s="4">
        <v>6679</v>
      </c>
      <c r="J597" s="31">
        <v>45809</v>
      </c>
      <c r="K597" s="4" t="s">
        <v>220</v>
      </c>
      <c r="L597" s="4" t="s">
        <v>17</v>
      </c>
      <c r="M597" s="4" t="s">
        <v>221</v>
      </c>
      <c r="S597" s="4" t="str">
        <f>TEXT(Table1[[#This Row],[Date]],"MMM-YY")</f>
        <v>Jun-25</v>
      </c>
      <c r="T597" s="4">
        <f>_xlfn.ISOWEEKNUM(Table1[[#This Row],[Date]])</f>
        <v>25</v>
      </c>
      <c r="U597" s="4" t="str">
        <f>TEXT(Table1[[#This Row],[Expected Business Month]],"YYYY")</f>
        <v>2025</v>
      </c>
    </row>
    <row r="598" spans="1:21">
      <c r="A598" s="19">
        <v>45825</v>
      </c>
      <c r="B598" s="4" t="s">
        <v>775</v>
      </c>
      <c r="C598" s="4" t="s">
        <v>217</v>
      </c>
      <c r="D598" s="4" t="s">
        <v>195</v>
      </c>
      <c r="E598" s="4" t="s">
        <v>179</v>
      </c>
      <c r="F598" s="4" t="s">
        <v>707</v>
      </c>
      <c r="H598" s="4">
        <v>16958</v>
      </c>
      <c r="I598" s="4">
        <v>16958</v>
      </c>
      <c r="J598" s="31">
        <v>45809</v>
      </c>
      <c r="K598" s="4" t="s">
        <v>220</v>
      </c>
      <c r="L598" s="4" t="s">
        <v>17</v>
      </c>
      <c r="M598" s="4" t="s">
        <v>221</v>
      </c>
      <c r="S598" s="4" t="str">
        <f>TEXT(Table1[[#This Row],[Date]],"MMM-YY")</f>
        <v>Jun-25</v>
      </c>
      <c r="T598" s="4">
        <f>_xlfn.ISOWEEKNUM(Table1[[#This Row],[Date]])</f>
        <v>25</v>
      </c>
      <c r="U598" s="4" t="str">
        <f>TEXT(Table1[[#This Row],[Expected Business Month]],"YYYY")</f>
        <v>2025</v>
      </c>
    </row>
    <row r="599" spans="1:21">
      <c r="A599" s="19">
        <v>45826</v>
      </c>
      <c r="B599" s="4" t="s">
        <v>677</v>
      </c>
      <c r="C599" s="4" t="s">
        <v>225</v>
      </c>
      <c r="D599" s="4" t="s">
        <v>195</v>
      </c>
      <c r="E599" s="4" t="s">
        <v>32</v>
      </c>
      <c r="F599" s="4" t="s">
        <v>561</v>
      </c>
      <c r="G599" s="17" t="s">
        <v>562</v>
      </c>
      <c r="H599" s="4">
        <v>42974</v>
      </c>
      <c r="I599" s="4">
        <v>42974</v>
      </c>
      <c r="J599" s="31">
        <v>45809</v>
      </c>
      <c r="K599" s="4" t="s">
        <v>220</v>
      </c>
      <c r="L599" s="4" t="s">
        <v>17</v>
      </c>
      <c r="M599" s="4" t="s">
        <v>221</v>
      </c>
      <c r="S599" s="4" t="str">
        <f>TEXT(Table1[[#This Row],[Date]],"MMM-YY")</f>
        <v>Jun-25</v>
      </c>
      <c r="T599" s="4">
        <f>_xlfn.ISOWEEKNUM(Table1[[#This Row],[Date]])</f>
        <v>25</v>
      </c>
      <c r="U599" s="4" t="str">
        <f>TEXT(Table1[[#This Row],[Expected Business Month]],"YYYY")</f>
        <v>2025</v>
      </c>
    </row>
    <row r="600" spans="1:21">
      <c r="A600" s="19">
        <v>45826</v>
      </c>
      <c r="B600" s="4" t="s">
        <v>608</v>
      </c>
      <c r="C600" s="4" t="s">
        <v>217</v>
      </c>
      <c r="D600" s="4" t="s">
        <v>195</v>
      </c>
      <c r="E600" s="4" t="s">
        <v>61</v>
      </c>
      <c r="F600" s="4" t="s">
        <v>504</v>
      </c>
      <c r="H600" s="4">
        <v>10080</v>
      </c>
      <c r="I600" s="4">
        <v>10080</v>
      </c>
      <c r="J600" s="31">
        <v>45809</v>
      </c>
      <c r="K600" s="4" t="s">
        <v>220</v>
      </c>
      <c r="L600" s="4" t="s">
        <v>17</v>
      </c>
      <c r="M600" s="4" t="s">
        <v>221</v>
      </c>
      <c r="S600" s="4" t="str">
        <f>TEXT(Table1[[#This Row],[Date]],"MMM-YY")</f>
        <v>Jun-25</v>
      </c>
      <c r="T600" s="4">
        <f>_xlfn.ISOWEEKNUM(Table1[[#This Row],[Date]])</f>
        <v>25</v>
      </c>
      <c r="U600" s="4" t="str">
        <f>TEXT(Table1[[#This Row],[Expected Business Month]],"YYYY")</f>
        <v>2025</v>
      </c>
    </row>
    <row r="601" spans="1:21">
      <c r="A601" s="19">
        <v>45826</v>
      </c>
      <c r="B601" s="4" t="s">
        <v>781</v>
      </c>
      <c r="C601" s="4" t="s">
        <v>225</v>
      </c>
      <c r="D601" s="4" t="s">
        <v>195</v>
      </c>
      <c r="E601" s="4" t="s">
        <v>135</v>
      </c>
      <c r="F601" s="4" t="s">
        <v>614</v>
      </c>
      <c r="G601" s="17" t="s">
        <v>586</v>
      </c>
      <c r="H601" s="4">
        <v>4329</v>
      </c>
      <c r="I601" s="4">
        <v>4329</v>
      </c>
      <c r="J601" s="31">
        <v>45809</v>
      </c>
      <c r="K601" s="4" t="s">
        <v>220</v>
      </c>
      <c r="L601" s="4" t="s">
        <v>17</v>
      </c>
      <c r="M601" s="4" t="s">
        <v>221</v>
      </c>
      <c r="S601" s="4" t="str">
        <f>TEXT(Table1[[#This Row],[Date]],"MMM-YY")</f>
        <v>Jun-25</v>
      </c>
      <c r="T601" s="4">
        <f>_xlfn.ISOWEEKNUM(Table1[[#This Row],[Date]])</f>
        <v>25</v>
      </c>
      <c r="U601" s="4" t="str">
        <f>TEXT(Table1[[#This Row],[Expected Business Month]],"YYYY")</f>
        <v>2025</v>
      </c>
    </row>
    <row r="602" spans="1:21">
      <c r="A602" s="19">
        <v>45826</v>
      </c>
      <c r="B602" s="4" t="s">
        <v>765</v>
      </c>
      <c r="C602" s="4" t="s">
        <v>217</v>
      </c>
      <c r="D602" s="4" t="s">
        <v>195</v>
      </c>
      <c r="E602" s="4" t="s">
        <v>179</v>
      </c>
      <c r="F602" s="4" t="s">
        <v>705</v>
      </c>
      <c r="H602" s="4">
        <v>8331</v>
      </c>
      <c r="I602" s="4">
        <v>8331</v>
      </c>
      <c r="J602" s="31">
        <v>45809</v>
      </c>
      <c r="K602" s="4" t="s">
        <v>220</v>
      </c>
      <c r="L602" s="4" t="s">
        <v>17</v>
      </c>
      <c r="M602" s="4" t="s">
        <v>221</v>
      </c>
      <c r="S602" s="4" t="str">
        <f>TEXT(Table1[[#This Row],[Date]],"MMM-YY")</f>
        <v>Jun-25</v>
      </c>
      <c r="T602" s="4">
        <f>_xlfn.ISOWEEKNUM(Table1[[#This Row],[Date]])</f>
        <v>25</v>
      </c>
      <c r="U602" s="4" t="str">
        <f>TEXT(Table1[[#This Row],[Expected Business Month]],"YYYY")</f>
        <v>2025</v>
      </c>
    </row>
    <row r="603" spans="1:21" hidden="1">
      <c r="A603" s="19">
        <v>45827</v>
      </c>
      <c r="B603" s="4" t="s">
        <v>782</v>
      </c>
      <c r="C603" s="4" t="s">
        <v>225</v>
      </c>
      <c r="D603" s="4" t="s">
        <v>195</v>
      </c>
      <c r="E603" s="4" t="s">
        <v>53</v>
      </c>
      <c r="F603" s="4" t="s">
        <v>783</v>
      </c>
      <c r="G603" s="17" t="s">
        <v>240</v>
      </c>
      <c r="J603" s="31">
        <v>45809</v>
      </c>
      <c r="K603" s="4" t="s">
        <v>220</v>
      </c>
      <c r="L603" s="4" t="s">
        <v>16</v>
      </c>
      <c r="M603" s="4" t="s">
        <v>538</v>
      </c>
      <c r="S603" s="4" t="str">
        <f>TEXT(Table1[[#This Row],[Date]],"MMM-YY")</f>
        <v>Jun-25</v>
      </c>
      <c r="T603" s="4">
        <f>_xlfn.ISOWEEKNUM(Table1[[#This Row],[Date]])</f>
        <v>25</v>
      </c>
      <c r="U603" s="4" t="str">
        <f>TEXT(Table1[[#This Row],[Expected Business Month]],"YYYY")</f>
        <v>2025</v>
      </c>
    </row>
    <row r="604" spans="1:21" hidden="1">
      <c r="A604" s="19">
        <v>45827</v>
      </c>
      <c r="B604" s="4" t="s">
        <v>455</v>
      </c>
      <c r="C604" s="4" t="s">
        <v>225</v>
      </c>
      <c r="D604" s="4" t="s">
        <v>195</v>
      </c>
      <c r="E604" s="4" t="s">
        <v>61</v>
      </c>
      <c r="F604" s="4" t="s">
        <v>456</v>
      </c>
      <c r="G604" s="17" t="s">
        <v>240</v>
      </c>
      <c r="J604" s="31">
        <v>45839</v>
      </c>
      <c r="K604" s="4" t="s">
        <v>220</v>
      </c>
      <c r="L604" s="4" t="s">
        <v>16</v>
      </c>
      <c r="M604" s="4" t="s">
        <v>538</v>
      </c>
      <c r="S604" s="4" t="str">
        <f>TEXT(Table1[[#This Row],[Date]],"MMM-YY")</f>
        <v>Jun-25</v>
      </c>
      <c r="T604" s="4">
        <f>_xlfn.ISOWEEKNUM(Table1[[#This Row],[Date]])</f>
        <v>25</v>
      </c>
      <c r="U604" s="4" t="str">
        <f>TEXT(Table1[[#This Row],[Expected Business Month]],"YYYY")</f>
        <v>2025</v>
      </c>
    </row>
    <row r="605" spans="1:21" hidden="1">
      <c r="A605" s="19">
        <v>45827</v>
      </c>
      <c r="B605" s="4" t="s">
        <v>644</v>
      </c>
      <c r="C605" s="4" t="s">
        <v>225</v>
      </c>
      <c r="D605" s="4" t="s">
        <v>195</v>
      </c>
      <c r="E605" s="4" t="s">
        <v>97</v>
      </c>
      <c r="F605" s="4" t="s">
        <v>645</v>
      </c>
      <c r="G605" s="17" t="s">
        <v>240</v>
      </c>
      <c r="J605" s="31">
        <v>45839</v>
      </c>
      <c r="K605" s="4" t="s">
        <v>220</v>
      </c>
      <c r="L605" s="4" t="s">
        <v>16</v>
      </c>
      <c r="M605" s="4" t="s">
        <v>538</v>
      </c>
      <c r="S605" s="4" t="str">
        <f>TEXT(Table1[[#This Row],[Date]],"MMM-YY")</f>
        <v>Jun-25</v>
      </c>
      <c r="T605" s="4">
        <f>_xlfn.ISOWEEKNUM(Table1[[#This Row],[Date]])</f>
        <v>25</v>
      </c>
      <c r="U605" s="4" t="str">
        <f>TEXT(Table1[[#This Row],[Expected Business Month]],"YYYY")</f>
        <v>2025</v>
      </c>
    </row>
    <row r="606" spans="1:21" hidden="1">
      <c r="A606" s="19">
        <v>45827</v>
      </c>
      <c r="B606" s="4" t="s">
        <v>439</v>
      </c>
      <c r="C606" s="4" t="s">
        <v>225</v>
      </c>
      <c r="D606" s="4" t="s">
        <v>183</v>
      </c>
      <c r="E606" s="4" t="s">
        <v>49</v>
      </c>
      <c r="F606" s="4" t="s">
        <v>417</v>
      </c>
      <c r="G606" s="17" t="s">
        <v>240</v>
      </c>
      <c r="J606" s="31">
        <v>45809</v>
      </c>
      <c r="K606" s="4" t="s">
        <v>220</v>
      </c>
      <c r="L606" s="4" t="s">
        <v>16</v>
      </c>
      <c r="M606" s="4" t="s">
        <v>538</v>
      </c>
      <c r="S606" s="4" t="str">
        <f>TEXT(Table1[[#This Row],[Date]],"MMM-YY")</f>
        <v>Jun-25</v>
      </c>
      <c r="T606" s="4">
        <f>_xlfn.ISOWEEKNUM(Table1[[#This Row],[Date]])</f>
        <v>25</v>
      </c>
      <c r="U606" s="4" t="str">
        <f>TEXT(Table1[[#This Row],[Expected Business Month]],"YYYY")</f>
        <v>2025</v>
      </c>
    </row>
    <row r="607" spans="1:21">
      <c r="A607" s="19">
        <v>45827</v>
      </c>
      <c r="B607" s="4" t="s">
        <v>744</v>
      </c>
      <c r="C607" s="4" t="s">
        <v>217</v>
      </c>
      <c r="D607" s="4" t="s">
        <v>195</v>
      </c>
      <c r="E607" s="4" t="s">
        <v>61</v>
      </c>
      <c r="F607" s="4" t="s">
        <v>745</v>
      </c>
      <c r="H607" s="4">
        <v>15238</v>
      </c>
      <c r="I607" s="4">
        <v>15238</v>
      </c>
      <c r="J607" s="31">
        <v>45809</v>
      </c>
      <c r="K607" s="4" t="s">
        <v>220</v>
      </c>
      <c r="L607" s="4" t="s">
        <v>17</v>
      </c>
      <c r="M607" s="4" t="s">
        <v>221</v>
      </c>
      <c r="S607" s="4" t="str">
        <f>TEXT(Table1[[#This Row],[Date]],"MMM-YY")</f>
        <v>Jun-25</v>
      </c>
      <c r="T607" s="4">
        <f>_xlfn.ISOWEEKNUM(Table1[[#This Row],[Date]])</f>
        <v>25</v>
      </c>
      <c r="U607" s="4" t="str">
        <f>TEXT(Table1[[#This Row],[Expected Business Month]],"YYYY")</f>
        <v>2025</v>
      </c>
    </row>
    <row r="608" spans="1:21">
      <c r="A608" s="19">
        <v>45827</v>
      </c>
      <c r="B608" s="4" t="s">
        <v>769</v>
      </c>
      <c r="C608" s="4" t="s">
        <v>217</v>
      </c>
      <c r="D608" s="4" t="s">
        <v>195</v>
      </c>
      <c r="E608" s="4" t="s">
        <v>61</v>
      </c>
      <c r="F608" s="4" t="s">
        <v>784</v>
      </c>
      <c r="H608" s="4">
        <v>12660</v>
      </c>
      <c r="I608" s="4">
        <v>12660</v>
      </c>
      <c r="J608" s="31">
        <v>45809</v>
      </c>
      <c r="K608" s="4" t="s">
        <v>220</v>
      </c>
      <c r="L608" s="4" t="s">
        <v>17</v>
      </c>
      <c r="M608" s="4" t="s">
        <v>221</v>
      </c>
      <c r="S608" s="4" t="str">
        <f>TEXT(Table1[[#This Row],[Date]],"MMM-YY")</f>
        <v>Jun-25</v>
      </c>
      <c r="T608" s="4">
        <f>_xlfn.ISOWEEKNUM(Table1[[#This Row],[Date]])</f>
        <v>25</v>
      </c>
      <c r="U608" s="4" t="str">
        <f>TEXT(Table1[[#This Row],[Expected Business Month]],"YYYY")</f>
        <v>2025</v>
      </c>
    </row>
    <row r="609" spans="1:21" hidden="1">
      <c r="A609" s="19">
        <v>45828</v>
      </c>
      <c r="B609" s="4" t="s">
        <v>238</v>
      </c>
      <c r="C609" s="4" t="s">
        <v>225</v>
      </c>
      <c r="D609" s="4" t="s">
        <v>195</v>
      </c>
      <c r="E609" s="4" t="s">
        <v>47</v>
      </c>
      <c r="F609" s="4" t="s">
        <v>642</v>
      </c>
      <c r="G609" s="17" t="s">
        <v>785</v>
      </c>
      <c r="J609" s="31">
        <v>45809</v>
      </c>
      <c r="K609" s="4" t="s">
        <v>220</v>
      </c>
      <c r="L609" s="4" t="s">
        <v>16</v>
      </c>
      <c r="M609" s="4" t="s">
        <v>538</v>
      </c>
      <c r="P609" s="21"/>
      <c r="S609" s="4" t="str">
        <f>TEXT(Table1[[#This Row],[Date]],"MMM-YY")</f>
        <v>Jun-25</v>
      </c>
      <c r="T609" s="4">
        <f>_xlfn.ISOWEEKNUM(Table1[[#This Row],[Date]])</f>
        <v>25</v>
      </c>
      <c r="U609" s="4" t="str">
        <f>TEXT(Table1[[#This Row],[Expected Business Month]],"YYYY")</f>
        <v>2025</v>
      </c>
    </row>
    <row r="610" spans="1:21" hidden="1">
      <c r="A610" s="19">
        <v>45828</v>
      </c>
      <c r="B610" s="4" t="s">
        <v>643</v>
      </c>
      <c r="C610" s="4" t="s">
        <v>217</v>
      </c>
      <c r="D610" s="4" t="s">
        <v>195</v>
      </c>
      <c r="E610" s="4" t="s">
        <v>101</v>
      </c>
      <c r="F610" s="4" t="s">
        <v>287</v>
      </c>
      <c r="G610" s="17" t="s">
        <v>240</v>
      </c>
      <c r="J610" s="31">
        <v>45839</v>
      </c>
      <c r="K610" s="4" t="s">
        <v>220</v>
      </c>
      <c r="L610" s="4" t="s">
        <v>16</v>
      </c>
      <c r="M610" s="4" t="s">
        <v>538</v>
      </c>
      <c r="P610" s="21"/>
      <c r="S610" s="4" t="str">
        <f>TEXT(Table1[[#This Row],[Date]],"MMM-YY")</f>
        <v>Jun-25</v>
      </c>
      <c r="T610" s="4">
        <f>_xlfn.ISOWEEKNUM(Table1[[#This Row],[Date]])</f>
        <v>25</v>
      </c>
      <c r="U610" s="4" t="str">
        <f>TEXT(Table1[[#This Row],[Expected Business Month]],"YYYY")</f>
        <v>2025</v>
      </c>
    </row>
    <row r="611" spans="1:21" hidden="1">
      <c r="A611" s="19">
        <v>45828</v>
      </c>
      <c r="B611" s="4" t="s">
        <v>261</v>
      </c>
      <c r="C611" s="4" t="s">
        <v>225</v>
      </c>
      <c r="D611" s="4" t="s">
        <v>195</v>
      </c>
      <c r="E611" s="4" t="s">
        <v>61</v>
      </c>
      <c r="F611" s="4" t="s">
        <v>694</v>
      </c>
      <c r="G611" s="17" t="s">
        <v>786</v>
      </c>
      <c r="J611" s="31">
        <v>45809</v>
      </c>
      <c r="K611" s="4" t="s">
        <v>220</v>
      </c>
      <c r="L611" s="4" t="s">
        <v>16</v>
      </c>
      <c r="M611" s="4" t="s">
        <v>538</v>
      </c>
      <c r="P611" s="21"/>
      <c r="S611" s="4" t="str">
        <f>TEXT(Table1[[#This Row],[Date]],"MMM-YY")</f>
        <v>Jun-25</v>
      </c>
      <c r="T611" s="4">
        <f>_xlfn.ISOWEEKNUM(Table1[[#This Row],[Date]])</f>
        <v>25</v>
      </c>
      <c r="U611" s="4" t="str">
        <f>TEXT(Table1[[#This Row],[Expected Business Month]],"YYYY")</f>
        <v>2025</v>
      </c>
    </row>
    <row r="612" spans="1:21">
      <c r="A612" s="19">
        <v>45828</v>
      </c>
      <c r="B612" s="4" t="s">
        <v>787</v>
      </c>
      <c r="C612" s="4" t="s">
        <v>217</v>
      </c>
      <c r="D612" s="4" t="s">
        <v>195</v>
      </c>
      <c r="E612" s="4" t="s">
        <v>61</v>
      </c>
      <c r="F612" s="4" t="s">
        <v>504</v>
      </c>
      <c r="H612" s="4">
        <v>9702</v>
      </c>
      <c r="I612" s="4">
        <v>9702</v>
      </c>
      <c r="J612" s="31">
        <v>45809</v>
      </c>
      <c r="K612" s="4" t="s">
        <v>220</v>
      </c>
      <c r="L612" s="4" t="s">
        <v>17</v>
      </c>
      <c r="M612" s="4" t="s">
        <v>221</v>
      </c>
      <c r="S612" s="4" t="str">
        <f>TEXT(Table1[[#This Row],[Date]],"MMM-YY")</f>
        <v>Jun-25</v>
      </c>
      <c r="T612" s="4">
        <f>_xlfn.ISOWEEKNUM(Table1[[#This Row],[Date]])</f>
        <v>25</v>
      </c>
      <c r="U612" s="4" t="str">
        <f>TEXT(Table1[[#This Row],[Expected Business Month]],"YYYY")</f>
        <v>2025</v>
      </c>
    </row>
    <row r="613" spans="1:21">
      <c r="A613" s="19">
        <v>45828</v>
      </c>
      <c r="B613" s="4" t="s">
        <v>788</v>
      </c>
      <c r="C613" s="4" t="s">
        <v>217</v>
      </c>
      <c r="D613" s="4" t="s">
        <v>195</v>
      </c>
      <c r="E613" s="4" t="s">
        <v>127</v>
      </c>
      <c r="F613" s="4" t="s">
        <v>789</v>
      </c>
      <c r="H613" s="4">
        <v>7305</v>
      </c>
      <c r="I613" s="4">
        <v>7305</v>
      </c>
      <c r="J613" s="31">
        <v>45809</v>
      </c>
      <c r="K613" s="4" t="s">
        <v>220</v>
      </c>
      <c r="L613" s="4" t="s">
        <v>17</v>
      </c>
      <c r="M613" s="4" t="s">
        <v>221</v>
      </c>
      <c r="S613" s="4" t="str">
        <f>TEXT(Table1[[#This Row],[Date]],"MMM-YY")</f>
        <v>Jun-25</v>
      </c>
      <c r="T613" s="4">
        <f>_xlfn.ISOWEEKNUM(Table1[[#This Row],[Date]])</f>
        <v>25</v>
      </c>
      <c r="U613" s="4" t="str">
        <f>TEXT(Table1[[#This Row],[Expected Business Month]],"YYYY")</f>
        <v>2025</v>
      </c>
    </row>
    <row r="614" spans="1:21">
      <c r="A614" s="19">
        <v>45829</v>
      </c>
      <c r="B614" s="4" t="s">
        <v>608</v>
      </c>
      <c r="C614" s="4" t="s">
        <v>217</v>
      </c>
      <c r="D614" s="4" t="s">
        <v>195</v>
      </c>
      <c r="E614" s="4" t="s">
        <v>61</v>
      </c>
      <c r="F614" s="4" t="s">
        <v>705</v>
      </c>
      <c r="H614" s="4">
        <v>11533</v>
      </c>
      <c r="I614" s="4">
        <v>11533</v>
      </c>
      <c r="J614" s="31">
        <v>45809</v>
      </c>
      <c r="K614" s="4" t="s">
        <v>220</v>
      </c>
      <c r="L614" s="4" t="s">
        <v>17</v>
      </c>
      <c r="M614" s="4" t="s">
        <v>221</v>
      </c>
      <c r="S614" s="4" t="str">
        <f>TEXT(Table1[[#This Row],[Date]],"MMM-YY")</f>
        <v>Jun-25</v>
      </c>
      <c r="T614" s="4">
        <f>_xlfn.ISOWEEKNUM(Table1[[#This Row],[Date]])</f>
        <v>25</v>
      </c>
      <c r="U614" s="4" t="str">
        <f>TEXT(Table1[[#This Row],[Expected Business Month]],"YYYY")</f>
        <v>2025</v>
      </c>
    </row>
    <row r="615" spans="1:21" hidden="1">
      <c r="A615" s="19">
        <v>45830</v>
      </c>
      <c r="B615" s="4" t="s">
        <v>254</v>
      </c>
      <c r="C615" s="4" t="s">
        <v>217</v>
      </c>
      <c r="D615" s="4" t="s">
        <v>195</v>
      </c>
      <c r="E615" s="4" t="s">
        <v>145</v>
      </c>
      <c r="F615" s="4" t="s">
        <v>255</v>
      </c>
      <c r="G615" s="17" t="s">
        <v>240</v>
      </c>
      <c r="J615" s="31">
        <v>45809</v>
      </c>
      <c r="K615" s="4" t="s">
        <v>220</v>
      </c>
      <c r="L615" s="21" t="s">
        <v>16</v>
      </c>
      <c r="M615" s="4" t="s">
        <v>235</v>
      </c>
      <c r="O615" s="20"/>
      <c r="S615" s="4" t="str">
        <f>TEXT(Table1[[#This Row],[Date]],"MMM-YY")</f>
        <v>Jun-25</v>
      </c>
      <c r="T615" s="4">
        <f>_xlfn.ISOWEEKNUM(Table1[[#This Row],[Date]])</f>
        <v>25</v>
      </c>
      <c r="U615" s="4" t="str">
        <f>TEXT(Table1[[#This Row],[Expected Business Month]],"YYYY")</f>
        <v>2025</v>
      </c>
    </row>
    <row r="616" spans="1:21" hidden="1">
      <c r="A616" s="19">
        <v>45830</v>
      </c>
      <c r="B616" s="4" t="s">
        <v>622</v>
      </c>
      <c r="C616" s="4" t="s">
        <v>225</v>
      </c>
      <c r="D616" s="4" t="s">
        <v>195</v>
      </c>
      <c r="E616" s="4" t="s">
        <v>153</v>
      </c>
      <c r="F616" s="4" t="s">
        <v>623</v>
      </c>
      <c r="G616" s="17" t="s">
        <v>240</v>
      </c>
      <c r="J616" s="31">
        <v>45839</v>
      </c>
      <c r="K616" s="4" t="s">
        <v>220</v>
      </c>
      <c r="L616" s="21" t="s">
        <v>16</v>
      </c>
      <c r="M616" s="4" t="s">
        <v>235</v>
      </c>
      <c r="O616" s="20"/>
      <c r="S616" s="4" t="str">
        <f>TEXT(Table1[[#This Row],[Date]],"MMM-YY")</f>
        <v>Jun-25</v>
      </c>
      <c r="T616" s="4">
        <f>_xlfn.ISOWEEKNUM(Table1[[#This Row],[Date]])</f>
        <v>25</v>
      </c>
      <c r="U616" s="4" t="str">
        <f>TEXT(Table1[[#This Row],[Expected Business Month]],"YYYY")</f>
        <v>2025</v>
      </c>
    </row>
    <row r="617" spans="1:21" hidden="1">
      <c r="A617" s="19">
        <v>45831</v>
      </c>
      <c r="B617" s="4" t="s">
        <v>338</v>
      </c>
      <c r="C617" s="4" t="s">
        <v>217</v>
      </c>
      <c r="D617" s="4" t="s">
        <v>183</v>
      </c>
      <c r="E617" s="4" t="s">
        <v>21</v>
      </c>
      <c r="F617" s="4" t="s">
        <v>556</v>
      </c>
      <c r="J617" s="31">
        <v>45809</v>
      </c>
      <c r="K617" s="4" t="s">
        <v>220</v>
      </c>
      <c r="L617" s="4" t="s">
        <v>16</v>
      </c>
      <c r="M617" s="4" t="s">
        <v>538</v>
      </c>
      <c r="S617" s="4" t="str">
        <f>TEXT(Table1[[#This Row],[Date]],"MMM-YY")</f>
        <v>Jun-25</v>
      </c>
      <c r="T617" s="4">
        <f>_xlfn.ISOWEEKNUM(Table1[[#This Row],[Date]])</f>
        <v>26</v>
      </c>
      <c r="U617" s="4" t="str">
        <f>TEXT(Table1[[#This Row],[Expected Business Month]],"YYYY")</f>
        <v>2025</v>
      </c>
    </row>
    <row r="618" spans="1:21" hidden="1">
      <c r="A618" s="19">
        <v>45831</v>
      </c>
      <c r="B618" s="4" t="s">
        <v>684</v>
      </c>
      <c r="C618" s="4" t="s">
        <v>217</v>
      </c>
      <c r="D618" s="4" t="s">
        <v>195</v>
      </c>
      <c r="E618" s="4" t="s">
        <v>139</v>
      </c>
      <c r="F618" s="4" t="s">
        <v>685</v>
      </c>
      <c r="G618" s="17" t="s">
        <v>240</v>
      </c>
      <c r="J618" s="31">
        <v>45839</v>
      </c>
      <c r="K618" s="4" t="s">
        <v>220</v>
      </c>
      <c r="L618" s="21" t="s">
        <v>16</v>
      </c>
      <c r="M618" s="4" t="s">
        <v>538</v>
      </c>
      <c r="P618" s="21"/>
      <c r="S618" s="4" t="str">
        <f>TEXT(Table1[[#This Row],[Date]],"MMM-YY")</f>
        <v>Jun-25</v>
      </c>
      <c r="T618" s="4">
        <f>_xlfn.ISOWEEKNUM(Table1[[#This Row],[Date]])</f>
        <v>26</v>
      </c>
      <c r="U618" s="4" t="str">
        <f>TEXT(Table1[[#This Row],[Expected Business Month]],"YYYY")</f>
        <v>2025</v>
      </c>
    </row>
    <row r="619" spans="1:21" hidden="1">
      <c r="A619" s="19">
        <v>45831</v>
      </c>
      <c r="B619" s="4" t="s">
        <v>790</v>
      </c>
      <c r="C619" s="4" t="s">
        <v>217</v>
      </c>
      <c r="D619" s="4" t="s">
        <v>195</v>
      </c>
      <c r="E619" s="4" t="s">
        <v>61</v>
      </c>
      <c r="F619" s="4" t="s">
        <v>791</v>
      </c>
      <c r="J619" s="31">
        <v>45809</v>
      </c>
      <c r="K619" s="4" t="s">
        <v>220</v>
      </c>
      <c r="L619" s="4" t="s">
        <v>16</v>
      </c>
      <c r="M619" s="4" t="s">
        <v>538</v>
      </c>
      <c r="S619" s="4" t="str">
        <f>TEXT(Table1[[#This Row],[Date]],"MMM-YY")</f>
        <v>Jun-25</v>
      </c>
      <c r="T619" s="4">
        <f>_xlfn.ISOWEEKNUM(Table1[[#This Row],[Date]])</f>
        <v>26</v>
      </c>
      <c r="U619" s="4" t="str">
        <f>TEXT(Table1[[#This Row],[Expected Business Month]],"YYYY")</f>
        <v>2025</v>
      </c>
    </row>
    <row r="620" spans="1:21" hidden="1">
      <c r="A620" s="19">
        <v>45832</v>
      </c>
      <c r="B620" s="4" t="s">
        <v>238</v>
      </c>
      <c r="C620" s="4" t="s">
        <v>225</v>
      </c>
      <c r="D620" s="4" t="s">
        <v>195</v>
      </c>
      <c r="E620" s="4" t="s">
        <v>47</v>
      </c>
      <c r="F620" s="4" t="s">
        <v>642</v>
      </c>
      <c r="G620" s="17" t="s">
        <v>785</v>
      </c>
      <c r="J620" s="31">
        <v>45809</v>
      </c>
      <c r="K620" s="4" t="s">
        <v>220</v>
      </c>
      <c r="L620" s="4" t="s">
        <v>16</v>
      </c>
      <c r="M620" s="4" t="s">
        <v>538</v>
      </c>
      <c r="S620" s="4" t="str">
        <f>TEXT(Table1[[#This Row],[Date]],"MMM-YY")</f>
        <v>Jun-25</v>
      </c>
      <c r="T620" s="4">
        <f>_xlfn.ISOWEEKNUM(Table1[[#This Row],[Date]])</f>
        <v>26</v>
      </c>
      <c r="U620" s="4" t="str">
        <f>TEXT(Table1[[#This Row],[Expected Business Month]],"YYYY")</f>
        <v>2025</v>
      </c>
    </row>
    <row r="621" spans="1:21" hidden="1">
      <c r="A621" s="19">
        <v>45832</v>
      </c>
      <c r="B621" s="4" t="s">
        <v>261</v>
      </c>
      <c r="C621" s="4" t="s">
        <v>225</v>
      </c>
      <c r="D621" s="4" t="s">
        <v>195</v>
      </c>
      <c r="E621" s="4" t="s">
        <v>61</v>
      </c>
      <c r="F621" s="4" t="s">
        <v>694</v>
      </c>
      <c r="G621" s="17" t="s">
        <v>786</v>
      </c>
      <c r="J621" s="31">
        <v>45809</v>
      </c>
      <c r="K621" s="4" t="s">
        <v>220</v>
      </c>
      <c r="L621" s="4" t="s">
        <v>16</v>
      </c>
      <c r="M621" s="4" t="s">
        <v>538</v>
      </c>
      <c r="S621" s="4" t="str">
        <f>TEXT(Table1[[#This Row],[Date]],"MMM-YY")</f>
        <v>Jun-25</v>
      </c>
      <c r="T621" s="4">
        <f>_xlfn.ISOWEEKNUM(Table1[[#This Row],[Date]])</f>
        <v>26</v>
      </c>
      <c r="U621" s="4" t="str">
        <f>TEXT(Table1[[#This Row],[Expected Business Month]],"YYYY")</f>
        <v>2025</v>
      </c>
    </row>
    <row r="622" spans="1:21">
      <c r="A622" s="19">
        <v>45832</v>
      </c>
      <c r="B622" s="4" t="s">
        <v>263</v>
      </c>
      <c r="C622" s="4" t="s">
        <v>217</v>
      </c>
      <c r="D622" s="4" t="s">
        <v>183</v>
      </c>
      <c r="E622" s="4" t="s">
        <v>181</v>
      </c>
      <c r="F622" s="4" t="s">
        <v>754</v>
      </c>
      <c r="H622" s="4">
        <v>23874</v>
      </c>
      <c r="I622" s="4">
        <v>23874</v>
      </c>
      <c r="J622" s="31">
        <v>45809</v>
      </c>
      <c r="K622" s="4" t="s">
        <v>220</v>
      </c>
      <c r="L622" s="4" t="s">
        <v>17</v>
      </c>
      <c r="M622" s="4" t="s">
        <v>235</v>
      </c>
      <c r="S622" s="4" t="str">
        <f>TEXT(Table1[[#This Row],[Date]],"MMM-YY")</f>
        <v>Jun-25</v>
      </c>
      <c r="T622" s="4">
        <f>_xlfn.ISOWEEKNUM(Table1[[#This Row],[Date]])</f>
        <v>26</v>
      </c>
      <c r="U622" s="4" t="str">
        <f>TEXT(Table1[[#This Row],[Expected Business Month]],"YYYY")</f>
        <v>2025</v>
      </c>
    </row>
    <row r="623" spans="1:21" hidden="1">
      <c r="A623" s="19">
        <v>45832</v>
      </c>
      <c r="B623" s="4" t="s">
        <v>792</v>
      </c>
      <c r="C623" s="4" t="s">
        <v>217</v>
      </c>
      <c r="D623" s="4" t="s">
        <v>195</v>
      </c>
      <c r="E623" s="4" t="s">
        <v>21</v>
      </c>
      <c r="F623" s="4" t="s">
        <v>793</v>
      </c>
      <c r="J623" s="31">
        <v>45809</v>
      </c>
      <c r="K623" s="4" t="s">
        <v>220</v>
      </c>
      <c r="L623" s="4" t="s">
        <v>16</v>
      </c>
      <c r="M623" s="4" t="s">
        <v>538</v>
      </c>
      <c r="S623" s="4" t="str">
        <f>TEXT(Table1[[#This Row],[Date]],"MMM-YY")</f>
        <v>Jun-25</v>
      </c>
      <c r="T623" s="4">
        <f>_xlfn.ISOWEEKNUM(Table1[[#This Row],[Date]])</f>
        <v>26</v>
      </c>
      <c r="U623" s="4" t="str">
        <f>TEXT(Table1[[#This Row],[Expected Business Month]],"YYYY")</f>
        <v>2025</v>
      </c>
    </row>
    <row r="624" spans="1:21" hidden="1">
      <c r="A624" s="19">
        <v>45833</v>
      </c>
      <c r="B624" s="4" t="s">
        <v>794</v>
      </c>
      <c r="C624" s="4" t="s">
        <v>217</v>
      </c>
      <c r="D624" s="4" t="s">
        <v>195</v>
      </c>
      <c r="E624" s="4" t="s">
        <v>61</v>
      </c>
      <c r="F624" s="4" t="s">
        <v>534</v>
      </c>
      <c r="J624" s="31">
        <v>45809</v>
      </c>
      <c r="K624" s="4" t="s">
        <v>220</v>
      </c>
      <c r="L624" s="4" t="s">
        <v>16</v>
      </c>
      <c r="M624" s="4" t="s">
        <v>538</v>
      </c>
      <c r="S624" s="4" t="str">
        <f>TEXT(Table1[[#This Row],[Date]],"MMM-YY")</f>
        <v>Jun-25</v>
      </c>
      <c r="T624" s="4">
        <f>_xlfn.ISOWEEKNUM(Table1[[#This Row],[Date]])</f>
        <v>26</v>
      </c>
      <c r="U624" s="4" t="str">
        <f>TEXT(Table1[[#This Row],[Expected Business Month]],"YYYY")</f>
        <v>2025</v>
      </c>
    </row>
    <row r="625" spans="1:21" hidden="1">
      <c r="A625" s="19">
        <v>45834</v>
      </c>
      <c r="B625" s="4" t="s">
        <v>792</v>
      </c>
      <c r="C625" s="4" t="s">
        <v>217</v>
      </c>
      <c r="D625" s="4" t="s">
        <v>183</v>
      </c>
      <c r="E625" s="4" t="s">
        <v>21</v>
      </c>
      <c r="F625" s="4" t="s">
        <v>793</v>
      </c>
      <c r="J625" s="31">
        <v>45809</v>
      </c>
      <c r="K625" s="4" t="s">
        <v>220</v>
      </c>
      <c r="L625" s="4" t="s">
        <v>16</v>
      </c>
      <c r="M625" s="4" t="s">
        <v>538</v>
      </c>
      <c r="S625" s="4" t="str">
        <f>TEXT(Table1[[#This Row],[Date]],"MMM-YY")</f>
        <v>Jun-25</v>
      </c>
      <c r="T625" s="4">
        <f>_xlfn.ISOWEEKNUM(Table1[[#This Row],[Date]])</f>
        <v>26</v>
      </c>
      <c r="U625" s="4" t="str">
        <f>TEXT(Table1[[#This Row],[Expected Business Month]],"YYYY")</f>
        <v>2025</v>
      </c>
    </row>
    <row r="626" spans="1:21">
      <c r="A626" s="19">
        <v>45834</v>
      </c>
      <c r="B626" s="4" t="s">
        <v>744</v>
      </c>
      <c r="C626" s="4" t="s">
        <v>217</v>
      </c>
      <c r="D626" s="4" t="s">
        <v>195</v>
      </c>
      <c r="E626" s="4" t="s">
        <v>61</v>
      </c>
      <c r="F626" s="4" t="s">
        <v>745</v>
      </c>
      <c r="H626" s="4">
        <v>14095</v>
      </c>
      <c r="I626" s="4">
        <v>14095</v>
      </c>
      <c r="J626" s="31">
        <v>45809</v>
      </c>
      <c r="K626" s="4" t="s">
        <v>220</v>
      </c>
      <c r="L626" s="4" t="s">
        <v>17</v>
      </c>
      <c r="M626" s="4" t="s">
        <v>221</v>
      </c>
      <c r="S626" s="4" t="str">
        <f>TEXT(Table1[[#This Row],[Date]],"MMM-YY")</f>
        <v>Jun-25</v>
      </c>
      <c r="T626" s="4">
        <f>_xlfn.ISOWEEKNUM(Table1[[#This Row],[Date]])</f>
        <v>26</v>
      </c>
      <c r="U626" s="4" t="str">
        <f>TEXT(Table1[[#This Row],[Expected Business Month]],"YYYY")</f>
        <v>2025</v>
      </c>
    </row>
    <row r="627" spans="1:21">
      <c r="A627" s="19">
        <v>45836</v>
      </c>
      <c r="B627" s="4" t="s">
        <v>795</v>
      </c>
      <c r="C627" s="4" t="s">
        <v>225</v>
      </c>
      <c r="D627" s="4" t="s">
        <v>195</v>
      </c>
      <c r="E627" s="4" t="s">
        <v>185</v>
      </c>
      <c r="F627" s="4" t="s">
        <v>796</v>
      </c>
      <c r="G627" s="17" t="s">
        <v>431</v>
      </c>
      <c r="H627" s="30">
        <v>9010</v>
      </c>
      <c r="I627" s="30">
        <v>9010</v>
      </c>
      <c r="J627" s="31">
        <v>45809</v>
      </c>
      <c r="K627" s="4" t="s">
        <v>220</v>
      </c>
      <c r="L627" s="4" t="s">
        <v>17</v>
      </c>
      <c r="M627" s="4" t="s">
        <v>221</v>
      </c>
      <c r="S627" s="4" t="str">
        <f>TEXT(Table1[[#This Row],[Date]],"MMM-YY")</f>
        <v>Jun-25</v>
      </c>
      <c r="T627" s="4">
        <f>_xlfn.ISOWEEKNUM(Table1[[#This Row],[Date]])</f>
        <v>26</v>
      </c>
      <c r="U627" s="4" t="str">
        <f>TEXT(Table1[[#This Row],[Expected Business Month]],"YYYY")</f>
        <v>2025</v>
      </c>
    </row>
    <row r="628" spans="1:21">
      <c r="A628" s="19">
        <v>45838</v>
      </c>
      <c r="B628" s="4" t="s">
        <v>471</v>
      </c>
      <c r="C628" s="4" t="s">
        <v>217</v>
      </c>
      <c r="D628" s="4" t="s">
        <v>195</v>
      </c>
      <c r="E628" s="4" t="s">
        <v>25</v>
      </c>
      <c r="F628" s="4" t="s">
        <v>472</v>
      </c>
      <c r="G628" s="17" t="s">
        <v>431</v>
      </c>
      <c r="H628" s="30">
        <v>43525</v>
      </c>
      <c r="I628" s="30">
        <v>43525</v>
      </c>
      <c r="J628" s="31">
        <v>45809</v>
      </c>
      <c r="K628" s="4" t="s">
        <v>220</v>
      </c>
      <c r="L628" s="4" t="s">
        <v>17</v>
      </c>
      <c r="M628" s="4" t="s">
        <v>221</v>
      </c>
      <c r="S628" s="4" t="str">
        <f>TEXT(Table1[[#This Row],[Date]],"MMM-YY")</f>
        <v>Jun-25</v>
      </c>
      <c r="T628" s="4">
        <f>_xlfn.ISOWEEKNUM(Table1[[#This Row],[Date]])</f>
        <v>27</v>
      </c>
      <c r="U628" s="4" t="str">
        <f>TEXT(Table1[[#This Row],[Expected Business Month]],"YYYY")</f>
        <v>2025</v>
      </c>
    </row>
    <row r="629" spans="1:21" hidden="1">
      <c r="A629" s="19">
        <v>45838</v>
      </c>
      <c r="B629" s="4" t="s">
        <v>344</v>
      </c>
      <c r="C629" s="4" t="s">
        <v>217</v>
      </c>
      <c r="D629" s="4" t="s">
        <v>195</v>
      </c>
      <c r="E629" s="4" t="s">
        <v>61</v>
      </c>
      <c r="F629" s="4" t="s">
        <v>797</v>
      </c>
      <c r="G629" s="17" t="s">
        <v>431</v>
      </c>
      <c r="H629" s="30"/>
      <c r="I629" s="30"/>
      <c r="J629" s="31">
        <v>45839</v>
      </c>
      <c r="K629" s="4" t="s">
        <v>220</v>
      </c>
      <c r="L629" s="4" t="s">
        <v>27</v>
      </c>
      <c r="M629" s="4" t="s">
        <v>235</v>
      </c>
      <c r="S629" s="4" t="str">
        <f>TEXT(Table1[[#This Row],[Date]],"MMM-YY")</f>
        <v>Jun-25</v>
      </c>
      <c r="T629" s="4">
        <f>_xlfn.ISOWEEKNUM(Table1[[#This Row],[Date]])</f>
        <v>27</v>
      </c>
      <c r="U629" s="4" t="str">
        <f>TEXT(Table1[[#This Row],[Expected Business Month]],"YYYY")</f>
        <v>2025</v>
      </c>
    </row>
    <row r="630" spans="1:21">
      <c r="A630" s="19">
        <v>45838</v>
      </c>
      <c r="B630" s="4" t="s">
        <v>732</v>
      </c>
      <c r="C630" s="4" t="s">
        <v>217</v>
      </c>
      <c r="D630" s="4" t="s">
        <v>195</v>
      </c>
      <c r="E630" s="4" t="s">
        <v>129</v>
      </c>
      <c r="F630" s="4" t="s">
        <v>303</v>
      </c>
      <c r="H630" s="4">
        <v>80000</v>
      </c>
      <c r="I630" s="4">
        <v>80000</v>
      </c>
      <c r="J630" s="31">
        <v>45839</v>
      </c>
      <c r="K630" s="4" t="s">
        <v>220</v>
      </c>
      <c r="L630" s="4" t="s">
        <v>17</v>
      </c>
      <c r="M630" s="4" t="s">
        <v>235</v>
      </c>
      <c r="S630" s="4" t="str">
        <f>TEXT(Table1[[#This Row],[Date]],"MMM-YY")</f>
        <v>Jun-25</v>
      </c>
      <c r="T630" s="4">
        <f>_xlfn.ISOWEEKNUM(Table1[[#This Row],[Date]])</f>
        <v>27</v>
      </c>
      <c r="U630" s="4" t="str">
        <f>TEXT(Table1[[#This Row],[Expected Business Month]],"YYYY")</f>
        <v>2025</v>
      </c>
    </row>
    <row r="631" spans="1:21">
      <c r="A631" s="19">
        <v>45839</v>
      </c>
      <c r="B631" s="4" t="s">
        <v>775</v>
      </c>
      <c r="C631" s="4" t="s">
        <v>217</v>
      </c>
      <c r="D631" s="4" t="s">
        <v>195</v>
      </c>
      <c r="E631" s="4" t="s">
        <v>179</v>
      </c>
      <c r="F631" s="4" t="s">
        <v>707</v>
      </c>
      <c r="H631" s="4">
        <v>17430</v>
      </c>
      <c r="I631" s="4">
        <v>17430</v>
      </c>
      <c r="J631" s="31">
        <v>45839</v>
      </c>
      <c r="K631" s="4" t="s">
        <v>220</v>
      </c>
      <c r="L631" s="4" t="s">
        <v>17</v>
      </c>
      <c r="M631" s="4" t="s">
        <v>235</v>
      </c>
      <c r="S631" s="4" t="str">
        <f>TEXT(Table1[[#This Row],[Date]],"MMM-YY")</f>
        <v>Jul-25</v>
      </c>
      <c r="T631" s="4">
        <f>_xlfn.ISOWEEKNUM(Table1[[#This Row],[Date]])</f>
        <v>27</v>
      </c>
      <c r="U631" s="4" t="str">
        <f>TEXT(Table1[[#This Row],[Expected Business Month]],"YYYY")</f>
        <v>2025</v>
      </c>
    </row>
    <row r="632" spans="1:21">
      <c r="A632" s="19">
        <v>45839</v>
      </c>
      <c r="B632" s="4" t="s">
        <v>764</v>
      </c>
      <c r="C632" s="4" t="s">
        <v>225</v>
      </c>
      <c r="D632" s="4" t="s">
        <v>195</v>
      </c>
      <c r="E632" s="4" t="s">
        <v>135</v>
      </c>
      <c r="F632" s="4" t="s">
        <v>798</v>
      </c>
      <c r="H632" s="4">
        <v>3087</v>
      </c>
      <c r="I632" s="4">
        <v>3087</v>
      </c>
      <c r="J632" s="31">
        <v>45839</v>
      </c>
      <c r="K632" s="4" t="s">
        <v>220</v>
      </c>
      <c r="L632" s="4" t="s">
        <v>17</v>
      </c>
      <c r="M632" s="4" t="s">
        <v>235</v>
      </c>
      <c r="O632" s="4" t="s">
        <v>799</v>
      </c>
      <c r="P632" s="4" t="s">
        <v>800</v>
      </c>
      <c r="S632" s="4" t="str">
        <f>TEXT(Table1[[#This Row],[Date]],"MMM-YY")</f>
        <v>Jul-25</v>
      </c>
      <c r="T632" s="4">
        <f>_xlfn.ISOWEEKNUM(Table1[[#This Row],[Date]])</f>
        <v>27</v>
      </c>
      <c r="U632" s="4" t="str">
        <f>TEXT(Table1[[#This Row],[Date]],"YYYY")</f>
        <v>2025</v>
      </c>
    </row>
    <row r="633" spans="1:21" hidden="1">
      <c r="A633" s="19">
        <v>45840</v>
      </c>
      <c r="B633" s="4" t="s">
        <v>469</v>
      </c>
      <c r="C633" s="4" t="s">
        <v>217</v>
      </c>
      <c r="D633" s="4" t="s">
        <v>183</v>
      </c>
      <c r="E633" s="4" t="s">
        <v>21</v>
      </c>
      <c r="F633" s="4" t="s">
        <v>801</v>
      </c>
      <c r="J633" s="31">
        <v>45839</v>
      </c>
      <c r="K633" s="4" t="s">
        <v>220</v>
      </c>
      <c r="L633" s="4" t="s">
        <v>16</v>
      </c>
      <c r="M633" s="4" t="s">
        <v>538</v>
      </c>
      <c r="S633" s="4" t="str">
        <f>TEXT(Table1[[#This Row],[Date]],"MMM-YY")</f>
        <v>Jul-25</v>
      </c>
      <c r="T633" s="4">
        <f>_xlfn.ISOWEEKNUM(Table1[[#This Row],[Date]])</f>
        <v>27</v>
      </c>
      <c r="U633" s="4" t="str">
        <f>TEXT(Table1[[#This Row],[Expected Business Month]],"YYYY")</f>
        <v>2025</v>
      </c>
    </row>
    <row r="634" spans="1:21" hidden="1">
      <c r="A634" s="19">
        <v>45840</v>
      </c>
      <c r="B634" s="4" t="s">
        <v>360</v>
      </c>
      <c r="C634" s="4" t="s">
        <v>217</v>
      </c>
      <c r="D634" s="4" t="s">
        <v>195</v>
      </c>
      <c r="E634" s="4" t="s">
        <v>179</v>
      </c>
      <c r="F634" s="4" t="s">
        <v>361</v>
      </c>
      <c r="J634" s="31">
        <v>45839</v>
      </c>
      <c r="K634" s="4" t="s">
        <v>220</v>
      </c>
      <c r="L634" s="4" t="s">
        <v>16</v>
      </c>
      <c r="M634" s="4" t="s">
        <v>538</v>
      </c>
      <c r="S634" s="4" t="str">
        <f>TEXT(Table1[[#This Row],[Date]],"MMM-YY")</f>
        <v>Jul-25</v>
      </c>
      <c r="T634" s="4">
        <f>_xlfn.ISOWEEKNUM(Table1[[#This Row],[Date]])</f>
        <v>27</v>
      </c>
      <c r="U634" s="4" t="str">
        <f>TEXT(Table1[[#This Row],[Expected Business Month]],"YYYY")</f>
        <v>2025</v>
      </c>
    </row>
    <row r="635" spans="1:21">
      <c r="A635" s="19">
        <v>45840</v>
      </c>
      <c r="B635" s="4" t="s">
        <v>344</v>
      </c>
      <c r="C635" s="4" t="s">
        <v>217</v>
      </c>
      <c r="D635" s="4" t="s">
        <v>195</v>
      </c>
      <c r="E635" s="4" t="s">
        <v>61</v>
      </c>
      <c r="F635" s="4" t="s">
        <v>797</v>
      </c>
      <c r="H635" s="30">
        <v>33400</v>
      </c>
      <c r="I635" s="30">
        <v>33400</v>
      </c>
      <c r="J635" s="31">
        <v>45839</v>
      </c>
      <c r="K635" s="4" t="s">
        <v>220</v>
      </c>
      <c r="L635" s="4" t="s">
        <v>17</v>
      </c>
      <c r="M635" s="4" t="s">
        <v>235</v>
      </c>
      <c r="O635" s="4" t="s">
        <v>799</v>
      </c>
      <c r="P635" s="4" t="s">
        <v>800</v>
      </c>
      <c r="S635" s="4" t="str">
        <f>TEXT(Table1[[#This Row],[Date]],"MMM-YY")</f>
        <v>Jul-25</v>
      </c>
      <c r="T635" s="4">
        <f>_xlfn.ISOWEEKNUM(Table1[[#This Row],[Date]])</f>
        <v>27</v>
      </c>
      <c r="U635" s="4" t="str">
        <f>TEXT(Table1[[#This Row],[Date]],"YYYY")</f>
        <v>2025</v>
      </c>
    </row>
    <row r="636" spans="1:21">
      <c r="A636" s="19">
        <v>45840</v>
      </c>
      <c r="B636" s="4" t="s">
        <v>263</v>
      </c>
      <c r="C636" s="4" t="s">
        <v>217</v>
      </c>
      <c r="D636" s="4" t="s">
        <v>183</v>
      </c>
      <c r="E636" s="4" t="s">
        <v>181</v>
      </c>
      <c r="F636" s="4" t="s">
        <v>754</v>
      </c>
      <c r="H636" s="4">
        <v>11799</v>
      </c>
      <c r="I636" s="4">
        <v>11799</v>
      </c>
      <c r="J636" s="31">
        <v>45839</v>
      </c>
      <c r="K636" s="4" t="s">
        <v>234</v>
      </c>
      <c r="L636" s="4" t="s">
        <v>17</v>
      </c>
      <c r="M636" s="4" t="s">
        <v>235</v>
      </c>
      <c r="S636" s="4" t="str">
        <f>TEXT(Table1[[#This Row],[Date]],"MMM-YY")</f>
        <v>Jul-25</v>
      </c>
      <c r="T636" s="4">
        <f>_xlfn.ISOWEEKNUM(Table1[[#This Row],[Date]])</f>
        <v>27</v>
      </c>
      <c r="U636" s="4" t="str">
        <f>TEXT(Table1[[#This Row],[Date]],"YYYY")</f>
        <v>2025</v>
      </c>
    </row>
    <row r="637" spans="1:21">
      <c r="A637" s="19">
        <v>45840</v>
      </c>
      <c r="B637" s="4" t="s">
        <v>778</v>
      </c>
      <c r="C637" s="4" t="s">
        <v>217</v>
      </c>
      <c r="D637" s="4" t="s">
        <v>195</v>
      </c>
      <c r="E637" s="4" t="s">
        <v>179</v>
      </c>
      <c r="F637" s="4" t="s">
        <v>763</v>
      </c>
      <c r="H637" s="4">
        <v>9418</v>
      </c>
      <c r="I637" s="4">
        <v>9418</v>
      </c>
      <c r="J637" s="31">
        <v>45839</v>
      </c>
      <c r="K637" s="4" t="s">
        <v>220</v>
      </c>
      <c r="L637" s="4" t="s">
        <v>17</v>
      </c>
      <c r="M637" s="4" t="s">
        <v>235</v>
      </c>
      <c r="O637" s="4" t="s">
        <v>799</v>
      </c>
      <c r="P637" s="4" t="s">
        <v>800</v>
      </c>
      <c r="S637" s="4" t="str">
        <f>TEXT(Table1[[#This Row],[Date]],"MMM-YY")</f>
        <v>Jul-25</v>
      </c>
      <c r="T637" s="4">
        <f>_xlfn.ISOWEEKNUM(Table1[[#This Row],[Date]])</f>
        <v>27</v>
      </c>
      <c r="U637" s="4" t="str">
        <f>TEXT(Table1[[#This Row],[Date]],"YYYY")</f>
        <v>2025</v>
      </c>
    </row>
    <row r="638" spans="1:21" hidden="1">
      <c r="A638" s="19">
        <v>45840</v>
      </c>
      <c r="B638" s="4" t="s">
        <v>335</v>
      </c>
      <c r="C638" s="4" t="s">
        <v>225</v>
      </c>
      <c r="D638" s="4" t="s">
        <v>183</v>
      </c>
      <c r="E638" s="4" t="s">
        <v>21</v>
      </c>
      <c r="F638" s="4" t="s">
        <v>336</v>
      </c>
      <c r="G638" s="17" t="s">
        <v>240</v>
      </c>
      <c r="J638" s="31">
        <v>45809</v>
      </c>
      <c r="K638" s="4" t="s">
        <v>220</v>
      </c>
      <c r="L638" s="4" t="s">
        <v>16</v>
      </c>
      <c r="M638" s="4" t="s">
        <v>538</v>
      </c>
      <c r="S638" s="4" t="str">
        <f>TEXT(Table1[[#This Row],[Date]],"MMM-YY")</f>
        <v>Jul-25</v>
      </c>
      <c r="T638" s="4">
        <f>_xlfn.ISOWEEKNUM(Table1[[#This Row],[Date]])</f>
        <v>27</v>
      </c>
      <c r="U638" s="4" t="str">
        <f>TEXT(Table1[[#This Row],[Expected Business Month]],"YYYY")</f>
        <v>2025</v>
      </c>
    </row>
    <row r="639" spans="1:21" hidden="1">
      <c r="A639" s="19">
        <v>45841</v>
      </c>
      <c r="B639" s="4" t="s">
        <v>261</v>
      </c>
      <c r="C639" s="4" t="s">
        <v>217</v>
      </c>
      <c r="D639" s="4" t="s">
        <v>195</v>
      </c>
      <c r="E639" s="4" t="s">
        <v>61</v>
      </c>
      <c r="F639" s="4" t="s">
        <v>599</v>
      </c>
      <c r="G639" s="17" t="s">
        <v>240</v>
      </c>
      <c r="J639" s="31">
        <v>45839</v>
      </c>
      <c r="K639" s="4" t="s">
        <v>220</v>
      </c>
      <c r="L639" s="4" t="s">
        <v>16</v>
      </c>
      <c r="M639" s="4" t="s">
        <v>538</v>
      </c>
      <c r="S639" s="4" t="str">
        <f>TEXT(Table1[[#This Row],[Date]],"MMM-YY")</f>
        <v>Jul-25</v>
      </c>
      <c r="T639" s="4">
        <f>_xlfn.ISOWEEKNUM(Table1[[#This Row],[Date]])</f>
        <v>27</v>
      </c>
      <c r="U639" s="4" t="str">
        <f>TEXT(Table1[[#This Row],[Date]],"YYYY")</f>
        <v>2025</v>
      </c>
    </row>
    <row r="640" spans="1:21" hidden="1">
      <c r="A640" s="19">
        <v>45841</v>
      </c>
      <c r="B640" s="4" t="s">
        <v>526</v>
      </c>
      <c r="C640" s="4" t="s">
        <v>217</v>
      </c>
      <c r="D640" s="4" t="s">
        <v>195</v>
      </c>
      <c r="E640" s="4" t="s">
        <v>131</v>
      </c>
      <c r="F640" s="4" t="s">
        <v>527</v>
      </c>
      <c r="J640" s="31">
        <v>45839</v>
      </c>
      <c r="K640" s="4" t="s">
        <v>220</v>
      </c>
      <c r="L640" s="4" t="s">
        <v>13</v>
      </c>
      <c r="M640" s="4" t="s">
        <v>221</v>
      </c>
      <c r="S640" s="4" t="str">
        <f>TEXT(Table1[[#This Row],[Date]],"MMM-YY")</f>
        <v>Jul-25</v>
      </c>
      <c r="T640" s="4">
        <f>_xlfn.ISOWEEKNUM(Table1[[#This Row],[Date]])</f>
        <v>27</v>
      </c>
      <c r="U640" s="4" t="str">
        <f>TEXT(Table1[[#This Row],[Date]],"YYYY")</f>
        <v>2025</v>
      </c>
    </row>
    <row r="641" spans="1:21">
      <c r="A641" s="19">
        <v>45841</v>
      </c>
      <c r="B641" s="4" t="s">
        <v>744</v>
      </c>
      <c r="C641" s="4" t="s">
        <v>217</v>
      </c>
      <c r="D641" s="4" t="s">
        <v>195</v>
      </c>
      <c r="E641" s="4" t="s">
        <v>61</v>
      </c>
      <c r="F641" s="4" t="s">
        <v>745</v>
      </c>
      <c r="H641" s="4">
        <v>12653</v>
      </c>
      <c r="I641" s="4">
        <v>12653</v>
      </c>
      <c r="J641" s="31">
        <v>45839</v>
      </c>
      <c r="K641" s="4" t="s">
        <v>220</v>
      </c>
      <c r="L641" s="4" t="s">
        <v>17</v>
      </c>
      <c r="M641" s="4" t="s">
        <v>221</v>
      </c>
      <c r="S641" s="4" t="str">
        <f>TEXT(Table1[[#This Row],[Date]],"MMM-YY")</f>
        <v>Jul-25</v>
      </c>
      <c r="T641" s="4">
        <f>_xlfn.ISOWEEKNUM(Table1[[#This Row],[Date]])</f>
        <v>27</v>
      </c>
      <c r="U641" s="4" t="str">
        <f>TEXT(Table1[[#This Row],[Date]],"YYYY")</f>
        <v>2025</v>
      </c>
    </row>
    <row r="642" spans="1:21" hidden="1">
      <c r="A642" s="19">
        <v>45841</v>
      </c>
      <c r="B642" s="4" t="s">
        <v>253</v>
      </c>
      <c r="C642" s="4" t="s">
        <v>217</v>
      </c>
      <c r="D642" s="4" t="s">
        <v>195</v>
      </c>
      <c r="E642" s="4" t="s">
        <v>55</v>
      </c>
      <c r="F642" s="4" t="s">
        <v>250</v>
      </c>
      <c r="G642" s="17" t="s">
        <v>240</v>
      </c>
      <c r="J642" s="31">
        <v>45839</v>
      </c>
      <c r="K642" s="4" t="s">
        <v>220</v>
      </c>
      <c r="L642" s="4" t="s">
        <v>13</v>
      </c>
      <c r="M642" s="4" t="s">
        <v>221</v>
      </c>
      <c r="S642" s="4" t="str">
        <f>TEXT(Table1[[#This Row],[Date]],"MMM-YY")</f>
        <v>Jul-25</v>
      </c>
      <c r="T642" s="4">
        <f>_xlfn.ISOWEEKNUM(Table1[[#This Row],[Date]])</f>
        <v>27</v>
      </c>
      <c r="U642" s="4" t="str">
        <f>TEXT(Table1[[#This Row],[Date]],"YYYY")</f>
        <v>2025</v>
      </c>
    </row>
    <row r="643" spans="1:21" hidden="1">
      <c r="A643" s="19">
        <v>45841</v>
      </c>
      <c r="B643" s="4" t="s">
        <v>356</v>
      </c>
      <c r="C643" s="4" t="s">
        <v>217</v>
      </c>
      <c r="D643" s="4" t="s">
        <v>195</v>
      </c>
      <c r="E643" s="4" t="s">
        <v>179</v>
      </c>
      <c r="F643" s="4" t="s">
        <v>709</v>
      </c>
      <c r="J643" s="31">
        <v>45839</v>
      </c>
      <c r="K643" s="4" t="s">
        <v>220</v>
      </c>
      <c r="L643" s="4" t="s">
        <v>27</v>
      </c>
      <c r="M643" s="4" t="s">
        <v>235</v>
      </c>
      <c r="S643" s="4" t="str">
        <f>TEXT(Table1[[#This Row],[Date]],"MMM-YY")</f>
        <v>Jul-25</v>
      </c>
      <c r="T643" s="4">
        <f>_xlfn.ISOWEEKNUM(Table1[[#This Row],[Date]])</f>
        <v>27</v>
      </c>
      <c r="U643" s="4" t="str">
        <f>TEXT(Table1[[#This Row],[Date]],"YYYY")</f>
        <v>2025</v>
      </c>
    </row>
    <row r="644" spans="1:21" hidden="1">
      <c r="A644" s="19">
        <v>45841</v>
      </c>
      <c r="B644" s="4" t="s">
        <v>802</v>
      </c>
      <c r="C644" s="4" t="s">
        <v>217</v>
      </c>
      <c r="D644" s="4" t="s">
        <v>183</v>
      </c>
      <c r="E644" s="4" t="s">
        <v>21</v>
      </c>
      <c r="F644" s="4" t="s">
        <v>803</v>
      </c>
      <c r="J644" s="31">
        <v>45839</v>
      </c>
      <c r="K644" s="4" t="s">
        <v>220</v>
      </c>
      <c r="L644" s="4" t="s">
        <v>13</v>
      </c>
      <c r="M644" s="4" t="s">
        <v>221</v>
      </c>
      <c r="S644" s="4" t="str">
        <f>TEXT(Table1[[#This Row],[Date]],"MMM-YY")</f>
        <v>Jul-25</v>
      </c>
      <c r="T644" s="4">
        <f>_xlfn.ISOWEEKNUM(Table1[[#This Row],[Date]])</f>
        <v>27</v>
      </c>
      <c r="U644" s="4" t="str">
        <f>TEXT(Table1[[#This Row],[Date]],"YYYY")</f>
        <v>2025</v>
      </c>
    </row>
    <row r="645" spans="1:21">
      <c r="A645" s="19">
        <v>45841</v>
      </c>
      <c r="B645" s="4" t="s">
        <v>613</v>
      </c>
      <c r="C645" s="4" t="s">
        <v>225</v>
      </c>
      <c r="D645" s="4" t="s">
        <v>195</v>
      </c>
      <c r="E645" s="4" t="s">
        <v>135</v>
      </c>
      <c r="F645" s="4" t="s">
        <v>614</v>
      </c>
      <c r="H645" s="4">
        <v>25000</v>
      </c>
      <c r="I645" s="4">
        <v>25000</v>
      </c>
      <c r="J645" s="31">
        <v>45839</v>
      </c>
      <c r="K645" s="4" t="s">
        <v>220</v>
      </c>
      <c r="L645" s="4" t="s">
        <v>17</v>
      </c>
      <c r="M645" s="4" t="s">
        <v>221</v>
      </c>
      <c r="S645" s="4" t="str">
        <f>TEXT(Table1[[#This Row],[Date]],"MMM-YY")</f>
        <v>Jul-25</v>
      </c>
      <c r="T645" s="4">
        <f>_xlfn.ISOWEEKNUM(Table1[[#This Row],[Date]])</f>
        <v>27</v>
      </c>
      <c r="U645" s="4" t="str">
        <f>TEXT(Table1[[#This Row],[Date]],"YYYY")</f>
        <v>2025</v>
      </c>
    </row>
    <row r="646" spans="1:21" hidden="1">
      <c r="A646" s="19">
        <v>45841</v>
      </c>
      <c r="B646" s="4" t="s">
        <v>458</v>
      </c>
      <c r="C646" s="4" t="s">
        <v>225</v>
      </c>
      <c r="D646" s="4" t="s">
        <v>195</v>
      </c>
      <c r="E646" s="4" t="s">
        <v>145</v>
      </c>
      <c r="F646" s="4" t="s">
        <v>459</v>
      </c>
      <c r="G646" s="17" t="s">
        <v>240</v>
      </c>
      <c r="J646" s="31">
        <v>45809</v>
      </c>
      <c r="K646" s="4" t="s">
        <v>220</v>
      </c>
      <c r="L646" s="4" t="s">
        <v>16</v>
      </c>
      <c r="M646" s="4" t="s">
        <v>235</v>
      </c>
      <c r="O646" s="20"/>
      <c r="S646" s="4" t="str">
        <f>TEXT(Table1[[#This Row],[Date]],"MMM-YY")</f>
        <v>Jul-25</v>
      </c>
      <c r="T646" s="4">
        <f>_xlfn.ISOWEEKNUM(Table1[[#This Row],[Date]])</f>
        <v>27</v>
      </c>
      <c r="U646" s="4" t="str">
        <f>TEXT(Table1[[#This Row],[Expected Business Month]],"YYYY")</f>
        <v>2025</v>
      </c>
    </row>
    <row r="647" spans="1:21" hidden="1">
      <c r="A647" s="19">
        <v>45841</v>
      </c>
      <c r="B647" s="4" t="s">
        <v>230</v>
      </c>
      <c r="C647" s="4" t="s">
        <v>217</v>
      </c>
      <c r="D647" s="4" t="s">
        <v>183</v>
      </c>
      <c r="E647" s="4" t="s">
        <v>181</v>
      </c>
      <c r="F647" s="4" t="s">
        <v>437</v>
      </c>
      <c r="J647" s="31">
        <v>45809</v>
      </c>
      <c r="K647" s="4" t="s">
        <v>220</v>
      </c>
      <c r="L647" s="4" t="s">
        <v>16</v>
      </c>
      <c r="M647" s="4" t="s">
        <v>538</v>
      </c>
      <c r="S647" s="4" t="str">
        <f>TEXT(Table1[[#This Row],[Date]],"MMM-YY")</f>
        <v>Jul-25</v>
      </c>
      <c r="T647" s="4">
        <f>_xlfn.ISOWEEKNUM(Table1[[#This Row],[Date]])</f>
        <v>27</v>
      </c>
      <c r="U647" s="4" t="str">
        <f>TEXT(Table1[[#This Row],[Expected Business Month]],"YYYY")</f>
        <v>2025</v>
      </c>
    </row>
    <row r="648" spans="1:21" hidden="1">
      <c r="A648" s="19">
        <v>45841</v>
      </c>
      <c r="B648" s="4" t="s">
        <v>469</v>
      </c>
      <c r="C648" s="4" t="s">
        <v>217</v>
      </c>
      <c r="D648" s="4" t="s">
        <v>183</v>
      </c>
      <c r="E648" s="4" t="s">
        <v>21</v>
      </c>
      <c r="F648" s="4" t="s">
        <v>801</v>
      </c>
      <c r="J648" s="31">
        <v>45809</v>
      </c>
      <c r="K648" s="4" t="s">
        <v>220</v>
      </c>
      <c r="L648" s="4" t="s">
        <v>16</v>
      </c>
      <c r="M648" s="4" t="s">
        <v>538</v>
      </c>
      <c r="S648" s="4" t="str">
        <f>TEXT(Table1[[#This Row],[Date]],"MMM-YY")</f>
        <v>Jul-25</v>
      </c>
      <c r="T648" s="4">
        <f>_xlfn.ISOWEEKNUM(Table1[[#This Row],[Date]])</f>
        <v>27</v>
      </c>
      <c r="U648" s="4" t="str">
        <f>TEXT(Table1[[#This Row],[Expected Business Month]],"YYYY")</f>
        <v>2025</v>
      </c>
    </row>
    <row r="649" spans="1:21" hidden="1">
      <c r="A649" s="19">
        <v>45842</v>
      </c>
      <c r="B649" s="4" t="s">
        <v>794</v>
      </c>
      <c r="C649" s="4" t="s">
        <v>217</v>
      </c>
      <c r="D649" s="4" t="s">
        <v>195</v>
      </c>
      <c r="E649" s="4" t="s">
        <v>61</v>
      </c>
      <c r="F649" s="4" t="s">
        <v>534</v>
      </c>
      <c r="J649" s="31">
        <v>45839</v>
      </c>
      <c r="K649" s="4" t="s">
        <v>220</v>
      </c>
      <c r="L649" s="4" t="s">
        <v>16</v>
      </c>
      <c r="M649" s="4" t="s">
        <v>538</v>
      </c>
      <c r="S649" s="4" t="str">
        <f>TEXT(Table1[[#This Row],[Date]],"MMM-YY")</f>
        <v>Jul-25</v>
      </c>
      <c r="T649" s="4">
        <f>_xlfn.ISOWEEKNUM(Table1[[#This Row],[Date]])</f>
        <v>27</v>
      </c>
      <c r="U649" s="4" t="str">
        <f>TEXT(Table1[[#This Row],[Expected Business Month]],"YYYY")</f>
        <v>2025</v>
      </c>
    </row>
    <row r="650" spans="1:21" hidden="1">
      <c r="A650" s="19">
        <v>45845</v>
      </c>
      <c r="B650" s="4" t="s">
        <v>804</v>
      </c>
      <c r="C650" s="4" t="s">
        <v>217</v>
      </c>
      <c r="D650" s="4" t="s">
        <v>183</v>
      </c>
      <c r="E650" s="4" t="s">
        <v>21</v>
      </c>
      <c r="F650" s="4" t="s">
        <v>379</v>
      </c>
      <c r="J650" s="31">
        <v>45839</v>
      </c>
      <c r="K650" s="32" t="s">
        <v>220</v>
      </c>
      <c r="L650" s="4" t="s">
        <v>16</v>
      </c>
      <c r="M650" s="4" t="s">
        <v>538</v>
      </c>
      <c r="S650" s="4" t="str">
        <f>TEXT(Table1[[#This Row],[Date]],"MMM-YY")</f>
        <v>Jul-25</v>
      </c>
      <c r="T650" s="4">
        <f>_xlfn.ISOWEEKNUM(Table1[[#This Row],[Date]])</f>
        <v>28</v>
      </c>
      <c r="U650" s="4" t="str">
        <f>TEXT(Table1[[#This Row],[Date]],"YYYY")</f>
        <v>2025</v>
      </c>
    </row>
    <row r="651" spans="1:21" hidden="1">
      <c r="A651" s="19">
        <v>45845</v>
      </c>
      <c r="B651" s="4" t="s">
        <v>622</v>
      </c>
      <c r="C651" s="4" t="s">
        <v>217</v>
      </c>
      <c r="D651" s="4" t="s">
        <v>195</v>
      </c>
      <c r="E651" s="4" t="s">
        <v>61</v>
      </c>
      <c r="F651" s="4" t="s">
        <v>697</v>
      </c>
      <c r="J651" s="31">
        <v>45839</v>
      </c>
      <c r="K651" s="33" t="s">
        <v>220</v>
      </c>
      <c r="L651" s="4" t="s">
        <v>16</v>
      </c>
      <c r="M651" s="4" t="s">
        <v>538</v>
      </c>
      <c r="S651" s="4" t="str">
        <f>TEXT(Table1[[#This Row],[Date]],"MMM-YY")</f>
        <v>Jul-25</v>
      </c>
      <c r="T651" s="4">
        <f>_xlfn.ISOWEEKNUM(Table1[[#This Row],[Date]])</f>
        <v>28</v>
      </c>
      <c r="U651" s="4" t="str">
        <f>TEXT(Table1[[#This Row],[Date]],"YYYY")</f>
        <v>2025</v>
      </c>
    </row>
    <row r="652" spans="1:21" hidden="1">
      <c r="A652" s="19">
        <v>45845</v>
      </c>
      <c r="B652" s="4" t="s">
        <v>805</v>
      </c>
      <c r="C652" s="4" t="s">
        <v>217</v>
      </c>
      <c r="D652" s="4" t="s">
        <v>195</v>
      </c>
      <c r="E652" s="4" t="s">
        <v>61</v>
      </c>
      <c r="F652" s="4" t="s">
        <v>806</v>
      </c>
      <c r="J652" s="31">
        <v>45870</v>
      </c>
      <c r="K652" s="32" t="s">
        <v>220</v>
      </c>
      <c r="L652" s="4" t="s">
        <v>16</v>
      </c>
      <c r="M652" s="4" t="s">
        <v>538</v>
      </c>
      <c r="S652" s="4" t="str">
        <f>TEXT(Table1[[#This Row],[Date]],"MMM-YY")</f>
        <v>Jul-25</v>
      </c>
      <c r="T652" s="4">
        <f>_xlfn.ISOWEEKNUM(Table1[[#This Row],[Date]])</f>
        <v>28</v>
      </c>
      <c r="U652" s="4" t="str">
        <f>TEXT(Table1[[#This Row],[Date]],"YYYY")</f>
        <v>2025</v>
      </c>
    </row>
    <row r="653" spans="1:21" hidden="1">
      <c r="A653" s="19">
        <v>45845</v>
      </c>
      <c r="B653" s="4" t="s">
        <v>570</v>
      </c>
      <c r="C653" s="4" t="s">
        <v>225</v>
      </c>
      <c r="D653" s="4" t="s">
        <v>195</v>
      </c>
      <c r="E653" s="4" t="s">
        <v>26</v>
      </c>
      <c r="F653" s="4" t="s">
        <v>561</v>
      </c>
      <c r="G653" s="17" t="s">
        <v>240</v>
      </c>
      <c r="J653" s="31">
        <v>45870</v>
      </c>
      <c r="K653" s="4" t="s">
        <v>220</v>
      </c>
      <c r="L653" s="21" t="s">
        <v>16</v>
      </c>
      <c r="M653" s="4" t="s">
        <v>235</v>
      </c>
      <c r="O653" s="20"/>
      <c r="S653" s="4" t="str">
        <f>TEXT(Table1[[#This Row],[Date]],"MMM-YY")</f>
        <v>Jul-25</v>
      </c>
      <c r="T653" s="4">
        <f>_xlfn.ISOWEEKNUM(Table1[[#This Row],[Date]])</f>
        <v>28</v>
      </c>
      <c r="U653" s="4" t="str">
        <f>TEXT(Table1[[#This Row],[Expected Business Month]],"YYYY")</f>
        <v>2025</v>
      </c>
    </row>
    <row r="654" spans="1:21" hidden="1">
      <c r="A654" s="19">
        <v>45846</v>
      </c>
      <c r="B654" s="4" t="s">
        <v>222</v>
      </c>
      <c r="C654" s="4" t="s">
        <v>217</v>
      </c>
      <c r="D654" s="4" t="s">
        <v>195</v>
      </c>
      <c r="E654" s="4" t="s">
        <v>61</v>
      </c>
      <c r="F654" s="4" t="s">
        <v>223</v>
      </c>
      <c r="J654" s="31">
        <v>45870</v>
      </c>
      <c r="K654" s="32" t="s">
        <v>220</v>
      </c>
      <c r="L654" s="4" t="s">
        <v>16</v>
      </c>
      <c r="M654" s="4" t="s">
        <v>538</v>
      </c>
      <c r="S654" s="4" t="str">
        <f>TEXT(Table1[[#This Row],[Date]],"MMM-YY")</f>
        <v>Jul-25</v>
      </c>
      <c r="T654" s="4">
        <f>_xlfn.ISOWEEKNUM(Table1[[#This Row],[Date]])</f>
        <v>28</v>
      </c>
      <c r="U654" s="4" t="str">
        <f>TEXT(Table1[[#This Row],[Date]],"YYYY")</f>
        <v>2025</v>
      </c>
    </row>
    <row r="655" spans="1:21" hidden="1">
      <c r="A655" s="19">
        <v>45846</v>
      </c>
      <c r="B655" s="4" t="s">
        <v>284</v>
      </c>
      <c r="C655" s="4" t="s">
        <v>217</v>
      </c>
      <c r="D655" s="4" t="s">
        <v>195</v>
      </c>
      <c r="E655" s="4" t="s">
        <v>61</v>
      </c>
      <c r="F655" s="4" t="s">
        <v>285</v>
      </c>
      <c r="J655" s="31">
        <v>45839</v>
      </c>
      <c r="K655" s="33" t="s">
        <v>220</v>
      </c>
      <c r="L655" s="4" t="s">
        <v>13</v>
      </c>
      <c r="M655" s="4" t="s">
        <v>221</v>
      </c>
      <c r="S655" s="4" t="str">
        <f>TEXT(Table1[[#This Row],[Date]],"MMM-YY")</f>
        <v>Jul-25</v>
      </c>
      <c r="T655" s="4">
        <f>_xlfn.ISOWEEKNUM(Table1[[#This Row],[Date]])</f>
        <v>28</v>
      </c>
      <c r="U655" s="4" t="str">
        <f>TEXT(Table1[[#This Row],[Date]],"YYYY")</f>
        <v>2025</v>
      </c>
    </row>
    <row r="656" spans="1:21" hidden="1">
      <c r="A656" s="19">
        <v>45846</v>
      </c>
      <c r="B656" s="4" t="s">
        <v>807</v>
      </c>
      <c r="C656" s="4" t="s">
        <v>217</v>
      </c>
      <c r="D656" s="4" t="s">
        <v>195</v>
      </c>
      <c r="E656" s="4" t="s">
        <v>61</v>
      </c>
      <c r="F656" s="4" t="s">
        <v>808</v>
      </c>
      <c r="J656" s="31">
        <v>45839</v>
      </c>
      <c r="K656" s="33" t="s">
        <v>220</v>
      </c>
      <c r="L656" s="4" t="s">
        <v>13</v>
      </c>
      <c r="M656" s="4" t="s">
        <v>221</v>
      </c>
      <c r="S656" s="4" t="str">
        <f>TEXT(Table1[[#This Row],[Date]],"MMM-YY")</f>
        <v>Jul-25</v>
      </c>
      <c r="T656" s="4">
        <f>_xlfn.ISOWEEKNUM(Table1[[#This Row],[Date]])</f>
        <v>28</v>
      </c>
      <c r="U656" s="4" t="str">
        <f>TEXT(Table1[[#This Row],[Date]],"YYYY")</f>
        <v>2025</v>
      </c>
    </row>
    <row r="657" spans="1:21" hidden="1">
      <c r="A657" s="19">
        <v>45846</v>
      </c>
      <c r="B657" s="4" t="s">
        <v>274</v>
      </c>
      <c r="C657" s="4" t="s">
        <v>225</v>
      </c>
      <c r="D657" s="4" t="s">
        <v>195</v>
      </c>
      <c r="E657" s="4" t="s">
        <v>135</v>
      </c>
      <c r="F657" s="4" t="s">
        <v>584</v>
      </c>
      <c r="G657" s="17" t="s">
        <v>240</v>
      </c>
      <c r="J657" s="31">
        <v>45809</v>
      </c>
      <c r="K657" s="4" t="s">
        <v>220</v>
      </c>
      <c r="L657" s="21" t="s">
        <v>16</v>
      </c>
      <c r="M657" s="4" t="s">
        <v>235</v>
      </c>
      <c r="O657" s="20"/>
      <c r="S657" s="4" t="str">
        <f>TEXT(Table1[[#This Row],[Date]],"MMM-YY")</f>
        <v>Jul-25</v>
      </c>
      <c r="T657" s="4">
        <f>_xlfn.ISOWEEKNUM(Table1[[#This Row],[Date]])</f>
        <v>28</v>
      </c>
      <c r="U657" s="4" t="str">
        <f>TEXT(Table1[[#This Row],[Expected Business Month]],"YYYY")</f>
        <v>2025</v>
      </c>
    </row>
    <row r="658" spans="1:21" hidden="1">
      <c r="A658" s="19">
        <v>45846</v>
      </c>
      <c r="B658" s="4" t="s">
        <v>335</v>
      </c>
      <c r="C658" s="4" t="s">
        <v>225</v>
      </c>
      <c r="D658" s="4" t="s">
        <v>183</v>
      </c>
      <c r="E658" s="4" t="s">
        <v>21</v>
      </c>
      <c r="F658" s="4" t="s">
        <v>336</v>
      </c>
      <c r="G658" s="17" t="s">
        <v>240</v>
      </c>
      <c r="J658" s="31">
        <v>45809</v>
      </c>
      <c r="K658" s="4" t="s">
        <v>220</v>
      </c>
      <c r="L658" s="21" t="s">
        <v>16</v>
      </c>
      <c r="M658" s="4" t="s">
        <v>235</v>
      </c>
      <c r="O658" s="20"/>
      <c r="S658" s="4" t="str">
        <f>TEXT(Table1[[#This Row],[Date]],"MMM-YY")</f>
        <v>Jul-25</v>
      </c>
      <c r="T658" s="4">
        <f>_xlfn.ISOWEEKNUM(Table1[[#This Row],[Date]])</f>
        <v>28</v>
      </c>
      <c r="U658" s="4" t="str">
        <f>TEXT(Table1[[#This Row],[Expected Business Month]],"YYYY")</f>
        <v>2025</v>
      </c>
    </row>
    <row r="659" spans="1:21" hidden="1">
      <c r="A659" s="19">
        <v>45847</v>
      </c>
      <c r="B659" s="4" t="s">
        <v>335</v>
      </c>
      <c r="C659" s="4" t="s">
        <v>217</v>
      </c>
      <c r="D659" s="4" t="s">
        <v>183</v>
      </c>
      <c r="E659" s="4" t="s">
        <v>21</v>
      </c>
      <c r="F659" s="4" t="s">
        <v>336</v>
      </c>
      <c r="J659" s="31">
        <v>45870</v>
      </c>
      <c r="K659" s="4" t="s">
        <v>220</v>
      </c>
      <c r="L659" s="4" t="s">
        <v>16</v>
      </c>
      <c r="M659" s="4" t="s">
        <v>235</v>
      </c>
      <c r="S659" s="4" t="str">
        <f>TEXT(Table1[[#This Row],[Date]],"MMM-YY")</f>
        <v>Jul-25</v>
      </c>
      <c r="T659" s="4">
        <f>_xlfn.ISOWEEKNUM(Table1[[#This Row],[Date]])</f>
        <v>28</v>
      </c>
      <c r="U659" s="4" t="str">
        <f>TEXT(Table1[[#This Row],[Date]],"YYYY")</f>
        <v>2025</v>
      </c>
    </row>
    <row r="660" spans="1:21">
      <c r="A660" s="19">
        <v>45847</v>
      </c>
      <c r="B660" s="4" t="s">
        <v>748</v>
      </c>
      <c r="C660" s="4" t="s">
        <v>217</v>
      </c>
      <c r="D660" s="4" t="s">
        <v>195</v>
      </c>
      <c r="E660" s="4" t="s">
        <v>61</v>
      </c>
      <c r="F660" s="4" t="s">
        <v>754</v>
      </c>
      <c r="H660" s="4">
        <v>1500</v>
      </c>
      <c r="I660" s="4">
        <v>1500</v>
      </c>
      <c r="J660" s="31">
        <v>45839</v>
      </c>
      <c r="K660" s="4" t="s">
        <v>220</v>
      </c>
      <c r="L660" s="4" t="s">
        <v>17</v>
      </c>
      <c r="M660" s="4" t="s">
        <v>235</v>
      </c>
      <c r="S660" s="4" t="str">
        <f>TEXT(Table1[[#This Row],[Date]],"MMM-YY")</f>
        <v>Jul-25</v>
      </c>
      <c r="T660" s="4">
        <f>_xlfn.ISOWEEKNUM(Table1[[#This Row],[Date]])</f>
        <v>28</v>
      </c>
      <c r="U660" s="4" t="str">
        <f>TEXT(Table1[[#This Row],[Date]],"YYYY")</f>
        <v>2025</v>
      </c>
    </row>
    <row r="661" spans="1:21" hidden="1">
      <c r="A661" s="19">
        <v>45847</v>
      </c>
      <c r="B661" s="4" t="s">
        <v>809</v>
      </c>
      <c r="C661" s="4" t="s">
        <v>217</v>
      </c>
      <c r="D661" s="4" t="s">
        <v>195</v>
      </c>
      <c r="E661" s="4" t="s">
        <v>61</v>
      </c>
      <c r="F661" s="4" t="s">
        <v>810</v>
      </c>
      <c r="J661" s="31">
        <v>45839</v>
      </c>
      <c r="K661" s="4" t="s">
        <v>220</v>
      </c>
      <c r="L661" s="4" t="s">
        <v>13</v>
      </c>
      <c r="M661" s="4" t="s">
        <v>221</v>
      </c>
      <c r="S661" s="4" t="str">
        <f>TEXT(Table1[[#This Row],[Date]],"MMM-YY")</f>
        <v>Jul-25</v>
      </c>
      <c r="T661" s="4">
        <f>_xlfn.ISOWEEKNUM(Table1[[#This Row],[Date]])</f>
        <v>28</v>
      </c>
      <c r="U661" s="4" t="str">
        <f>TEXT(Table1[[#This Row],[Date]],"YYYY")</f>
        <v>2025</v>
      </c>
    </row>
    <row r="662" spans="1:21" hidden="1">
      <c r="A662" s="19">
        <v>45847</v>
      </c>
      <c r="B662" s="4" t="s">
        <v>243</v>
      </c>
      <c r="C662" s="4" t="s">
        <v>225</v>
      </c>
      <c r="D662" s="4" t="s">
        <v>195</v>
      </c>
      <c r="E662" s="4" t="s">
        <v>53</v>
      </c>
      <c r="F662" s="4" t="s">
        <v>244</v>
      </c>
      <c r="G662" s="17" t="s">
        <v>811</v>
      </c>
      <c r="J662" s="31">
        <v>45870</v>
      </c>
      <c r="K662" s="4" t="s">
        <v>220</v>
      </c>
      <c r="L662" s="4" t="s">
        <v>16</v>
      </c>
      <c r="M662" s="4" t="s">
        <v>538</v>
      </c>
      <c r="S662" s="4" t="str">
        <f>TEXT(Table1[[#This Row],[Date]],"MMM-YY")</f>
        <v>Jul-25</v>
      </c>
      <c r="T662" s="4">
        <f>_xlfn.ISOWEEKNUM(Table1[[#This Row],[Date]])</f>
        <v>28</v>
      </c>
      <c r="U662" s="4" t="str">
        <f>TEXT(Table1[[#This Row],[Expected Business Month]],"YYYY")</f>
        <v>2025</v>
      </c>
    </row>
    <row r="663" spans="1:21">
      <c r="A663" s="19">
        <v>45848</v>
      </c>
      <c r="B663" s="4" t="s">
        <v>812</v>
      </c>
      <c r="C663" s="4" t="s">
        <v>217</v>
      </c>
      <c r="D663" s="4" t="s">
        <v>195</v>
      </c>
      <c r="E663" s="4" t="s">
        <v>61</v>
      </c>
      <c r="F663" s="4" t="s">
        <v>745</v>
      </c>
      <c r="G663" s="17" t="s">
        <v>813</v>
      </c>
      <c r="H663" s="4">
        <v>18000</v>
      </c>
      <c r="I663" s="4">
        <v>18000</v>
      </c>
      <c r="J663" s="31">
        <v>45839</v>
      </c>
      <c r="K663" s="4" t="s">
        <v>220</v>
      </c>
      <c r="L663" s="4" t="s">
        <v>17</v>
      </c>
      <c r="M663" s="4" t="s">
        <v>235</v>
      </c>
      <c r="S663" s="4" t="str">
        <f>TEXT(Table1[[#This Row],[Date]],"MMM-YY")</f>
        <v>Jul-25</v>
      </c>
      <c r="T663" s="4">
        <f>_xlfn.ISOWEEKNUM(Table1[[#This Row],[Date]])</f>
        <v>28</v>
      </c>
      <c r="U663" s="4" t="str">
        <f>TEXT(Table1[[#This Row],[Date]],"YYYY")</f>
        <v>2025</v>
      </c>
    </row>
    <row r="664" spans="1:21" hidden="1">
      <c r="A664" s="19">
        <v>45848</v>
      </c>
      <c r="B664" s="4" t="s">
        <v>814</v>
      </c>
      <c r="C664" s="4" t="s">
        <v>225</v>
      </c>
      <c r="D664" s="4" t="s">
        <v>195</v>
      </c>
      <c r="E664" s="4" t="s">
        <v>61</v>
      </c>
      <c r="F664" s="4" t="s">
        <v>815</v>
      </c>
      <c r="G664" s="17" t="s">
        <v>816</v>
      </c>
      <c r="H664" s="4">
        <v>750000</v>
      </c>
      <c r="J664" s="31">
        <v>45839</v>
      </c>
      <c r="K664" s="4" t="s">
        <v>234</v>
      </c>
      <c r="L664" s="4" t="s">
        <v>11</v>
      </c>
      <c r="M664" s="4" t="s">
        <v>221</v>
      </c>
      <c r="N664" s="4" t="s">
        <v>817</v>
      </c>
      <c r="S664" s="4" t="str">
        <f>TEXT(Table1[[#This Row],[Date]],"MMM-YY")</f>
        <v>Jul-25</v>
      </c>
      <c r="T664" s="4">
        <f>_xlfn.ISOWEEKNUM(Table1[[#This Row],[Date]])</f>
        <v>28</v>
      </c>
      <c r="U664" s="4" t="str">
        <f>TEXT(Table1[[#This Row],[Date]],"YYYY")</f>
        <v>2025</v>
      </c>
    </row>
    <row r="665" spans="1:21" hidden="1">
      <c r="A665" s="19">
        <v>45848</v>
      </c>
      <c r="B665" s="4" t="s">
        <v>818</v>
      </c>
      <c r="C665" s="4" t="s">
        <v>225</v>
      </c>
      <c r="D665" s="4" t="s">
        <v>195</v>
      </c>
      <c r="E665" s="4" t="s">
        <v>91</v>
      </c>
      <c r="F665" s="4" t="s">
        <v>437</v>
      </c>
      <c r="G665" s="17" t="s">
        <v>240</v>
      </c>
      <c r="J665" s="31">
        <v>45870</v>
      </c>
      <c r="K665" s="4" t="s">
        <v>220</v>
      </c>
      <c r="L665" s="4" t="s">
        <v>16</v>
      </c>
      <c r="M665" s="4" t="s">
        <v>538</v>
      </c>
      <c r="S665" s="4" t="str">
        <f>TEXT(Table1[[#This Row],[Date]],"MMM-YY")</f>
        <v>Jul-25</v>
      </c>
      <c r="T665" s="4">
        <f>_xlfn.ISOWEEKNUM(Table1[[#This Row],[Date]])</f>
        <v>28</v>
      </c>
      <c r="U665" s="4" t="str">
        <f>TEXT(Table1[[#This Row],[Expected Business Month]],"YYYY")</f>
        <v>2025</v>
      </c>
    </row>
    <row r="666" spans="1:21" hidden="1">
      <c r="A666" s="19">
        <v>45850</v>
      </c>
      <c r="B666" s="4" t="s">
        <v>819</v>
      </c>
      <c r="C666" s="4" t="s">
        <v>225</v>
      </c>
      <c r="D666" s="4" t="s">
        <v>19</v>
      </c>
      <c r="E666" s="4" t="s">
        <v>19</v>
      </c>
      <c r="F666" s="4" t="s">
        <v>820</v>
      </c>
      <c r="G666" s="17" t="s">
        <v>240</v>
      </c>
      <c r="J666" s="31">
        <v>45809</v>
      </c>
      <c r="K666" s="4" t="s">
        <v>220</v>
      </c>
      <c r="L666" s="4" t="s">
        <v>16</v>
      </c>
      <c r="M666" s="4" t="s">
        <v>538</v>
      </c>
      <c r="S666" s="4" t="str">
        <f>TEXT(Table1[[#This Row],[Date]],"MMM-YY")</f>
        <v>Jul-25</v>
      </c>
      <c r="T666" s="4">
        <f>_xlfn.ISOWEEKNUM(Table1[[#This Row],[Date]])</f>
        <v>28</v>
      </c>
      <c r="U666" s="4" t="str">
        <f>TEXT(Table1[[#This Row],[Expected Business Month]],"YYYY")</f>
        <v>2025</v>
      </c>
    </row>
    <row r="667" spans="1:21" hidden="1">
      <c r="A667" s="19">
        <v>45850</v>
      </c>
      <c r="B667" s="4" t="s">
        <v>821</v>
      </c>
      <c r="C667" s="4" t="s">
        <v>225</v>
      </c>
      <c r="D667" s="4" t="s">
        <v>79</v>
      </c>
      <c r="E667" s="4" t="s">
        <v>79</v>
      </c>
      <c r="F667" s="4" t="s">
        <v>680</v>
      </c>
      <c r="G667" s="17" t="s">
        <v>240</v>
      </c>
      <c r="J667" s="31">
        <v>45870</v>
      </c>
      <c r="K667" s="4" t="s">
        <v>220</v>
      </c>
      <c r="L667" s="4" t="s">
        <v>16</v>
      </c>
      <c r="M667" s="4" t="s">
        <v>538</v>
      </c>
      <c r="S667" s="4" t="str">
        <f>TEXT(Table1[[#This Row],[Date]],"MMM-YY")</f>
        <v>Jul-25</v>
      </c>
      <c r="T667" s="4">
        <f>_xlfn.ISOWEEKNUM(Table1[[#This Row],[Date]])</f>
        <v>28</v>
      </c>
      <c r="U667" s="4" t="str">
        <f>TEXT(Table1[[#This Row],[Expected Business Month]],"YYYY")</f>
        <v>2025</v>
      </c>
    </row>
    <row r="668" spans="1:21" hidden="1">
      <c r="A668" s="19">
        <v>45852</v>
      </c>
      <c r="B668" s="4" t="s">
        <v>222</v>
      </c>
      <c r="C668" s="4" t="s">
        <v>225</v>
      </c>
      <c r="D668" s="4" t="s">
        <v>195</v>
      </c>
      <c r="E668" s="4" t="s">
        <v>41</v>
      </c>
      <c r="F668" s="4" t="s">
        <v>223</v>
      </c>
      <c r="G668" s="17" t="s">
        <v>822</v>
      </c>
      <c r="J668" s="31">
        <v>45870</v>
      </c>
      <c r="K668" s="4" t="s">
        <v>220</v>
      </c>
      <c r="L668" s="4" t="s">
        <v>16</v>
      </c>
      <c r="M668" s="4" t="s">
        <v>538</v>
      </c>
      <c r="S668" s="4" t="str">
        <f>TEXT(Table1[[#This Row],[Date]],"MMM-YY")</f>
        <v>Jul-25</v>
      </c>
      <c r="T668" s="4">
        <f>_xlfn.ISOWEEKNUM(Table1[[#This Row],[Date]])</f>
        <v>29</v>
      </c>
      <c r="U668" s="4" t="str">
        <f>TEXT(Table1[[#This Row],[Expected Business Month]],"YYYY")</f>
        <v>2025</v>
      </c>
    </row>
    <row r="669" spans="1:21" hidden="1">
      <c r="A669" s="19">
        <v>45852</v>
      </c>
      <c r="B669" s="4" t="s">
        <v>335</v>
      </c>
      <c r="C669" s="4" t="s">
        <v>225</v>
      </c>
      <c r="D669" s="4" t="s">
        <v>183</v>
      </c>
      <c r="E669" s="4" t="s">
        <v>49</v>
      </c>
      <c r="F669" s="4" t="s">
        <v>336</v>
      </c>
      <c r="G669" s="17" t="s">
        <v>308</v>
      </c>
      <c r="J669" s="31">
        <v>45870</v>
      </c>
      <c r="K669" s="4" t="s">
        <v>220</v>
      </c>
      <c r="L669" s="4" t="s">
        <v>16</v>
      </c>
      <c r="M669" s="4" t="s">
        <v>538</v>
      </c>
      <c r="S669" s="4" t="str">
        <f>TEXT(Table1[[#This Row],[Date]],"MMM-YY")</f>
        <v>Jul-25</v>
      </c>
      <c r="T669" s="4">
        <f>_xlfn.ISOWEEKNUM(Table1[[#This Row],[Date]])</f>
        <v>29</v>
      </c>
      <c r="U669" s="4" t="str">
        <f>TEXT(Table1[[#This Row],[Expected Business Month]],"YYYY")</f>
        <v>2025</v>
      </c>
    </row>
    <row r="670" spans="1:21" hidden="1">
      <c r="A670" s="19">
        <v>45852</v>
      </c>
      <c r="B670" s="4" t="s">
        <v>258</v>
      </c>
      <c r="C670" s="4" t="s">
        <v>217</v>
      </c>
      <c r="D670" s="4" t="s">
        <v>195</v>
      </c>
      <c r="E670" s="4" t="s">
        <v>47</v>
      </c>
      <c r="F670" s="4" t="s">
        <v>523</v>
      </c>
      <c r="G670" s="17" t="s">
        <v>823</v>
      </c>
      <c r="J670" s="31">
        <v>45870</v>
      </c>
      <c r="K670" s="4" t="s">
        <v>220</v>
      </c>
      <c r="L670" s="4" t="s">
        <v>16</v>
      </c>
      <c r="M670" s="4" t="s">
        <v>538</v>
      </c>
      <c r="S670" s="4" t="str">
        <f>TEXT(Table1[[#This Row],[Date]],"MMM-YY")</f>
        <v>Jul-25</v>
      </c>
      <c r="T670" s="4">
        <f>_xlfn.ISOWEEKNUM(Table1[[#This Row],[Date]])</f>
        <v>29</v>
      </c>
      <c r="U670" s="4" t="str">
        <f>TEXT(Table1[[#This Row],[Expected Business Month]],"YYYY")</f>
        <v>2025</v>
      </c>
    </row>
    <row r="671" spans="1:21">
      <c r="A671" s="19">
        <v>45853</v>
      </c>
      <c r="B671" s="4" t="s">
        <v>732</v>
      </c>
      <c r="C671" s="4" t="s">
        <v>217</v>
      </c>
      <c r="D671" s="4" t="s">
        <v>195</v>
      </c>
      <c r="E671" s="4" t="s">
        <v>129</v>
      </c>
      <c r="F671" s="4" t="s">
        <v>303</v>
      </c>
      <c r="G671" s="17" t="s">
        <v>824</v>
      </c>
      <c r="H671" s="4">
        <v>42724</v>
      </c>
      <c r="I671" s="4">
        <v>42724</v>
      </c>
      <c r="J671" s="31">
        <v>45839</v>
      </c>
      <c r="K671" s="4" t="s">
        <v>220</v>
      </c>
      <c r="L671" s="4" t="s">
        <v>17</v>
      </c>
      <c r="M671" s="4" t="s">
        <v>235</v>
      </c>
      <c r="S671" s="4" t="str">
        <f>TEXT(Table1[[#This Row],[Date]],"MMM-YY")</f>
        <v>Jul-25</v>
      </c>
      <c r="T671" s="4">
        <f>_xlfn.ISOWEEKNUM(Table1[[#This Row],[Date]])</f>
        <v>29</v>
      </c>
      <c r="U671" s="4" t="str">
        <f>TEXT(Table1[[#This Row],[Date]],"YYYY")</f>
        <v>2025</v>
      </c>
    </row>
    <row r="672" spans="1:21">
      <c r="A672" s="19">
        <v>45853</v>
      </c>
      <c r="B672" s="4" t="s">
        <v>775</v>
      </c>
      <c r="C672" s="4" t="s">
        <v>217</v>
      </c>
      <c r="D672" s="4" t="s">
        <v>195</v>
      </c>
      <c r="E672" s="4" t="s">
        <v>179</v>
      </c>
      <c r="F672" s="4" t="s">
        <v>707</v>
      </c>
      <c r="G672" s="17" t="s">
        <v>825</v>
      </c>
      <c r="H672" s="4">
        <v>17387</v>
      </c>
      <c r="I672" s="4">
        <v>17387</v>
      </c>
      <c r="J672" s="31">
        <v>45839</v>
      </c>
      <c r="K672" s="4" t="s">
        <v>220</v>
      </c>
      <c r="L672" s="4" t="s">
        <v>17</v>
      </c>
      <c r="M672" s="4" t="s">
        <v>235</v>
      </c>
      <c r="S672" s="4" t="str">
        <f>TEXT(Table1[[#This Row],[Date]],"MMM-YY")</f>
        <v>Jul-25</v>
      </c>
      <c r="T672" s="4">
        <f>_xlfn.ISOWEEKNUM(Table1[[#This Row],[Date]])</f>
        <v>29</v>
      </c>
      <c r="U672" s="4" t="str">
        <f>TEXT(Table1[[#This Row],[Date]],"YYYY")</f>
        <v>2025</v>
      </c>
    </row>
    <row r="673" spans="1:21" hidden="1">
      <c r="A673" s="19">
        <v>45854</v>
      </c>
      <c r="B673" s="4" t="s">
        <v>826</v>
      </c>
      <c r="C673" s="4" t="s">
        <v>225</v>
      </c>
      <c r="D673" s="4" t="s">
        <v>195</v>
      </c>
      <c r="E673" s="4" t="s">
        <v>61</v>
      </c>
      <c r="F673" s="4" t="s">
        <v>827</v>
      </c>
      <c r="G673" s="17" t="s">
        <v>240</v>
      </c>
      <c r="J673" s="31">
        <v>45809</v>
      </c>
      <c r="K673" s="4" t="s">
        <v>220</v>
      </c>
      <c r="L673" s="4" t="s">
        <v>16</v>
      </c>
      <c r="M673" s="4" t="s">
        <v>538</v>
      </c>
      <c r="S673" s="4" t="str">
        <f>TEXT(Table1[[#This Row],[Date]],"MMM-YY")</f>
        <v>Jul-25</v>
      </c>
      <c r="T673" s="4">
        <f>_xlfn.ISOWEEKNUM(Table1[[#This Row],[Date]])</f>
        <v>29</v>
      </c>
      <c r="U673" s="4" t="str">
        <f>TEXT(Table1[[#This Row],[Expected Business Month]],"YYYY")</f>
        <v>2025</v>
      </c>
    </row>
    <row r="674" spans="1:21" hidden="1">
      <c r="A674" s="19">
        <v>45854</v>
      </c>
      <c r="B674" s="4" t="s">
        <v>338</v>
      </c>
      <c r="C674" s="4" t="s">
        <v>225</v>
      </c>
      <c r="D674" s="4" t="s">
        <v>183</v>
      </c>
      <c r="E674" s="4" t="s">
        <v>49</v>
      </c>
      <c r="F674" s="4" t="s">
        <v>339</v>
      </c>
      <c r="G674" s="17" t="s">
        <v>240</v>
      </c>
      <c r="J674" s="31">
        <v>45870</v>
      </c>
      <c r="K674" s="4" t="s">
        <v>220</v>
      </c>
      <c r="L674" s="4" t="s">
        <v>16</v>
      </c>
      <c r="M674" s="4" t="s">
        <v>538</v>
      </c>
      <c r="S674" s="4" t="str">
        <f>TEXT(Table1[[#This Row],[Date]],"MMM-YY")</f>
        <v>Jul-25</v>
      </c>
      <c r="T674" s="4">
        <f>_xlfn.ISOWEEKNUM(Table1[[#This Row],[Date]])</f>
        <v>29</v>
      </c>
      <c r="U674" s="4" t="str">
        <f>TEXT(Table1[[#This Row],[Expected Business Month]],"YYYY")</f>
        <v>2025</v>
      </c>
    </row>
    <row r="675" spans="1:21" hidden="1">
      <c r="A675" s="19">
        <v>45854</v>
      </c>
      <c r="B675" s="4" t="s">
        <v>384</v>
      </c>
      <c r="C675" s="4" t="s">
        <v>225</v>
      </c>
      <c r="D675" s="4" t="s">
        <v>195</v>
      </c>
      <c r="E675" s="4" t="s">
        <v>87</v>
      </c>
      <c r="F675" s="4" t="s">
        <v>828</v>
      </c>
      <c r="G675" s="17" t="s">
        <v>240</v>
      </c>
      <c r="J675" s="31">
        <v>45870</v>
      </c>
      <c r="K675" s="4" t="s">
        <v>220</v>
      </c>
      <c r="L675" s="4" t="s">
        <v>16</v>
      </c>
      <c r="M675" s="4" t="s">
        <v>538</v>
      </c>
      <c r="S675" s="4" t="str">
        <f>TEXT(Table1[[#This Row],[Date]],"MMM-YY")</f>
        <v>Jul-25</v>
      </c>
      <c r="T675" s="4">
        <f>_xlfn.ISOWEEKNUM(Table1[[#This Row],[Date]])</f>
        <v>29</v>
      </c>
      <c r="U675" s="4" t="str">
        <f>TEXT(Table1[[#This Row],[Expected Business Month]],"YYYY")</f>
        <v>2025</v>
      </c>
    </row>
    <row r="676" spans="1:21">
      <c r="A676" s="19">
        <v>45854</v>
      </c>
      <c r="B676" s="4" t="s">
        <v>760</v>
      </c>
      <c r="C676" s="4" t="s">
        <v>217</v>
      </c>
      <c r="D676" s="4" t="s">
        <v>195</v>
      </c>
      <c r="E676" s="4" t="s">
        <v>179</v>
      </c>
      <c r="F676" s="4" t="s">
        <v>675</v>
      </c>
      <c r="G676" s="17" t="s">
        <v>829</v>
      </c>
      <c r="H676" s="4">
        <v>18120</v>
      </c>
      <c r="I676" s="4">
        <v>18120</v>
      </c>
      <c r="J676" s="31">
        <v>45839</v>
      </c>
      <c r="K676" s="4" t="s">
        <v>220</v>
      </c>
      <c r="L676" s="4" t="s">
        <v>17</v>
      </c>
      <c r="M676" s="4" t="s">
        <v>235</v>
      </c>
      <c r="S676" s="4" t="str">
        <f>TEXT(Table1[[#This Row],[Date]],"MMM-YY")</f>
        <v>Jul-25</v>
      </c>
      <c r="T676" s="4">
        <f>_xlfn.ISOWEEKNUM(Table1[[#This Row],[Date]])</f>
        <v>29</v>
      </c>
      <c r="U676" s="4" t="str">
        <f>TEXT(Table1[[#This Row],[Date]],"YYYY")</f>
        <v>2025</v>
      </c>
    </row>
    <row r="677" spans="1:21">
      <c r="A677" s="19">
        <v>45854</v>
      </c>
      <c r="B677" s="4" t="s">
        <v>677</v>
      </c>
      <c r="C677" s="4" t="s">
        <v>225</v>
      </c>
      <c r="D677" s="4" t="s">
        <v>195</v>
      </c>
      <c r="E677" s="4" t="s">
        <v>32</v>
      </c>
      <c r="F677" s="4" t="s">
        <v>561</v>
      </c>
      <c r="G677" s="17" t="s">
        <v>562</v>
      </c>
      <c r="H677" s="4">
        <v>46007</v>
      </c>
      <c r="I677" s="4">
        <v>46007</v>
      </c>
      <c r="J677" s="31">
        <v>45839</v>
      </c>
      <c r="K677" s="4" t="s">
        <v>220</v>
      </c>
      <c r="L677" s="4" t="s">
        <v>17</v>
      </c>
      <c r="M677" s="4" t="s">
        <v>235</v>
      </c>
      <c r="S677" s="4" t="str">
        <f>TEXT(Table1[[#This Row],[Date]],"MMM-YY")</f>
        <v>Jul-25</v>
      </c>
      <c r="T677" s="4">
        <f>_xlfn.ISOWEEKNUM(Table1[[#This Row],[Date]])</f>
        <v>29</v>
      </c>
      <c r="U677" s="4" t="str">
        <f>TEXT(Table1[[#This Row],[Date]],"YYYY")</f>
        <v>2025</v>
      </c>
    </row>
    <row r="678" spans="1:21">
      <c r="A678" s="19">
        <v>45855</v>
      </c>
      <c r="B678" s="4" t="s">
        <v>778</v>
      </c>
      <c r="C678" s="4" t="s">
        <v>217</v>
      </c>
      <c r="D678" s="4" t="s">
        <v>195</v>
      </c>
      <c r="E678" s="4" t="s">
        <v>179</v>
      </c>
      <c r="F678" s="4" t="s">
        <v>709</v>
      </c>
      <c r="G678" s="17" t="s">
        <v>829</v>
      </c>
      <c r="H678" s="4">
        <v>11406</v>
      </c>
      <c r="I678" s="4">
        <v>11406</v>
      </c>
      <c r="J678" s="31">
        <v>45839</v>
      </c>
      <c r="K678" s="4" t="s">
        <v>220</v>
      </c>
      <c r="L678" s="4" t="s">
        <v>17</v>
      </c>
      <c r="M678" s="4" t="s">
        <v>235</v>
      </c>
      <c r="S678" s="4" t="str">
        <f>TEXT(Table1[[#This Row],[Date]],"MMM-YY")</f>
        <v>Jul-25</v>
      </c>
      <c r="T678" s="4">
        <f>_xlfn.ISOWEEKNUM(Table1[[#This Row],[Date]])</f>
        <v>29</v>
      </c>
      <c r="U678" s="4" t="str">
        <f>TEXT(Table1[[#This Row],[Date]],"YYYY")</f>
        <v>2025</v>
      </c>
    </row>
    <row r="679" spans="1:21">
      <c r="A679" s="19">
        <v>45855</v>
      </c>
      <c r="B679" s="4" t="s">
        <v>830</v>
      </c>
      <c r="C679" s="4" t="s">
        <v>217</v>
      </c>
      <c r="D679" s="4" t="s">
        <v>831</v>
      </c>
      <c r="E679" s="4" t="s">
        <v>21</v>
      </c>
      <c r="F679" s="4" t="s">
        <v>426</v>
      </c>
      <c r="G679" s="17" t="s">
        <v>832</v>
      </c>
      <c r="H679" s="4">
        <v>8036</v>
      </c>
      <c r="I679" s="4">
        <v>8036</v>
      </c>
      <c r="J679" s="31">
        <v>45839</v>
      </c>
      <c r="K679" s="4" t="s">
        <v>220</v>
      </c>
      <c r="L679" s="4" t="s">
        <v>17</v>
      </c>
      <c r="M679" s="4" t="s">
        <v>235</v>
      </c>
      <c r="S679" s="4" t="str">
        <f>TEXT(Table1[[#This Row],[Date]],"MMM-YY")</f>
        <v>Jul-25</v>
      </c>
      <c r="T679" s="4">
        <f>_xlfn.ISOWEEKNUM(Table1[[#This Row],[Date]])</f>
        <v>29</v>
      </c>
      <c r="U679" s="4" t="str">
        <f>TEXT(Table1[[#This Row],[Date]],"YYYY")</f>
        <v>2025</v>
      </c>
    </row>
    <row r="680" spans="1:21">
      <c r="A680" s="19">
        <v>45855</v>
      </c>
      <c r="B680" s="4" t="s">
        <v>812</v>
      </c>
      <c r="C680" s="4" t="s">
        <v>217</v>
      </c>
      <c r="D680" s="4" t="s">
        <v>195</v>
      </c>
      <c r="E680" s="4" t="s">
        <v>61</v>
      </c>
      <c r="F680" s="4" t="s">
        <v>745</v>
      </c>
      <c r="G680" s="17" t="s">
        <v>813</v>
      </c>
      <c r="H680" s="4">
        <v>6919</v>
      </c>
      <c r="I680" s="4">
        <v>6919</v>
      </c>
      <c r="J680" s="31">
        <v>45839</v>
      </c>
      <c r="K680" s="4" t="s">
        <v>220</v>
      </c>
      <c r="L680" s="4" t="s">
        <v>17</v>
      </c>
      <c r="M680" s="4" t="s">
        <v>235</v>
      </c>
      <c r="S680" s="4" t="str">
        <f>TEXT(Table1[[#This Row],[Date]],"MMM-YY")</f>
        <v>Jul-25</v>
      </c>
      <c r="T680" s="4">
        <f>_xlfn.ISOWEEKNUM(Table1[[#This Row],[Date]])</f>
        <v>29</v>
      </c>
      <c r="U680" s="4" t="str">
        <f>TEXT(Table1[[#This Row],[Date]],"YYYY")</f>
        <v>2025</v>
      </c>
    </row>
    <row r="681" spans="1:21" hidden="1">
      <c r="A681" s="19">
        <v>45856</v>
      </c>
      <c r="B681" s="4" t="s">
        <v>247</v>
      </c>
      <c r="C681" s="4" t="s">
        <v>217</v>
      </c>
      <c r="D681" s="4" t="s">
        <v>195</v>
      </c>
      <c r="E681" s="4" t="s">
        <v>61</v>
      </c>
      <c r="F681" s="4" t="s">
        <v>615</v>
      </c>
      <c r="G681" s="17" t="s">
        <v>240</v>
      </c>
      <c r="J681" s="31">
        <v>45870</v>
      </c>
      <c r="K681" s="4" t="s">
        <v>220</v>
      </c>
      <c r="L681" s="4" t="s">
        <v>16</v>
      </c>
      <c r="M681" s="4" t="s">
        <v>538</v>
      </c>
      <c r="S681" s="4" t="str">
        <f>TEXT(Table1[[#This Row],[Date]],"MMM-YY")</f>
        <v>Jul-25</v>
      </c>
      <c r="T681" s="4">
        <f>_xlfn.ISOWEEKNUM(Table1[[#This Row],[Date]])</f>
        <v>29</v>
      </c>
      <c r="U681" s="4" t="str">
        <f>TEXT(Table1[[#This Row],[Date]],"YYYY")</f>
        <v>2025</v>
      </c>
    </row>
    <row r="682" spans="1:21" hidden="1">
      <c r="A682" s="19">
        <v>45856</v>
      </c>
      <c r="B682" s="4" t="s">
        <v>450</v>
      </c>
      <c r="C682" s="4" t="s">
        <v>217</v>
      </c>
      <c r="D682" s="4" t="s">
        <v>195</v>
      </c>
      <c r="E682" s="4" t="s">
        <v>61</v>
      </c>
      <c r="F682" s="4" t="s">
        <v>583</v>
      </c>
      <c r="G682" s="17" t="s">
        <v>240</v>
      </c>
      <c r="J682" s="31">
        <v>45870</v>
      </c>
      <c r="K682" s="4" t="s">
        <v>220</v>
      </c>
      <c r="L682" s="4" t="s">
        <v>16</v>
      </c>
      <c r="M682" s="4" t="s">
        <v>538</v>
      </c>
      <c r="S682" s="4" t="str">
        <f>TEXT(Table1[[#This Row],[Date]],"MMM-YY")</f>
        <v>Jul-25</v>
      </c>
      <c r="T682" s="4">
        <f>_xlfn.ISOWEEKNUM(Table1[[#This Row],[Date]])</f>
        <v>29</v>
      </c>
      <c r="U682" s="4" t="str">
        <f>TEXT(Table1[[#This Row],[Date]],"YYYY")</f>
        <v>2025</v>
      </c>
    </row>
    <row r="683" spans="1:21">
      <c r="A683" s="19">
        <v>45860</v>
      </c>
      <c r="B683" s="4" t="s">
        <v>613</v>
      </c>
      <c r="C683" s="4" t="s">
        <v>217</v>
      </c>
      <c r="D683" s="4" t="s">
        <v>195</v>
      </c>
      <c r="E683" s="4" t="s">
        <v>61</v>
      </c>
      <c r="F683" s="4" t="s">
        <v>833</v>
      </c>
      <c r="H683" s="4">
        <v>12400</v>
      </c>
      <c r="I683" s="4">
        <v>12400</v>
      </c>
      <c r="J683" s="31">
        <v>45839</v>
      </c>
      <c r="K683" s="4" t="s">
        <v>220</v>
      </c>
      <c r="L683" s="4" t="s">
        <v>17</v>
      </c>
      <c r="M683" s="4" t="s">
        <v>221</v>
      </c>
      <c r="S683" s="4" t="str">
        <f>TEXT(Table1[[#This Row],[Date]],"MMM-YY")</f>
        <v>Jul-25</v>
      </c>
      <c r="T683" s="4">
        <f>_xlfn.ISOWEEKNUM(Table1[[#This Row],[Date]])</f>
        <v>30</v>
      </c>
      <c r="U683" s="4" t="str">
        <f>TEXT(Table1[[#This Row],[Date]],"YYYY")</f>
        <v>2025</v>
      </c>
    </row>
    <row r="684" spans="1:21" hidden="1">
      <c r="A684" s="19">
        <v>45860</v>
      </c>
      <c r="B684" s="4" t="s">
        <v>834</v>
      </c>
      <c r="C684" s="4" t="s">
        <v>217</v>
      </c>
      <c r="D684" s="4" t="s">
        <v>195</v>
      </c>
      <c r="E684" s="4" t="s">
        <v>61</v>
      </c>
      <c r="F684" s="4" t="s">
        <v>835</v>
      </c>
      <c r="G684" s="17" t="s">
        <v>240</v>
      </c>
      <c r="J684" s="31">
        <v>45870</v>
      </c>
      <c r="K684" s="4" t="s">
        <v>220</v>
      </c>
      <c r="L684" s="4" t="s">
        <v>16</v>
      </c>
      <c r="M684" s="4" t="s">
        <v>538</v>
      </c>
      <c r="S684" s="4" t="str">
        <f>TEXT(Table1[[#This Row],[Date]],"MMM-YY")</f>
        <v>Jul-25</v>
      </c>
      <c r="T684" s="4">
        <f>_xlfn.ISOWEEKNUM(Table1[[#This Row],[Date]])</f>
        <v>30</v>
      </c>
      <c r="U684" s="4" t="str">
        <f>TEXT(Table1[[#This Row],[Date]],"YYYY")</f>
        <v>2025</v>
      </c>
    </row>
    <row r="685" spans="1:21" hidden="1">
      <c r="A685" s="19">
        <v>45860</v>
      </c>
      <c r="B685" s="4" t="s">
        <v>608</v>
      </c>
      <c r="C685" s="4" t="s">
        <v>217</v>
      </c>
      <c r="D685" s="4" t="s">
        <v>195</v>
      </c>
      <c r="E685" s="4" t="s">
        <v>61</v>
      </c>
      <c r="F685" s="4" t="s">
        <v>437</v>
      </c>
      <c r="J685" s="31">
        <v>45870</v>
      </c>
      <c r="K685" s="4" t="s">
        <v>220</v>
      </c>
      <c r="L685" s="4" t="s">
        <v>16</v>
      </c>
      <c r="M685" s="4" t="s">
        <v>538</v>
      </c>
      <c r="S685" s="4" t="str">
        <f>TEXT(Table1[[#This Row],[Date]],"MMM-YY")</f>
        <v>Jul-25</v>
      </c>
      <c r="T685" s="4">
        <f>_xlfn.ISOWEEKNUM(Table1[[#This Row],[Date]])</f>
        <v>30</v>
      </c>
      <c r="U685" s="4" t="str">
        <f>TEXT(Table1[[#This Row],[Date]],"YYYY")</f>
        <v>2025</v>
      </c>
    </row>
    <row r="686" spans="1:21">
      <c r="A686" s="19">
        <v>45861</v>
      </c>
      <c r="B686" s="4" t="s">
        <v>613</v>
      </c>
      <c r="C686" s="4" t="s">
        <v>217</v>
      </c>
      <c r="D686" s="4" t="s">
        <v>195</v>
      </c>
      <c r="E686" s="4" t="s">
        <v>61</v>
      </c>
      <c r="F686" s="4" t="s">
        <v>833</v>
      </c>
      <c r="H686" s="4">
        <v>6500</v>
      </c>
      <c r="I686" s="4">
        <v>6500</v>
      </c>
      <c r="J686" s="31">
        <v>45839</v>
      </c>
      <c r="K686" s="4" t="s">
        <v>220</v>
      </c>
      <c r="L686" s="4" t="s">
        <v>17</v>
      </c>
      <c r="M686" s="4" t="s">
        <v>221</v>
      </c>
      <c r="S686" s="4" t="str">
        <f>TEXT(Table1[[#This Row],[Date]],"MMM-YY")</f>
        <v>Jul-25</v>
      </c>
      <c r="T686" s="4">
        <f>_xlfn.ISOWEEKNUM(Table1[[#This Row],[Date]])</f>
        <v>30</v>
      </c>
      <c r="U686" s="4" t="str">
        <f>TEXT(Table1[[#This Row],[Date]],"YYYY")</f>
        <v>2025</v>
      </c>
    </row>
    <row r="687" spans="1:21">
      <c r="A687" s="19">
        <v>45862</v>
      </c>
      <c r="B687" s="4" t="s">
        <v>812</v>
      </c>
      <c r="C687" s="4" t="s">
        <v>217</v>
      </c>
      <c r="D687" s="4" t="s">
        <v>195</v>
      </c>
      <c r="E687" s="4" t="s">
        <v>61</v>
      </c>
      <c r="F687" s="4" t="s">
        <v>745</v>
      </c>
      <c r="G687" s="17" t="s">
        <v>813</v>
      </c>
      <c r="H687" s="4">
        <v>7415</v>
      </c>
      <c r="I687" s="4">
        <v>7415</v>
      </c>
      <c r="J687" s="31">
        <v>45839</v>
      </c>
      <c r="K687" s="4" t="s">
        <v>220</v>
      </c>
      <c r="L687" s="4" t="s">
        <v>17</v>
      </c>
      <c r="M687" s="4" t="s">
        <v>221</v>
      </c>
      <c r="S687" s="4" t="str">
        <f>TEXT(Table1[[#This Row],[Date]],"MMM-YY")</f>
        <v>Jul-25</v>
      </c>
      <c r="T687" s="4">
        <f>_xlfn.ISOWEEKNUM(Table1[[#This Row],[Date]])</f>
        <v>30</v>
      </c>
      <c r="U687" s="4" t="str">
        <f>TEXT(Table1[[#This Row],[Date]],"YYYY")</f>
        <v>2025</v>
      </c>
    </row>
    <row r="688" spans="1:21">
      <c r="A688" s="19">
        <v>45862</v>
      </c>
      <c r="B688" s="4" t="s">
        <v>471</v>
      </c>
      <c r="C688" s="4" t="s">
        <v>217</v>
      </c>
      <c r="D688" s="4" t="s">
        <v>195</v>
      </c>
      <c r="E688" s="4" t="s">
        <v>25</v>
      </c>
      <c r="F688" s="4" t="s">
        <v>472</v>
      </c>
      <c r="G688" s="17" t="s">
        <v>431</v>
      </c>
      <c r="H688" s="30">
        <v>43525</v>
      </c>
      <c r="I688" s="30">
        <v>43525</v>
      </c>
      <c r="J688" s="31">
        <v>45839</v>
      </c>
      <c r="K688" s="4" t="s">
        <v>220</v>
      </c>
      <c r="L688" s="4" t="s">
        <v>17</v>
      </c>
      <c r="M688" s="4" t="s">
        <v>221</v>
      </c>
      <c r="S688" s="4" t="str">
        <f>TEXT(Table1[[#This Row],[Date]],"MMM-YY")</f>
        <v>Jul-25</v>
      </c>
      <c r="T688" s="4">
        <f>_xlfn.ISOWEEKNUM(Table1[[#This Row],[Date]])</f>
        <v>30</v>
      </c>
      <c r="U688" s="4" t="str">
        <f>TEXT(Table1[[#This Row],[Date]],"YYYY")</f>
        <v>2025</v>
      </c>
    </row>
    <row r="689" spans="1:21" hidden="1">
      <c r="A689" s="19">
        <v>45862</v>
      </c>
      <c r="B689" s="4" t="s">
        <v>836</v>
      </c>
      <c r="C689" s="4" t="s">
        <v>217</v>
      </c>
      <c r="D689" s="4" t="s">
        <v>195</v>
      </c>
      <c r="E689" s="4" t="s">
        <v>61</v>
      </c>
      <c r="F689" s="4" t="s">
        <v>837</v>
      </c>
      <c r="J689" s="31">
        <v>45839</v>
      </c>
      <c r="K689" s="4" t="s">
        <v>220</v>
      </c>
      <c r="L689" s="4" t="s">
        <v>13</v>
      </c>
      <c r="M689" s="4" t="s">
        <v>221</v>
      </c>
      <c r="S689" s="4" t="str">
        <f>TEXT(Table1[[#This Row],[Date]],"MMM-YY")</f>
        <v>Jul-25</v>
      </c>
      <c r="T689" s="4">
        <f>_xlfn.ISOWEEKNUM(Table1[[#This Row],[Date]])</f>
        <v>30</v>
      </c>
      <c r="U689" s="4" t="str">
        <f>TEXT(Table1[[#This Row],[Date]],"YYYY")</f>
        <v>2025</v>
      </c>
    </row>
    <row r="690" spans="1:21">
      <c r="A690" s="19">
        <v>45862</v>
      </c>
      <c r="B690" s="4" t="s">
        <v>613</v>
      </c>
      <c r="C690" s="4" t="s">
        <v>217</v>
      </c>
      <c r="D690" s="4" t="s">
        <v>195</v>
      </c>
      <c r="E690" s="4" t="s">
        <v>61</v>
      </c>
      <c r="F690" s="4" t="s">
        <v>833</v>
      </c>
      <c r="H690" s="4">
        <v>11400</v>
      </c>
      <c r="I690" s="4">
        <v>11400</v>
      </c>
      <c r="J690" s="31">
        <v>45839</v>
      </c>
      <c r="K690" s="4" t="s">
        <v>220</v>
      </c>
      <c r="L690" s="4" t="s">
        <v>17</v>
      </c>
      <c r="M690" s="4" t="s">
        <v>221</v>
      </c>
      <c r="S690" s="4" t="str">
        <f>TEXT(Table1[[#This Row],[Date]],"MMM-YY")</f>
        <v>Jul-25</v>
      </c>
      <c r="T690" s="4">
        <f>_xlfn.ISOWEEKNUM(Table1[[#This Row],[Date]])</f>
        <v>30</v>
      </c>
      <c r="U690" s="4" t="str">
        <f>TEXT(Table1[[#This Row],[Date]],"YYYY")</f>
        <v>2025</v>
      </c>
    </row>
    <row r="691" spans="1:21" hidden="1">
      <c r="A691" s="19">
        <v>45862</v>
      </c>
      <c r="B691" s="4" t="s">
        <v>356</v>
      </c>
      <c r="C691" s="4" t="s">
        <v>217</v>
      </c>
      <c r="D691" s="4" t="s">
        <v>195</v>
      </c>
      <c r="E691" s="4" t="s">
        <v>179</v>
      </c>
      <c r="F691" s="4" t="s">
        <v>709</v>
      </c>
      <c r="J691" s="31">
        <v>45839</v>
      </c>
      <c r="K691" s="4" t="s">
        <v>220</v>
      </c>
      <c r="L691" s="4" t="s">
        <v>27</v>
      </c>
      <c r="M691" s="4" t="s">
        <v>221</v>
      </c>
      <c r="S691" s="4" t="str">
        <f>TEXT(Table1[[#This Row],[Date]],"MMM-YY")</f>
        <v>Jul-25</v>
      </c>
      <c r="T691" s="4">
        <f>_xlfn.ISOWEEKNUM(Table1[[#This Row],[Date]])</f>
        <v>30</v>
      </c>
      <c r="U691" s="4" t="str">
        <f>TEXT(Table1[[#This Row],[Date]],"YYYY")</f>
        <v>2025</v>
      </c>
    </row>
    <row r="692" spans="1:21">
      <c r="A692" s="19">
        <v>45866</v>
      </c>
      <c r="B692" s="4" t="s">
        <v>838</v>
      </c>
      <c r="C692" s="4" t="s">
        <v>217</v>
      </c>
      <c r="D692" s="4" t="s">
        <v>195</v>
      </c>
      <c r="E692" s="4" t="s">
        <v>179</v>
      </c>
      <c r="F692" s="4" t="s">
        <v>705</v>
      </c>
      <c r="H692" s="4">
        <v>9294</v>
      </c>
      <c r="I692" s="4">
        <v>9294</v>
      </c>
      <c r="J692" s="31">
        <v>45839</v>
      </c>
      <c r="K692" s="4" t="s">
        <v>220</v>
      </c>
      <c r="L692" s="4" t="s">
        <v>17</v>
      </c>
      <c r="M692" s="4" t="s">
        <v>221</v>
      </c>
      <c r="S692" s="4" t="str">
        <f>TEXT(Table1[[#This Row],[Date]],"MMM-YY")</f>
        <v>Jul-25</v>
      </c>
      <c r="T692" s="4">
        <f>_xlfn.ISOWEEKNUM(Table1[[#This Row],[Date]])</f>
        <v>31</v>
      </c>
      <c r="U692" s="4" t="str">
        <f>TEXT(Table1[[#This Row],[Date]],"YYYY")</f>
        <v>2025</v>
      </c>
    </row>
    <row r="693" spans="1:21">
      <c r="A693" s="19">
        <v>45866</v>
      </c>
      <c r="B693" s="4" t="s">
        <v>812</v>
      </c>
      <c r="C693" s="4" t="s">
        <v>217</v>
      </c>
      <c r="D693" s="4" t="s">
        <v>195</v>
      </c>
      <c r="E693" s="4" t="s">
        <v>61</v>
      </c>
      <c r="F693" s="4" t="s">
        <v>745</v>
      </c>
      <c r="H693" s="4">
        <v>5000</v>
      </c>
      <c r="I693" s="4">
        <v>5000</v>
      </c>
      <c r="J693" s="31">
        <v>45839</v>
      </c>
      <c r="K693" s="4" t="s">
        <v>220</v>
      </c>
      <c r="L693" s="4" t="s">
        <v>17</v>
      </c>
      <c r="M693" s="4" t="s">
        <v>221</v>
      </c>
      <c r="S693" s="4" t="str">
        <f>TEXT(Table1[[#This Row],[Date]],"MMM-YY")</f>
        <v>Jul-25</v>
      </c>
      <c r="T693" s="4">
        <f>_xlfn.ISOWEEKNUM(Table1[[#This Row],[Date]])</f>
        <v>31</v>
      </c>
      <c r="U693" s="4" t="str">
        <f>TEXT(Table1[[#This Row],[Date]],"YYYY")</f>
        <v>2025</v>
      </c>
    </row>
    <row r="694" spans="1:21">
      <c r="A694" s="19">
        <v>45867</v>
      </c>
      <c r="B694" s="4" t="s">
        <v>775</v>
      </c>
      <c r="C694" s="4" t="s">
        <v>217</v>
      </c>
      <c r="D694" s="4" t="s">
        <v>195</v>
      </c>
      <c r="E694" s="4" t="s">
        <v>179</v>
      </c>
      <c r="F694" s="4" t="s">
        <v>707</v>
      </c>
      <c r="G694" s="17" t="s">
        <v>825</v>
      </c>
      <c r="H694" s="4">
        <v>19253</v>
      </c>
      <c r="I694" s="4">
        <v>19253</v>
      </c>
      <c r="J694" s="31">
        <v>45839</v>
      </c>
      <c r="K694" s="4" t="s">
        <v>220</v>
      </c>
      <c r="L694" s="4" t="s">
        <v>17</v>
      </c>
      <c r="M694" s="4" t="s">
        <v>235</v>
      </c>
      <c r="S694" s="4" t="str">
        <f>TEXT(Table1[[#This Row],[Date]],"MMM-YY")</f>
        <v>Jul-25</v>
      </c>
      <c r="T694" s="4">
        <f>_xlfn.ISOWEEKNUM(Table1[[#This Row],[Date]])</f>
        <v>31</v>
      </c>
      <c r="U694" s="4" t="str">
        <f>TEXT(Table1[[#This Row],[Date]],"YYYY")</f>
        <v>2025</v>
      </c>
    </row>
    <row r="695" spans="1:21">
      <c r="A695" s="19">
        <v>45867</v>
      </c>
      <c r="B695" s="4" t="s">
        <v>222</v>
      </c>
      <c r="C695" s="4" t="s">
        <v>225</v>
      </c>
      <c r="D695" s="4" t="s">
        <v>195</v>
      </c>
      <c r="E695" s="4" t="s">
        <v>41</v>
      </c>
      <c r="F695" s="4" t="s">
        <v>223</v>
      </c>
      <c r="H695" s="4">
        <v>13047</v>
      </c>
      <c r="I695" s="4">
        <v>13047</v>
      </c>
      <c r="J695" s="31">
        <v>45839</v>
      </c>
      <c r="K695" s="4" t="s">
        <v>220</v>
      </c>
      <c r="L695" s="4" t="s">
        <v>17</v>
      </c>
      <c r="M695" s="4" t="s">
        <v>221</v>
      </c>
      <c r="S695" s="4" t="str">
        <f>TEXT(Table1[[#This Row],[Date]],"MMM-YY")</f>
        <v>Jul-25</v>
      </c>
      <c r="T695" s="4">
        <f>_xlfn.ISOWEEKNUM(Table1[[#This Row],[Date]])</f>
        <v>31</v>
      </c>
      <c r="U695" s="4" t="str">
        <f>TEXT(Table1[[#This Row],[Date]],"YYYY")</f>
        <v>2025</v>
      </c>
    </row>
    <row r="696" spans="1:21">
      <c r="A696" s="19">
        <v>45868</v>
      </c>
      <c r="B696" s="4" t="s">
        <v>760</v>
      </c>
      <c r="C696" s="4" t="s">
        <v>217</v>
      </c>
      <c r="D696" s="4" t="s">
        <v>195</v>
      </c>
      <c r="E696" s="4" t="s">
        <v>179</v>
      </c>
      <c r="F696" s="4" t="s">
        <v>675</v>
      </c>
      <c r="G696" s="17" t="s">
        <v>829</v>
      </c>
      <c r="H696" s="4">
        <v>23180</v>
      </c>
      <c r="I696" s="4">
        <v>23180</v>
      </c>
      <c r="J696" s="31">
        <v>45839</v>
      </c>
      <c r="K696" s="4" t="s">
        <v>220</v>
      </c>
      <c r="L696" s="4" t="s">
        <v>17</v>
      </c>
      <c r="M696" s="4" t="s">
        <v>235</v>
      </c>
      <c r="S696" s="4" t="str">
        <f>TEXT(Table1[[#This Row],[Date]],"MMM-YY")</f>
        <v>Jul-25</v>
      </c>
      <c r="T696" s="4">
        <f>_xlfn.ISOWEEKNUM(Table1[[#This Row],[Date]])</f>
        <v>31</v>
      </c>
      <c r="U696" s="4" t="str">
        <f>TEXT(Table1[[#This Row],[Date]],"YYYY")</f>
        <v>2025</v>
      </c>
    </row>
    <row r="697" spans="1:21">
      <c r="A697" s="19">
        <v>45869</v>
      </c>
      <c r="B697" s="4" t="s">
        <v>778</v>
      </c>
      <c r="C697" s="4" t="s">
        <v>217</v>
      </c>
      <c r="D697" s="4" t="s">
        <v>195</v>
      </c>
      <c r="E697" s="4" t="s">
        <v>179</v>
      </c>
      <c r="F697" s="4" t="s">
        <v>763</v>
      </c>
      <c r="H697" s="4">
        <v>17123</v>
      </c>
      <c r="I697" s="4">
        <v>17123</v>
      </c>
      <c r="J697" s="31">
        <v>45839</v>
      </c>
      <c r="K697" s="4" t="s">
        <v>220</v>
      </c>
      <c r="L697" s="4" t="s">
        <v>17</v>
      </c>
      <c r="M697" s="4" t="s">
        <v>235</v>
      </c>
      <c r="S697" s="4" t="str">
        <f>TEXT(Table1[[#This Row],[Date]],"MMM-YY")</f>
        <v>Jul-25</v>
      </c>
      <c r="T697" s="4">
        <f>_xlfn.ISOWEEKNUM(Table1[[#This Row],[Date]])</f>
        <v>31</v>
      </c>
      <c r="U697" s="4" t="str">
        <f>TEXT(Table1[[#This Row],[Date]],"YYYY")</f>
        <v>2025</v>
      </c>
    </row>
    <row r="698" spans="1:21" hidden="1">
      <c r="A698" s="19">
        <v>45870</v>
      </c>
      <c r="B698" s="4" t="s">
        <v>230</v>
      </c>
      <c r="C698" s="4" t="s">
        <v>217</v>
      </c>
      <c r="D698" s="4" t="s">
        <v>195</v>
      </c>
      <c r="E698" s="4" t="s">
        <v>183</v>
      </c>
      <c r="F698" s="4" t="s">
        <v>231</v>
      </c>
      <c r="G698" s="17" t="s">
        <v>431</v>
      </c>
      <c r="H698" s="30"/>
      <c r="I698" s="30"/>
      <c r="J698" s="31">
        <v>45870</v>
      </c>
      <c r="K698" s="4" t="s">
        <v>220</v>
      </c>
      <c r="L698" s="4" t="s">
        <v>16</v>
      </c>
      <c r="M698" s="4" t="s">
        <v>235</v>
      </c>
      <c r="S698" s="4" t="str">
        <f>TEXT(Table1[[#This Row],[Date]],"MMM-YY")</f>
        <v>Aug-25</v>
      </c>
      <c r="T698" s="4">
        <f>_xlfn.ISOWEEKNUM(Table1[[#This Row],[Date]])</f>
        <v>31</v>
      </c>
      <c r="U698" s="4" t="str">
        <f>TEXT(Table1[[#This Row],[Expected Business Month]],"YYYY")</f>
        <v>2025</v>
      </c>
    </row>
    <row r="699" spans="1:21" hidden="1">
      <c r="A699" s="19">
        <v>45870</v>
      </c>
      <c r="B699" s="4" t="s">
        <v>834</v>
      </c>
      <c r="C699" s="4" t="s">
        <v>217</v>
      </c>
      <c r="D699" s="4" t="s">
        <v>195</v>
      </c>
      <c r="E699" s="4" t="s">
        <v>61</v>
      </c>
      <c r="F699" s="4" t="s">
        <v>835</v>
      </c>
      <c r="G699" s="17" t="s">
        <v>240</v>
      </c>
      <c r="J699" s="31">
        <v>45870</v>
      </c>
      <c r="K699" s="4" t="s">
        <v>220</v>
      </c>
      <c r="L699" s="4" t="s">
        <v>16</v>
      </c>
      <c r="M699" s="4" t="s">
        <v>538</v>
      </c>
      <c r="S699" s="4" t="str">
        <f>TEXT(Table1[[#This Row],[Date]],"MMM-YY")</f>
        <v>Aug-25</v>
      </c>
      <c r="T699" s="4">
        <f>_xlfn.ISOWEEKNUM(Table1[[#This Row],[Date]])</f>
        <v>31</v>
      </c>
      <c r="U699" s="4" t="str">
        <f>TEXT(Table1[[#This Row],[Date]],"YYYY")</f>
        <v>2025</v>
      </c>
    </row>
    <row r="700" spans="1:21" hidden="1">
      <c r="A700" s="19">
        <v>45870</v>
      </c>
      <c r="B700" s="4" t="s">
        <v>338</v>
      </c>
      <c r="C700" s="4" t="s">
        <v>225</v>
      </c>
      <c r="D700" s="4" t="s">
        <v>183</v>
      </c>
      <c r="E700" s="4" t="s">
        <v>49</v>
      </c>
      <c r="F700" s="4" t="s">
        <v>339</v>
      </c>
      <c r="G700" s="17" t="s">
        <v>240</v>
      </c>
      <c r="J700" s="31">
        <v>45870</v>
      </c>
      <c r="K700" s="4" t="s">
        <v>220</v>
      </c>
      <c r="L700" s="4" t="s">
        <v>16</v>
      </c>
      <c r="M700" s="4" t="s">
        <v>538</v>
      </c>
      <c r="S700" s="4" t="str">
        <f>TEXT(Table1[[#This Row],[Date]],"MMM-YY")</f>
        <v>Aug-25</v>
      </c>
      <c r="T700" s="4">
        <f>_xlfn.ISOWEEKNUM(Table1[[#This Row],[Date]])</f>
        <v>31</v>
      </c>
      <c r="U700" s="4" t="str">
        <f>TEXT(Table1[[#This Row],[Date]],"YYYY")</f>
        <v>2025</v>
      </c>
    </row>
    <row r="701" spans="1:21" hidden="1">
      <c r="A701" s="19">
        <v>45870</v>
      </c>
      <c r="B701" s="4" t="s">
        <v>836</v>
      </c>
      <c r="C701" s="4" t="s">
        <v>225</v>
      </c>
      <c r="D701" s="4" t="s">
        <v>195</v>
      </c>
      <c r="E701" s="4" t="s">
        <v>61</v>
      </c>
      <c r="F701" s="4" t="s">
        <v>837</v>
      </c>
      <c r="J701" s="31">
        <v>45870</v>
      </c>
      <c r="K701" s="4" t="s">
        <v>220</v>
      </c>
      <c r="L701" s="4" t="s">
        <v>16</v>
      </c>
      <c r="M701" s="4" t="s">
        <v>538</v>
      </c>
      <c r="S701" s="4" t="str">
        <f>TEXT(Table1[[#This Row],[Date]],"MMM-YY")</f>
        <v>Aug-25</v>
      </c>
      <c r="T701" s="4">
        <f>_xlfn.ISOWEEKNUM(Table1[[#This Row],[Date]])</f>
        <v>31</v>
      </c>
      <c r="U701" s="4" t="str">
        <f>TEXT(Table1[[#This Row],[Date]],"YYYY")</f>
        <v>2025</v>
      </c>
    </row>
    <row r="702" spans="1:21" hidden="1">
      <c r="A702" s="19">
        <v>45870</v>
      </c>
      <c r="B702" s="4" t="s">
        <v>243</v>
      </c>
      <c r="C702" s="4" t="s">
        <v>225</v>
      </c>
      <c r="D702" s="4" t="s">
        <v>195</v>
      </c>
      <c r="E702" s="4" t="s">
        <v>53</v>
      </c>
      <c r="F702" s="4" t="s">
        <v>244</v>
      </c>
      <c r="G702" s="17" t="s">
        <v>811</v>
      </c>
      <c r="J702" s="31">
        <v>45870</v>
      </c>
      <c r="K702" s="4" t="s">
        <v>220</v>
      </c>
      <c r="L702" s="4" t="s">
        <v>27</v>
      </c>
      <c r="M702" s="4" t="s">
        <v>221</v>
      </c>
      <c r="S702" s="4" t="str">
        <f>TEXT(Table1[[#This Row],[Date]],"MMM-YY")</f>
        <v>Aug-25</v>
      </c>
      <c r="T702" s="4">
        <f>_xlfn.ISOWEEKNUM(Table1[[#This Row],[Date]])</f>
        <v>31</v>
      </c>
      <c r="U702" s="4" t="str">
        <f>TEXT(Table1[[#This Row],[Date]],"YYYY")</f>
        <v>2025</v>
      </c>
    </row>
    <row r="703" spans="1:21" hidden="1">
      <c r="A703" s="19">
        <v>45870</v>
      </c>
      <c r="B703" s="4" t="s">
        <v>821</v>
      </c>
      <c r="C703" s="4" t="s">
        <v>225</v>
      </c>
      <c r="D703" s="4" t="s">
        <v>79</v>
      </c>
      <c r="E703" s="4" t="s">
        <v>79</v>
      </c>
      <c r="F703" s="4" t="s">
        <v>680</v>
      </c>
      <c r="G703" s="17" t="s">
        <v>240</v>
      </c>
      <c r="J703" s="31">
        <v>45870</v>
      </c>
      <c r="K703" s="4" t="s">
        <v>220</v>
      </c>
      <c r="L703" s="4" t="s">
        <v>16</v>
      </c>
      <c r="M703" s="4" t="s">
        <v>538</v>
      </c>
      <c r="S703" s="4" t="str">
        <f>TEXT(Table1[[#This Row],[Date]],"MMM-YY")</f>
        <v>Aug-25</v>
      </c>
      <c r="T703" s="4">
        <f>_xlfn.ISOWEEKNUM(Table1[[#This Row],[Date]])</f>
        <v>31</v>
      </c>
      <c r="U703" s="4" t="str">
        <f>TEXT(Table1[[#This Row],[Date]],"YYYY")</f>
        <v>2025</v>
      </c>
    </row>
    <row r="704" spans="1:21" hidden="1">
      <c r="A704" s="19">
        <v>45870</v>
      </c>
      <c r="B704" s="4" t="s">
        <v>570</v>
      </c>
      <c r="C704" s="4" t="s">
        <v>225</v>
      </c>
      <c r="D704" s="4" t="s">
        <v>195</v>
      </c>
      <c r="E704" s="4" t="s">
        <v>26</v>
      </c>
      <c r="F704" s="4" t="s">
        <v>561</v>
      </c>
      <c r="G704" s="17" t="s">
        <v>240</v>
      </c>
      <c r="J704" s="31">
        <v>45870</v>
      </c>
      <c r="K704" s="4" t="s">
        <v>220</v>
      </c>
      <c r="L704" s="4" t="s">
        <v>16</v>
      </c>
      <c r="M704" s="4" t="s">
        <v>538</v>
      </c>
      <c r="S704" s="4" t="str">
        <f>TEXT(Table1[[#This Row],[Date]],"MMM-YY")</f>
        <v>Aug-25</v>
      </c>
      <c r="T704" s="4">
        <f>_xlfn.ISOWEEKNUM(Table1[[#This Row],[Date]])</f>
        <v>31</v>
      </c>
      <c r="U704" s="4" t="str">
        <f>TEXT(Table1[[#This Row],[Date]],"YYYY")</f>
        <v>2025</v>
      </c>
    </row>
    <row r="705" spans="1:21" hidden="1">
      <c r="A705" s="19">
        <v>45870</v>
      </c>
      <c r="B705" s="4" t="s">
        <v>230</v>
      </c>
      <c r="C705" s="4" t="s">
        <v>225</v>
      </c>
      <c r="D705" s="4" t="s">
        <v>195</v>
      </c>
      <c r="E705" s="4" t="s">
        <v>183</v>
      </c>
      <c r="F705" s="4" t="s">
        <v>231</v>
      </c>
      <c r="G705" s="17" t="s">
        <v>431</v>
      </c>
      <c r="J705" s="31">
        <v>45870</v>
      </c>
      <c r="K705" s="4" t="s">
        <v>220</v>
      </c>
      <c r="L705" s="4" t="s">
        <v>27</v>
      </c>
      <c r="M705" s="4" t="s">
        <v>221</v>
      </c>
      <c r="S705" s="4" t="str">
        <f>TEXT(Table1[[#This Row],[Date]],"MMM-YY")</f>
        <v>Aug-25</v>
      </c>
      <c r="T705" s="4">
        <f>_xlfn.ISOWEEKNUM(Table1[[#This Row],[Date]])</f>
        <v>31</v>
      </c>
      <c r="U705" s="4" t="str">
        <f>TEXT(Table1[[#This Row],[Date]],"YYYY")</f>
        <v>2025</v>
      </c>
    </row>
    <row r="706" spans="1:21" hidden="1">
      <c r="A706" s="19">
        <v>45870</v>
      </c>
      <c r="B706" s="4" t="s">
        <v>809</v>
      </c>
      <c r="C706" s="4" t="s">
        <v>225</v>
      </c>
      <c r="D706" s="4" t="s">
        <v>195</v>
      </c>
      <c r="E706" s="4" t="s">
        <v>61</v>
      </c>
      <c r="F706" s="4" t="s">
        <v>810</v>
      </c>
      <c r="J706" s="31">
        <v>45870</v>
      </c>
      <c r="K706" s="4" t="s">
        <v>220</v>
      </c>
      <c r="L706" s="4" t="s">
        <v>16</v>
      </c>
      <c r="M706" s="4" t="s">
        <v>538</v>
      </c>
      <c r="S706" s="4" t="str">
        <f>TEXT(Table1[[#This Row],[Date]],"MMM-YY")</f>
        <v>Aug-25</v>
      </c>
      <c r="T706" s="4">
        <f>_xlfn.ISOWEEKNUM(Table1[[#This Row],[Date]])</f>
        <v>31</v>
      </c>
      <c r="U706" s="4" t="str">
        <f>TEXT(Table1[[#This Row],[Date]],"YYYY")</f>
        <v>2025</v>
      </c>
    </row>
    <row r="707" spans="1:21" hidden="1">
      <c r="A707" s="19">
        <v>45870</v>
      </c>
      <c r="B707" s="4" t="s">
        <v>222</v>
      </c>
      <c r="C707" s="4" t="s">
        <v>225</v>
      </c>
      <c r="D707" s="4" t="s">
        <v>195</v>
      </c>
      <c r="E707" s="4" t="s">
        <v>41</v>
      </c>
      <c r="F707" s="4" t="s">
        <v>223</v>
      </c>
      <c r="G707" s="17" t="s">
        <v>822</v>
      </c>
      <c r="J707" s="31">
        <v>45870</v>
      </c>
      <c r="K707" s="4" t="s">
        <v>220</v>
      </c>
      <c r="L707" s="4" t="s">
        <v>16</v>
      </c>
      <c r="M707" s="4" t="s">
        <v>538</v>
      </c>
      <c r="S707" s="4" t="str">
        <f>TEXT(Table1[[#This Row],[Date]],"MMM-YY")</f>
        <v>Aug-25</v>
      </c>
      <c r="T707" s="4">
        <f>_xlfn.ISOWEEKNUM(Table1[[#This Row],[Date]])</f>
        <v>31</v>
      </c>
      <c r="U707" s="4" t="str">
        <f>TEXT(Table1[[#This Row],[Date]],"YYYY")</f>
        <v>2025</v>
      </c>
    </row>
    <row r="708" spans="1:21" hidden="1">
      <c r="A708" s="19">
        <v>45870</v>
      </c>
      <c r="B708" s="4" t="s">
        <v>284</v>
      </c>
      <c r="C708" s="4" t="s">
        <v>225</v>
      </c>
      <c r="D708" s="4" t="s">
        <v>195</v>
      </c>
      <c r="E708" s="4" t="s">
        <v>61</v>
      </c>
      <c r="F708" s="4" t="s">
        <v>285</v>
      </c>
      <c r="J708" s="31">
        <v>45870</v>
      </c>
      <c r="K708" s="33" t="s">
        <v>220</v>
      </c>
      <c r="L708" s="4" t="s">
        <v>16</v>
      </c>
      <c r="M708" s="4" t="s">
        <v>538</v>
      </c>
      <c r="S708" s="4" t="str">
        <f>TEXT(Table1[[#This Row],[Date]],"MMM-YY")</f>
        <v>Aug-25</v>
      </c>
      <c r="T708" s="4">
        <f>_xlfn.ISOWEEKNUM(Table1[[#This Row],[Date]])</f>
        <v>31</v>
      </c>
      <c r="U708" s="4" t="str">
        <f>TEXT(Table1[[#This Row],[Date]],"YYYY")</f>
        <v>2025</v>
      </c>
    </row>
    <row r="709" spans="1:21" hidden="1">
      <c r="A709" s="19">
        <v>45870</v>
      </c>
      <c r="B709" s="4" t="s">
        <v>608</v>
      </c>
      <c r="C709" s="4" t="s">
        <v>225</v>
      </c>
      <c r="D709" s="4" t="s">
        <v>195</v>
      </c>
      <c r="E709" s="4" t="s">
        <v>61</v>
      </c>
      <c r="F709" s="4" t="s">
        <v>437</v>
      </c>
      <c r="J709" s="31">
        <v>45870</v>
      </c>
      <c r="K709" s="4" t="s">
        <v>220</v>
      </c>
      <c r="L709" s="4" t="s">
        <v>16</v>
      </c>
      <c r="M709" s="4" t="s">
        <v>538</v>
      </c>
      <c r="S709" s="4" t="str">
        <f>TEXT(Table1[[#This Row],[Date]],"MMM-YY")</f>
        <v>Aug-25</v>
      </c>
      <c r="T709" s="4">
        <f>_xlfn.ISOWEEKNUM(Table1[[#This Row],[Date]])</f>
        <v>31</v>
      </c>
      <c r="U709" s="4" t="str">
        <f>TEXT(Table1[[#This Row],[Date]],"YYYY")</f>
        <v>2025</v>
      </c>
    </row>
    <row r="710" spans="1:21" hidden="1">
      <c r="A710" s="19">
        <v>45870</v>
      </c>
      <c r="B710" s="4" t="s">
        <v>335</v>
      </c>
      <c r="C710" s="4" t="s">
        <v>225</v>
      </c>
      <c r="D710" s="4" t="s">
        <v>183</v>
      </c>
      <c r="E710" s="4" t="s">
        <v>49</v>
      </c>
      <c r="F710" s="4" t="s">
        <v>336</v>
      </c>
      <c r="G710" s="17" t="s">
        <v>308</v>
      </c>
      <c r="J710" s="31">
        <v>45870</v>
      </c>
      <c r="K710" s="4" t="s">
        <v>220</v>
      </c>
      <c r="L710" s="4" t="s">
        <v>16</v>
      </c>
      <c r="M710" s="4" t="s">
        <v>538</v>
      </c>
      <c r="S710" s="4" t="str">
        <f>TEXT(Table1[[#This Row],[Date]],"MMM-YY")</f>
        <v>Aug-25</v>
      </c>
      <c r="T710" s="4">
        <f>_xlfn.ISOWEEKNUM(Table1[[#This Row],[Date]])</f>
        <v>31</v>
      </c>
      <c r="U710" s="4" t="str">
        <f>TEXT(Table1[[#This Row],[Date]],"YYYY")</f>
        <v>2025</v>
      </c>
    </row>
    <row r="711" spans="1:21" hidden="1">
      <c r="A711" s="19">
        <v>45870</v>
      </c>
      <c r="B711" s="4" t="s">
        <v>384</v>
      </c>
      <c r="C711" s="4" t="s">
        <v>225</v>
      </c>
      <c r="D711" s="4" t="s">
        <v>195</v>
      </c>
      <c r="E711" s="4" t="s">
        <v>87</v>
      </c>
      <c r="F711" s="4" t="s">
        <v>828</v>
      </c>
      <c r="G711" s="17" t="s">
        <v>240</v>
      </c>
      <c r="J711" s="31">
        <v>45870</v>
      </c>
      <c r="K711" s="4" t="s">
        <v>220</v>
      </c>
      <c r="L711" s="4" t="s">
        <v>16</v>
      </c>
      <c r="M711" s="4" t="s">
        <v>538</v>
      </c>
      <c r="S711" s="4" t="str">
        <f>TEXT(Table1[[#This Row],[Date]],"MMM-YY")</f>
        <v>Aug-25</v>
      </c>
      <c r="T711" s="4">
        <f>_xlfn.ISOWEEKNUM(Table1[[#This Row],[Date]])</f>
        <v>31</v>
      </c>
      <c r="U711" s="4" t="str">
        <f>TEXT(Table1[[#This Row],[Date]],"YYYY")</f>
        <v>2025</v>
      </c>
    </row>
    <row r="712" spans="1:21" hidden="1">
      <c r="A712" s="19">
        <v>45870</v>
      </c>
      <c r="B712" s="4" t="s">
        <v>450</v>
      </c>
      <c r="C712" s="4" t="s">
        <v>225</v>
      </c>
      <c r="D712" s="4" t="s">
        <v>195</v>
      </c>
      <c r="E712" s="4" t="s">
        <v>61</v>
      </c>
      <c r="F712" s="4" t="s">
        <v>583</v>
      </c>
      <c r="G712" s="17" t="s">
        <v>240</v>
      </c>
      <c r="J712" s="31">
        <v>45870</v>
      </c>
      <c r="K712" s="4" t="s">
        <v>220</v>
      </c>
      <c r="L712" s="4" t="s">
        <v>16</v>
      </c>
      <c r="M712" s="4" t="s">
        <v>538</v>
      </c>
      <c r="S712" s="4" t="str">
        <f>TEXT(Table1[[#This Row],[Date]],"MMM-YY")</f>
        <v>Aug-25</v>
      </c>
      <c r="T712" s="4">
        <f>_xlfn.ISOWEEKNUM(Table1[[#This Row],[Date]])</f>
        <v>31</v>
      </c>
      <c r="U712" s="4" t="str">
        <f>TEXT(Table1[[#This Row],[Date]],"YYYY")</f>
        <v>2025</v>
      </c>
    </row>
    <row r="713" spans="1:21" hidden="1">
      <c r="A713" s="19">
        <v>45870</v>
      </c>
      <c r="B713" s="4" t="s">
        <v>258</v>
      </c>
      <c r="C713" s="4" t="s">
        <v>225</v>
      </c>
      <c r="D713" s="4" t="s">
        <v>195</v>
      </c>
      <c r="E713" s="4" t="s">
        <v>47</v>
      </c>
      <c r="F713" s="4" t="s">
        <v>523</v>
      </c>
      <c r="G713" s="17" t="s">
        <v>823</v>
      </c>
      <c r="J713" s="31">
        <v>45870</v>
      </c>
      <c r="K713" s="4" t="s">
        <v>220</v>
      </c>
      <c r="L713" s="4" t="s">
        <v>16</v>
      </c>
      <c r="M713" s="4" t="s">
        <v>538</v>
      </c>
      <c r="S713" s="4" t="str">
        <f>TEXT(Table1[[#This Row],[Date]],"MMM-YY")</f>
        <v>Aug-25</v>
      </c>
      <c r="T713" s="4">
        <f>_xlfn.ISOWEEKNUM(Table1[[#This Row],[Date]])</f>
        <v>31</v>
      </c>
      <c r="U713" s="4" t="str">
        <f>TEXT(Table1[[#This Row],[Date]],"YYYY")</f>
        <v>2025</v>
      </c>
    </row>
    <row r="714" spans="1:21" hidden="1">
      <c r="A714" s="19">
        <v>45870</v>
      </c>
      <c r="B714" s="4" t="s">
        <v>805</v>
      </c>
      <c r="C714" s="4" t="s">
        <v>225</v>
      </c>
      <c r="D714" s="4" t="s">
        <v>195</v>
      </c>
      <c r="E714" s="4" t="s">
        <v>61</v>
      </c>
      <c r="F714" s="4" t="s">
        <v>806</v>
      </c>
      <c r="J714" s="31">
        <v>45870</v>
      </c>
      <c r="K714" s="33" t="s">
        <v>220</v>
      </c>
      <c r="L714" s="4" t="s">
        <v>16</v>
      </c>
      <c r="M714" s="4" t="s">
        <v>538</v>
      </c>
      <c r="S714" s="4" t="str">
        <f>TEXT(Table1[[#This Row],[Date]],"MMM-YY")</f>
        <v>Aug-25</v>
      </c>
      <c r="T714" s="4">
        <f>_xlfn.ISOWEEKNUM(Table1[[#This Row],[Date]])</f>
        <v>31</v>
      </c>
      <c r="U714" s="4" t="str">
        <f>TEXT(Table1[[#This Row],[Date]],"YYYY")</f>
        <v>2025</v>
      </c>
    </row>
    <row r="715" spans="1:21" hidden="1">
      <c r="A715" s="19">
        <v>45870</v>
      </c>
      <c r="B715" s="4" t="s">
        <v>807</v>
      </c>
      <c r="C715" s="4" t="s">
        <v>225</v>
      </c>
      <c r="D715" s="4" t="s">
        <v>195</v>
      </c>
      <c r="E715" s="4" t="s">
        <v>61</v>
      </c>
      <c r="F715" s="4" t="s">
        <v>808</v>
      </c>
      <c r="J715" s="31">
        <v>45870</v>
      </c>
      <c r="K715" s="33" t="s">
        <v>220</v>
      </c>
      <c r="L715" s="4" t="s">
        <v>16</v>
      </c>
      <c r="M715" s="4" t="s">
        <v>538</v>
      </c>
      <c r="S715" s="4" t="str">
        <f>TEXT(Table1[[#This Row],[Date]],"MMM-YY")</f>
        <v>Aug-25</v>
      </c>
      <c r="T715" s="4">
        <f>_xlfn.ISOWEEKNUM(Table1[[#This Row],[Date]])</f>
        <v>31</v>
      </c>
      <c r="U715" s="4" t="str">
        <f>TEXT(Table1[[#This Row],[Date]],"YYYY")</f>
        <v>2025</v>
      </c>
    </row>
    <row r="716" spans="1:21" hidden="1">
      <c r="A716" s="19">
        <v>45870</v>
      </c>
      <c r="B716" s="4" t="s">
        <v>247</v>
      </c>
      <c r="C716" s="4" t="s">
        <v>225</v>
      </c>
      <c r="D716" s="4" t="s">
        <v>195</v>
      </c>
      <c r="E716" s="4" t="s">
        <v>61</v>
      </c>
      <c r="F716" s="4" t="s">
        <v>615</v>
      </c>
      <c r="G716" s="17" t="s">
        <v>240</v>
      </c>
      <c r="J716" s="31">
        <v>45870</v>
      </c>
      <c r="K716" s="4" t="s">
        <v>220</v>
      </c>
      <c r="L716" s="4" t="s">
        <v>16</v>
      </c>
      <c r="M716" s="4" t="s">
        <v>538</v>
      </c>
      <c r="S716" s="4" t="str">
        <f>TEXT(Table1[[#This Row],[Date]],"MMM-YY")</f>
        <v>Aug-25</v>
      </c>
      <c r="T716" s="4">
        <f>_xlfn.ISOWEEKNUM(Table1[[#This Row],[Date]])</f>
        <v>31</v>
      </c>
      <c r="U716" s="4" t="str">
        <f>TEXT(Table1[[#This Row],[Date]],"YYYY")</f>
        <v>2025</v>
      </c>
    </row>
    <row r="717" spans="1:21" hidden="1">
      <c r="A717" s="19">
        <v>45870</v>
      </c>
      <c r="B717" s="4" t="s">
        <v>834</v>
      </c>
      <c r="C717" s="4" t="s">
        <v>225</v>
      </c>
      <c r="D717" s="4" t="s">
        <v>195</v>
      </c>
      <c r="E717" s="4" t="s">
        <v>61</v>
      </c>
      <c r="F717" s="4" t="s">
        <v>835</v>
      </c>
      <c r="G717" s="17" t="s">
        <v>240</v>
      </c>
      <c r="J717" s="31">
        <v>45870</v>
      </c>
      <c r="K717" s="4" t="s">
        <v>220</v>
      </c>
      <c r="L717" s="4" t="s">
        <v>16</v>
      </c>
      <c r="M717" s="4" t="s">
        <v>538</v>
      </c>
      <c r="S717" s="4" t="str">
        <f>TEXT(Table1[[#This Row],[Date]],"MMM-YY")</f>
        <v>Aug-25</v>
      </c>
      <c r="T717" s="4">
        <f>_xlfn.ISOWEEKNUM(Table1[[#This Row],[Date]])</f>
        <v>31</v>
      </c>
      <c r="U717" s="4" t="str">
        <f>TEXT(Table1[[#This Row],[Date]],"YYYY")</f>
        <v>2025</v>
      </c>
    </row>
    <row r="718" spans="1:21" hidden="1">
      <c r="A718" s="19">
        <v>45870</v>
      </c>
      <c r="B718" s="4" t="s">
        <v>338</v>
      </c>
      <c r="C718" s="4" t="s">
        <v>225</v>
      </c>
      <c r="D718" s="4" t="s">
        <v>183</v>
      </c>
      <c r="E718" s="4" t="s">
        <v>49</v>
      </c>
      <c r="F718" s="4" t="s">
        <v>339</v>
      </c>
      <c r="G718" s="17" t="s">
        <v>240</v>
      </c>
      <c r="J718" s="31">
        <v>45870</v>
      </c>
      <c r="K718" s="4" t="s">
        <v>220</v>
      </c>
      <c r="L718" s="4" t="s">
        <v>16</v>
      </c>
      <c r="M718" s="4" t="s">
        <v>538</v>
      </c>
      <c r="S718" s="4" t="str">
        <f>TEXT(Table1[[#This Row],[Date]],"MMM-YY")</f>
        <v>Aug-25</v>
      </c>
      <c r="T718" s="4">
        <f>_xlfn.ISOWEEKNUM(Table1[[#This Row],[Date]])</f>
        <v>31</v>
      </c>
      <c r="U718" s="4" t="str">
        <f>TEXT(Table1[[#This Row],[Date]],"YYYY")</f>
        <v>2025</v>
      </c>
    </row>
    <row r="719" spans="1:21" hidden="1">
      <c r="A719" s="19">
        <v>45870</v>
      </c>
      <c r="B719" s="4" t="s">
        <v>818</v>
      </c>
      <c r="C719" s="4" t="s">
        <v>225</v>
      </c>
      <c r="D719" s="4" t="s">
        <v>195</v>
      </c>
      <c r="E719" s="4" t="s">
        <v>91</v>
      </c>
      <c r="F719" s="4" t="s">
        <v>437</v>
      </c>
      <c r="G719" s="17" t="s">
        <v>240</v>
      </c>
      <c r="J719" s="31">
        <v>45870</v>
      </c>
      <c r="K719" s="4" t="s">
        <v>220</v>
      </c>
      <c r="L719" s="4" t="s">
        <v>16</v>
      </c>
      <c r="M719" s="4" t="s">
        <v>538</v>
      </c>
      <c r="S719" s="4" t="str">
        <f>TEXT(Table1[[#This Row],[Date]],"MMM-YY")</f>
        <v>Aug-25</v>
      </c>
      <c r="T719" s="4">
        <f>_xlfn.ISOWEEKNUM(Table1[[#This Row],[Date]])</f>
        <v>31</v>
      </c>
      <c r="U719" s="4" t="str">
        <f>TEXT(Table1[[#This Row],[Date]],"YYYY")</f>
        <v>2025</v>
      </c>
    </row>
    <row r="720" spans="1:21" hidden="1">
      <c r="A720" s="19">
        <v>45870</v>
      </c>
      <c r="B720" s="4" t="s">
        <v>356</v>
      </c>
      <c r="C720" s="4" t="s">
        <v>225</v>
      </c>
      <c r="D720" s="4" t="s">
        <v>195</v>
      </c>
      <c r="E720" s="4" t="s">
        <v>179</v>
      </c>
      <c r="F720" s="4" t="s">
        <v>709</v>
      </c>
      <c r="J720" s="31">
        <v>45870</v>
      </c>
      <c r="K720" s="4" t="s">
        <v>220</v>
      </c>
      <c r="L720" s="4" t="s">
        <v>27</v>
      </c>
      <c r="M720" s="4" t="s">
        <v>221</v>
      </c>
      <c r="S720" s="4" t="str">
        <f>TEXT(Table1[[#This Row],[Date]],"MMM-YY")</f>
        <v>Aug-25</v>
      </c>
      <c r="T720" s="4">
        <f>_xlfn.ISOWEEKNUM(Table1[[#This Row],[Date]])</f>
        <v>31</v>
      </c>
      <c r="U720" s="4" t="str">
        <f>TEXT(Table1[[#This Row],[Date]],"YYYY")</f>
        <v>2025</v>
      </c>
    </row>
    <row r="721" spans="1:21">
      <c r="A721" s="19">
        <v>45873</v>
      </c>
      <c r="B721" s="4" t="s">
        <v>839</v>
      </c>
      <c r="C721" s="4" t="s">
        <v>225</v>
      </c>
      <c r="D721" s="4" t="s">
        <v>195</v>
      </c>
      <c r="E721" s="4" t="s">
        <v>183</v>
      </c>
      <c r="F721" s="4" t="s">
        <v>231</v>
      </c>
      <c r="G721" s="17" t="s">
        <v>431</v>
      </c>
      <c r="H721" s="4">
        <v>12847</v>
      </c>
      <c r="I721" s="4">
        <v>12847</v>
      </c>
      <c r="J721" s="31">
        <v>45870</v>
      </c>
      <c r="K721" s="4" t="s">
        <v>234</v>
      </c>
      <c r="L721" s="4" t="s">
        <v>17</v>
      </c>
      <c r="M721" s="4" t="s">
        <v>221</v>
      </c>
      <c r="S721" s="4" t="str">
        <f>TEXT(Table1[[#This Row],[Date]],"MMM-YY")</f>
        <v>Aug-25</v>
      </c>
      <c r="T721" s="4">
        <f>_xlfn.ISOWEEKNUM(Table1[[#This Row],[Date]])</f>
        <v>32</v>
      </c>
      <c r="U721" s="4" t="str">
        <f>TEXT(Table1[[#This Row],[Date]],"YYYY")</f>
        <v>2025</v>
      </c>
    </row>
    <row r="722" spans="1:21">
      <c r="A722" s="19">
        <v>45874</v>
      </c>
      <c r="B722" s="4" t="s">
        <v>839</v>
      </c>
      <c r="C722" s="4" t="s">
        <v>225</v>
      </c>
      <c r="D722" s="4" t="s">
        <v>195</v>
      </c>
      <c r="E722" s="4" t="s">
        <v>183</v>
      </c>
      <c r="F722" s="4" t="s">
        <v>231</v>
      </c>
      <c r="G722" s="17" t="s">
        <v>431</v>
      </c>
      <c r="H722" s="4">
        <v>18797</v>
      </c>
      <c r="I722" s="4">
        <v>18797</v>
      </c>
      <c r="J722" s="31">
        <v>45870</v>
      </c>
      <c r="K722" s="4" t="s">
        <v>234</v>
      </c>
      <c r="L722" s="4" t="s">
        <v>17</v>
      </c>
      <c r="M722" s="4" t="s">
        <v>221</v>
      </c>
      <c r="S722" s="4" t="str">
        <f>TEXT(Table1[[#This Row],[Date]],"MMM-YY")</f>
        <v>Aug-25</v>
      </c>
      <c r="T722" s="4">
        <f>_xlfn.ISOWEEKNUM(Table1[[#This Row],[Date]])</f>
        <v>32</v>
      </c>
      <c r="U722" s="4" t="str">
        <f>TEXT(Table1[[#This Row],[Date]],"YYYY")</f>
        <v>2025</v>
      </c>
    </row>
    <row r="723" spans="1:21" hidden="1">
      <c r="A723" s="19">
        <v>45874</v>
      </c>
      <c r="B723" s="4" t="s">
        <v>254</v>
      </c>
      <c r="C723" s="4" t="s">
        <v>217</v>
      </c>
      <c r="D723" s="4" t="s">
        <v>195</v>
      </c>
      <c r="E723" s="4" t="s">
        <v>47</v>
      </c>
      <c r="F723" s="4" t="s">
        <v>257</v>
      </c>
      <c r="G723" s="17" t="s">
        <v>240</v>
      </c>
      <c r="J723" s="31">
        <v>45870</v>
      </c>
      <c r="K723" s="4" t="s">
        <v>220</v>
      </c>
      <c r="L723" s="4" t="s">
        <v>16</v>
      </c>
      <c r="M723" s="4" t="s">
        <v>538</v>
      </c>
      <c r="S723" s="4" t="str">
        <f>TEXT(Table1[[#This Row],[Date]],"MMM-YY")</f>
        <v>Aug-25</v>
      </c>
      <c r="T723" s="4">
        <f>_xlfn.ISOWEEKNUM(Table1[[#This Row],[Date]])</f>
        <v>32</v>
      </c>
      <c r="U723" s="4" t="str">
        <f>TEXT(Table1[[#This Row],[Date]],"YYYY")</f>
        <v>2025</v>
      </c>
    </row>
    <row r="724" spans="1:21">
      <c r="A724" s="19">
        <v>45875</v>
      </c>
      <c r="B724" s="4" t="s">
        <v>839</v>
      </c>
      <c r="C724" s="4" t="s">
        <v>225</v>
      </c>
      <c r="D724" s="4" t="s">
        <v>195</v>
      </c>
      <c r="E724" s="4" t="s">
        <v>183</v>
      </c>
      <c r="F724" s="4" t="s">
        <v>231</v>
      </c>
      <c r="G724" s="17" t="s">
        <v>431</v>
      </c>
      <c r="H724" s="4">
        <v>29751</v>
      </c>
      <c r="I724" s="4">
        <v>29751</v>
      </c>
      <c r="J724" s="31">
        <v>45870</v>
      </c>
      <c r="K724" s="4" t="s">
        <v>234</v>
      </c>
      <c r="L724" s="4" t="s">
        <v>17</v>
      </c>
      <c r="M724" s="4" t="s">
        <v>221</v>
      </c>
      <c r="S724" s="4" t="str">
        <f>TEXT(Table1[[#This Row],[Date]],"MMM-YY")</f>
        <v>Aug-25</v>
      </c>
      <c r="T724" s="4">
        <f>_xlfn.ISOWEEKNUM(Table1[[#This Row],[Date]])</f>
        <v>32</v>
      </c>
      <c r="U724" s="4" t="str">
        <f>TEXT(Table1[[#This Row],[Date]],"YYYY")</f>
        <v>2025</v>
      </c>
    </row>
    <row r="725" spans="1:21" hidden="1">
      <c r="A725" s="19">
        <v>45875</v>
      </c>
      <c r="B725" s="4" t="s">
        <v>243</v>
      </c>
      <c r="C725" s="4" t="s">
        <v>225</v>
      </c>
      <c r="D725" s="4" t="s">
        <v>195</v>
      </c>
      <c r="E725" s="4" t="s">
        <v>53</v>
      </c>
      <c r="F725" s="4" t="s">
        <v>604</v>
      </c>
      <c r="G725" s="17" t="s">
        <v>811</v>
      </c>
      <c r="H725" s="4">
        <v>200000</v>
      </c>
      <c r="J725" s="31">
        <v>45870</v>
      </c>
      <c r="K725" s="4" t="s">
        <v>234</v>
      </c>
      <c r="L725" s="4" t="s">
        <v>11</v>
      </c>
      <c r="M725" s="4" t="s">
        <v>221</v>
      </c>
      <c r="N725" s="4" t="s">
        <v>840</v>
      </c>
      <c r="S725" s="4" t="str">
        <f>TEXT(Table1[[#This Row],[Date]],"MMM-YY")</f>
        <v>Aug-25</v>
      </c>
      <c r="T725" s="4">
        <f>_xlfn.ISOWEEKNUM(Table1[[#This Row],[Date]])</f>
        <v>32</v>
      </c>
      <c r="U725" s="4" t="str">
        <f>TEXT(Table1[[#This Row],[Date]],"YYYY")</f>
        <v>2025</v>
      </c>
    </row>
    <row r="726" spans="1:21">
      <c r="A726" s="19">
        <v>45875</v>
      </c>
      <c r="B726" s="4" t="s">
        <v>748</v>
      </c>
      <c r="C726" s="4" t="s">
        <v>225</v>
      </c>
      <c r="D726" s="4" t="s">
        <v>195</v>
      </c>
      <c r="E726" s="4" t="s">
        <v>183</v>
      </c>
      <c r="F726" s="4" t="s">
        <v>841</v>
      </c>
      <c r="G726" s="17" t="s">
        <v>431</v>
      </c>
      <c r="H726" s="4">
        <v>16497</v>
      </c>
      <c r="I726" s="4">
        <v>16497</v>
      </c>
      <c r="J726" s="31">
        <v>45870</v>
      </c>
      <c r="K726" s="4" t="s">
        <v>220</v>
      </c>
      <c r="L726" s="4" t="s">
        <v>17</v>
      </c>
      <c r="M726" s="4" t="s">
        <v>221</v>
      </c>
      <c r="S726" s="4" t="str">
        <f>TEXT(Table1[[#This Row],[Date]],"MMM-YY")</f>
        <v>Aug-25</v>
      </c>
      <c r="T726" s="4">
        <f>_xlfn.ISOWEEKNUM(Table1[[#This Row],[Date]])</f>
        <v>32</v>
      </c>
      <c r="U726" s="4" t="str">
        <f>TEXT(Table1[[#This Row],[Date]],"YYYY")</f>
        <v>2025</v>
      </c>
    </row>
    <row r="727" spans="1:21">
      <c r="A727" s="19">
        <v>45875</v>
      </c>
      <c r="B727" s="4" t="s">
        <v>677</v>
      </c>
      <c r="C727" s="4" t="s">
        <v>225</v>
      </c>
      <c r="D727" s="4" t="s">
        <v>195</v>
      </c>
      <c r="E727" s="4" t="s">
        <v>32</v>
      </c>
      <c r="F727" s="4" t="s">
        <v>561</v>
      </c>
      <c r="G727" s="17" t="s">
        <v>562</v>
      </c>
      <c r="H727" s="4">
        <v>65582</v>
      </c>
      <c r="I727" s="4">
        <v>65582</v>
      </c>
      <c r="J727" s="31">
        <v>45870</v>
      </c>
      <c r="K727" s="4" t="s">
        <v>220</v>
      </c>
      <c r="L727" s="4" t="s">
        <v>17</v>
      </c>
      <c r="M727" s="4" t="s">
        <v>221</v>
      </c>
      <c r="S727" s="4" t="str">
        <f>TEXT(Table1[[#This Row],[Date]],"MMM-YY")</f>
        <v>Aug-25</v>
      </c>
      <c r="T727" s="4">
        <f>_xlfn.ISOWEEKNUM(Table1[[#This Row],[Date]])</f>
        <v>32</v>
      </c>
      <c r="U727" s="4" t="str">
        <f>TEXT(Table1[[#This Row],[Date]],"YYYY")</f>
        <v>2025</v>
      </c>
    </row>
    <row r="728" spans="1:21">
      <c r="A728" s="19">
        <v>45876</v>
      </c>
      <c r="B728" s="4" t="s">
        <v>839</v>
      </c>
      <c r="C728" s="4" t="s">
        <v>225</v>
      </c>
      <c r="D728" s="4" t="s">
        <v>195</v>
      </c>
      <c r="E728" s="4" t="s">
        <v>183</v>
      </c>
      <c r="F728" s="4" t="s">
        <v>231</v>
      </c>
      <c r="G728" s="17" t="s">
        <v>431</v>
      </c>
      <c r="H728" s="4">
        <v>26043</v>
      </c>
      <c r="I728" s="4">
        <v>26043</v>
      </c>
      <c r="J728" s="31">
        <v>45870</v>
      </c>
      <c r="K728" s="4" t="s">
        <v>234</v>
      </c>
      <c r="L728" s="4" t="s">
        <v>17</v>
      </c>
      <c r="M728" s="4" t="s">
        <v>221</v>
      </c>
      <c r="S728" s="4" t="str">
        <f>TEXT(Table1[[#This Row],[Date]],"MMM-YY")</f>
        <v>Aug-25</v>
      </c>
      <c r="T728" s="4">
        <f>_xlfn.ISOWEEKNUM(Table1[[#This Row],[Date]])</f>
        <v>32</v>
      </c>
      <c r="U728" s="4" t="str">
        <f>TEXT(Table1[[#This Row],[Date]],"YYYY")</f>
        <v>2025</v>
      </c>
    </row>
    <row r="729" spans="1:21" hidden="1">
      <c r="A729" s="19">
        <v>45876</v>
      </c>
      <c r="B729" s="4" t="s">
        <v>842</v>
      </c>
      <c r="C729" s="4" t="s">
        <v>217</v>
      </c>
      <c r="D729" s="4" t="s">
        <v>195</v>
      </c>
      <c r="E729" s="4" t="s">
        <v>61</v>
      </c>
      <c r="F729" s="4" t="s">
        <v>843</v>
      </c>
      <c r="G729" s="17" t="s">
        <v>844</v>
      </c>
      <c r="H729" s="4">
        <v>15000</v>
      </c>
      <c r="J729" s="31">
        <v>45901</v>
      </c>
      <c r="K729" s="4" t="s">
        <v>220</v>
      </c>
      <c r="L729" s="4" t="s">
        <v>13</v>
      </c>
      <c r="M729" s="4" t="s">
        <v>221</v>
      </c>
      <c r="S729" s="4" t="str">
        <f>TEXT(Table1[[#This Row],[Date]],"MMM-YY")</f>
        <v>Aug-25</v>
      </c>
      <c r="T729" s="4">
        <f>_xlfn.ISOWEEKNUM(Table1[[#This Row],[Date]])</f>
        <v>32</v>
      </c>
      <c r="U729" s="4" t="str">
        <f>TEXT(Table1[[#This Row],[Date]],"YYYY")</f>
        <v>2025</v>
      </c>
    </row>
    <row r="730" spans="1:21">
      <c r="A730" s="19">
        <v>45877</v>
      </c>
      <c r="B730" s="4" t="s">
        <v>839</v>
      </c>
      <c r="C730" s="4" t="s">
        <v>225</v>
      </c>
      <c r="D730" s="4" t="s">
        <v>195</v>
      </c>
      <c r="E730" s="4" t="s">
        <v>183</v>
      </c>
      <c r="F730" s="4" t="s">
        <v>231</v>
      </c>
      <c r="G730" s="17" t="s">
        <v>431</v>
      </c>
      <c r="H730" s="4">
        <v>11495</v>
      </c>
      <c r="I730" s="4">
        <v>11495</v>
      </c>
      <c r="J730" s="31">
        <v>45870</v>
      </c>
      <c r="K730" s="4" t="s">
        <v>234</v>
      </c>
      <c r="L730" s="4" t="s">
        <v>17</v>
      </c>
      <c r="M730" s="4" t="s">
        <v>221</v>
      </c>
      <c r="S730" s="4" t="str">
        <f>TEXT(Table1[[#This Row],[Date]],"MMM-YY")</f>
        <v>Aug-25</v>
      </c>
      <c r="T730" s="4">
        <f>_xlfn.ISOWEEKNUM(Table1[[#This Row],[Date]])</f>
        <v>32</v>
      </c>
      <c r="U730" s="4" t="str">
        <f>TEXT(Table1[[#This Row],[Date]],"YYYY")</f>
        <v>2025</v>
      </c>
    </row>
    <row r="731" spans="1:21" hidden="1">
      <c r="A731" s="19">
        <v>45877</v>
      </c>
      <c r="B731" s="4" t="s">
        <v>845</v>
      </c>
      <c r="C731" s="4" t="s">
        <v>217</v>
      </c>
      <c r="D731" s="4" t="s">
        <v>195</v>
      </c>
      <c r="E731" s="4" t="s">
        <v>61</v>
      </c>
      <c r="F731" s="4" t="s">
        <v>843</v>
      </c>
      <c r="G731" s="17" t="s">
        <v>844</v>
      </c>
      <c r="H731" s="4">
        <v>15000</v>
      </c>
      <c r="J731" s="31">
        <v>45901</v>
      </c>
      <c r="K731" s="4" t="s">
        <v>220</v>
      </c>
      <c r="L731" s="4" t="s">
        <v>13</v>
      </c>
      <c r="M731" s="4" t="s">
        <v>221</v>
      </c>
      <c r="S731" s="4" t="str">
        <f>TEXT(Table1[[#This Row],[Date]],"MMM-YY")</f>
        <v>Aug-25</v>
      </c>
      <c r="T731" s="4">
        <f>_xlfn.ISOWEEKNUM(Table1[[#This Row],[Date]])</f>
        <v>32</v>
      </c>
      <c r="U731" s="4" t="str">
        <f>TEXT(Table1[[#This Row],[Date]],"YYYY")</f>
        <v>2025</v>
      </c>
    </row>
    <row r="732" spans="1:21" hidden="1">
      <c r="A732" s="19">
        <v>45877</v>
      </c>
      <c r="B732" s="4" t="s">
        <v>846</v>
      </c>
      <c r="C732" s="4" t="s">
        <v>217</v>
      </c>
      <c r="D732" s="4" t="s">
        <v>195</v>
      </c>
      <c r="E732" s="4" t="s">
        <v>61</v>
      </c>
      <c r="F732" s="4" t="s">
        <v>843</v>
      </c>
      <c r="G732" s="17" t="s">
        <v>844</v>
      </c>
      <c r="H732" s="4">
        <v>13000</v>
      </c>
      <c r="J732" s="31">
        <v>45901</v>
      </c>
      <c r="K732" s="4" t="s">
        <v>220</v>
      </c>
      <c r="L732" s="4" t="s">
        <v>13</v>
      </c>
      <c r="M732" s="4" t="s">
        <v>221</v>
      </c>
      <c r="S732" s="4" t="str">
        <f>TEXT(Table1[[#This Row],[Date]],"MMM-YY")</f>
        <v>Aug-25</v>
      </c>
      <c r="T732" s="4">
        <f>_xlfn.ISOWEEKNUM(Table1[[#This Row],[Date]])</f>
        <v>32</v>
      </c>
      <c r="U732" s="4" t="str">
        <f>TEXT(Table1[[#This Row],[Date]],"YYYY")</f>
        <v>2025</v>
      </c>
    </row>
    <row r="733" spans="1:21">
      <c r="A733" s="19">
        <v>45880</v>
      </c>
      <c r="B733" s="4" t="s">
        <v>847</v>
      </c>
      <c r="C733" s="4" t="s">
        <v>225</v>
      </c>
      <c r="D733" s="4" t="s">
        <v>195</v>
      </c>
      <c r="E733" s="4" t="s">
        <v>183</v>
      </c>
      <c r="F733" s="4" t="s">
        <v>688</v>
      </c>
      <c r="G733" s="17" t="s">
        <v>431</v>
      </c>
      <c r="H733" s="4">
        <v>69300</v>
      </c>
      <c r="I733" s="4">
        <v>69300</v>
      </c>
      <c r="J733" s="31">
        <v>45870</v>
      </c>
      <c r="K733" s="4" t="s">
        <v>848</v>
      </c>
      <c r="L733" s="4" t="s">
        <v>17</v>
      </c>
      <c r="M733" s="4" t="s">
        <v>221</v>
      </c>
      <c r="S733" s="4" t="str">
        <f>TEXT(Table1[[#This Row],[Date]],"MMM-YY")</f>
        <v>Aug-25</v>
      </c>
      <c r="T733" s="4">
        <f>_xlfn.ISOWEEKNUM(Table1[[#This Row],[Date]])</f>
        <v>33</v>
      </c>
      <c r="U733" s="4" t="str">
        <f>TEXT(Table1[[#This Row],[Date]],"YYYY")</f>
        <v>2025</v>
      </c>
    </row>
    <row r="734" spans="1:21">
      <c r="A734" s="19">
        <v>45880</v>
      </c>
      <c r="B734" s="4" t="s">
        <v>839</v>
      </c>
      <c r="C734" s="4" t="s">
        <v>225</v>
      </c>
      <c r="D734" s="4" t="s">
        <v>195</v>
      </c>
      <c r="E734" s="4" t="s">
        <v>183</v>
      </c>
      <c r="F734" s="4" t="s">
        <v>231</v>
      </c>
      <c r="G734" s="17" t="s">
        <v>431</v>
      </c>
      <c r="H734" s="4">
        <v>13405</v>
      </c>
      <c r="I734" s="4">
        <v>13405</v>
      </c>
      <c r="J734" s="31">
        <v>45870</v>
      </c>
      <c r="K734" s="4" t="s">
        <v>234</v>
      </c>
      <c r="L734" s="4" t="s">
        <v>17</v>
      </c>
      <c r="M734" s="4" t="s">
        <v>221</v>
      </c>
      <c r="S734" s="4" t="str">
        <f>TEXT(Table1[[#This Row],[Date]],"MMM-YY")</f>
        <v>Aug-25</v>
      </c>
      <c r="T734" s="4">
        <f>_xlfn.ISOWEEKNUM(Table1[[#This Row],[Date]])</f>
        <v>33</v>
      </c>
      <c r="U734" s="4" t="str">
        <f>TEXT(Table1[[#This Row],[Date]],"YYYY")</f>
        <v>2025</v>
      </c>
    </row>
    <row r="735" spans="1:21">
      <c r="A735" s="19">
        <v>45881</v>
      </c>
      <c r="B735" s="4" t="s">
        <v>839</v>
      </c>
      <c r="C735" s="4" t="s">
        <v>225</v>
      </c>
      <c r="D735" s="4" t="s">
        <v>195</v>
      </c>
      <c r="E735" s="4" t="s">
        <v>183</v>
      </c>
      <c r="F735" s="4" t="s">
        <v>231</v>
      </c>
      <c r="G735" s="17" t="s">
        <v>431</v>
      </c>
      <c r="H735" s="4">
        <v>20800</v>
      </c>
      <c r="I735" s="4">
        <v>20800</v>
      </c>
      <c r="J735" s="31">
        <v>45870</v>
      </c>
      <c r="K735" s="4" t="s">
        <v>234</v>
      </c>
      <c r="L735" s="4" t="s">
        <v>17</v>
      </c>
      <c r="M735" s="4" t="s">
        <v>221</v>
      </c>
      <c r="S735" s="4" t="str">
        <f>TEXT(Table1[[#This Row],[Date]],"MMM-YY")</f>
        <v>Aug-25</v>
      </c>
      <c r="T735" s="4">
        <f>_xlfn.ISOWEEKNUM(Table1[[#This Row],[Date]])</f>
        <v>33</v>
      </c>
      <c r="U735" s="4" t="str">
        <f>TEXT(Table1[[#This Row],[Date]],"YYYY")</f>
        <v>2025</v>
      </c>
    </row>
    <row r="736" spans="1:21">
      <c r="A736" s="19">
        <v>45882</v>
      </c>
      <c r="B736" s="4" t="s">
        <v>243</v>
      </c>
      <c r="C736" s="4" t="s">
        <v>217</v>
      </c>
      <c r="D736" s="4" t="s">
        <v>195</v>
      </c>
      <c r="E736" s="4" t="s">
        <v>53</v>
      </c>
      <c r="F736" s="4" t="s">
        <v>244</v>
      </c>
      <c r="G736" s="17" t="s">
        <v>431</v>
      </c>
      <c r="H736" s="4">
        <v>152460</v>
      </c>
      <c r="I736" s="4">
        <v>152460</v>
      </c>
      <c r="J736" s="31">
        <v>45870</v>
      </c>
      <c r="K736" s="4" t="s">
        <v>220</v>
      </c>
      <c r="L736" s="4" t="s">
        <v>17</v>
      </c>
      <c r="M736" s="4" t="s">
        <v>221</v>
      </c>
      <c r="S736" s="4" t="str">
        <f>TEXT(Table1[[#This Row],[Date]],"MMM-YY")</f>
        <v>Aug-25</v>
      </c>
      <c r="T736" s="4">
        <f>_xlfn.ISOWEEKNUM(Table1[[#This Row],[Date]])</f>
        <v>33</v>
      </c>
      <c r="U736" s="4" t="str">
        <f>TEXT(Table1[[#This Row],[Date]],"YYYY")</f>
        <v>2025</v>
      </c>
    </row>
    <row r="737" spans="1:21">
      <c r="A737" s="19">
        <v>45882</v>
      </c>
      <c r="B737" s="4" t="s">
        <v>839</v>
      </c>
      <c r="C737" s="4" t="s">
        <v>225</v>
      </c>
      <c r="D737" s="4" t="s">
        <v>195</v>
      </c>
      <c r="E737" s="4" t="s">
        <v>183</v>
      </c>
      <c r="F737" s="4" t="s">
        <v>231</v>
      </c>
      <c r="G737" s="17" t="s">
        <v>431</v>
      </c>
      <c r="H737" s="4">
        <v>19058</v>
      </c>
      <c r="I737" s="4">
        <v>19058</v>
      </c>
      <c r="J737" s="31">
        <v>45870</v>
      </c>
      <c r="K737" s="4" t="s">
        <v>234</v>
      </c>
      <c r="L737" s="4" t="s">
        <v>17</v>
      </c>
      <c r="M737" s="4" t="s">
        <v>221</v>
      </c>
      <c r="S737" s="4" t="str">
        <f>TEXT(Table1[[#This Row],[Date]],"MMM-YY")</f>
        <v>Aug-25</v>
      </c>
      <c r="T737" s="4">
        <f>_xlfn.ISOWEEKNUM(Table1[[#This Row],[Date]])</f>
        <v>33</v>
      </c>
      <c r="U737" s="4" t="str">
        <f>TEXT(Table1[[#This Row],[Date]],"YYYY")</f>
        <v>2025</v>
      </c>
    </row>
    <row r="738" spans="1:21" hidden="1">
      <c r="A738" s="19">
        <v>45882</v>
      </c>
      <c r="B738" s="4" t="s">
        <v>849</v>
      </c>
      <c r="C738" s="4" t="s">
        <v>217</v>
      </c>
      <c r="D738" s="4" t="s">
        <v>195</v>
      </c>
      <c r="E738" s="4" t="s">
        <v>61</v>
      </c>
      <c r="F738" s="4" t="s">
        <v>843</v>
      </c>
      <c r="G738" s="17" t="s">
        <v>844</v>
      </c>
      <c r="H738" s="4">
        <v>15000</v>
      </c>
      <c r="J738" s="31">
        <v>45901</v>
      </c>
      <c r="K738" s="4" t="s">
        <v>220</v>
      </c>
      <c r="L738" s="4" t="s">
        <v>13</v>
      </c>
      <c r="M738" s="4" t="s">
        <v>221</v>
      </c>
      <c r="S738" s="4" t="str">
        <f>TEXT(Table1[[#This Row],[Date]],"MMM-YY")</f>
        <v>Aug-25</v>
      </c>
      <c r="T738" s="4">
        <f>_xlfn.ISOWEEKNUM(Table1[[#This Row],[Date]])</f>
        <v>33</v>
      </c>
      <c r="U738" s="4" t="str">
        <f>TEXT(Table1[[#This Row],[Date]],"YYYY")</f>
        <v>2025</v>
      </c>
    </row>
    <row r="739" spans="1:21" hidden="1">
      <c r="A739" s="19">
        <v>45882</v>
      </c>
      <c r="B739" s="4" t="s">
        <v>850</v>
      </c>
      <c r="C739" s="4" t="s">
        <v>217</v>
      </c>
      <c r="D739" s="4" t="s">
        <v>195</v>
      </c>
      <c r="E739" s="4" t="s">
        <v>61</v>
      </c>
      <c r="F739" s="4" t="s">
        <v>843</v>
      </c>
      <c r="G739" s="17" t="s">
        <v>844</v>
      </c>
      <c r="H739" s="4">
        <v>15000</v>
      </c>
      <c r="J739" s="31">
        <v>45901</v>
      </c>
      <c r="K739" s="4" t="s">
        <v>220</v>
      </c>
      <c r="L739" s="4" t="s">
        <v>13</v>
      </c>
      <c r="M739" s="4" t="s">
        <v>221</v>
      </c>
      <c r="S739" s="4" t="str">
        <f>TEXT(Table1[[#This Row],[Date]],"MMM-YY")</f>
        <v>Aug-25</v>
      </c>
      <c r="T739" s="4">
        <f>_xlfn.ISOWEEKNUM(Table1[[#This Row],[Date]])</f>
        <v>33</v>
      </c>
      <c r="U739" s="4" t="str">
        <f>TEXT(Table1[[#This Row],[Date]],"YYYY")</f>
        <v>2025</v>
      </c>
    </row>
    <row r="740" spans="1:21">
      <c r="A740" s="19">
        <v>45887</v>
      </c>
      <c r="B740" s="4" t="s">
        <v>471</v>
      </c>
      <c r="C740" s="4" t="s">
        <v>217</v>
      </c>
      <c r="D740" s="4" t="s">
        <v>195</v>
      </c>
      <c r="E740" s="4" t="s">
        <v>53</v>
      </c>
      <c r="F740" s="4" t="s">
        <v>437</v>
      </c>
      <c r="G740" s="17" t="s">
        <v>851</v>
      </c>
      <c r="H740" s="4">
        <v>46000</v>
      </c>
      <c r="I740" s="4">
        <v>46000</v>
      </c>
      <c r="J740" s="31">
        <v>45870</v>
      </c>
      <c r="K740" s="4" t="s">
        <v>220</v>
      </c>
      <c r="L740" s="4" t="s">
        <v>17</v>
      </c>
      <c r="M740" s="4" t="s">
        <v>221</v>
      </c>
      <c r="S740" s="4" t="str">
        <f>TEXT(Table1[[#This Row],[Date]],"MMM-YY")</f>
        <v>Aug-25</v>
      </c>
      <c r="T740" s="4">
        <f>_xlfn.ISOWEEKNUM(Table1[[#This Row],[Date]])</f>
        <v>34</v>
      </c>
      <c r="U740" s="4" t="str">
        <f>TEXT(Table1[[#This Row],[Date]],"YYYY")</f>
        <v>2025</v>
      </c>
    </row>
    <row r="741" spans="1:21" hidden="1">
      <c r="A741" s="19">
        <v>45887</v>
      </c>
      <c r="B741" s="4" t="s">
        <v>356</v>
      </c>
      <c r="C741" s="4" t="s">
        <v>225</v>
      </c>
      <c r="D741" s="4" t="s">
        <v>195</v>
      </c>
      <c r="E741" s="4" t="s">
        <v>179</v>
      </c>
      <c r="F741" s="4" t="s">
        <v>709</v>
      </c>
      <c r="J741" s="31">
        <v>45870</v>
      </c>
      <c r="K741" s="4" t="s">
        <v>220</v>
      </c>
      <c r="L741" s="4" t="s">
        <v>27</v>
      </c>
      <c r="M741" s="4" t="s">
        <v>221</v>
      </c>
      <c r="S741" s="4" t="str">
        <f>TEXT(Table1[[#This Row],[Date]],"MMM-YY")</f>
        <v>Aug-25</v>
      </c>
      <c r="T741" s="4">
        <f>_xlfn.ISOWEEKNUM(Table1[[#This Row],[Date]])</f>
        <v>34</v>
      </c>
      <c r="U741" s="4" t="str">
        <f>TEXT(Table1[[#This Row],[Date]],"YYYY")</f>
        <v>2025</v>
      </c>
    </row>
    <row r="742" spans="1:21" hidden="1">
      <c r="A742" s="19">
        <v>45887</v>
      </c>
      <c r="B742" s="4" t="s">
        <v>721</v>
      </c>
      <c r="C742" s="4" t="s">
        <v>217</v>
      </c>
      <c r="D742" s="4" t="s">
        <v>195</v>
      </c>
      <c r="E742" s="4" t="s">
        <v>28</v>
      </c>
      <c r="F742" s="4" t="s">
        <v>722</v>
      </c>
      <c r="G742" s="17" t="s">
        <v>852</v>
      </c>
      <c r="H742" s="4">
        <v>30000</v>
      </c>
      <c r="J742" s="31">
        <v>45870</v>
      </c>
      <c r="K742" s="4" t="s">
        <v>220</v>
      </c>
      <c r="L742" s="4" t="s">
        <v>13</v>
      </c>
      <c r="M742" s="4" t="s">
        <v>221</v>
      </c>
      <c r="S742" s="4" t="str">
        <f>TEXT(Table1[[#This Row],[Date]],"MMM-YY")</f>
        <v>Aug-25</v>
      </c>
      <c r="T742" s="4">
        <f>_xlfn.ISOWEEKNUM(Table1[[#This Row],[Date]])</f>
        <v>34</v>
      </c>
      <c r="U742" s="4" t="str">
        <f>TEXT(Table1[[#This Row],[Date]],"YYYY")</f>
        <v>2025</v>
      </c>
    </row>
    <row r="743" spans="1:21" hidden="1">
      <c r="A743" s="19">
        <v>45887</v>
      </c>
      <c r="B743" s="4" t="s">
        <v>853</v>
      </c>
      <c r="C743" s="4" t="s">
        <v>217</v>
      </c>
      <c r="D743" s="4" t="s">
        <v>195</v>
      </c>
      <c r="E743" s="4" t="s">
        <v>53</v>
      </c>
      <c r="F743" s="4" t="s">
        <v>490</v>
      </c>
      <c r="G743" s="17" t="s">
        <v>852</v>
      </c>
      <c r="H743" s="4">
        <v>25000</v>
      </c>
      <c r="J743" s="31">
        <v>45870</v>
      </c>
      <c r="K743" s="4" t="s">
        <v>220</v>
      </c>
      <c r="L743" s="4" t="s">
        <v>13</v>
      </c>
      <c r="M743" s="4" t="s">
        <v>221</v>
      </c>
      <c r="S743" s="4" t="str">
        <f>TEXT(Table1[[#This Row],[Date]],"MMM-YY")</f>
        <v>Aug-25</v>
      </c>
      <c r="T743" s="4">
        <f>_xlfn.ISOWEEKNUM(Table1[[#This Row],[Date]])</f>
        <v>34</v>
      </c>
      <c r="U743" s="4" t="str">
        <f>TEXT(Table1[[#This Row],[Date]],"YYYY")</f>
        <v>2025</v>
      </c>
    </row>
    <row r="744" spans="1:21" hidden="1">
      <c r="A744" s="19">
        <v>45887</v>
      </c>
      <c r="B744" s="4" t="s">
        <v>854</v>
      </c>
      <c r="C744" s="4" t="s">
        <v>217</v>
      </c>
      <c r="D744" s="4" t="s">
        <v>195</v>
      </c>
      <c r="E744" s="4" t="s">
        <v>61</v>
      </c>
      <c r="F744" s="4" t="s">
        <v>843</v>
      </c>
      <c r="G744" s="17" t="s">
        <v>844</v>
      </c>
      <c r="H744" s="4">
        <v>13000</v>
      </c>
      <c r="J744" s="31">
        <v>45901</v>
      </c>
      <c r="K744" s="4" t="s">
        <v>220</v>
      </c>
      <c r="L744" s="4" t="s">
        <v>13</v>
      </c>
      <c r="M744" s="4" t="s">
        <v>221</v>
      </c>
      <c r="S744" s="4" t="str">
        <f>TEXT(Table1[[#This Row],[Date]],"MMM-YY")</f>
        <v>Aug-25</v>
      </c>
      <c r="T744" s="4">
        <f>_xlfn.ISOWEEKNUM(Table1[[#This Row],[Date]])</f>
        <v>34</v>
      </c>
      <c r="U744" s="4" t="str">
        <f>TEXT(Table1[[#This Row],[Date]],"YYYY")</f>
        <v>2025</v>
      </c>
    </row>
    <row r="745" spans="1:21" hidden="1">
      <c r="A745" s="19">
        <v>45887</v>
      </c>
      <c r="B745" s="4" t="s">
        <v>855</v>
      </c>
      <c r="C745" s="4" t="s">
        <v>217</v>
      </c>
      <c r="D745" s="4" t="s">
        <v>195</v>
      </c>
      <c r="E745" s="4" t="s">
        <v>61</v>
      </c>
      <c r="F745" s="4" t="s">
        <v>843</v>
      </c>
      <c r="G745" s="17" t="s">
        <v>844</v>
      </c>
      <c r="H745" s="4">
        <v>18000</v>
      </c>
      <c r="J745" s="31">
        <v>45901</v>
      </c>
      <c r="K745" s="4" t="s">
        <v>220</v>
      </c>
      <c r="L745" s="4" t="s">
        <v>13</v>
      </c>
      <c r="M745" s="4" t="s">
        <v>221</v>
      </c>
      <c r="S745" s="4" t="str">
        <f>TEXT(Table1[[#This Row],[Date]],"MMM-YY")</f>
        <v>Aug-25</v>
      </c>
      <c r="T745" s="4">
        <f>_xlfn.ISOWEEKNUM(Table1[[#This Row],[Date]])</f>
        <v>34</v>
      </c>
      <c r="U745" s="4" t="str">
        <f>TEXT(Table1[[#This Row],[Date]],"YYYY")</f>
        <v>2025</v>
      </c>
    </row>
    <row r="746" spans="1:21">
      <c r="A746" s="19">
        <v>45888</v>
      </c>
      <c r="B746" s="4" t="s">
        <v>778</v>
      </c>
      <c r="C746" s="4" t="s">
        <v>217</v>
      </c>
      <c r="D746" s="4" t="s">
        <v>195</v>
      </c>
      <c r="E746" s="4" t="s">
        <v>179</v>
      </c>
      <c r="F746" s="4" t="s">
        <v>763</v>
      </c>
      <c r="H746" s="4">
        <v>18182</v>
      </c>
      <c r="I746" s="4">
        <v>18182</v>
      </c>
      <c r="J746" s="31">
        <v>45870</v>
      </c>
      <c r="K746" s="4" t="s">
        <v>220</v>
      </c>
      <c r="L746" s="4" t="s">
        <v>17</v>
      </c>
      <c r="M746" s="4" t="s">
        <v>221</v>
      </c>
      <c r="S746" s="4" t="str">
        <f>TEXT(Table1[[#This Row],[Date]],"MMM-YY")</f>
        <v>Aug-25</v>
      </c>
      <c r="T746" s="4">
        <f>_xlfn.ISOWEEKNUM(Table1[[#This Row],[Date]])</f>
        <v>34</v>
      </c>
      <c r="U746" s="4" t="str">
        <f>TEXT(Table1[[#This Row],[Date]],"YYYY")</f>
        <v>2025</v>
      </c>
    </row>
    <row r="747" spans="1:21" hidden="1">
      <c r="A747" s="19">
        <v>45888</v>
      </c>
      <c r="B747" s="4" t="s">
        <v>856</v>
      </c>
      <c r="C747" s="4" t="s">
        <v>217</v>
      </c>
      <c r="D747" s="4" t="s">
        <v>195</v>
      </c>
      <c r="E747" s="4" t="s">
        <v>61</v>
      </c>
      <c r="F747" s="4" t="s">
        <v>843</v>
      </c>
      <c r="G747" s="17" t="s">
        <v>844</v>
      </c>
      <c r="H747" s="4">
        <v>18000</v>
      </c>
      <c r="J747" s="31">
        <v>45901</v>
      </c>
      <c r="K747" s="4" t="s">
        <v>220</v>
      </c>
      <c r="L747" s="4" t="s">
        <v>13</v>
      </c>
      <c r="M747" s="4" t="s">
        <v>221</v>
      </c>
      <c r="S747" s="4" t="str">
        <f>TEXT(Table1[[#This Row],[Date]],"MMM-YY")</f>
        <v>Aug-25</v>
      </c>
      <c r="T747" s="4">
        <f>_xlfn.ISOWEEKNUM(Table1[[#This Row],[Date]])</f>
        <v>34</v>
      </c>
      <c r="U747" s="4" t="str">
        <f>TEXT(Table1[[#This Row],[Date]],"YYYY")</f>
        <v>2025</v>
      </c>
    </row>
    <row r="748" spans="1:21" hidden="1">
      <c r="A748" s="19">
        <v>45888</v>
      </c>
      <c r="B748" s="4" t="s">
        <v>855</v>
      </c>
      <c r="C748" s="4" t="s">
        <v>217</v>
      </c>
      <c r="D748" s="4" t="s">
        <v>195</v>
      </c>
      <c r="E748" s="4" t="s">
        <v>61</v>
      </c>
      <c r="F748" s="4" t="s">
        <v>843</v>
      </c>
      <c r="G748" s="17" t="s">
        <v>844</v>
      </c>
      <c r="H748" s="4">
        <v>18000</v>
      </c>
      <c r="J748" s="31">
        <v>45901</v>
      </c>
      <c r="K748" s="4" t="s">
        <v>220</v>
      </c>
      <c r="L748" s="4" t="s">
        <v>13</v>
      </c>
      <c r="M748" s="4" t="s">
        <v>221</v>
      </c>
      <c r="S748" s="4" t="str">
        <f>TEXT(Table1[[#This Row],[Date]],"MMM-YY")</f>
        <v>Aug-25</v>
      </c>
      <c r="T748" s="4">
        <f>_xlfn.ISOWEEKNUM(Table1[[#This Row],[Date]])</f>
        <v>34</v>
      </c>
      <c r="U748" s="4" t="str">
        <f>TEXT(Table1[[#This Row],[Date]],"YYYY")</f>
        <v>2025</v>
      </c>
    </row>
    <row r="749" spans="1:21">
      <c r="A749" s="19">
        <v>45889</v>
      </c>
      <c r="B749" s="4" t="s">
        <v>760</v>
      </c>
      <c r="C749" s="4" t="s">
        <v>217</v>
      </c>
      <c r="D749" s="4" t="s">
        <v>195</v>
      </c>
      <c r="E749" s="4" t="s">
        <v>179</v>
      </c>
      <c r="F749" s="4" t="s">
        <v>675</v>
      </c>
      <c r="H749" s="4">
        <v>25126</v>
      </c>
      <c r="I749" s="4">
        <v>25126</v>
      </c>
      <c r="J749" s="31">
        <v>45870</v>
      </c>
      <c r="K749" s="4" t="s">
        <v>220</v>
      </c>
      <c r="L749" s="4" t="s">
        <v>17</v>
      </c>
      <c r="M749" s="4" t="s">
        <v>221</v>
      </c>
      <c r="S749" s="4" t="str">
        <f>TEXT(Table1[[#This Row],[Date]],"MMM-YY")</f>
        <v>Aug-25</v>
      </c>
      <c r="T749" s="4">
        <f>_xlfn.ISOWEEKNUM(Table1[[#This Row],[Date]])</f>
        <v>34</v>
      </c>
      <c r="U749" s="4" t="str">
        <f>TEXT(Table1[[#This Row],[Date]],"YYYY")</f>
        <v>2025</v>
      </c>
    </row>
    <row r="750" spans="1:21">
      <c r="A750" s="19">
        <v>45889</v>
      </c>
      <c r="B750" s="4" t="s">
        <v>679</v>
      </c>
      <c r="C750" s="4" t="s">
        <v>225</v>
      </c>
      <c r="D750" s="4" t="s">
        <v>195</v>
      </c>
      <c r="E750" s="4" t="s">
        <v>61</v>
      </c>
      <c r="F750" s="4" t="s">
        <v>333</v>
      </c>
      <c r="G750" s="17" t="s">
        <v>562</v>
      </c>
      <c r="H750" s="4">
        <v>62072</v>
      </c>
      <c r="I750" s="4">
        <v>62072</v>
      </c>
      <c r="J750" s="31">
        <v>45870</v>
      </c>
      <c r="K750" s="4" t="s">
        <v>220</v>
      </c>
      <c r="L750" s="4" t="s">
        <v>17</v>
      </c>
      <c r="M750" s="4" t="s">
        <v>221</v>
      </c>
      <c r="S750" s="4" t="str">
        <f>TEXT(Table1[[#This Row],[Date]],"MMM-YY")</f>
        <v>Aug-25</v>
      </c>
      <c r="T750" s="4">
        <f>_xlfn.ISOWEEKNUM(Table1[[#This Row],[Date]])</f>
        <v>34</v>
      </c>
      <c r="U750" s="4" t="str">
        <f>TEXT(Table1[[#This Row],[Date]],"YYYY")</f>
        <v>2025</v>
      </c>
    </row>
    <row r="751" spans="1:21">
      <c r="A751" s="19">
        <v>45890</v>
      </c>
      <c r="B751" s="4" t="s">
        <v>325</v>
      </c>
      <c r="C751" s="4" t="s">
        <v>225</v>
      </c>
      <c r="D751" s="4" t="s">
        <v>195</v>
      </c>
      <c r="E751" s="4" t="s">
        <v>61</v>
      </c>
      <c r="F751" s="4" t="s">
        <v>379</v>
      </c>
      <c r="H751" s="4">
        <v>8900</v>
      </c>
      <c r="I751" s="4">
        <v>8900</v>
      </c>
      <c r="J751" s="31">
        <v>45870</v>
      </c>
      <c r="K751" s="4" t="s">
        <v>220</v>
      </c>
      <c r="L751" s="4" t="s">
        <v>17</v>
      </c>
      <c r="M751" s="4" t="s">
        <v>221</v>
      </c>
      <c r="S751" s="4" t="str">
        <f>TEXT(Table1[[#This Row],[Date]],"MMM-YY")</f>
        <v>Aug-25</v>
      </c>
      <c r="T751" s="4">
        <f>_xlfn.ISOWEEKNUM(Table1[[#This Row],[Date]])</f>
        <v>34</v>
      </c>
      <c r="U751" s="4" t="str">
        <f>TEXT(Table1[[#This Row],[Date]],"YYYY")</f>
        <v>2025</v>
      </c>
    </row>
    <row r="752" spans="1:21">
      <c r="A752" s="19">
        <v>45890</v>
      </c>
      <c r="B752" s="4" t="s">
        <v>775</v>
      </c>
      <c r="C752" s="4" t="s">
        <v>217</v>
      </c>
      <c r="D752" s="4" t="s">
        <v>195</v>
      </c>
      <c r="E752" s="4" t="s">
        <v>179</v>
      </c>
      <c r="F752" s="4" t="s">
        <v>707</v>
      </c>
      <c r="G752" s="17" t="s">
        <v>825</v>
      </c>
      <c r="H752" s="4">
        <v>18962</v>
      </c>
      <c r="I752" s="4">
        <v>18962</v>
      </c>
      <c r="J752" s="31">
        <v>45870</v>
      </c>
      <c r="K752" s="4" t="s">
        <v>220</v>
      </c>
      <c r="L752" s="4" t="s">
        <v>17</v>
      </c>
      <c r="M752" s="4" t="s">
        <v>221</v>
      </c>
      <c r="S752" s="4" t="str">
        <f>TEXT(Table1[[#This Row],[Date]],"MMM-YY")</f>
        <v>Aug-25</v>
      </c>
      <c r="T752" s="4">
        <f>_xlfn.ISOWEEKNUM(Table1[[#This Row],[Date]])</f>
        <v>34</v>
      </c>
      <c r="U752" s="4" t="str">
        <f>TEXT(Table1[[#This Row],[Date]],"YYYY")</f>
        <v>2025</v>
      </c>
    </row>
    <row r="753" spans="1:21">
      <c r="A753" s="19">
        <v>45890</v>
      </c>
      <c r="B753" s="4" t="s">
        <v>839</v>
      </c>
      <c r="C753" s="4" t="s">
        <v>225</v>
      </c>
      <c r="D753" s="4" t="s">
        <v>195</v>
      </c>
      <c r="E753" s="4" t="s">
        <v>183</v>
      </c>
      <c r="F753" s="4" t="s">
        <v>231</v>
      </c>
      <c r="G753" s="17" t="s">
        <v>431</v>
      </c>
      <c r="H753" s="4">
        <v>49400</v>
      </c>
      <c r="I753" s="4">
        <v>49400</v>
      </c>
      <c r="J753" s="31">
        <v>45870</v>
      </c>
      <c r="K753" s="4" t="s">
        <v>234</v>
      </c>
      <c r="L753" s="4" t="s">
        <v>17</v>
      </c>
      <c r="M753" s="4" t="s">
        <v>221</v>
      </c>
      <c r="S753" s="4" t="str">
        <f>TEXT(Table1[[#This Row],[Date]],"MMM-YY")</f>
        <v>Aug-25</v>
      </c>
      <c r="T753" s="4">
        <f>_xlfn.ISOWEEKNUM(Table1[[#This Row],[Date]])</f>
        <v>34</v>
      </c>
      <c r="U753" s="4" t="str">
        <f>TEXT(Table1[[#This Row],[Date]],"YYYY")</f>
        <v>2025</v>
      </c>
    </row>
    <row r="754" spans="1:21">
      <c r="A754" s="19">
        <v>45891</v>
      </c>
      <c r="B754" s="34" t="s">
        <v>795</v>
      </c>
      <c r="C754" s="4" t="s">
        <v>217</v>
      </c>
      <c r="D754" s="4" t="s">
        <v>195</v>
      </c>
      <c r="E754" s="4" t="s">
        <v>61</v>
      </c>
      <c r="F754" s="4" t="s">
        <v>857</v>
      </c>
      <c r="H754" s="4">
        <v>10264</v>
      </c>
      <c r="I754" s="4">
        <v>10264</v>
      </c>
      <c r="J754" s="31">
        <v>45870</v>
      </c>
      <c r="K754" s="4" t="s">
        <v>220</v>
      </c>
      <c r="L754" s="4" t="s">
        <v>17</v>
      </c>
      <c r="M754" s="4" t="s">
        <v>221</v>
      </c>
      <c r="S754" s="4" t="str">
        <f>TEXT(Table1[[#This Row],[Date]],"MMM-YY")</f>
        <v>Aug-25</v>
      </c>
      <c r="T754" s="4">
        <f>_xlfn.ISOWEEKNUM(Table1[[#This Row],[Date]])</f>
        <v>34</v>
      </c>
      <c r="U754" s="4" t="str">
        <f>TEXT(Table1[[#This Row],[Date]],"YYYY")</f>
        <v>2025</v>
      </c>
    </row>
    <row r="755" spans="1:21" hidden="1">
      <c r="A755" s="19">
        <v>45894</v>
      </c>
      <c r="B755" s="4" t="s">
        <v>858</v>
      </c>
      <c r="C755" s="4" t="s">
        <v>217</v>
      </c>
      <c r="D755" s="4" t="s">
        <v>195</v>
      </c>
      <c r="E755" s="4" t="s">
        <v>61</v>
      </c>
      <c r="F755" s="4" t="s">
        <v>228</v>
      </c>
      <c r="G755" s="17" t="s">
        <v>852</v>
      </c>
      <c r="H755" s="4">
        <v>15000</v>
      </c>
      <c r="J755" s="31">
        <v>45901</v>
      </c>
      <c r="K755" s="4" t="s">
        <v>220</v>
      </c>
      <c r="L755" s="4" t="s">
        <v>13</v>
      </c>
      <c r="M755" s="4" t="s">
        <v>221</v>
      </c>
      <c r="S755" s="4" t="str">
        <f>TEXT(Table1[[#This Row],[Date]],"MMM-YY")</f>
        <v>Aug-25</v>
      </c>
      <c r="T755" s="4">
        <f>_xlfn.ISOWEEKNUM(Table1[[#This Row],[Date]])</f>
        <v>35</v>
      </c>
      <c r="U755" s="4" t="str">
        <f>TEXT(Table1[[#This Row],[Date]],"YYYY")</f>
        <v>2025</v>
      </c>
    </row>
    <row r="756" spans="1:21" hidden="1">
      <c r="A756" s="19">
        <v>45894</v>
      </c>
      <c r="B756" s="4" t="s">
        <v>859</v>
      </c>
      <c r="C756" s="4" t="s">
        <v>217</v>
      </c>
      <c r="D756" s="4" t="s">
        <v>195</v>
      </c>
      <c r="E756" s="4" t="s">
        <v>187</v>
      </c>
      <c r="F756" s="4" t="s">
        <v>860</v>
      </c>
      <c r="G756" s="17" t="s">
        <v>852</v>
      </c>
      <c r="H756" s="4">
        <v>15000</v>
      </c>
      <c r="J756" s="31">
        <v>45901</v>
      </c>
      <c r="K756" s="4" t="s">
        <v>220</v>
      </c>
      <c r="L756" s="4" t="s">
        <v>13</v>
      </c>
      <c r="M756" s="4" t="s">
        <v>221</v>
      </c>
      <c r="S756" s="4" t="str">
        <f>TEXT(Table1[[#This Row],[Date]],"MMM-YY")</f>
        <v>Aug-25</v>
      </c>
      <c r="T756" s="4">
        <f>_xlfn.ISOWEEKNUM(Table1[[#This Row],[Date]])</f>
        <v>35</v>
      </c>
      <c r="U756" s="4" t="str">
        <f>TEXT(Table1[[#This Row],[Date]],"YYYY")</f>
        <v>2025</v>
      </c>
    </row>
    <row r="757" spans="1:21">
      <c r="A757" s="19">
        <v>45897</v>
      </c>
      <c r="B757" s="4" t="s">
        <v>861</v>
      </c>
      <c r="C757" s="4" t="s">
        <v>217</v>
      </c>
      <c r="D757" s="4" t="s">
        <v>195</v>
      </c>
      <c r="E757" s="4" t="s">
        <v>139</v>
      </c>
      <c r="F757" s="4" t="s">
        <v>705</v>
      </c>
      <c r="G757" s="17" t="s">
        <v>851</v>
      </c>
      <c r="H757" s="4">
        <v>29475</v>
      </c>
      <c r="I757" s="4">
        <v>29475</v>
      </c>
      <c r="J757" s="31">
        <v>45870</v>
      </c>
      <c r="K757" s="4" t="s">
        <v>220</v>
      </c>
      <c r="L757" s="4" t="s">
        <v>17</v>
      </c>
      <c r="M757" s="4" t="s">
        <v>221</v>
      </c>
      <c r="S757" s="4" t="str">
        <f>TEXT(Table1[[#This Row],[Date]],"MMM-YY")</f>
        <v>Aug-25</v>
      </c>
      <c r="T757" s="4">
        <f>_xlfn.ISOWEEKNUM(Table1[[#This Row],[Date]])</f>
        <v>35</v>
      </c>
      <c r="U757" s="4" t="str">
        <f>TEXT(Table1[[#This Row],[Date]],"YYYY")</f>
        <v>2025</v>
      </c>
    </row>
    <row r="758" spans="1:21">
      <c r="A758" s="19">
        <v>45898</v>
      </c>
      <c r="B758" s="4" t="s">
        <v>862</v>
      </c>
      <c r="C758" s="4" t="s">
        <v>217</v>
      </c>
      <c r="D758" s="4" t="s">
        <v>195</v>
      </c>
      <c r="E758" s="4" t="s">
        <v>61</v>
      </c>
      <c r="F758" s="4" t="s">
        <v>863</v>
      </c>
      <c r="G758" s="17" t="s">
        <v>851</v>
      </c>
      <c r="H758" s="4">
        <v>23315</v>
      </c>
      <c r="I758" s="4">
        <v>23315</v>
      </c>
      <c r="J758" s="31">
        <v>45870</v>
      </c>
      <c r="K758" s="4" t="s">
        <v>220</v>
      </c>
      <c r="L758" s="4" t="s">
        <v>17</v>
      </c>
      <c r="M758" s="4" t="s">
        <v>221</v>
      </c>
      <c r="S758" s="4" t="str">
        <f>TEXT(Table1[[#This Row],[Date]],"MMM-YY")</f>
        <v>Aug-25</v>
      </c>
      <c r="T758" s="4">
        <f>_xlfn.ISOWEEKNUM(Table1[[#This Row],[Date]])</f>
        <v>35</v>
      </c>
      <c r="U758" s="4" t="str">
        <f>TEXT(Table1[[#This Row],[Date]],"YYYY")</f>
        <v>2025</v>
      </c>
    </row>
    <row r="759" spans="1:21" hidden="1">
      <c r="A759" s="19">
        <v>45901</v>
      </c>
      <c r="B759" s="4" t="s">
        <v>849</v>
      </c>
      <c r="C759" s="4" t="s">
        <v>217</v>
      </c>
      <c r="D759" s="4" t="s">
        <v>195</v>
      </c>
      <c r="E759" s="4" t="s">
        <v>61</v>
      </c>
      <c r="F759" s="4" t="s">
        <v>843</v>
      </c>
      <c r="G759" s="17" t="s">
        <v>851</v>
      </c>
      <c r="J759" s="31">
        <v>45901</v>
      </c>
      <c r="K759" s="4" t="s">
        <v>220</v>
      </c>
      <c r="L759" s="4" t="s">
        <v>27</v>
      </c>
      <c r="M759" s="4" t="s">
        <v>221</v>
      </c>
      <c r="S759" s="4" t="str">
        <f>TEXT(Table1[[#This Row],[Date]],"MMM-YY")</f>
        <v>Sep-25</v>
      </c>
      <c r="T759" s="4">
        <f>_xlfn.ISOWEEKNUM(Table1[[#This Row],[Date]])</f>
        <v>36</v>
      </c>
      <c r="U759" s="4" t="str">
        <f>TEXT(Table1[[#This Row],[Date]],"YYYY")</f>
        <v>2025</v>
      </c>
    </row>
    <row r="760" spans="1:21" hidden="1">
      <c r="A760" s="19">
        <v>45901</v>
      </c>
      <c r="B760" s="4" t="s">
        <v>850</v>
      </c>
      <c r="C760" s="4" t="s">
        <v>217</v>
      </c>
      <c r="D760" s="4" t="s">
        <v>195</v>
      </c>
      <c r="E760" s="4" t="s">
        <v>61</v>
      </c>
      <c r="F760" s="4" t="s">
        <v>843</v>
      </c>
      <c r="G760" s="17" t="s">
        <v>851</v>
      </c>
      <c r="J760" s="31">
        <v>45901</v>
      </c>
      <c r="K760" s="4" t="s">
        <v>220</v>
      </c>
      <c r="L760" s="4" t="s">
        <v>27</v>
      </c>
      <c r="M760" s="4" t="s">
        <v>221</v>
      </c>
      <c r="S760" s="4" t="str">
        <f>TEXT(Table1[[#This Row],[Date]],"MMM-YY")</f>
        <v>Sep-25</v>
      </c>
      <c r="T760" s="4">
        <f>_xlfn.ISOWEEKNUM(Table1[[#This Row],[Date]])</f>
        <v>36</v>
      </c>
      <c r="U760" s="4" t="str">
        <f>TEXT(Table1[[#This Row],[Date]],"YYYY")</f>
        <v>2025</v>
      </c>
    </row>
    <row r="761" spans="1:21" hidden="1">
      <c r="A761" s="19">
        <v>45901</v>
      </c>
      <c r="B761" s="4" t="s">
        <v>854</v>
      </c>
      <c r="C761" s="4" t="s">
        <v>217</v>
      </c>
      <c r="D761" s="4" t="s">
        <v>195</v>
      </c>
      <c r="E761" s="4" t="s">
        <v>61</v>
      </c>
      <c r="F761" s="4" t="s">
        <v>843</v>
      </c>
      <c r="G761" s="17" t="s">
        <v>851</v>
      </c>
      <c r="J761" s="31">
        <v>45901</v>
      </c>
      <c r="K761" s="4" t="s">
        <v>220</v>
      </c>
      <c r="L761" s="4" t="s">
        <v>27</v>
      </c>
      <c r="M761" s="4" t="s">
        <v>221</v>
      </c>
      <c r="S761" s="4" t="str">
        <f>TEXT(Table1[[#This Row],[Date]],"MMM-YY")</f>
        <v>Sep-25</v>
      </c>
      <c r="T761" s="4">
        <f>_xlfn.ISOWEEKNUM(Table1[[#This Row],[Date]])</f>
        <v>36</v>
      </c>
      <c r="U761" s="4" t="str">
        <f>TEXT(Table1[[#This Row],[Date]],"YYYY")</f>
        <v>2025</v>
      </c>
    </row>
    <row r="762" spans="1:21" hidden="1">
      <c r="A762" s="19">
        <v>45901</v>
      </c>
      <c r="B762" s="4" t="s">
        <v>855</v>
      </c>
      <c r="C762" s="4" t="s">
        <v>217</v>
      </c>
      <c r="D762" s="4" t="s">
        <v>195</v>
      </c>
      <c r="E762" s="4" t="s">
        <v>61</v>
      </c>
      <c r="F762" s="4" t="s">
        <v>843</v>
      </c>
      <c r="G762" s="17" t="s">
        <v>851</v>
      </c>
      <c r="J762" s="31">
        <v>45901</v>
      </c>
      <c r="K762" s="4" t="s">
        <v>220</v>
      </c>
      <c r="L762" s="4" t="s">
        <v>27</v>
      </c>
      <c r="M762" s="4" t="s">
        <v>221</v>
      </c>
      <c r="S762" s="4" t="str">
        <f>TEXT(Table1[[#This Row],[Date]],"MMM-YY")</f>
        <v>Sep-25</v>
      </c>
      <c r="T762" s="4">
        <f>_xlfn.ISOWEEKNUM(Table1[[#This Row],[Date]])</f>
        <v>36</v>
      </c>
      <c r="U762" s="4" t="str">
        <f>TEXT(Table1[[#This Row],[Date]],"YYYY")</f>
        <v>2025</v>
      </c>
    </row>
    <row r="763" spans="1:21" hidden="1">
      <c r="A763" s="19">
        <v>45901</v>
      </c>
      <c r="B763" s="4" t="s">
        <v>856</v>
      </c>
      <c r="C763" s="4" t="s">
        <v>217</v>
      </c>
      <c r="D763" s="4" t="s">
        <v>195</v>
      </c>
      <c r="E763" s="4" t="s">
        <v>61</v>
      </c>
      <c r="F763" s="4" t="s">
        <v>843</v>
      </c>
      <c r="G763" s="17" t="s">
        <v>851</v>
      </c>
      <c r="J763" s="31">
        <v>45901</v>
      </c>
      <c r="K763" s="4" t="s">
        <v>220</v>
      </c>
      <c r="L763" s="4" t="s">
        <v>27</v>
      </c>
      <c r="M763" s="4" t="s">
        <v>221</v>
      </c>
      <c r="S763" s="4" t="str">
        <f>TEXT(Table1[[#This Row],[Date]],"MMM-YY")</f>
        <v>Sep-25</v>
      </c>
      <c r="T763" s="4">
        <f>_xlfn.ISOWEEKNUM(Table1[[#This Row],[Date]])</f>
        <v>36</v>
      </c>
      <c r="U763" s="4" t="str">
        <f>TEXT(Table1[[#This Row],[Date]],"YYYY")</f>
        <v>2025</v>
      </c>
    </row>
    <row r="764" spans="1:21" hidden="1">
      <c r="A764" s="19">
        <v>45901</v>
      </c>
      <c r="B764" s="4" t="s">
        <v>855</v>
      </c>
      <c r="C764" s="4" t="s">
        <v>217</v>
      </c>
      <c r="D764" s="4" t="s">
        <v>195</v>
      </c>
      <c r="E764" s="4" t="s">
        <v>61</v>
      </c>
      <c r="F764" s="4" t="s">
        <v>843</v>
      </c>
      <c r="G764" s="17" t="s">
        <v>851</v>
      </c>
      <c r="J764" s="31">
        <v>45901</v>
      </c>
      <c r="K764" s="4" t="s">
        <v>220</v>
      </c>
      <c r="L764" s="4" t="s">
        <v>27</v>
      </c>
      <c r="M764" s="4" t="s">
        <v>221</v>
      </c>
      <c r="S764" s="4" t="str">
        <f>TEXT(Table1[[#This Row],[Date]],"MMM-YY")</f>
        <v>Sep-25</v>
      </c>
      <c r="T764" s="4">
        <f>_xlfn.ISOWEEKNUM(Table1[[#This Row],[Date]])</f>
        <v>36</v>
      </c>
      <c r="U764" s="4" t="str">
        <f>TEXT(Table1[[#This Row],[Date]],"YYYY")</f>
        <v>2025</v>
      </c>
    </row>
    <row r="765" spans="1:21" hidden="1">
      <c r="A765" s="19">
        <v>45901</v>
      </c>
      <c r="B765" s="4" t="s">
        <v>842</v>
      </c>
      <c r="C765" s="4" t="s">
        <v>217</v>
      </c>
      <c r="D765" s="4" t="s">
        <v>195</v>
      </c>
      <c r="E765" s="4" t="s">
        <v>61</v>
      </c>
      <c r="F765" s="4" t="s">
        <v>843</v>
      </c>
      <c r="G765" s="17" t="s">
        <v>851</v>
      </c>
      <c r="J765" s="31">
        <v>45901</v>
      </c>
      <c r="K765" s="4" t="s">
        <v>220</v>
      </c>
      <c r="L765" s="4" t="s">
        <v>27</v>
      </c>
      <c r="M765" s="4" t="s">
        <v>221</v>
      </c>
      <c r="S765" s="4" t="str">
        <f>TEXT(Table1[[#This Row],[Date]],"MMM-YY")</f>
        <v>Sep-25</v>
      </c>
      <c r="T765" s="4">
        <f>_xlfn.ISOWEEKNUM(Table1[[#This Row],[Date]])</f>
        <v>36</v>
      </c>
      <c r="U765" s="4" t="str">
        <f>TEXT(Table1[[#This Row],[Date]],"YYYY")</f>
        <v>2025</v>
      </c>
    </row>
    <row r="766" spans="1:21" hidden="1">
      <c r="A766" s="19">
        <v>45901</v>
      </c>
      <c r="B766" s="4" t="s">
        <v>845</v>
      </c>
      <c r="C766" s="4" t="s">
        <v>217</v>
      </c>
      <c r="D766" s="4" t="s">
        <v>195</v>
      </c>
      <c r="E766" s="4" t="s">
        <v>61</v>
      </c>
      <c r="F766" s="4" t="s">
        <v>843</v>
      </c>
      <c r="G766" s="17" t="s">
        <v>851</v>
      </c>
      <c r="J766" s="31">
        <v>45901</v>
      </c>
      <c r="K766" s="4" t="s">
        <v>220</v>
      </c>
      <c r="L766" s="4" t="s">
        <v>27</v>
      </c>
      <c r="M766" s="4" t="s">
        <v>221</v>
      </c>
      <c r="S766" s="4" t="str">
        <f>TEXT(Table1[[#This Row],[Date]],"MMM-YY")</f>
        <v>Sep-25</v>
      </c>
      <c r="T766" s="4">
        <f>_xlfn.ISOWEEKNUM(Table1[[#This Row],[Date]])</f>
        <v>36</v>
      </c>
      <c r="U766" s="4" t="str">
        <f>TEXT(Table1[[#This Row],[Date]],"YYYY")</f>
        <v>2025</v>
      </c>
    </row>
    <row r="767" spans="1:21" hidden="1">
      <c r="A767" s="19">
        <v>45901</v>
      </c>
      <c r="B767" s="4" t="s">
        <v>846</v>
      </c>
      <c r="C767" s="4" t="s">
        <v>217</v>
      </c>
      <c r="D767" s="4" t="s">
        <v>195</v>
      </c>
      <c r="E767" s="4" t="s">
        <v>61</v>
      </c>
      <c r="F767" s="4" t="s">
        <v>843</v>
      </c>
      <c r="G767" s="17" t="s">
        <v>851</v>
      </c>
      <c r="J767" s="31">
        <v>45901</v>
      </c>
      <c r="K767" s="4" t="s">
        <v>220</v>
      </c>
      <c r="L767" s="4" t="s">
        <v>27</v>
      </c>
      <c r="M767" s="4" t="s">
        <v>221</v>
      </c>
      <c r="S767" s="4" t="str">
        <f>TEXT(Table1[[#This Row],[Date]],"MMM-YY")</f>
        <v>Sep-25</v>
      </c>
      <c r="T767" s="4">
        <f>_xlfn.ISOWEEKNUM(Table1[[#This Row],[Date]])</f>
        <v>36</v>
      </c>
      <c r="U767" s="4" t="str">
        <f>TEXT(Table1[[#This Row],[Date]],"YYYY")</f>
        <v>2025</v>
      </c>
    </row>
    <row r="768" spans="1:21" hidden="1">
      <c r="A768" s="19">
        <v>45901</v>
      </c>
      <c r="B768" s="4" t="s">
        <v>613</v>
      </c>
      <c r="C768" s="4" t="s">
        <v>217</v>
      </c>
      <c r="D768" s="4" t="s">
        <v>195</v>
      </c>
      <c r="E768" s="4" t="s">
        <v>61</v>
      </c>
      <c r="F768" s="4" t="s">
        <v>833</v>
      </c>
      <c r="G768" s="17" t="s">
        <v>851</v>
      </c>
      <c r="J768" s="31">
        <v>45901</v>
      </c>
      <c r="K768" s="4" t="s">
        <v>220</v>
      </c>
      <c r="L768" s="4" t="s">
        <v>27</v>
      </c>
      <c r="M768" s="4" t="s">
        <v>221</v>
      </c>
      <c r="S768" s="4" t="str">
        <f>TEXT(Table1[[#This Row],[Date]],"MMM-YY")</f>
        <v>Sep-25</v>
      </c>
      <c r="T768" s="4">
        <f>_xlfn.ISOWEEKNUM(Table1[[#This Row],[Date]])</f>
        <v>36</v>
      </c>
      <c r="U768" s="4" t="str">
        <f>TEXT(Table1[[#This Row],[Date]],"YYYY")</f>
        <v>2025</v>
      </c>
    </row>
    <row r="769" spans="1:21" hidden="1">
      <c r="A769" s="19">
        <v>45901</v>
      </c>
      <c r="B769" s="4" t="s">
        <v>356</v>
      </c>
      <c r="C769" s="4" t="s">
        <v>217</v>
      </c>
      <c r="D769" s="4" t="s">
        <v>195</v>
      </c>
      <c r="E769" s="4" t="s">
        <v>179</v>
      </c>
      <c r="F769" s="4" t="s">
        <v>709</v>
      </c>
      <c r="G769" s="17" t="s">
        <v>851</v>
      </c>
      <c r="J769" s="31">
        <v>45901</v>
      </c>
      <c r="K769" s="4" t="s">
        <v>220</v>
      </c>
      <c r="L769" s="4" t="s">
        <v>27</v>
      </c>
      <c r="M769" s="4" t="s">
        <v>221</v>
      </c>
      <c r="S769" s="4" t="str">
        <f>TEXT(Table1[[#This Row],[Date]],"MMM-YY")</f>
        <v>Sep-25</v>
      </c>
      <c r="T769" s="4">
        <f>_xlfn.ISOWEEKNUM(Table1[[#This Row],[Date]])</f>
        <v>36</v>
      </c>
      <c r="U769" s="4" t="str">
        <f>TEXT(Table1[[#This Row],[Date]],"YYYY")</f>
        <v>2025</v>
      </c>
    </row>
    <row r="770" spans="1:21" hidden="1">
      <c r="A770" s="19">
        <v>45901</v>
      </c>
      <c r="B770" s="4" t="s">
        <v>864</v>
      </c>
      <c r="C770" s="4" t="s">
        <v>217</v>
      </c>
      <c r="D770" s="4" t="s">
        <v>183</v>
      </c>
      <c r="E770" s="4" t="s">
        <v>49</v>
      </c>
      <c r="F770" s="4" t="s">
        <v>640</v>
      </c>
      <c r="G770" s="17" t="s">
        <v>851</v>
      </c>
      <c r="J770" s="31">
        <v>45901</v>
      </c>
      <c r="K770" s="4" t="s">
        <v>220</v>
      </c>
      <c r="L770" s="4" t="s">
        <v>27</v>
      </c>
      <c r="M770" s="4" t="s">
        <v>221</v>
      </c>
      <c r="S770" s="4" t="str">
        <f>TEXT(Table1[[#This Row],[Date]],"MMM-YY")</f>
        <v>Sep-25</v>
      </c>
      <c r="T770" s="4">
        <f>_xlfn.ISOWEEKNUM(Table1[[#This Row],[Date]])</f>
        <v>36</v>
      </c>
      <c r="U770" s="4" t="str">
        <f>TEXT(Table1[[#This Row],[Date]],"YYYY")</f>
        <v>2025</v>
      </c>
    </row>
    <row r="771" spans="1:21" hidden="1">
      <c r="A771" s="19">
        <v>45901</v>
      </c>
      <c r="B771" s="4" t="s">
        <v>865</v>
      </c>
      <c r="C771" s="4" t="s">
        <v>217</v>
      </c>
      <c r="D771" s="4" t="s">
        <v>183</v>
      </c>
      <c r="E771" s="4" t="s">
        <v>49</v>
      </c>
      <c r="F771" s="4" t="s">
        <v>640</v>
      </c>
      <c r="G771" s="17" t="s">
        <v>851</v>
      </c>
      <c r="J771" s="31">
        <v>45901</v>
      </c>
      <c r="K771" s="4" t="s">
        <v>220</v>
      </c>
      <c r="L771" s="4" t="s">
        <v>27</v>
      </c>
      <c r="M771" s="4" t="s">
        <v>221</v>
      </c>
      <c r="S771" s="4" t="str">
        <f>TEXT(Table1[[#This Row],[Date]],"MMM-YY")</f>
        <v>Sep-25</v>
      </c>
      <c r="T771" s="4">
        <f>_xlfn.ISOWEEKNUM(Table1[[#This Row],[Date]])</f>
        <v>36</v>
      </c>
      <c r="U771" s="4" t="str">
        <f>TEXT(Table1[[#This Row],[Date]],"YYYY")</f>
        <v>2025</v>
      </c>
    </row>
    <row r="772" spans="1:21" hidden="1">
      <c r="A772" s="19">
        <v>45901</v>
      </c>
      <c r="B772" s="4" t="s">
        <v>230</v>
      </c>
      <c r="C772" s="4" t="s">
        <v>217</v>
      </c>
      <c r="D772" s="4" t="s">
        <v>183</v>
      </c>
      <c r="E772" s="4" t="s">
        <v>49</v>
      </c>
      <c r="F772" s="4" t="s">
        <v>231</v>
      </c>
      <c r="G772" s="17" t="s">
        <v>851</v>
      </c>
      <c r="J772" s="31">
        <v>45901</v>
      </c>
      <c r="K772" s="4" t="s">
        <v>220</v>
      </c>
      <c r="L772" s="4" t="s">
        <v>27</v>
      </c>
      <c r="M772" s="4" t="s">
        <v>221</v>
      </c>
      <c r="S772" s="4" t="str">
        <f>TEXT(Table1[[#This Row],[Date]],"MMM-YY")</f>
        <v>Sep-25</v>
      </c>
      <c r="T772" s="4">
        <f>_xlfn.ISOWEEKNUM(Table1[[#This Row],[Date]])</f>
        <v>36</v>
      </c>
      <c r="U772" s="4" t="str">
        <f>TEXT(Table1[[#This Row],[Date]],"YYYY")</f>
        <v>2025</v>
      </c>
    </row>
    <row r="773" spans="1:21" hidden="1">
      <c r="A773" s="19">
        <v>45901</v>
      </c>
      <c r="B773" s="36" t="s">
        <v>230</v>
      </c>
      <c r="C773" s="4" t="s">
        <v>217</v>
      </c>
      <c r="D773" s="4" t="s">
        <v>195</v>
      </c>
      <c r="E773" s="4" t="s">
        <v>183</v>
      </c>
      <c r="F773" s="4" t="s">
        <v>231</v>
      </c>
      <c r="G773" s="17" t="s">
        <v>431</v>
      </c>
      <c r="J773" s="31">
        <v>45901</v>
      </c>
      <c r="K773" s="4" t="s">
        <v>220</v>
      </c>
      <c r="L773" s="4" t="s">
        <v>16</v>
      </c>
      <c r="M773" s="4" t="s">
        <v>538</v>
      </c>
      <c r="S773" s="4" t="str">
        <f>TEXT(Table1[[#This Row],[Date]],"MMM-YY")</f>
        <v>Sep-25</v>
      </c>
      <c r="T773" s="4">
        <f>_xlfn.ISOWEEKNUM(Table1[[#This Row],[Date]])</f>
        <v>36</v>
      </c>
      <c r="U773" s="4" t="str">
        <f>TEXT(Table1[[#This Row],[Date]],"YYYY")</f>
        <v>2025</v>
      </c>
    </row>
    <row r="774" spans="1:21" hidden="1">
      <c r="A774" s="19">
        <v>45901</v>
      </c>
      <c r="B774" s="37" t="s">
        <v>834</v>
      </c>
      <c r="C774" s="4" t="s">
        <v>217</v>
      </c>
      <c r="D774" s="4" t="s">
        <v>195</v>
      </c>
      <c r="E774" s="4" t="s">
        <v>61</v>
      </c>
      <c r="F774" s="4" t="s">
        <v>835</v>
      </c>
      <c r="G774" s="17" t="s">
        <v>240</v>
      </c>
      <c r="J774" s="31">
        <v>45901</v>
      </c>
      <c r="K774" s="4" t="s">
        <v>220</v>
      </c>
      <c r="L774" s="4" t="s">
        <v>16</v>
      </c>
      <c r="M774" s="4" t="s">
        <v>538</v>
      </c>
      <c r="S774" s="4" t="str">
        <f>TEXT(Table1[[#This Row],[Date]],"MMM-YY")</f>
        <v>Sep-25</v>
      </c>
      <c r="T774" s="4">
        <f>_xlfn.ISOWEEKNUM(Table1[[#This Row],[Date]])</f>
        <v>36</v>
      </c>
      <c r="U774" s="4" t="str">
        <f>TEXT(Table1[[#This Row],[Date]],"YYYY")</f>
        <v>2025</v>
      </c>
    </row>
    <row r="775" spans="1:21" hidden="1">
      <c r="A775" s="19">
        <v>45901</v>
      </c>
      <c r="B775" s="36" t="s">
        <v>338</v>
      </c>
      <c r="C775" s="4" t="s">
        <v>225</v>
      </c>
      <c r="D775" s="4" t="s">
        <v>183</v>
      </c>
      <c r="E775" s="4" t="s">
        <v>49</v>
      </c>
      <c r="F775" s="4" t="s">
        <v>339</v>
      </c>
      <c r="G775" s="17" t="s">
        <v>240</v>
      </c>
      <c r="J775" s="31">
        <v>45901</v>
      </c>
      <c r="K775" s="4" t="s">
        <v>220</v>
      </c>
      <c r="L775" s="4" t="s">
        <v>16</v>
      </c>
      <c r="M775" s="4" t="s">
        <v>538</v>
      </c>
      <c r="S775" s="4" t="str">
        <f>TEXT(Table1[[#This Row],[Date]],"MMM-YY")</f>
        <v>Sep-25</v>
      </c>
      <c r="T775" s="4">
        <f>_xlfn.ISOWEEKNUM(Table1[[#This Row],[Date]])</f>
        <v>36</v>
      </c>
      <c r="U775" s="4" t="str">
        <f>TEXT(Table1[[#This Row],[Date]],"YYYY")</f>
        <v>2025</v>
      </c>
    </row>
    <row r="776" spans="1:21" hidden="1">
      <c r="A776" s="19">
        <v>45901</v>
      </c>
      <c r="B776" s="37" t="s">
        <v>836</v>
      </c>
      <c r="C776" s="4" t="s">
        <v>225</v>
      </c>
      <c r="D776" s="4" t="s">
        <v>195</v>
      </c>
      <c r="E776" s="4" t="s">
        <v>61</v>
      </c>
      <c r="F776" s="4" t="s">
        <v>837</v>
      </c>
      <c r="J776" s="31">
        <v>45901</v>
      </c>
      <c r="K776" s="4" t="s">
        <v>220</v>
      </c>
      <c r="L776" s="4" t="s">
        <v>16</v>
      </c>
      <c r="M776" s="4" t="s">
        <v>538</v>
      </c>
      <c r="S776" s="4" t="str">
        <f>TEXT(Table1[[#This Row],[Date]],"MMM-YY")</f>
        <v>Sep-25</v>
      </c>
      <c r="T776" s="4">
        <f>_xlfn.ISOWEEKNUM(Table1[[#This Row],[Date]])</f>
        <v>36</v>
      </c>
      <c r="U776" s="4" t="str">
        <f>TEXT(Table1[[#This Row],[Date]],"YYYY")</f>
        <v>2025</v>
      </c>
    </row>
    <row r="777" spans="1:21" hidden="1">
      <c r="A777" s="19">
        <v>45901</v>
      </c>
      <c r="B777" s="36" t="s">
        <v>821</v>
      </c>
      <c r="C777" s="4" t="s">
        <v>225</v>
      </c>
      <c r="D777" s="4" t="s">
        <v>79</v>
      </c>
      <c r="E777" s="4" t="s">
        <v>79</v>
      </c>
      <c r="F777" s="4" t="s">
        <v>680</v>
      </c>
      <c r="G777" s="17" t="s">
        <v>240</v>
      </c>
      <c r="J777" s="31">
        <v>45901</v>
      </c>
      <c r="K777" s="4" t="s">
        <v>220</v>
      </c>
      <c r="L777" s="4" t="s">
        <v>16</v>
      </c>
      <c r="M777" s="4" t="s">
        <v>538</v>
      </c>
      <c r="S777" s="4" t="str">
        <f>TEXT(Table1[[#This Row],[Date]],"MMM-YY")</f>
        <v>Sep-25</v>
      </c>
      <c r="T777" s="4">
        <f>_xlfn.ISOWEEKNUM(Table1[[#This Row],[Date]])</f>
        <v>36</v>
      </c>
      <c r="U777" s="4" t="str">
        <f>TEXT(Table1[[#This Row],[Date]],"YYYY")</f>
        <v>2025</v>
      </c>
    </row>
    <row r="778" spans="1:21" hidden="1">
      <c r="A778" s="19">
        <v>45901</v>
      </c>
      <c r="B778" s="37" t="s">
        <v>570</v>
      </c>
      <c r="C778" s="4" t="s">
        <v>225</v>
      </c>
      <c r="D778" s="4" t="s">
        <v>195</v>
      </c>
      <c r="E778" s="4" t="s">
        <v>26</v>
      </c>
      <c r="F778" s="4" t="s">
        <v>561</v>
      </c>
      <c r="G778" s="17" t="s">
        <v>240</v>
      </c>
      <c r="J778" s="31">
        <v>45901</v>
      </c>
      <c r="K778" s="4" t="s">
        <v>220</v>
      </c>
      <c r="L778" s="4" t="s">
        <v>16</v>
      </c>
      <c r="M778" s="4" t="s">
        <v>538</v>
      </c>
      <c r="S778" s="4" t="str">
        <f>TEXT(Table1[[#This Row],[Date]],"MMM-YY")</f>
        <v>Sep-25</v>
      </c>
      <c r="T778" s="4">
        <f>_xlfn.ISOWEEKNUM(Table1[[#This Row],[Date]])</f>
        <v>36</v>
      </c>
      <c r="U778" s="4" t="str">
        <f>TEXT(Table1[[#This Row],[Date]],"YYYY")</f>
        <v>2025</v>
      </c>
    </row>
    <row r="779" spans="1:21" hidden="1">
      <c r="A779" s="19">
        <v>45901</v>
      </c>
      <c r="B779" s="36" t="s">
        <v>809</v>
      </c>
      <c r="C779" s="4" t="s">
        <v>225</v>
      </c>
      <c r="D779" s="4" t="s">
        <v>195</v>
      </c>
      <c r="E779" s="4" t="s">
        <v>61</v>
      </c>
      <c r="F779" s="4" t="s">
        <v>810</v>
      </c>
      <c r="J779" s="31">
        <v>45901</v>
      </c>
      <c r="K779" s="4" t="s">
        <v>220</v>
      </c>
      <c r="L779" s="4" t="s">
        <v>16</v>
      </c>
      <c r="M779" s="4" t="s">
        <v>538</v>
      </c>
      <c r="S779" s="4" t="str">
        <f>TEXT(Table1[[#This Row],[Date]],"MMM-YY")</f>
        <v>Sep-25</v>
      </c>
      <c r="T779" s="4">
        <f>_xlfn.ISOWEEKNUM(Table1[[#This Row],[Date]])</f>
        <v>36</v>
      </c>
      <c r="U779" s="4" t="str">
        <f>TEXT(Table1[[#This Row],[Date]],"YYYY")</f>
        <v>2025</v>
      </c>
    </row>
    <row r="780" spans="1:21" hidden="1">
      <c r="A780" s="19">
        <v>45901</v>
      </c>
      <c r="B780" s="37" t="s">
        <v>222</v>
      </c>
      <c r="C780" s="4" t="s">
        <v>225</v>
      </c>
      <c r="D780" s="4" t="s">
        <v>195</v>
      </c>
      <c r="E780" s="4" t="s">
        <v>41</v>
      </c>
      <c r="F780" s="4" t="s">
        <v>223</v>
      </c>
      <c r="G780" s="17" t="s">
        <v>822</v>
      </c>
      <c r="J780" s="31">
        <v>45901</v>
      </c>
      <c r="K780" s="4" t="s">
        <v>220</v>
      </c>
      <c r="L780" s="4" t="s">
        <v>16</v>
      </c>
      <c r="M780" s="4" t="s">
        <v>538</v>
      </c>
      <c r="S780" s="4" t="str">
        <f>TEXT(Table1[[#This Row],[Date]],"MMM-YY")</f>
        <v>Sep-25</v>
      </c>
      <c r="T780" s="4">
        <f>_xlfn.ISOWEEKNUM(Table1[[#This Row],[Date]])</f>
        <v>36</v>
      </c>
      <c r="U780" s="4" t="str">
        <f>TEXT(Table1[[#This Row],[Date]],"YYYY")</f>
        <v>2025</v>
      </c>
    </row>
    <row r="781" spans="1:21" hidden="1">
      <c r="A781" s="19">
        <v>45901</v>
      </c>
      <c r="B781" s="36" t="s">
        <v>284</v>
      </c>
      <c r="C781" s="4" t="s">
        <v>225</v>
      </c>
      <c r="D781" s="4" t="s">
        <v>195</v>
      </c>
      <c r="E781" s="4" t="s">
        <v>61</v>
      </c>
      <c r="F781" s="4" t="s">
        <v>285</v>
      </c>
      <c r="J781" s="31">
        <v>45901</v>
      </c>
      <c r="K781" s="4" t="s">
        <v>220</v>
      </c>
      <c r="L781" s="4" t="s">
        <v>16</v>
      </c>
      <c r="M781" s="4" t="s">
        <v>538</v>
      </c>
      <c r="S781" s="4" t="str">
        <f>TEXT(Table1[[#This Row],[Date]],"MMM-YY")</f>
        <v>Sep-25</v>
      </c>
      <c r="T781" s="4">
        <f>_xlfn.ISOWEEKNUM(Table1[[#This Row],[Date]])</f>
        <v>36</v>
      </c>
      <c r="U781" s="4" t="str">
        <f>TEXT(Table1[[#This Row],[Date]],"YYYY")</f>
        <v>2025</v>
      </c>
    </row>
    <row r="782" spans="1:21" hidden="1">
      <c r="A782" s="19">
        <v>45901</v>
      </c>
      <c r="B782" s="37" t="s">
        <v>608</v>
      </c>
      <c r="C782" s="4" t="s">
        <v>225</v>
      </c>
      <c r="D782" s="4" t="s">
        <v>195</v>
      </c>
      <c r="E782" s="4" t="s">
        <v>61</v>
      </c>
      <c r="F782" s="4" t="s">
        <v>437</v>
      </c>
      <c r="J782" s="31">
        <v>45901</v>
      </c>
      <c r="K782" s="4" t="s">
        <v>220</v>
      </c>
      <c r="L782" s="4" t="s">
        <v>16</v>
      </c>
      <c r="M782" s="4" t="s">
        <v>538</v>
      </c>
      <c r="S782" s="4" t="str">
        <f>TEXT(Table1[[#This Row],[Date]],"MMM-YY")</f>
        <v>Sep-25</v>
      </c>
      <c r="T782" s="4">
        <f>_xlfn.ISOWEEKNUM(Table1[[#This Row],[Date]])</f>
        <v>36</v>
      </c>
      <c r="U782" s="4" t="str">
        <f>TEXT(Table1[[#This Row],[Date]],"YYYY")</f>
        <v>2025</v>
      </c>
    </row>
    <row r="783" spans="1:21" hidden="1">
      <c r="A783" s="19">
        <v>45901</v>
      </c>
      <c r="B783" s="36" t="s">
        <v>335</v>
      </c>
      <c r="C783" s="4" t="s">
        <v>225</v>
      </c>
      <c r="D783" s="4" t="s">
        <v>183</v>
      </c>
      <c r="E783" s="4" t="s">
        <v>49</v>
      </c>
      <c r="F783" s="4" t="s">
        <v>336</v>
      </c>
      <c r="G783" s="17" t="s">
        <v>308</v>
      </c>
      <c r="J783" s="31">
        <v>45901</v>
      </c>
      <c r="K783" s="4" t="s">
        <v>220</v>
      </c>
      <c r="L783" s="4" t="s">
        <v>16</v>
      </c>
      <c r="M783" s="4" t="s">
        <v>538</v>
      </c>
      <c r="S783" s="4" t="str">
        <f>TEXT(Table1[[#This Row],[Date]],"MMM-YY")</f>
        <v>Sep-25</v>
      </c>
      <c r="T783" s="4">
        <f>_xlfn.ISOWEEKNUM(Table1[[#This Row],[Date]])</f>
        <v>36</v>
      </c>
      <c r="U783" s="4" t="str">
        <f>TEXT(Table1[[#This Row],[Date]],"YYYY")</f>
        <v>2025</v>
      </c>
    </row>
    <row r="784" spans="1:21" hidden="1">
      <c r="A784" s="19">
        <v>45901</v>
      </c>
      <c r="B784" s="37" t="s">
        <v>384</v>
      </c>
      <c r="C784" s="4" t="s">
        <v>225</v>
      </c>
      <c r="D784" s="4" t="s">
        <v>195</v>
      </c>
      <c r="E784" s="4" t="s">
        <v>87</v>
      </c>
      <c r="F784" s="4" t="s">
        <v>828</v>
      </c>
      <c r="G784" s="17" t="s">
        <v>240</v>
      </c>
      <c r="J784" s="31">
        <v>45901</v>
      </c>
      <c r="K784" s="4" t="s">
        <v>220</v>
      </c>
      <c r="L784" s="4" t="s">
        <v>16</v>
      </c>
      <c r="M784" s="4" t="s">
        <v>538</v>
      </c>
      <c r="S784" s="4" t="str">
        <f>TEXT(Table1[[#This Row],[Date]],"MMM-YY")</f>
        <v>Sep-25</v>
      </c>
      <c r="T784" s="4">
        <f>_xlfn.ISOWEEKNUM(Table1[[#This Row],[Date]])</f>
        <v>36</v>
      </c>
      <c r="U784" s="4" t="str">
        <f>TEXT(Table1[[#This Row],[Date]],"YYYY")</f>
        <v>2025</v>
      </c>
    </row>
    <row r="785" spans="1:21" hidden="1">
      <c r="A785" s="19">
        <v>45901</v>
      </c>
      <c r="B785" s="36" t="s">
        <v>450</v>
      </c>
      <c r="C785" s="4" t="s">
        <v>225</v>
      </c>
      <c r="D785" s="4" t="s">
        <v>195</v>
      </c>
      <c r="E785" s="4" t="s">
        <v>61</v>
      </c>
      <c r="F785" s="4" t="s">
        <v>583</v>
      </c>
      <c r="G785" s="17" t="s">
        <v>240</v>
      </c>
      <c r="J785" s="31">
        <v>45901</v>
      </c>
      <c r="K785" s="4" t="s">
        <v>220</v>
      </c>
      <c r="L785" s="4" t="s">
        <v>16</v>
      </c>
      <c r="M785" s="4" t="s">
        <v>538</v>
      </c>
      <c r="S785" s="4" t="str">
        <f>TEXT(Table1[[#This Row],[Date]],"MMM-YY")</f>
        <v>Sep-25</v>
      </c>
      <c r="T785" s="4">
        <f>_xlfn.ISOWEEKNUM(Table1[[#This Row],[Date]])</f>
        <v>36</v>
      </c>
      <c r="U785" s="4" t="str">
        <f>TEXT(Table1[[#This Row],[Date]],"YYYY")</f>
        <v>2025</v>
      </c>
    </row>
    <row r="786" spans="1:21" hidden="1">
      <c r="A786" s="19">
        <v>45901</v>
      </c>
      <c r="B786" s="37" t="s">
        <v>258</v>
      </c>
      <c r="C786" s="4" t="s">
        <v>225</v>
      </c>
      <c r="D786" s="4" t="s">
        <v>195</v>
      </c>
      <c r="E786" s="4" t="s">
        <v>47</v>
      </c>
      <c r="F786" s="4" t="s">
        <v>523</v>
      </c>
      <c r="G786" s="17" t="s">
        <v>823</v>
      </c>
      <c r="J786" s="31">
        <v>45901</v>
      </c>
      <c r="K786" s="4" t="s">
        <v>220</v>
      </c>
      <c r="L786" s="4" t="s">
        <v>16</v>
      </c>
      <c r="M786" s="4" t="s">
        <v>538</v>
      </c>
      <c r="S786" s="4" t="str">
        <f>TEXT(Table1[[#This Row],[Date]],"MMM-YY")</f>
        <v>Sep-25</v>
      </c>
      <c r="T786" s="4">
        <f>_xlfn.ISOWEEKNUM(Table1[[#This Row],[Date]])</f>
        <v>36</v>
      </c>
      <c r="U786" s="4" t="str">
        <f>TEXT(Table1[[#This Row],[Date]],"YYYY")</f>
        <v>2025</v>
      </c>
    </row>
    <row r="787" spans="1:21" hidden="1">
      <c r="A787" s="19">
        <v>45901</v>
      </c>
      <c r="B787" s="36" t="s">
        <v>805</v>
      </c>
      <c r="C787" s="4" t="s">
        <v>225</v>
      </c>
      <c r="D787" s="4" t="s">
        <v>195</v>
      </c>
      <c r="E787" s="4" t="s">
        <v>61</v>
      </c>
      <c r="F787" s="4" t="s">
        <v>806</v>
      </c>
      <c r="J787" s="31">
        <v>45901</v>
      </c>
      <c r="K787" s="4" t="s">
        <v>220</v>
      </c>
      <c r="L787" s="4" t="s">
        <v>16</v>
      </c>
      <c r="M787" s="4" t="s">
        <v>538</v>
      </c>
      <c r="S787" s="4" t="str">
        <f>TEXT(Table1[[#This Row],[Date]],"MMM-YY")</f>
        <v>Sep-25</v>
      </c>
      <c r="T787" s="4">
        <f>_xlfn.ISOWEEKNUM(Table1[[#This Row],[Date]])</f>
        <v>36</v>
      </c>
      <c r="U787" s="4" t="str">
        <f>TEXT(Table1[[#This Row],[Date]],"YYYY")</f>
        <v>2025</v>
      </c>
    </row>
    <row r="788" spans="1:21" hidden="1">
      <c r="A788" s="19">
        <v>45901</v>
      </c>
      <c r="B788" s="37" t="s">
        <v>807</v>
      </c>
      <c r="C788" s="4" t="s">
        <v>225</v>
      </c>
      <c r="D788" s="4" t="s">
        <v>195</v>
      </c>
      <c r="E788" s="4" t="s">
        <v>61</v>
      </c>
      <c r="F788" s="4" t="s">
        <v>808</v>
      </c>
      <c r="J788" s="31">
        <v>45901</v>
      </c>
      <c r="K788" s="4" t="s">
        <v>220</v>
      </c>
      <c r="L788" s="4" t="s">
        <v>16</v>
      </c>
      <c r="M788" s="4" t="s">
        <v>538</v>
      </c>
      <c r="S788" s="4" t="str">
        <f>TEXT(Table1[[#This Row],[Date]],"MMM-YY")</f>
        <v>Sep-25</v>
      </c>
      <c r="T788" s="4">
        <f>_xlfn.ISOWEEKNUM(Table1[[#This Row],[Date]])</f>
        <v>36</v>
      </c>
      <c r="U788" s="4" t="str">
        <f>TEXT(Table1[[#This Row],[Date]],"YYYY")</f>
        <v>2025</v>
      </c>
    </row>
    <row r="789" spans="1:21" hidden="1">
      <c r="A789" s="19">
        <v>45901</v>
      </c>
      <c r="B789" s="36" t="s">
        <v>247</v>
      </c>
      <c r="C789" s="4" t="s">
        <v>225</v>
      </c>
      <c r="D789" s="4" t="s">
        <v>195</v>
      </c>
      <c r="E789" s="4" t="s">
        <v>61</v>
      </c>
      <c r="F789" s="4" t="s">
        <v>615</v>
      </c>
      <c r="G789" s="17" t="s">
        <v>240</v>
      </c>
      <c r="J789" s="31">
        <v>45901</v>
      </c>
      <c r="K789" s="4" t="s">
        <v>220</v>
      </c>
      <c r="L789" s="4" t="s">
        <v>16</v>
      </c>
      <c r="M789" s="4" t="s">
        <v>538</v>
      </c>
      <c r="S789" s="4" t="str">
        <f>TEXT(Table1[[#This Row],[Date]],"MMM-YY")</f>
        <v>Sep-25</v>
      </c>
      <c r="T789" s="4">
        <f>_xlfn.ISOWEEKNUM(Table1[[#This Row],[Date]])</f>
        <v>36</v>
      </c>
      <c r="U789" s="4" t="str">
        <f>TEXT(Table1[[#This Row],[Date]],"YYYY")</f>
        <v>2025</v>
      </c>
    </row>
    <row r="790" spans="1:21" hidden="1">
      <c r="A790" s="19">
        <v>45901</v>
      </c>
      <c r="B790" s="37" t="s">
        <v>834</v>
      </c>
      <c r="C790" s="4" t="s">
        <v>225</v>
      </c>
      <c r="D790" s="4" t="s">
        <v>195</v>
      </c>
      <c r="E790" s="4" t="s">
        <v>61</v>
      </c>
      <c r="F790" s="4" t="s">
        <v>835</v>
      </c>
      <c r="G790" s="17" t="s">
        <v>240</v>
      </c>
      <c r="J790" s="31">
        <v>45901</v>
      </c>
      <c r="K790" s="4" t="s">
        <v>220</v>
      </c>
      <c r="L790" s="4" t="s">
        <v>16</v>
      </c>
      <c r="M790" s="4" t="s">
        <v>538</v>
      </c>
      <c r="S790" s="4" t="str">
        <f>TEXT(Table1[[#This Row],[Date]],"MMM-YY")</f>
        <v>Sep-25</v>
      </c>
      <c r="T790" s="4">
        <f>_xlfn.ISOWEEKNUM(Table1[[#This Row],[Date]])</f>
        <v>36</v>
      </c>
      <c r="U790" s="4" t="str">
        <f>TEXT(Table1[[#This Row],[Date]],"YYYY")</f>
        <v>2025</v>
      </c>
    </row>
    <row r="791" spans="1:21" hidden="1">
      <c r="A791" s="19">
        <v>45901</v>
      </c>
      <c r="B791" s="36" t="s">
        <v>338</v>
      </c>
      <c r="C791" s="4" t="s">
        <v>225</v>
      </c>
      <c r="D791" s="4" t="s">
        <v>183</v>
      </c>
      <c r="E791" s="4" t="s">
        <v>49</v>
      </c>
      <c r="F791" s="4" t="s">
        <v>339</v>
      </c>
      <c r="G791" s="17" t="s">
        <v>240</v>
      </c>
      <c r="J791" s="31">
        <v>45901</v>
      </c>
      <c r="K791" s="4" t="s">
        <v>220</v>
      </c>
      <c r="L791" s="4" t="s">
        <v>16</v>
      </c>
      <c r="M791" s="4" t="s">
        <v>538</v>
      </c>
      <c r="S791" s="4" t="str">
        <f>TEXT(Table1[[#This Row],[Date]],"MMM-YY")</f>
        <v>Sep-25</v>
      </c>
      <c r="T791" s="4">
        <f>_xlfn.ISOWEEKNUM(Table1[[#This Row],[Date]])</f>
        <v>36</v>
      </c>
      <c r="U791" s="4" t="str">
        <f>TEXT(Table1[[#This Row],[Date]],"YYYY")</f>
        <v>2025</v>
      </c>
    </row>
    <row r="792" spans="1:21" hidden="1">
      <c r="A792" s="19">
        <v>45901</v>
      </c>
      <c r="B792" s="37" t="s">
        <v>818</v>
      </c>
      <c r="C792" s="4" t="s">
        <v>225</v>
      </c>
      <c r="D792" s="4" t="s">
        <v>195</v>
      </c>
      <c r="E792" s="4" t="s">
        <v>91</v>
      </c>
      <c r="F792" s="4" t="s">
        <v>437</v>
      </c>
      <c r="G792" s="17" t="s">
        <v>240</v>
      </c>
      <c r="J792" s="31">
        <v>45901</v>
      </c>
      <c r="K792" s="4" t="s">
        <v>220</v>
      </c>
      <c r="L792" s="4" t="s">
        <v>16</v>
      </c>
      <c r="M792" s="4" t="s">
        <v>538</v>
      </c>
      <c r="S792" s="4" t="str">
        <f>TEXT(Table1[[#This Row],[Date]],"MMM-YY")</f>
        <v>Sep-25</v>
      </c>
      <c r="T792" s="4">
        <f>_xlfn.ISOWEEKNUM(Table1[[#This Row],[Date]])</f>
        <v>36</v>
      </c>
      <c r="U792" s="4" t="str">
        <f>TEXT(Table1[[#This Row],[Date]],"YYYY")</f>
        <v>2025</v>
      </c>
    </row>
    <row r="793" spans="1:21" hidden="1">
      <c r="A793" s="19">
        <v>45901</v>
      </c>
      <c r="B793" s="36" t="s">
        <v>254</v>
      </c>
      <c r="C793" s="4" t="s">
        <v>217</v>
      </c>
      <c r="D793" s="4" t="s">
        <v>195</v>
      </c>
      <c r="E793" s="4" t="s">
        <v>47</v>
      </c>
      <c r="F793" s="4" t="s">
        <v>257</v>
      </c>
      <c r="G793" s="17" t="s">
        <v>240</v>
      </c>
      <c r="J793" s="31">
        <v>45901</v>
      </c>
      <c r="K793" s="4" t="s">
        <v>220</v>
      </c>
      <c r="L793" s="4" t="s">
        <v>16</v>
      </c>
      <c r="M793" s="4" t="s">
        <v>538</v>
      </c>
      <c r="S793" s="4" t="str">
        <f>TEXT(Table1[[#This Row],[Date]],"MMM-YY")</f>
        <v>Sep-25</v>
      </c>
      <c r="T793" s="4">
        <f>_xlfn.ISOWEEKNUM(Table1[[#This Row],[Date]])</f>
        <v>36</v>
      </c>
      <c r="U793" s="4" t="str">
        <f>TEXT(Table1[[#This Row],[Date]],"YYYY")</f>
        <v>2025</v>
      </c>
    </row>
    <row r="794" spans="1:21">
      <c r="A794" s="19">
        <v>45901</v>
      </c>
      <c r="B794" s="4" t="s">
        <v>778</v>
      </c>
      <c r="C794" s="4" t="s">
        <v>217</v>
      </c>
      <c r="D794" s="4" t="s">
        <v>195</v>
      </c>
      <c r="E794" s="4" t="s">
        <v>179</v>
      </c>
      <c r="F794" s="4" t="s">
        <v>763</v>
      </c>
      <c r="G794" s="17" t="s">
        <v>431</v>
      </c>
      <c r="H794" s="4">
        <v>13109</v>
      </c>
      <c r="I794" s="4">
        <v>13109</v>
      </c>
      <c r="J794" s="31">
        <v>45901</v>
      </c>
      <c r="K794" s="4" t="s">
        <v>220</v>
      </c>
      <c r="L794" s="4" t="s">
        <v>17</v>
      </c>
      <c r="M794" s="4" t="s">
        <v>221</v>
      </c>
      <c r="S794" s="4" t="str">
        <f>TEXT(Table1[[#This Row],[Date]],"MMM-YY")</f>
        <v>Sep-25</v>
      </c>
      <c r="T794" s="4">
        <f>_xlfn.ISOWEEKNUM(Table1[[#This Row],[Date]])</f>
        <v>36</v>
      </c>
      <c r="U794" s="4" t="str">
        <f>TEXT(Table1[[#This Row],[Date]],"YYYY")</f>
        <v>2025</v>
      </c>
    </row>
    <row r="795" spans="1:21" hidden="1">
      <c r="A795" s="19">
        <v>45902</v>
      </c>
      <c r="B795" s="4" t="s">
        <v>335</v>
      </c>
      <c r="C795" s="4" t="s">
        <v>217</v>
      </c>
      <c r="D795" s="4" t="s">
        <v>183</v>
      </c>
      <c r="E795" s="4" t="s">
        <v>49</v>
      </c>
      <c r="F795" s="4" t="s">
        <v>866</v>
      </c>
      <c r="G795" s="17" t="s">
        <v>240</v>
      </c>
      <c r="H795" s="4">
        <v>60000</v>
      </c>
      <c r="J795" s="31">
        <v>45901</v>
      </c>
      <c r="K795" s="4" t="s">
        <v>596</v>
      </c>
      <c r="L795" s="4" t="s">
        <v>13</v>
      </c>
      <c r="M795" s="4" t="s">
        <v>221</v>
      </c>
      <c r="S795" s="4" t="str">
        <f>TEXT(Table1[[#This Row],[Date]],"MMM-YY")</f>
        <v>Sep-25</v>
      </c>
      <c r="T795" s="4">
        <f>_xlfn.ISOWEEKNUM(Table1[[#This Row],[Date]])</f>
        <v>36</v>
      </c>
      <c r="U795" s="4" t="str">
        <f>TEXT(Table1[[#This Row],[Date]],"YYYY")</f>
        <v>2025</v>
      </c>
    </row>
    <row r="796" spans="1:21">
      <c r="A796" s="19">
        <v>45902</v>
      </c>
      <c r="B796" s="4" t="s">
        <v>867</v>
      </c>
      <c r="C796" s="4" t="s">
        <v>217</v>
      </c>
      <c r="D796" s="4" t="s">
        <v>195</v>
      </c>
      <c r="E796" s="4" t="s">
        <v>61</v>
      </c>
      <c r="F796" s="4" t="s">
        <v>868</v>
      </c>
      <c r="G796" s="17" t="s">
        <v>431</v>
      </c>
      <c r="H796" s="4">
        <v>4850</v>
      </c>
      <c r="I796" s="4">
        <v>4850</v>
      </c>
      <c r="J796" s="31">
        <v>45901</v>
      </c>
      <c r="K796" s="4" t="s">
        <v>220</v>
      </c>
      <c r="L796" s="4" t="s">
        <v>17</v>
      </c>
      <c r="M796" s="4" t="s">
        <v>221</v>
      </c>
      <c r="S796" s="4" t="str">
        <f>TEXT(Table1[[#This Row],[Date]],"MMM-YY")</f>
        <v>Sep-25</v>
      </c>
      <c r="T796" s="4">
        <f>_xlfn.ISOWEEKNUM(Table1[[#This Row],[Date]])</f>
        <v>36</v>
      </c>
      <c r="U796" s="4" t="str">
        <f>TEXT(Table1[[#This Row],[Date]],"YYYY")</f>
        <v>2025</v>
      </c>
    </row>
    <row r="797" spans="1:21">
      <c r="A797" s="19">
        <v>45903</v>
      </c>
      <c r="B797" s="4" t="s">
        <v>765</v>
      </c>
      <c r="C797" s="4" t="s">
        <v>217</v>
      </c>
      <c r="D797" s="4" t="s">
        <v>195</v>
      </c>
      <c r="E797" s="4" t="s">
        <v>179</v>
      </c>
      <c r="F797" s="4" t="s">
        <v>705</v>
      </c>
      <c r="G797" s="17" t="s">
        <v>431</v>
      </c>
      <c r="H797" s="4">
        <v>8152</v>
      </c>
      <c r="I797" s="4">
        <v>8152</v>
      </c>
      <c r="J797" s="31">
        <v>45901</v>
      </c>
      <c r="K797" s="4" t="s">
        <v>220</v>
      </c>
      <c r="L797" s="4" t="s">
        <v>17</v>
      </c>
      <c r="M797" s="4" t="s">
        <v>221</v>
      </c>
      <c r="S797" s="4" t="str">
        <f>TEXT(Table1[[#This Row],[Date]],"MMM-YY")</f>
        <v>Sep-25</v>
      </c>
      <c r="T797" s="4">
        <f>_xlfn.ISOWEEKNUM(Table1[[#This Row],[Date]])</f>
        <v>36</v>
      </c>
      <c r="U797" s="4" t="str">
        <f>TEXT(Table1[[#This Row],[Date]],"YYYY")</f>
        <v>2025</v>
      </c>
    </row>
    <row r="798" spans="1:21">
      <c r="A798" s="19">
        <v>45903</v>
      </c>
      <c r="B798" s="4" t="s">
        <v>761</v>
      </c>
      <c r="C798" s="4" t="s">
        <v>217</v>
      </c>
      <c r="D798" s="4" t="s">
        <v>195</v>
      </c>
      <c r="E798" s="4" t="s">
        <v>61</v>
      </c>
      <c r="F798" s="4" t="s">
        <v>868</v>
      </c>
      <c r="G798" s="17" t="s">
        <v>431</v>
      </c>
      <c r="H798" s="4">
        <v>4575</v>
      </c>
      <c r="I798" s="4">
        <v>4575</v>
      </c>
      <c r="J798" s="31">
        <v>45901</v>
      </c>
      <c r="K798" s="4" t="s">
        <v>220</v>
      </c>
      <c r="L798" s="4" t="s">
        <v>17</v>
      </c>
      <c r="M798" s="4" t="s">
        <v>221</v>
      </c>
      <c r="S798" s="4" t="str">
        <f>TEXT(Table1[[#This Row],[Date]],"MMM-YY")</f>
        <v>Sep-25</v>
      </c>
      <c r="T798" s="4">
        <f>_xlfn.ISOWEEKNUM(Table1[[#This Row],[Date]])</f>
        <v>36</v>
      </c>
      <c r="U798" s="4" t="str">
        <f>TEXT(Table1[[#This Row],[Date]],"YYYY")</f>
        <v>2025</v>
      </c>
    </row>
    <row r="799" spans="1:21">
      <c r="A799" s="19">
        <v>45904</v>
      </c>
      <c r="B799" s="4" t="s">
        <v>775</v>
      </c>
      <c r="C799" s="4" t="s">
        <v>217</v>
      </c>
      <c r="D799" s="4" t="s">
        <v>195</v>
      </c>
      <c r="E799" s="4" t="s">
        <v>179</v>
      </c>
      <c r="F799" s="4" t="s">
        <v>707</v>
      </c>
      <c r="G799" s="17" t="s">
        <v>431</v>
      </c>
      <c r="H799" s="4">
        <v>17684</v>
      </c>
      <c r="I799" s="4">
        <v>17684</v>
      </c>
      <c r="J799" s="31">
        <v>45901</v>
      </c>
      <c r="K799" s="4" t="s">
        <v>220</v>
      </c>
      <c r="L799" s="4" t="s">
        <v>17</v>
      </c>
      <c r="M799" s="4" t="s">
        <v>221</v>
      </c>
      <c r="S799" s="4" t="str">
        <f>TEXT(Table1[[#This Row],[Date]],"MMM-YY")</f>
        <v>Sep-25</v>
      </c>
      <c r="T799" s="4">
        <f>_xlfn.ISOWEEKNUM(Table1[[#This Row],[Date]])</f>
        <v>36</v>
      </c>
      <c r="U799" s="4" t="str">
        <f>TEXT(Table1[[#This Row],[Date]],"YYYY")</f>
        <v>2025</v>
      </c>
    </row>
    <row r="800" spans="1:21">
      <c r="A800" s="19">
        <v>45904</v>
      </c>
      <c r="B800" s="4" t="s">
        <v>764</v>
      </c>
      <c r="C800" s="4" t="s">
        <v>217</v>
      </c>
      <c r="D800" s="4" t="s">
        <v>195</v>
      </c>
      <c r="E800" s="4" t="s">
        <v>61</v>
      </c>
      <c r="F800" s="4" t="s">
        <v>868</v>
      </c>
      <c r="G800" s="17" t="s">
        <v>431</v>
      </c>
      <c r="H800" s="4">
        <v>5345</v>
      </c>
      <c r="I800" s="4">
        <v>5345</v>
      </c>
      <c r="J800" s="31">
        <v>45901</v>
      </c>
      <c r="K800" s="4" t="s">
        <v>220</v>
      </c>
      <c r="L800" s="4" t="s">
        <v>17</v>
      </c>
      <c r="M800" s="4" t="s">
        <v>221</v>
      </c>
      <c r="S800" s="4" t="str">
        <f>TEXT(Table1[[#This Row],[Date]],"MMM-YY")</f>
        <v>Sep-25</v>
      </c>
      <c r="T800" s="4">
        <f>_xlfn.ISOWEEKNUM(Table1[[#This Row],[Date]])</f>
        <v>36</v>
      </c>
      <c r="U800" s="4" t="str">
        <f>TEXT(Table1[[#This Row],[Date]],"YYYY")</f>
        <v>2025</v>
      </c>
    </row>
    <row r="801" spans="1:21">
      <c r="A801" s="19">
        <v>45905</v>
      </c>
      <c r="B801" s="4" t="s">
        <v>869</v>
      </c>
      <c r="C801" s="4" t="s">
        <v>217</v>
      </c>
      <c r="D801" s="4" t="s">
        <v>195</v>
      </c>
      <c r="E801" s="4" t="s">
        <v>53</v>
      </c>
      <c r="F801" s="4" t="s">
        <v>843</v>
      </c>
      <c r="G801" s="17" t="s">
        <v>431</v>
      </c>
      <c r="H801" s="4">
        <v>20310</v>
      </c>
      <c r="I801" s="4">
        <v>20310</v>
      </c>
      <c r="J801" s="31">
        <v>45901</v>
      </c>
      <c r="K801" s="4" t="s">
        <v>220</v>
      </c>
      <c r="L801" s="4" t="s">
        <v>17</v>
      </c>
      <c r="M801" s="4" t="s">
        <v>221</v>
      </c>
      <c r="S801" s="4" t="str">
        <f>TEXT(Table1[[#This Row],[Date]],"MMM-YY")</f>
        <v>Sep-25</v>
      </c>
      <c r="T801" s="4">
        <f>_xlfn.ISOWEEKNUM(Table1[[#This Row],[Date]])</f>
        <v>36</v>
      </c>
      <c r="U801" s="4" t="str">
        <f>TEXT(Table1[[#This Row],[Date]],"YYYY")</f>
        <v>2025</v>
      </c>
    </row>
    <row r="802" spans="1:21">
      <c r="A802" s="19">
        <v>45908</v>
      </c>
      <c r="B802" s="4" t="s">
        <v>471</v>
      </c>
      <c r="C802" s="4" t="s">
        <v>217</v>
      </c>
      <c r="D802" s="4" t="s">
        <v>195</v>
      </c>
      <c r="E802" s="4" t="s">
        <v>53</v>
      </c>
      <c r="F802" s="4" t="s">
        <v>437</v>
      </c>
      <c r="G802" s="17" t="s">
        <v>431</v>
      </c>
      <c r="H802" s="4">
        <v>46000</v>
      </c>
      <c r="I802" s="4">
        <v>46000</v>
      </c>
      <c r="J802" s="31">
        <v>45901</v>
      </c>
      <c r="K802" s="4" t="s">
        <v>220</v>
      </c>
      <c r="L802" s="4" t="s">
        <v>17</v>
      </c>
      <c r="M802" s="4" t="s">
        <v>221</v>
      </c>
      <c r="S802" s="4" t="str">
        <f>TEXT(Table1[[#This Row],[Date]],"MMM-YY")</f>
        <v>Sep-25</v>
      </c>
      <c r="T802" s="4">
        <f>_xlfn.ISOWEEKNUM(Table1[[#This Row],[Date]])</f>
        <v>37</v>
      </c>
      <c r="U802" s="4" t="str">
        <f>TEXT(Table1[[#This Row],[Date]],"YYYY")</f>
        <v>2025</v>
      </c>
    </row>
    <row r="803" spans="1:21">
      <c r="A803" s="19">
        <v>45908</v>
      </c>
      <c r="B803" s="4" t="s">
        <v>839</v>
      </c>
      <c r="C803" s="4" t="s">
        <v>225</v>
      </c>
      <c r="D803" s="4" t="s">
        <v>195</v>
      </c>
      <c r="E803" s="4" t="s">
        <v>183</v>
      </c>
      <c r="F803" s="4" t="s">
        <v>231</v>
      </c>
      <c r="G803" s="17" t="s">
        <v>431</v>
      </c>
      <c r="H803" s="4">
        <v>11489</v>
      </c>
      <c r="I803" s="4">
        <v>11489</v>
      </c>
      <c r="J803" s="31">
        <v>45901</v>
      </c>
      <c r="K803" s="4" t="s">
        <v>234</v>
      </c>
      <c r="L803" s="4" t="s">
        <v>17</v>
      </c>
      <c r="M803" s="4" t="s">
        <v>221</v>
      </c>
      <c r="S803" s="4" t="str">
        <f>TEXT(Table1[[#This Row],[Date]],"MMM-YY")</f>
        <v>Sep-25</v>
      </c>
      <c r="T803" s="4">
        <f>_xlfn.ISOWEEKNUM(Table1[[#This Row],[Date]])</f>
        <v>37</v>
      </c>
      <c r="U803" s="4" t="str">
        <f>TEXT(Table1[[#This Row],[Date]],"YYYY")</f>
        <v>2025</v>
      </c>
    </row>
    <row r="804" spans="1:21" hidden="1">
      <c r="A804" s="19">
        <v>45908</v>
      </c>
      <c r="B804" s="4" t="s">
        <v>821</v>
      </c>
      <c r="C804" s="4" t="s">
        <v>225</v>
      </c>
      <c r="D804" s="4" t="s">
        <v>79</v>
      </c>
      <c r="E804" s="4" t="s">
        <v>79</v>
      </c>
      <c r="F804" s="4" t="s">
        <v>680</v>
      </c>
      <c r="G804" s="17" t="s">
        <v>240</v>
      </c>
      <c r="J804" s="31">
        <v>45901</v>
      </c>
      <c r="K804" s="4" t="s">
        <v>220</v>
      </c>
      <c r="L804" s="4" t="s">
        <v>16</v>
      </c>
      <c r="M804" s="4" t="s">
        <v>538</v>
      </c>
      <c r="S804" s="4" t="str">
        <f>TEXT(Table1[[#This Row],[Date]],"MMM-YY")</f>
        <v>Sep-25</v>
      </c>
      <c r="T804" s="4">
        <f>_xlfn.ISOWEEKNUM(Table1[[#This Row],[Date]])</f>
        <v>37</v>
      </c>
      <c r="U804" s="4" t="str">
        <f>TEXT(Table1[[#This Row],[Date]],"YYYY")</f>
        <v>2025</v>
      </c>
    </row>
    <row r="805" spans="1:21" hidden="1">
      <c r="A805" s="19">
        <v>45908</v>
      </c>
      <c r="B805" s="4" t="s">
        <v>870</v>
      </c>
      <c r="C805" s="4" t="s">
        <v>217</v>
      </c>
      <c r="D805" s="4" t="s">
        <v>195</v>
      </c>
      <c r="E805" s="4" t="s">
        <v>61</v>
      </c>
      <c r="F805" s="4" t="s">
        <v>871</v>
      </c>
      <c r="G805" s="17" t="s">
        <v>240</v>
      </c>
      <c r="J805" s="31">
        <v>45901</v>
      </c>
      <c r="K805" s="4" t="s">
        <v>220</v>
      </c>
      <c r="L805" s="4" t="s">
        <v>16</v>
      </c>
      <c r="M805" s="4" t="s">
        <v>538</v>
      </c>
      <c r="S805" s="4" t="str">
        <f>TEXT(Table1[[#This Row],[Date]],"MMM-YY")</f>
        <v>Sep-25</v>
      </c>
      <c r="T805" s="4">
        <f>_xlfn.ISOWEEKNUM(Table1[[#This Row],[Date]])</f>
        <v>37</v>
      </c>
      <c r="U805" s="4" t="str">
        <f>TEXT(Table1[[#This Row],[Date]],"YYYY")</f>
        <v>2025</v>
      </c>
    </row>
    <row r="806" spans="1:21" hidden="1">
      <c r="A806" s="19">
        <v>45908</v>
      </c>
      <c r="B806" s="4" t="s">
        <v>263</v>
      </c>
      <c r="C806" s="4" t="s">
        <v>217</v>
      </c>
      <c r="D806" s="4" t="s">
        <v>183</v>
      </c>
      <c r="E806" s="4" t="s">
        <v>181</v>
      </c>
      <c r="F806" s="4" t="s">
        <v>754</v>
      </c>
      <c r="G806" s="17" t="s">
        <v>240</v>
      </c>
      <c r="H806" s="4">
        <v>15000</v>
      </c>
      <c r="J806" s="31">
        <v>45901</v>
      </c>
      <c r="K806" s="4" t="s">
        <v>220</v>
      </c>
      <c r="L806" s="4" t="s">
        <v>16</v>
      </c>
      <c r="M806" s="4" t="s">
        <v>538</v>
      </c>
      <c r="S806" s="4" t="str">
        <f>TEXT(Table1[[#This Row],[Date]],"MMM-YY")</f>
        <v>Sep-25</v>
      </c>
      <c r="T806" s="4">
        <f>_xlfn.ISOWEEKNUM(Table1[[#This Row],[Date]])</f>
        <v>37</v>
      </c>
      <c r="U806" s="4" t="str">
        <f>TEXT(Table1[[#This Row],[Date]],"YYYY")</f>
        <v>2025</v>
      </c>
    </row>
    <row r="807" spans="1:21">
      <c r="A807" s="19">
        <v>45909</v>
      </c>
      <c r="B807" s="4" t="s">
        <v>849</v>
      </c>
      <c r="C807" s="4" t="s">
        <v>217</v>
      </c>
      <c r="D807" s="4" t="s">
        <v>195</v>
      </c>
      <c r="E807" s="4" t="s">
        <v>61</v>
      </c>
      <c r="F807" s="4" t="s">
        <v>843</v>
      </c>
      <c r="G807" s="17" t="s">
        <v>2</v>
      </c>
      <c r="H807" s="4">
        <v>7260</v>
      </c>
      <c r="I807" s="4">
        <v>7260</v>
      </c>
      <c r="J807" s="31">
        <v>45901</v>
      </c>
      <c r="K807" s="4" t="s">
        <v>220</v>
      </c>
      <c r="L807" s="4" t="s">
        <v>17</v>
      </c>
      <c r="M807" s="4" t="s">
        <v>221</v>
      </c>
      <c r="S807" s="4" t="str">
        <f>TEXT(Table1[[#This Row],[Date]],"MMM-YY")</f>
        <v>Sep-25</v>
      </c>
      <c r="T807" s="4">
        <f>_xlfn.ISOWEEKNUM(Table1[[#This Row],[Date]])</f>
        <v>37</v>
      </c>
      <c r="U807" s="4" t="str">
        <f>TEXT(Table1[[#This Row],[Date]],"YYYY")</f>
        <v>2025</v>
      </c>
    </row>
    <row r="808" spans="1:21">
      <c r="A808" s="19">
        <v>45909</v>
      </c>
      <c r="B808" s="4" t="s">
        <v>839</v>
      </c>
      <c r="C808" s="4" t="s">
        <v>225</v>
      </c>
      <c r="D808" s="4" t="s">
        <v>195</v>
      </c>
      <c r="E808" s="4" t="s">
        <v>183</v>
      </c>
      <c r="F808" s="4" t="s">
        <v>688</v>
      </c>
      <c r="G808" s="17" t="s">
        <v>431</v>
      </c>
      <c r="H808" s="4">
        <v>43490</v>
      </c>
      <c r="I808" s="4">
        <v>43490</v>
      </c>
      <c r="J808" s="31">
        <v>45901</v>
      </c>
      <c r="K808" s="4" t="s">
        <v>234</v>
      </c>
      <c r="L808" s="4" t="s">
        <v>17</v>
      </c>
      <c r="M808" s="4" t="s">
        <v>221</v>
      </c>
      <c r="S808" s="4" t="str">
        <f>TEXT(Table1[[#This Row],[Date]],"MMM-YY")</f>
        <v>Sep-25</v>
      </c>
      <c r="T808" s="4">
        <f>_xlfn.ISOWEEKNUM(Table1[[#This Row],[Date]])</f>
        <v>37</v>
      </c>
      <c r="U808" s="4" t="str">
        <f>TEXT(Table1[[#This Row],[Date]],"YYYY")</f>
        <v>2025</v>
      </c>
    </row>
    <row r="809" spans="1:21">
      <c r="A809" s="19">
        <v>45909</v>
      </c>
      <c r="B809" s="4" t="s">
        <v>766</v>
      </c>
      <c r="C809" s="4" t="s">
        <v>225</v>
      </c>
      <c r="D809" s="4" t="s">
        <v>195</v>
      </c>
      <c r="E809" s="4" t="s">
        <v>135</v>
      </c>
      <c r="F809" s="4" t="s">
        <v>868</v>
      </c>
      <c r="G809" s="17" t="s">
        <v>586</v>
      </c>
      <c r="H809" s="4">
        <v>6834</v>
      </c>
      <c r="I809" s="4">
        <v>6834</v>
      </c>
      <c r="J809" s="31">
        <v>45901</v>
      </c>
      <c r="K809" s="4" t="s">
        <v>220</v>
      </c>
      <c r="L809" s="4" t="s">
        <v>17</v>
      </c>
      <c r="M809" s="4" t="s">
        <v>221</v>
      </c>
      <c r="P809" s="21"/>
      <c r="S809" s="4" t="str">
        <f>TEXT(Table1[[#This Row],[Date]],"MMM-YY")</f>
        <v>Sep-25</v>
      </c>
      <c r="T809" s="4">
        <f>_xlfn.ISOWEEKNUM(Table1[[#This Row],[Date]])</f>
        <v>37</v>
      </c>
      <c r="U809" s="4" t="str">
        <f>TEXT(Table1[[#This Row],[Expected Business Month]],"YYYY")</f>
        <v>2025</v>
      </c>
    </row>
    <row r="810" spans="1:21">
      <c r="A810" s="19">
        <v>45910</v>
      </c>
      <c r="B810" s="4" t="s">
        <v>872</v>
      </c>
      <c r="C810" s="4" t="s">
        <v>225</v>
      </c>
      <c r="D810" s="4" t="s">
        <v>195</v>
      </c>
      <c r="E810" s="4" t="s">
        <v>61</v>
      </c>
      <c r="F810" s="4" t="s">
        <v>866</v>
      </c>
      <c r="G810" s="17" t="s">
        <v>431</v>
      </c>
      <c r="H810" s="4">
        <v>41318</v>
      </c>
      <c r="I810" s="4">
        <v>41318</v>
      </c>
      <c r="J810" s="31">
        <v>45901</v>
      </c>
      <c r="K810" s="4" t="s">
        <v>596</v>
      </c>
      <c r="L810" s="4" t="s">
        <v>17</v>
      </c>
      <c r="M810" s="4" t="s">
        <v>221</v>
      </c>
      <c r="P810" s="21"/>
      <c r="S810" s="4" t="str">
        <f>TEXT(Table1[[#This Row],[Date]],"MMM-YY")</f>
        <v>Sep-25</v>
      </c>
      <c r="T810" s="4">
        <f>_xlfn.ISOWEEKNUM(Table1[[#This Row],[Date]])</f>
        <v>37</v>
      </c>
      <c r="U810" s="4" t="str">
        <f>TEXT(Table1[[#This Row],[Expected Business Month]],"YYYY")</f>
        <v>2025</v>
      </c>
    </row>
    <row r="811" spans="1:21">
      <c r="A811" s="19">
        <v>45910</v>
      </c>
      <c r="B811" s="4" t="s">
        <v>839</v>
      </c>
      <c r="C811" s="4" t="s">
        <v>225</v>
      </c>
      <c r="D811" s="4" t="s">
        <v>195</v>
      </c>
      <c r="E811" s="4" t="s">
        <v>183</v>
      </c>
      <c r="F811" s="4" t="s">
        <v>688</v>
      </c>
      <c r="G811" s="17" t="s">
        <v>431</v>
      </c>
      <c r="H811" s="4">
        <v>74476</v>
      </c>
      <c r="I811" s="4">
        <v>74476</v>
      </c>
      <c r="J811" s="31">
        <v>45901</v>
      </c>
      <c r="K811" s="4" t="s">
        <v>234</v>
      </c>
      <c r="L811" s="4" t="s">
        <v>17</v>
      </c>
      <c r="M811" s="4" t="s">
        <v>221</v>
      </c>
      <c r="S811" s="4" t="str">
        <f>TEXT(Table1[[#This Row],[Date]],"MMM-YY")</f>
        <v>Sep-25</v>
      </c>
      <c r="T811" s="4">
        <f>_xlfn.ISOWEEKNUM(Table1[[#This Row],[Date]])</f>
        <v>37</v>
      </c>
      <c r="U811" s="4" t="str">
        <f>TEXT(Table1[[#This Row],[Date]],"YYYY")</f>
        <v>2025</v>
      </c>
    </row>
    <row r="812" spans="1:21">
      <c r="A812" s="19">
        <v>45910</v>
      </c>
      <c r="B812" s="4" t="s">
        <v>768</v>
      </c>
      <c r="C812" s="4" t="s">
        <v>225</v>
      </c>
      <c r="D812" s="4" t="s">
        <v>195</v>
      </c>
      <c r="E812" s="4" t="s">
        <v>135</v>
      </c>
      <c r="F812" s="4" t="s">
        <v>868</v>
      </c>
      <c r="G812" s="17" t="s">
        <v>586</v>
      </c>
      <c r="H812" s="4">
        <v>6734</v>
      </c>
      <c r="I812" s="4">
        <v>6734</v>
      </c>
      <c r="J812" s="31">
        <v>45901</v>
      </c>
      <c r="K812" s="4" t="s">
        <v>220</v>
      </c>
      <c r="L812" s="4" t="s">
        <v>17</v>
      </c>
      <c r="M812" s="4" t="s">
        <v>221</v>
      </c>
      <c r="S812" s="4" t="str">
        <f>TEXT(Table1[[#This Row],[Date]],"MMM-YY")</f>
        <v>Sep-25</v>
      </c>
      <c r="T812" s="4">
        <f>_xlfn.ISOWEEKNUM(Table1[[#This Row],[Date]])</f>
        <v>37</v>
      </c>
      <c r="U812" s="4" t="str">
        <f>TEXT(Table1[[#This Row],[Date]],"YYYY")</f>
        <v>2025</v>
      </c>
    </row>
    <row r="813" spans="1:21">
      <c r="A813" s="19">
        <v>45910</v>
      </c>
      <c r="B813" s="4" t="s">
        <v>873</v>
      </c>
      <c r="C813" s="4" t="s">
        <v>217</v>
      </c>
      <c r="D813" s="4" t="s">
        <v>195</v>
      </c>
      <c r="E813" s="4" t="s">
        <v>61</v>
      </c>
      <c r="F813" s="4" t="s">
        <v>843</v>
      </c>
      <c r="G813" s="17" t="s">
        <v>2</v>
      </c>
      <c r="H813" s="4">
        <v>6790</v>
      </c>
      <c r="I813" s="4">
        <v>6790</v>
      </c>
      <c r="J813" s="31">
        <v>45901</v>
      </c>
      <c r="K813" s="4" t="s">
        <v>220</v>
      </c>
      <c r="L813" s="4" t="s">
        <v>17</v>
      </c>
      <c r="M813" s="4" t="s">
        <v>221</v>
      </c>
      <c r="S813" s="4" t="str">
        <f>TEXT(Table1[[#This Row],[Date]],"MMM-YY")</f>
        <v>Sep-25</v>
      </c>
      <c r="T813" s="4">
        <f>_xlfn.ISOWEEKNUM(Table1[[#This Row],[Date]])</f>
        <v>37</v>
      </c>
      <c r="U813" s="4" t="str">
        <f>TEXT(Table1[[#This Row],[Date]],"YYYY")</f>
        <v>2025</v>
      </c>
    </row>
    <row r="814" spans="1:21">
      <c r="A814" s="19">
        <v>45910</v>
      </c>
      <c r="B814" s="4" t="s">
        <v>677</v>
      </c>
      <c r="C814" s="4" t="s">
        <v>225</v>
      </c>
      <c r="D814" s="4" t="s">
        <v>195</v>
      </c>
      <c r="E814" s="4" t="s">
        <v>32</v>
      </c>
      <c r="F814" s="4" t="s">
        <v>561</v>
      </c>
      <c r="G814" s="17" t="s">
        <v>562</v>
      </c>
      <c r="H814" s="4">
        <v>53085</v>
      </c>
      <c r="I814" s="4">
        <v>53085</v>
      </c>
      <c r="J814" s="31">
        <v>45901</v>
      </c>
      <c r="K814" s="4" t="s">
        <v>220</v>
      </c>
      <c r="L814" s="4" t="s">
        <v>17</v>
      </c>
      <c r="M814" s="4" t="s">
        <v>221</v>
      </c>
      <c r="S814" s="4" t="str">
        <f>TEXT(Table1[[#This Row],[Date]],"MMM-YY")</f>
        <v>Sep-25</v>
      </c>
      <c r="T814" s="4">
        <f>_xlfn.ISOWEEKNUM(Table1[[#This Row],[Date]])</f>
        <v>37</v>
      </c>
      <c r="U814" s="4" t="str">
        <f>TEXT(Table1[[#This Row],[Date]],"YYYY")</f>
        <v>2025</v>
      </c>
    </row>
    <row r="815" spans="1:21">
      <c r="A815" s="19">
        <v>45911</v>
      </c>
      <c r="B815" s="4" t="s">
        <v>864</v>
      </c>
      <c r="C815" s="4" t="s">
        <v>217</v>
      </c>
      <c r="D815" s="4" t="s">
        <v>183</v>
      </c>
      <c r="E815" s="4" t="s">
        <v>49</v>
      </c>
      <c r="F815" s="4" t="s">
        <v>640</v>
      </c>
      <c r="G815" s="17" t="s">
        <v>2</v>
      </c>
      <c r="H815" s="4">
        <v>51200</v>
      </c>
      <c r="I815" s="4">
        <v>51200</v>
      </c>
      <c r="J815" s="31">
        <v>45901</v>
      </c>
      <c r="K815" s="4" t="s">
        <v>220</v>
      </c>
      <c r="L815" s="4" t="s">
        <v>17</v>
      </c>
      <c r="M815" s="4" t="s">
        <v>221</v>
      </c>
      <c r="S815" s="4" t="str">
        <f>TEXT(Table1[[#This Row],[Date]],"MMM-YY")</f>
        <v>Sep-25</v>
      </c>
      <c r="T815" s="4">
        <f>_xlfn.ISOWEEKNUM(Table1[[#This Row],[Date]])</f>
        <v>37</v>
      </c>
      <c r="U815" s="4" t="str">
        <f>TEXT(Table1[[#This Row],[Date]],"YYYY")</f>
        <v>2025</v>
      </c>
    </row>
    <row r="816" spans="1:21">
      <c r="A816" s="19">
        <v>45911</v>
      </c>
      <c r="B816" s="4" t="s">
        <v>872</v>
      </c>
      <c r="C816" s="4" t="s">
        <v>225</v>
      </c>
      <c r="D816" s="4" t="s">
        <v>195</v>
      </c>
      <c r="E816" s="4" t="s">
        <v>61</v>
      </c>
      <c r="F816" s="4" t="s">
        <v>866</v>
      </c>
      <c r="G816" s="17" t="s">
        <v>431</v>
      </c>
      <c r="H816" s="4">
        <v>43208</v>
      </c>
      <c r="I816" s="4">
        <v>43208</v>
      </c>
      <c r="J816" s="31">
        <v>45901</v>
      </c>
      <c r="K816" s="4" t="s">
        <v>596</v>
      </c>
      <c r="L816" s="4" t="s">
        <v>17</v>
      </c>
      <c r="M816" s="4" t="s">
        <v>221</v>
      </c>
      <c r="P816" s="21"/>
      <c r="S816" s="4" t="str">
        <f>TEXT(Table1[[#This Row],[Date]],"MMM-YY")</f>
        <v>Sep-25</v>
      </c>
      <c r="T816" s="4">
        <f>_xlfn.ISOWEEKNUM(Table1[[#This Row],[Date]])</f>
        <v>37</v>
      </c>
      <c r="U816" s="4" t="str">
        <f>TEXT(Table1[[#This Row],[Date]],"YYYY")</f>
        <v>2025</v>
      </c>
    </row>
    <row r="817" spans="1:21">
      <c r="A817" s="19">
        <v>45911</v>
      </c>
      <c r="B817" s="4" t="s">
        <v>781</v>
      </c>
      <c r="C817" s="4" t="s">
        <v>225</v>
      </c>
      <c r="D817" s="4" t="s">
        <v>195</v>
      </c>
      <c r="E817" s="4" t="s">
        <v>135</v>
      </c>
      <c r="F817" s="4" t="s">
        <v>868</v>
      </c>
      <c r="G817" s="17" t="s">
        <v>586</v>
      </c>
      <c r="H817" s="4">
        <v>7200</v>
      </c>
      <c r="I817" s="4">
        <v>7200</v>
      </c>
      <c r="J817" s="31">
        <v>45901</v>
      </c>
      <c r="K817" s="4" t="s">
        <v>220</v>
      </c>
      <c r="L817" s="4" t="s">
        <v>17</v>
      </c>
      <c r="M817" s="4" t="s">
        <v>221</v>
      </c>
      <c r="S817" s="4" t="str">
        <f>TEXT(Table1[[#This Row],[Date]],"MMM-YY")</f>
        <v>Sep-25</v>
      </c>
      <c r="T817" s="4">
        <f>_xlfn.ISOWEEKNUM(Table1[[#This Row],[Date]])</f>
        <v>37</v>
      </c>
      <c r="U817" s="4" t="str">
        <f>TEXT(Table1[[#This Row],[Date]],"YYYY")</f>
        <v>2025</v>
      </c>
    </row>
    <row r="818" spans="1:21">
      <c r="A818" s="19">
        <v>45911</v>
      </c>
      <c r="B818" s="4" t="s">
        <v>839</v>
      </c>
      <c r="C818" s="4" t="s">
        <v>225</v>
      </c>
      <c r="D818" s="4" t="s">
        <v>195</v>
      </c>
      <c r="E818" s="4" t="s">
        <v>183</v>
      </c>
      <c r="F818" s="4" t="s">
        <v>688</v>
      </c>
      <c r="G818" s="17" t="s">
        <v>431</v>
      </c>
      <c r="H818" s="4">
        <v>43110</v>
      </c>
      <c r="I818" s="4">
        <v>43110</v>
      </c>
      <c r="J818" s="31">
        <v>45901</v>
      </c>
      <c r="K818" s="4" t="s">
        <v>234</v>
      </c>
      <c r="L818" s="4" t="s">
        <v>17</v>
      </c>
      <c r="M818" s="4" t="s">
        <v>221</v>
      </c>
      <c r="S818" s="4" t="str">
        <f>TEXT(Table1[[#This Row],[Date]],"MMM-YY")</f>
        <v>Sep-25</v>
      </c>
      <c r="T818" s="4">
        <f>_xlfn.ISOWEEKNUM(Table1[[#This Row],[Date]])</f>
        <v>37</v>
      </c>
      <c r="U818" s="4" t="str">
        <f>TEXT(Table1[[#This Row],[Date]],"YYYY")</f>
        <v>2025</v>
      </c>
    </row>
    <row r="819" spans="1:21">
      <c r="A819" s="19">
        <v>45911</v>
      </c>
      <c r="B819" s="4" t="s">
        <v>874</v>
      </c>
      <c r="C819" s="4" t="s">
        <v>217</v>
      </c>
      <c r="D819" s="4" t="s">
        <v>195</v>
      </c>
      <c r="E819" s="4" t="s">
        <v>61</v>
      </c>
      <c r="F819" s="4" t="s">
        <v>843</v>
      </c>
      <c r="G819" s="17" t="s">
        <v>2</v>
      </c>
      <c r="H819" s="4">
        <v>9044</v>
      </c>
      <c r="I819" s="4">
        <v>9044</v>
      </c>
      <c r="J819" s="31">
        <v>45901</v>
      </c>
      <c r="K819" s="4" t="s">
        <v>220</v>
      </c>
      <c r="L819" s="4" t="s">
        <v>17</v>
      </c>
      <c r="M819" s="4" t="s">
        <v>221</v>
      </c>
      <c r="S819" s="4" t="str">
        <f>TEXT(Table1[[#This Row],[Date]],"MMM-YY")</f>
        <v>Sep-25</v>
      </c>
      <c r="T819" s="4">
        <f>_xlfn.ISOWEEKNUM(Table1[[#This Row],[Date]])</f>
        <v>37</v>
      </c>
      <c r="U819" s="4" t="str">
        <f>TEXT(Table1[[#This Row],[Date]],"YYYY")</f>
        <v>2025</v>
      </c>
    </row>
    <row r="820" spans="1:21">
      <c r="A820" s="19">
        <v>45912</v>
      </c>
      <c r="B820" s="4" t="s">
        <v>755</v>
      </c>
      <c r="C820" s="4" t="s">
        <v>217</v>
      </c>
      <c r="D820" s="4" t="s">
        <v>195</v>
      </c>
      <c r="E820" s="4" t="s">
        <v>145</v>
      </c>
      <c r="F820" s="4" t="s">
        <v>756</v>
      </c>
      <c r="H820" s="4">
        <v>81422</v>
      </c>
      <c r="I820" s="4">
        <v>81422</v>
      </c>
      <c r="J820" s="31">
        <v>45901</v>
      </c>
      <c r="K820" s="4" t="s">
        <v>220</v>
      </c>
      <c r="L820" s="4" t="s">
        <v>17</v>
      </c>
      <c r="M820" s="4" t="s">
        <v>221</v>
      </c>
      <c r="S820" s="4" t="str">
        <f>TEXT(Table1[[#This Row],[Date]],"MMM-YY")</f>
        <v>Sep-25</v>
      </c>
      <c r="T820" s="4">
        <f>_xlfn.ISOWEEKNUM(Table1[[#This Row],[Date]])</f>
        <v>37</v>
      </c>
      <c r="U820" s="4" t="str">
        <f>TEXT(Table1[[#This Row],[Date]],"YYYY")</f>
        <v>2025</v>
      </c>
    </row>
    <row r="821" spans="1:21">
      <c r="A821" s="19">
        <v>45912</v>
      </c>
      <c r="B821" s="4" t="s">
        <v>864</v>
      </c>
      <c r="C821" s="4" t="s">
        <v>217</v>
      </c>
      <c r="D821" s="4" t="s">
        <v>183</v>
      </c>
      <c r="E821" s="4" t="s">
        <v>49</v>
      </c>
      <c r="F821" s="4" t="s">
        <v>640</v>
      </c>
      <c r="G821" s="17" t="s">
        <v>2</v>
      </c>
      <c r="H821" s="4">
        <v>78800</v>
      </c>
      <c r="I821" s="4">
        <v>78800</v>
      </c>
      <c r="J821" s="31">
        <v>45901</v>
      </c>
      <c r="K821" s="4" t="s">
        <v>220</v>
      </c>
      <c r="L821" s="4" t="s">
        <v>17</v>
      </c>
      <c r="M821" s="4" t="s">
        <v>221</v>
      </c>
      <c r="S821" s="4" t="str">
        <f>TEXT(Table1[[#This Row],[Date]],"MMM-YY")</f>
        <v>Sep-25</v>
      </c>
      <c r="T821" s="4">
        <f>_xlfn.ISOWEEKNUM(Table1[[#This Row],[Date]])</f>
        <v>37</v>
      </c>
      <c r="U821" s="4" t="str">
        <f>TEXT(Table1[[#This Row],[Date]],"YYYY")</f>
        <v>2025</v>
      </c>
    </row>
    <row r="822" spans="1:21">
      <c r="A822" s="19">
        <v>45913</v>
      </c>
      <c r="B822" s="4" t="s">
        <v>864</v>
      </c>
      <c r="C822" s="4" t="s">
        <v>217</v>
      </c>
      <c r="D822" s="4" t="s">
        <v>183</v>
      </c>
      <c r="E822" s="4" t="s">
        <v>49</v>
      </c>
      <c r="F822" s="4" t="s">
        <v>640</v>
      </c>
      <c r="G822" s="17" t="s">
        <v>2</v>
      </c>
      <c r="H822" s="4">
        <v>58050</v>
      </c>
      <c r="I822" s="4">
        <v>58050</v>
      </c>
      <c r="J822" s="31">
        <v>45901</v>
      </c>
      <c r="K822" s="4" t="s">
        <v>220</v>
      </c>
      <c r="L822" s="4" t="s">
        <v>17</v>
      </c>
      <c r="M822" s="4" t="s">
        <v>221</v>
      </c>
      <c r="S822" s="4" t="str">
        <f>TEXT(Table1[[#This Row],[Date]],"MMM-YY")</f>
        <v>Sep-25</v>
      </c>
      <c r="T822" s="4">
        <f>_xlfn.ISOWEEKNUM(Table1[[#This Row],[Date]])</f>
        <v>37</v>
      </c>
      <c r="U822" s="4" t="str">
        <f>TEXT(Table1[[#This Row],[Date]],"YYYY")</f>
        <v>2025</v>
      </c>
    </row>
    <row r="823" spans="1:21">
      <c r="A823" s="19">
        <v>45915</v>
      </c>
      <c r="B823" s="4" t="s">
        <v>875</v>
      </c>
      <c r="C823" s="4" t="s">
        <v>225</v>
      </c>
      <c r="D823" s="4" t="s">
        <v>195</v>
      </c>
      <c r="E823" s="4" t="s">
        <v>135</v>
      </c>
      <c r="F823" s="4" t="s">
        <v>868</v>
      </c>
      <c r="G823" s="17" t="s">
        <v>586</v>
      </c>
      <c r="H823" s="4">
        <v>1500</v>
      </c>
      <c r="I823" s="4">
        <v>1500</v>
      </c>
      <c r="J823" s="31">
        <v>45901</v>
      </c>
      <c r="K823" s="4" t="s">
        <v>220</v>
      </c>
      <c r="L823" s="4" t="s">
        <v>17</v>
      </c>
      <c r="M823" s="4" t="s">
        <v>221</v>
      </c>
      <c r="S823" s="4" t="str">
        <f>TEXT(Table1[[#This Row],[Date]],"MMM-YY")</f>
        <v>Sep-25</v>
      </c>
      <c r="T823" s="4">
        <f>_xlfn.ISOWEEKNUM(Table1[[#This Row],[Date]])</f>
        <v>38</v>
      </c>
      <c r="U823" s="4" t="str">
        <f>TEXT(Table1[[#This Row],[Date]],"YYYY")</f>
        <v>2025</v>
      </c>
    </row>
    <row r="824" spans="1:21">
      <c r="A824" s="19">
        <v>45916</v>
      </c>
      <c r="B824" s="4" t="s">
        <v>856</v>
      </c>
      <c r="C824" s="4" t="s">
        <v>217</v>
      </c>
      <c r="D824" s="4" t="s">
        <v>195</v>
      </c>
      <c r="E824" s="4" t="s">
        <v>61</v>
      </c>
      <c r="F824" s="4" t="s">
        <v>843</v>
      </c>
      <c r="G824" s="17" t="s">
        <v>2</v>
      </c>
      <c r="H824" s="4">
        <v>14347</v>
      </c>
      <c r="I824" s="4">
        <v>14347</v>
      </c>
      <c r="J824" s="31">
        <v>45901</v>
      </c>
      <c r="K824" s="4" t="s">
        <v>220</v>
      </c>
      <c r="L824" s="4" t="s">
        <v>17</v>
      </c>
      <c r="M824" s="4" t="s">
        <v>221</v>
      </c>
      <c r="S824" s="4" t="str">
        <f>TEXT(Table1[[#This Row],[Date]],"MMM-YY")</f>
        <v>Sep-25</v>
      </c>
      <c r="T824" s="4">
        <f>_xlfn.ISOWEEKNUM(Table1[[#This Row],[Date]])</f>
        <v>38</v>
      </c>
      <c r="U824" s="4" t="str">
        <f>TEXT(Table1[[#This Row],[Date]],"YYYY")</f>
        <v>2025</v>
      </c>
    </row>
    <row r="825" spans="1:21">
      <c r="A825" s="19">
        <v>45917</v>
      </c>
      <c r="B825" s="4" t="s">
        <v>876</v>
      </c>
      <c r="C825" s="4" t="s">
        <v>217</v>
      </c>
      <c r="D825" s="4" t="s">
        <v>195</v>
      </c>
      <c r="E825" s="4" t="s">
        <v>26</v>
      </c>
      <c r="F825" s="4" t="s">
        <v>612</v>
      </c>
      <c r="G825" s="17" t="s">
        <v>2</v>
      </c>
      <c r="H825" s="4">
        <v>22924</v>
      </c>
      <c r="I825" s="4">
        <v>22924</v>
      </c>
      <c r="J825" s="31">
        <v>45901</v>
      </c>
      <c r="K825" s="4" t="s">
        <v>220</v>
      </c>
      <c r="L825" s="4" t="s">
        <v>17</v>
      </c>
      <c r="M825" s="4" t="s">
        <v>221</v>
      </c>
      <c r="O825" s="20"/>
      <c r="S825" s="4" t="str">
        <f>TEXT(Table1[[#This Row],[Date]],"MMM-YY")</f>
        <v>Sep-25</v>
      </c>
      <c r="T825" s="4">
        <f>_xlfn.ISOWEEKNUM(Table1[[#This Row],[Date]])</f>
        <v>38</v>
      </c>
      <c r="U825" s="4" t="str">
        <f>TEXT(Table1[[#This Row],[Date]],"YYYY")</f>
        <v>2025</v>
      </c>
    </row>
    <row r="826" spans="1:21">
      <c r="A826" s="19">
        <v>45917</v>
      </c>
      <c r="B826" s="4" t="s">
        <v>855</v>
      </c>
      <c r="C826" s="4" t="s">
        <v>217</v>
      </c>
      <c r="D826" s="4" t="s">
        <v>195</v>
      </c>
      <c r="E826" s="4" t="s">
        <v>61</v>
      </c>
      <c r="F826" s="4" t="s">
        <v>843</v>
      </c>
      <c r="G826" s="17" t="s">
        <v>2</v>
      </c>
      <c r="H826" s="4">
        <v>16245</v>
      </c>
      <c r="I826" s="4">
        <v>16245</v>
      </c>
      <c r="J826" s="31">
        <v>45901</v>
      </c>
      <c r="K826" s="4" t="s">
        <v>220</v>
      </c>
      <c r="L826" s="4" t="s">
        <v>17</v>
      </c>
      <c r="M826" s="4" t="s">
        <v>221</v>
      </c>
      <c r="S826" s="4" t="str">
        <f>TEXT(Table1[[#This Row],[Date]],"MMM-YY")</f>
        <v>Sep-25</v>
      </c>
      <c r="T826" s="4">
        <f>_xlfn.ISOWEEKNUM(Table1[[#This Row],[Date]])</f>
        <v>38</v>
      </c>
      <c r="U826" s="4" t="str">
        <f>TEXT(Table1[[#This Row],[Date]],"YYYY")</f>
        <v>2025</v>
      </c>
    </row>
    <row r="827" spans="1:21">
      <c r="A827" s="19">
        <v>45917</v>
      </c>
      <c r="B827" s="4" t="s">
        <v>865</v>
      </c>
      <c r="C827" s="4" t="s">
        <v>217</v>
      </c>
      <c r="D827" s="4" t="s">
        <v>183</v>
      </c>
      <c r="E827" s="4" t="s">
        <v>189</v>
      </c>
      <c r="F827" s="4" t="s">
        <v>640</v>
      </c>
      <c r="G827" s="17" t="s">
        <v>2</v>
      </c>
      <c r="H827" s="4">
        <v>126845</v>
      </c>
      <c r="I827" s="4">
        <v>126845</v>
      </c>
      <c r="J827" s="31">
        <v>45901</v>
      </c>
      <c r="K827" s="4" t="s">
        <v>220</v>
      </c>
      <c r="L827" s="4" t="s">
        <v>17</v>
      </c>
      <c r="M827" s="4" t="s">
        <v>221</v>
      </c>
      <c r="S827" s="4" t="str">
        <f>TEXT(Table1[[#This Row],[Date]],"MMM-YY")</f>
        <v>Sep-25</v>
      </c>
      <c r="T827" s="4">
        <f>_xlfn.ISOWEEKNUM(Table1[[#This Row],[Date]])</f>
        <v>38</v>
      </c>
      <c r="U827" s="4" t="str">
        <f>TEXT(Table1[[#This Row],[Date]],"YYYY")</f>
        <v>2025</v>
      </c>
    </row>
    <row r="828" spans="1:21">
      <c r="A828" s="19">
        <v>45917</v>
      </c>
      <c r="B828" s="4" t="s">
        <v>872</v>
      </c>
      <c r="C828" s="4" t="s">
        <v>225</v>
      </c>
      <c r="D828" s="4" t="s">
        <v>195</v>
      </c>
      <c r="E828" s="4" t="s">
        <v>61</v>
      </c>
      <c r="F828" s="4" t="s">
        <v>866</v>
      </c>
      <c r="G828" s="17" t="s">
        <v>431</v>
      </c>
      <c r="H828" s="4">
        <v>56136</v>
      </c>
      <c r="I828" s="4">
        <v>56136</v>
      </c>
      <c r="J828" s="31">
        <v>45901</v>
      </c>
      <c r="K828" s="4" t="s">
        <v>596</v>
      </c>
      <c r="L828" s="4" t="s">
        <v>17</v>
      </c>
      <c r="M828" s="4" t="s">
        <v>221</v>
      </c>
      <c r="S828" s="4" t="str">
        <f>TEXT(Table1[[#This Row],[Date]],"MMM-YY")</f>
        <v>Sep-25</v>
      </c>
      <c r="T828" s="4">
        <f>_xlfn.ISOWEEKNUM(Table1[[#This Row],[Date]])</f>
        <v>38</v>
      </c>
      <c r="U828" s="4" t="str">
        <f>TEXT(Table1[[#This Row],[Date]],"YYYY")</f>
        <v>2025</v>
      </c>
    </row>
    <row r="829" spans="1:21">
      <c r="A829" s="19">
        <v>45918</v>
      </c>
      <c r="B829" s="4" t="s">
        <v>865</v>
      </c>
      <c r="C829" s="4" t="s">
        <v>217</v>
      </c>
      <c r="D829" s="4" t="s">
        <v>183</v>
      </c>
      <c r="E829" s="4" t="s">
        <v>189</v>
      </c>
      <c r="F829" s="4" t="s">
        <v>640</v>
      </c>
      <c r="G829" s="17" t="s">
        <v>2</v>
      </c>
      <c r="H829" s="4">
        <v>204840</v>
      </c>
      <c r="I829" s="4">
        <v>204840</v>
      </c>
      <c r="J829" s="31">
        <v>45901</v>
      </c>
      <c r="K829" s="4" t="s">
        <v>220</v>
      </c>
      <c r="L829" s="4" t="s">
        <v>17</v>
      </c>
      <c r="M829" s="4" t="s">
        <v>221</v>
      </c>
      <c r="S829" s="4" t="str">
        <f>TEXT(Table1[[#This Row],[Date]],"MMM-YY")</f>
        <v>Sep-25</v>
      </c>
      <c r="T829" s="4">
        <f>_xlfn.ISOWEEKNUM(Table1[[#This Row],[Date]])</f>
        <v>38</v>
      </c>
      <c r="U829" s="4" t="str">
        <f>TEXT(Table1[[#This Row],[Date]],"YYYY")</f>
        <v>2025</v>
      </c>
    </row>
    <row r="830" spans="1:21">
      <c r="A830" s="19">
        <v>45918</v>
      </c>
      <c r="B830" s="4" t="s">
        <v>338</v>
      </c>
      <c r="C830" s="4" t="s">
        <v>217</v>
      </c>
      <c r="D830" s="4" t="s">
        <v>183</v>
      </c>
      <c r="E830" s="4" t="s">
        <v>189</v>
      </c>
      <c r="F830" s="4" t="s">
        <v>317</v>
      </c>
      <c r="G830" s="17" t="s">
        <v>2</v>
      </c>
      <c r="H830" s="4">
        <v>43500</v>
      </c>
      <c r="I830" s="4">
        <v>43500</v>
      </c>
      <c r="J830" s="31">
        <v>45901</v>
      </c>
      <c r="K830" s="4" t="s">
        <v>220</v>
      </c>
      <c r="L830" s="4" t="s">
        <v>17</v>
      </c>
      <c r="M830" s="4" t="s">
        <v>221</v>
      </c>
      <c r="S830" s="4" t="str">
        <f>TEXT(Table1[[#This Row],[Date]],"MMM-YY")</f>
        <v>Sep-25</v>
      </c>
      <c r="T830" s="4">
        <f>_xlfn.ISOWEEKNUM(Table1[[#This Row],[Date]])</f>
        <v>38</v>
      </c>
      <c r="U830" s="4" t="str">
        <f>TEXT(Table1[[#This Row],[Date]],"YYYY")</f>
        <v>2025</v>
      </c>
    </row>
    <row r="831" spans="1:21">
      <c r="A831" s="19">
        <v>45918</v>
      </c>
      <c r="B831" s="4" t="s">
        <v>877</v>
      </c>
      <c r="C831" s="4" t="s">
        <v>217</v>
      </c>
      <c r="D831" s="4" t="s">
        <v>183</v>
      </c>
      <c r="E831" s="4" t="s">
        <v>189</v>
      </c>
      <c r="F831" s="4" t="s">
        <v>612</v>
      </c>
      <c r="G831" s="17" t="s">
        <v>2</v>
      </c>
      <c r="H831" s="4">
        <v>15718</v>
      </c>
      <c r="I831" s="4">
        <v>15718</v>
      </c>
      <c r="J831" s="31">
        <v>45901</v>
      </c>
      <c r="K831" s="4" t="s">
        <v>220</v>
      </c>
      <c r="L831" s="4" t="s">
        <v>17</v>
      </c>
      <c r="M831" s="4" t="s">
        <v>221</v>
      </c>
      <c r="S831" s="4" t="str">
        <f>TEXT(Table1[[#This Row],[Date]],"MMM-YY")</f>
        <v>Sep-25</v>
      </c>
      <c r="T831" s="4">
        <f>_xlfn.ISOWEEKNUM(Table1[[#This Row],[Date]])</f>
        <v>38</v>
      </c>
      <c r="U831" s="4" t="str">
        <f>TEXT(Table1[[#This Row],[Date]],"YYYY")</f>
        <v>2025</v>
      </c>
    </row>
    <row r="832" spans="1:21">
      <c r="A832" s="19">
        <v>45918</v>
      </c>
      <c r="B832" s="4" t="s">
        <v>878</v>
      </c>
      <c r="C832" s="4" t="s">
        <v>217</v>
      </c>
      <c r="D832" s="4" t="s">
        <v>183</v>
      </c>
      <c r="E832" s="4" t="s">
        <v>189</v>
      </c>
      <c r="F832" s="4" t="s">
        <v>612</v>
      </c>
      <c r="G832" s="17" t="s">
        <v>2</v>
      </c>
      <c r="H832" s="4">
        <v>12444</v>
      </c>
      <c r="I832" s="4">
        <v>12444</v>
      </c>
      <c r="J832" s="31">
        <v>45901</v>
      </c>
      <c r="K832" s="4" t="s">
        <v>220</v>
      </c>
      <c r="L832" s="4" t="s">
        <v>17</v>
      </c>
      <c r="M832" s="4" t="s">
        <v>221</v>
      </c>
      <c r="S832" s="4" t="str">
        <f>TEXT(Table1[[#This Row],[Date]],"MMM-YY")</f>
        <v>Sep-25</v>
      </c>
      <c r="T832" s="4">
        <f>_xlfn.ISOWEEKNUM(Table1[[#This Row],[Date]])</f>
        <v>38</v>
      </c>
      <c r="U832" s="4" t="str">
        <f>TEXT(Table1[[#This Row],[Date]],"YYYY")</f>
        <v>2025</v>
      </c>
    </row>
    <row r="833" spans="1:21">
      <c r="A833" s="19">
        <v>45918</v>
      </c>
      <c r="B833" s="4" t="s">
        <v>872</v>
      </c>
      <c r="C833" s="4" t="s">
        <v>225</v>
      </c>
      <c r="D833" s="4" t="s">
        <v>195</v>
      </c>
      <c r="E833" s="4" t="s">
        <v>61</v>
      </c>
      <c r="F833" s="4" t="s">
        <v>866</v>
      </c>
      <c r="G833" s="17" t="s">
        <v>431</v>
      </c>
      <c r="H833" s="4">
        <v>35448</v>
      </c>
      <c r="I833" s="4">
        <v>35448</v>
      </c>
      <c r="J833" s="31">
        <v>45901</v>
      </c>
      <c r="K833" s="4" t="s">
        <v>596</v>
      </c>
      <c r="L833" s="4" t="s">
        <v>17</v>
      </c>
      <c r="M833" s="4" t="s">
        <v>221</v>
      </c>
      <c r="S833" s="4" t="str">
        <f>TEXT(Table1[[#This Row],[Date]],"MMM-YY")</f>
        <v>Sep-25</v>
      </c>
      <c r="T833" s="4">
        <f>_xlfn.ISOWEEKNUM(Table1[[#This Row],[Date]])</f>
        <v>38</v>
      </c>
      <c r="U833" s="4" t="str">
        <f>TEXT(Table1[[#This Row],[Date]],"YYYY")</f>
        <v>2025</v>
      </c>
    </row>
    <row r="834" spans="1:21">
      <c r="A834" s="19">
        <v>45919</v>
      </c>
      <c r="B834" s="4" t="s">
        <v>865</v>
      </c>
      <c r="C834" s="4" t="s">
        <v>217</v>
      </c>
      <c r="D834" s="4" t="s">
        <v>183</v>
      </c>
      <c r="E834" s="4" t="s">
        <v>189</v>
      </c>
      <c r="F834" s="4" t="s">
        <v>640</v>
      </c>
      <c r="G834" s="17" t="s">
        <v>2</v>
      </c>
      <c r="H834" s="4">
        <v>213749</v>
      </c>
      <c r="I834" s="4">
        <v>213749</v>
      </c>
      <c r="J834" s="31">
        <v>45901</v>
      </c>
      <c r="K834" s="4" t="s">
        <v>220</v>
      </c>
      <c r="L834" s="4" t="s">
        <v>17</v>
      </c>
      <c r="M834" s="4" t="s">
        <v>221</v>
      </c>
      <c r="S834" s="4" t="str">
        <f>TEXT(Table1[[#This Row],[Date]],"MMM-YY")</f>
        <v>Sep-25</v>
      </c>
      <c r="T834" s="4">
        <f>_xlfn.ISOWEEKNUM(Table1[[#This Row],[Date]])</f>
        <v>38</v>
      </c>
      <c r="U834" s="4" t="str">
        <f>TEXT(Table1[[#This Row],[Date]],"YYYY")</f>
        <v>2025</v>
      </c>
    </row>
    <row r="835" spans="1:21">
      <c r="A835" s="19">
        <v>45922</v>
      </c>
      <c r="B835" s="4" t="s">
        <v>839</v>
      </c>
      <c r="C835" s="4" t="s">
        <v>225</v>
      </c>
      <c r="D835" s="4" t="s">
        <v>195</v>
      </c>
      <c r="E835" s="4" t="s">
        <v>183</v>
      </c>
      <c r="F835" s="4" t="s">
        <v>688</v>
      </c>
      <c r="G835" s="17" t="s">
        <v>431</v>
      </c>
      <c r="H835" s="4">
        <v>11270</v>
      </c>
      <c r="I835" s="4">
        <v>11270</v>
      </c>
      <c r="J835" s="31">
        <v>45901</v>
      </c>
      <c r="K835" s="4" t="s">
        <v>234</v>
      </c>
      <c r="L835" s="4" t="s">
        <v>17</v>
      </c>
      <c r="M835" s="4" t="s">
        <v>221</v>
      </c>
      <c r="S835" s="4" t="str">
        <f>TEXT(Table1[[#This Row],[Date]],"MMM-YY")</f>
        <v>Sep-25</v>
      </c>
      <c r="T835" s="4">
        <f>_xlfn.ISOWEEKNUM(Table1[[#This Row],[Date]])</f>
        <v>39</v>
      </c>
      <c r="U835" s="4" t="str">
        <f>TEXT(Table1[[#This Row],[Date]],"YYYY")</f>
        <v>2025</v>
      </c>
    </row>
    <row r="836" spans="1:21">
      <c r="A836" s="19">
        <v>45923</v>
      </c>
      <c r="B836" s="4" t="s">
        <v>879</v>
      </c>
      <c r="C836" s="4" t="s">
        <v>217</v>
      </c>
      <c r="D836" s="4" t="s">
        <v>195</v>
      </c>
      <c r="E836" s="4" t="s">
        <v>191</v>
      </c>
      <c r="F836" s="4" t="s">
        <v>519</v>
      </c>
      <c r="G836" s="17" t="s">
        <v>431</v>
      </c>
      <c r="H836" s="4">
        <v>81342</v>
      </c>
      <c r="I836" s="4">
        <v>81342</v>
      </c>
      <c r="J836" s="31">
        <v>45901</v>
      </c>
      <c r="K836" s="4" t="s">
        <v>220</v>
      </c>
      <c r="L836" s="4" t="s">
        <v>17</v>
      </c>
      <c r="M836" s="4" t="s">
        <v>221</v>
      </c>
      <c r="S836" s="4" t="str">
        <f>TEXT(Table1[[#This Row],[Date]],"MMM-YY")</f>
        <v>Sep-25</v>
      </c>
      <c r="T836" s="4">
        <f>_xlfn.ISOWEEKNUM(Table1[[#This Row],[Date]])</f>
        <v>39</v>
      </c>
      <c r="U836" s="4" t="str">
        <f>TEXT(Table1[[#This Row],[Date]],"YYYY")</f>
        <v>2025</v>
      </c>
    </row>
    <row r="837" spans="1:21">
      <c r="A837" s="19">
        <v>45923</v>
      </c>
      <c r="B837" s="19" t="s">
        <v>839</v>
      </c>
      <c r="C837" s="4" t="s">
        <v>225</v>
      </c>
      <c r="D837" s="4" t="s">
        <v>195</v>
      </c>
      <c r="E837" s="4" t="s">
        <v>183</v>
      </c>
      <c r="F837" s="4" t="s">
        <v>688</v>
      </c>
      <c r="G837" s="17" t="s">
        <v>431</v>
      </c>
      <c r="H837" s="4">
        <v>13065</v>
      </c>
      <c r="I837" s="4">
        <v>13065</v>
      </c>
      <c r="J837" s="31">
        <v>45901</v>
      </c>
      <c r="K837" s="19" t="s">
        <v>234</v>
      </c>
      <c r="L837" s="19" t="s">
        <v>17</v>
      </c>
      <c r="M837" s="19" t="s">
        <v>221</v>
      </c>
      <c r="N837" s="19"/>
      <c r="O837" s="19"/>
      <c r="P837" s="19"/>
      <c r="Q837" s="19"/>
      <c r="R837" s="19"/>
      <c r="S837" s="19" t="str">
        <f>TEXT(Table1[[#This Row],[Date]],"MMM-YY")</f>
        <v>Sep-25</v>
      </c>
      <c r="T837" s="4">
        <f>_xlfn.ISOWEEKNUM(Table1[[#This Row],[Date]])</f>
        <v>39</v>
      </c>
      <c r="U837" s="19" t="str">
        <f>TEXT(Table1[[#This Row],[Date]],"YYYY")</f>
        <v>2025</v>
      </c>
    </row>
    <row r="838" spans="1:21">
      <c r="A838" s="19">
        <v>45923</v>
      </c>
      <c r="B838" s="19" t="s">
        <v>760</v>
      </c>
      <c r="C838" s="4" t="s">
        <v>217</v>
      </c>
      <c r="D838" s="4" t="s">
        <v>195</v>
      </c>
      <c r="E838" s="4" t="s">
        <v>179</v>
      </c>
      <c r="F838" s="4" t="s">
        <v>675</v>
      </c>
      <c r="G838" s="17" t="s">
        <v>431</v>
      </c>
      <c r="H838" s="4">
        <v>6368</v>
      </c>
      <c r="I838" s="4">
        <v>6368</v>
      </c>
      <c r="J838" s="31">
        <v>45901</v>
      </c>
      <c r="K838" s="19" t="s">
        <v>220</v>
      </c>
      <c r="L838" s="19" t="s">
        <v>17</v>
      </c>
      <c r="M838" s="19" t="s">
        <v>221</v>
      </c>
      <c r="N838" s="19"/>
      <c r="O838" s="19"/>
      <c r="P838" s="19"/>
      <c r="Q838" s="19"/>
      <c r="R838" s="19"/>
      <c r="S838" s="19" t="str">
        <f>TEXT(Table1[[#This Row],[Date]],"MMM-YY")</f>
        <v>Sep-25</v>
      </c>
      <c r="T838" s="4">
        <f>_xlfn.ISOWEEKNUM(Table1[[#This Row],[Date]])</f>
        <v>39</v>
      </c>
      <c r="U838" s="19" t="str">
        <f>TEXT(Table1[[#This Row],[Date]],"YYYY")</f>
        <v>2025</v>
      </c>
    </row>
    <row r="839" spans="1:21">
      <c r="A839" s="19">
        <v>45924</v>
      </c>
      <c r="B839" s="19" t="s">
        <v>778</v>
      </c>
      <c r="C839" s="4" t="s">
        <v>217</v>
      </c>
      <c r="D839" s="4" t="s">
        <v>195</v>
      </c>
      <c r="E839" s="4" t="s">
        <v>179</v>
      </c>
      <c r="F839" s="4" t="s">
        <v>709</v>
      </c>
      <c r="G839" s="17" t="s">
        <v>431</v>
      </c>
      <c r="H839" s="4">
        <v>10047</v>
      </c>
      <c r="I839" s="4">
        <v>10047</v>
      </c>
      <c r="J839" s="31">
        <v>45901</v>
      </c>
      <c r="K839" s="19" t="s">
        <v>220</v>
      </c>
      <c r="L839" s="19" t="s">
        <v>17</v>
      </c>
      <c r="M839" s="19" t="s">
        <v>221</v>
      </c>
      <c r="N839" s="19"/>
      <c r="O839" s="19"/>
      <c r="P839" s="19"/>
      <c r="Q839" s="19"/>
      <c r="R839" s="19"/>
      <c r="S839" s="19" t="str">
        <f>TEXT(Table1[[#This Row],[Date]],"MMM-YY")</f>
        <v>Sep-25</v>
      </c>
      <c r="T839" s="4">
        <f>_xlfn.ISOWEEKNUM(Table1[[#This Row],[Date]])</f>
        <v>39</v>
      </c>
      <c r="U839" s="19" t="str">
        <f>TEXT(Table1[[#This Row],[Date]],"YYYY")</f>
        <v>2025</v>
      </c>
    </row>
    <row r="840" spans="1:21">
      <c r="A840" s="19">
        <v>45924</v>
      </c>
      <c r="B840" s="19" t="s">
        <v>839</v>
      </c>
      <c r="C840" s="4" t="s">
        <v>225</v>
      </c>
      <c r="D840" s="4" t="s">
        <v>195</v>
      </c>
      <c r="E840" s="4" t="s">
        <v>183</v>
      </c>
      <c r="F840" s="4" t="s">
        <v>688</v>
      </c>
      <c r="G840" s="17" t="s">
        <v>431</v>
      </c>
      <c r="H840" s="4">
        <v>16330</v>
      </c>
      <c r="I840" s="4">
        <v>16330</v>
      </c>
      <c r="J840" s="31">
        <v>45901</v>
      </c>
      <c r="K840" s="19" t="s">
        <v>234</v>
      </c>
      <c r="L840" s="19" t="s">
        <v>17</v>
      </c>
      <c r="M840" s="19" t="s">
        <v>221</v>
      </c>
      <c r="N840" s="19"/>
      <c r="O840" s="19"/>
      <c r="P840" s="19"/>
      <c r="Q840" s="19"/>
      <c r="R840" s="19"/>
      <c r="S840" s="19" t="str">
        <f>TEXT(Table1[[#This Row],[Date]],"MMM-YY")</f>
        <v>Sep-25</v>
      </c>
      <c r="T840" s="4">
        <f>_xlfn.ISOWEEKNUM(Table1[[#This Row],[Date]])</f>
        <v>39</v>
      </c>
      <c r="U840" s="19" t="str">
        <f>TEXT(Table1[[#This Row],[Date]],"YYYY")</f>
        <v>2025</v>
      </c>
    </row>
    <row r="841" spans="1:21">
      <c r="A841" s="19">
        <v>45925</v>
      </c>
      <c r="B841" s="19" t="s">
        <v>839</v>
      </c>
      <c r="C841" s="4" t="s">
        <v>225</v>
      </c>
      <c r="D841" s="4" t="s">
        <v>195</v>
      </c>
      <c r="E841" s="4" t="s">
        <v>183</v>
      </c>
      <c r="F841" s="4" t="s">
        <v>688</v>
      </c>
      <c r="G841" s="17" t="s">
        <v>431</v>
      </c>
      <c r="H841" s="4">
        <v>14319</v>
      </c>
      <c r="I841" s="4">
        <v>14319</v>
      </c>
      <c r="J841" s="31">
        <v>45901</v>
      </c>
      <c r="K841" s="19" t="s">
        <v>234</v>
      </c>
      <c r="L841" s="19" t="s">
        <v>17</v>
      </c>
      <c r="M841" s="19" t="s">
        <v>221</v>
      </c>
      <c r="N841" s="19"/>
      <c r="O841" s="19"/>
      <c r="P841" s="19"/>
      <c r="Q841" s="19"/>
      <c r="R841" s="19"/>
      <c r="S841" s="19" t="str">
        <f>TEXT(Table1[[#This Row],[Date]],"MMM-YY")</f>
        <v>Sep-25</v>
      </c>
      <c r="T841" s="4">
        <f>_xlfn.ISOWEEKNUM(Table1[[#This Row],[Date]])</f>
        <v>39</v>
      </c>
      <c r="U841" s="19" t="str">
        <f>TEXT(Table1[[#This Row],[Date]],"YYYY")</f>
        <v>2025</v>
      </c>
    </row>
    <row r="842" spans="1:21">
      <c r="A842" s="19">
        <v>45925</v>
      </c>
      <c r="B842" s="19" t="s">
        <v>765</v>
      </c>
      <c r="C842" s="4" t="s">
        <v>217</v>
      </c>
      <c r="D842" s="4" t="s">
        <v>195</v>
      </c>
      <c r="E842" s="4" t="s">
        <v>179</v>
      </c>
      <c r="F842" s="4" t="s">
        <v>705</v>
      </c>
      <c r="G842" s="17" t="s">
        <v>431</v>
      </c>
      <c r="H842" s="4">
        <v>11809</v>
      </c>
      <c r="I842" s="4">
        <v>11809</v>
      </c>
      <c r="J842" s="31">
        <v>45901</v>
      </c>
      <c r="K842" s="19" t="s">
        <v>220</v>
      </c>
      <c r="L842" s="19" t="s">
        <v>17</v>
      </c>
      <c r="M842" s="19" t="s">
        <v>221</v>
      </c>
      <c r="N842" s="19"/>
      <c r="O842" s="19"/>
      <c r="P842" s="19"/>
      <c r="Q842" s="19"/>
      <c r="R842" s="19"/>
      <c r="S842" s="19" t="str">
        <f>TEXT(Table1[[#This Row],[Date]],"MMM-YY")</f>
        <v>Sep-25</v>
      </c>
      <c r="T842" s="4">
        <f>_xlfn.ISOWEEKNUM(Table1[[#This Row],[Date]])</f>
        <v>39</v>
      </c>
      <c r="U842" s="19" t="str">
        <f>TEXT(Table1[[#This Row],[Date]],"YYYY")</f>
        <v>2025</v>
      </c>
    </row>
    <row r="843" spans="1:21">
      <c r="A843" s="19">
        <v>45929</v>
      </c>
      <c r="B843" s="4" t="s">
        <v>471</v>
      </c>
      <c r="C843" s="4" t="s">
        <v>217</v>
      </c>
      <c r="D843" s="4" t="s">
        <v>195</v>
      </c>
      <c r="E843" s="4" t="s">
        <v>53</v>
      </c>
      <c r="F843" s="4" t="s">
        <v>437</v>
      </c>
      <c r="G843" s="17" t="s">
        <v>851</v>
      </c>
      <c r="H843" s="4">
        <v>47200</v>
      </c>
      <c r="I843" s="4">
        <v>47200</v>
      </c>
      <c r="J843" s="31">
        <v>45901</v>
      </c>
      <c r="K843" s="4" t="s">
        <v>220</v>
      </c>
      <c r="L843" s="4" t="s">
        <v>17</v>
      </c>
      <c r="M843" s="4" t="s">
        <v>221</v>
      </c>
      <c r="S843" s="4" t="str">
        <f>TEXT(Table1[[#This Row],[Date]],"MMM-YY")</f>
        <v>Sep-25</v>
      </c>
      <c r="T843" s="4">
        <f>_xlfn.ISOWEEKNUM(Table1[[#This Row],[Date]])</f>
        <v>40</v>
      </c>
      <c r="U843" s="4" t="str">
        <f>TEXT(Table1[[#This Row],[Date]],"YYYY")</f>
        <v>2025</v>
      </c>
    </row>
    <row r="844" spans="1:21">
      <c r="A844" s="19">
        <v>45929</v>
      </c>
      <c r="B844" s="19" t="s">
        <v>839</v>
      </c>
      <c r="C844" s="4" t="s">
        <v>225</v>
      </c>
      <c r="D844" s="4" t="s">
        <v>195</v>
      </c>
      <c r="E844" s="4" t="s">
        <v>183</v>
      </c>
      <c r="F844" s="4" t="s">
        <v>688</v>
      </c>
      <c r="G844" s="17" t="s">
        <v>431</v>
      </c>
      <c r="H844" s="4">
        <v>10267</v>
      </c>
      <c r="I844" s="4">
        <v>10267</v>
      </c>
      <c r="J844" s="31">
        <v>45901</v>
      </c>
      <c r="K844" s="19" t="s">
        <v>234</v>
      </c>
      <c r="L844" s="19" t="s">
        <v>17</v>
      </c>
      <c r="M844" s="19" t="s">
        <v>221</v>
      </c>
      <c r="N844" s="19"/>
      <c r="O844" s="19"/>
      <c r="P844" s="19"/>
      <c r="Q844" s="19"/>
      <c r="R844" s="19"/>
      <c r="S844" s="19" t="str">
        <f>TEXT(Table1[[#This Row],[Date]],"MMM-YY")</f>
        <v>Sep-25</v>
      </c>
      <c r="T844" s="4">
        <f>_xlfn.ISOWEEKNUM(Table1[[#This Row],[Date]])</f>
        <v>40</v>
      </c>
      <c r="U844" s="19" t="str">
        <f>TEXT(Table1[[#This Row],[Date]],"YYYY")</f>
        <v>2025</v>
      </c>
    </row>
    <row r="845" spans="1:21">
      <c r="A845" s="19">
        <v>45930</v>
      </c>
      <c r="B845" s="19" t="s">
        <v>839</v>
      </c>
      <c r="C845" s="4" t="s">
        <v>225</v>
      </c>
      <c r="D845" s="4" t="s">
        <v>195</v>
      </c>
      <c r="E845" s="4" t="s">
        <v>183</v>
      </c>
      <c r="F845" s="4" t="s">
        <v>688</v>
      </c>
      <c r="G845" s="17" t="s">
        <v>431</v>
      </c>
      <c r="H845" s="4">
        <v>9550</v>
      </c>
      <c r="I845" s="4">
        <v>9550</v>
      </c>
      <c r="J845" s="31">
        <v>45901</v>
      </c>
      <c r="K845" s="19" t="s">
        <v>234</v>
      </c>
      <c r="L845" s="19" t="s">
        <v>17</v>
      </c>
      <c r="M845" s="19" t="s">
        <v>221</v>
      </c>
      <c r="N845" s="19"/>
      <c r="O845" s="19"/>
      <c r="P845" s="19"/>
      <c r="Q845" s="19"/>
      <c r="R845" s="19"/>
      <c r="S845" s="19" t="str">
        <f>TEXT(Table1[[#This Row],[Date]],"MMM-YY")</f>
        <v>Sep-25</v>
      </c>
      <c r="T845" s="4">
        <f>_xlfn.ISOWEEKNUM(Table1[[#This Row],[Date]])</f>
        <v>40</v>
      </c>
      <c r="U845" s="19" t="str">
        <f>TEXT(Table1[[#This Row],[Date]],"YYYY")</f>
        <v>2025</v>
      </c>
    </row>
    <row r="846" spans="1:21" hidden="1">
      <c r="A846" s="19">
        <v>45931</v>
      </c>
      <c r="B846" s="19" t="s">
        <v>856</v>
      </c>
      <c r="C846" s="4" t="s">
        <v>217</v>
      </c>
      <c r="D846" s="4" t="s">
        <v>195</v>
      </c>
      <c r="E846" s="4" t="s">
        <v>61</v>
      </c>
      <c r="F846" s="4" t="s">
        <v>843</v>
      </c>
      <c r="G846" s="17" t="s">
        <v>2</v>
      </c>
      <c r="J846" s="31">
        <v>45931</v>
      </c>
      <c r="K846" s="19" t="s">
        <v>220</v>
      </c>
      <c r="L846" s="19" t="s">
        <v>27</v>
      </c>
      <c r="M846" s="19" t="s">
        <v>221</v>
      </c>
      <c r="N846" s="19"/>
      <c r="O846" s="19"/>
      <c r="P846" s="19"/>
      <c r="Q846" s="19"/>
      <c r="R846" s="19"/>
      <c r="S846" s="19" t="str">
        <f>TEXT(Table1[[#This Row],[Date]],"MMM-YY")</f>
        <v>Oct-25</v>
      </c>
      <c r="T846" s="4">
        <f>_xlfn.ISOWEEKNUM(Table1[[#This Row],[Date]])</f>
        <v>40</v>
      </c>
      <c r="U846" s="19" t="str">
        <f>TEXT(Table1[[#This Row],[Date]],"YYYY")</f>
        <v>2025</v>
      </c>
    </row>
    <row r="847" spans="1:21" hidden="1">
      <c r="A847" s="19">
        <v>45931</v>
      </c>
      <c r="B847" s="19" t="s">
        <v>854</v>
      </c>
      <c r="C847" s="4" t="s">
        <v>217</v>
      </c>
      <c r="D847" s="4" t="s">
        <v>195</v>
      </c>
      <c r="E847" s="4" t="s">
        <v>61</v>
      </c>
      <c r="F847" s="4" t="s">
        <v>843</v>
      </c>
      <c r="G847" s="17" t="s">
        <v>844</v>
      </c>
      <c r="H847" s="4">
        <v>13000</v>
      </c>
      <c r="J847" s="31">
        <v>45931</v>
      </c>
      <c r="K847" s="19" t="s">
        <v>220</v>
      </c>
      <c r="L847" s="19" t="s">
        <v>27</v>
      </c>
      <c r="M847" s="19" t="s">
        <v>221</v>
      </c>
      <c r="N847" s="19"/>
      <c r="O847" s="19"/>
      <c r="P847" s="19"/>
      <c r="Q847" s="19"/>
      <c r="R847" s="19"/>
      <c r="S847" s="19" t="str">
        <f>TEXT(Table1[[#This Row],[Date]],"MMM-YY")</f>
        <v>Oct-25</v>
      </c>
      <c r="T847" s="4">
        <f>_xlfn.ISOWEEKNUM(Table1[[#This Row],[Date]])</f>
        <v>40</v>
      </c>
      <c r="U847" s="19" t="str">
        <f>TEXT(Table1[[#This Row],[Date]],"YYYY")</f>
        <v>2025</v>
      </c>
    </row>
    <row r="848" spans="1:21" hidden="1">
      <c r="A848" s="19">
        <v>45931</v>
      </c>
      <c r="B848" s="19" t="s">
        <v>855</v>
      </c>
      <c r="C848" s="4" t="s">
        <v>217</v>
      </c>
      <c r="D848" s="4" t="s">
        <v>195</v>
      </c>
      <c r="E848" s="4" t="s">
        <v>61</v>
      </c>
      <c r="F848" s="4" t="s">
        <v>843</v>
      </c>
      <c r="G848" s="17" t="s">
        <v>844</v>
      </c>
      <c r="H848" s="4">
        <v>18000</v>
      </c>
      <c r="J848" s="31">
        <v>45931</v>
      </c>
      <c r="K848" s="19" t="s">
        <v>220</v>
      </c>
      <c r="L848" s="19" t="s">
        <v>27</v>
      </c>
      <c r="M848" s="19" t="s">
        <v>221</v>
      </c>
      <c r="N848" s="19"/>
      <c r="O848" s="19"/>
      <c r="P848" s="19"/>
      <c r="Q848" s="19"/>
      <c r="R848" s="19"/>
      <c r="S848" s="19" t="str">
        <f>TEXT(Table1[[#This Row],[Date]],"MMM-YY")</f>
        <v>Oct-25</v>
      </c>
      <c r="T848" s="4">
        <f>_xlfn.ISOWEEKNUM(Table1[[#This Row],[Date]])</f>
        <v>40</v>
      </c>
      <c r="U848" s="19" t="str">
        <f>TEXT(Table1[[#This Row],[Date]],"YYYY")</f>
        <v>2025</v>
      </c>
    </row>
    <row r="849" spans="1:21" hidden="1">
      <c r="A849" s="19">
        <v>45931</v>
      </c>
      <c r="B849" s="19" t="s">
        <v>278</v>
      </c>
      <c r="C849" s="4" t="s">
        <v>217</v>
      </c>
      <c r="D849" s="4" t="s">
        <v>195</v>
      </c>
      <c r="E849" s="4" t="s">
        <v>69</v>
      </c>
      <c r="H849" s="4">
        <v>15000</v>
      </c>
      <c r="J849" s="31">
        <v>45931</v>
      </c>
      <c r="K849" s="19" t="s">
        <v>220</v>
      </c>
      <c r="L849" s="19" t="s">
        <v>16</v>
      </c>
      <c r="M849" s="19" t="s">
        <v>538</v>
      </c>
      <c r="N849" s="19"/>
      <c r="O849" s="19"/>
      <c r="P849" s="19"/>
      <c r="Q849" s="19"/>
      <c r="R849" s="19"/>
      <c r="S849" s="19" t="str">
        <f>TEXT(Table1[[#This Row],[Date]],"MMM-YY")</f>
        <v>Oct-25</v>
      </c>
      <c r="T849" s="4">
        <f>_xlfn.ISOWEEKNUM(Table1[[#This Row],[Date]])</f>
        <v>40</v>
      </c>
      <c r="U849" s="19" t="str">
        <f>TEXT(Table1[[#This Row],[Date]],"YYYY")</f>
        <v>2025</v>
      </c>
    </row>
    <row r="850" spans="1:21" hidden="1">
      <c r="A850" s="19">
        <v>45931</v>
      </c>
      <c r="B850" s="19" t="s">
        <v>818</v>
      </c>
      <c r="C850" s="4" t="s">
        <v>217</v>
      </c>
      <c r="D850" s="4" t="s">
        <v>195</v>
      </c>
      <c r="E850" s="4" t="s">
        <v>91</v>
      </c>
      <c r="H850" s="4">
        <v>15000</v>
      </c>
      <c r="J850" s="31">
        <v>45931</v>
      </c>
      <c r="K850" s="19" t="s">
        <v>220</v>
      </c>
      <c r="L850" s="19" t="s">
        <v>29</v>
      </c>
      <c r="M850" s="19" t="s">
        <v>221</v>
      </c>
      <c r="N850" s="19"/>
      <c r="O850" s="19"/>
      <c r="P850" s="19"/>
      <c r="Q850" s="19"/>
      <c r="R850" s="19"/>
      <c r="S850" s="19" t="str">
        <f>TEXT(Table1[[#This Row],[Date]],"MMM-YY")</f>
        <v>Oct-25</v>
      </c>
      <c r="T850" s="4">
        <f>_xlfn.ISOWEEKNUM(Table1[[#This Row],[Date]])</f>
        <v>40</v>
      </c>
      <c r="U850" s="19" t="str">
        <f>TEXT(Table1[[#This Row],[Date]],"YYYY")</f>
        <v>2025</v>
      </c>
    </row>
    <row r="851" spans="1:21" hidden="1">
      <c r="A851" s="19">
        <v>45931</v>
      </c>
      <c r="B851" s="19" t="s">
        <v>411</v>
      </c>
      <c r="C851" s="4" t="s">
        <v>217</v>
      </c>
      <c r="D851" s="4" t="s">
        <v>195</v>
      </c>
      <c r="E851" s="4" t="s">
        <v>61</v>
      </c>
      <c r="H851" s="4">
        <v>15000</v>
      </c>
      <c r="J851" s="31">
        <v>45931</v>
      </c>
      <c r="K851" s="19" t="s">
        <v>220</v>
      </c>
      <c r="L851" s="19" t="s">
        <v>29</v>
      </c>
      <c r="M851" s="19" t="s">
        <v>221</v>
      </c>
      <c r="N851" s="19"/>
      <c r="O851" s="19"/>
      <c r="P851" s="19"/>
      <c r="Q851" s="19"/>
      <c r="R851" s="19"/>
      <c r="S851" s="19" t="str">
        <f>TEXT(Table1[[#This Row],[Date]],"MMM-YY")</f>
        <v>Oct-25</v>
      </c>
      <c r="T851" s="4">
        <f>_xlfn.ISOWEEKNUM(Table1[[#This Row],[Date]])</f>
        <v>40</v>
      </c>
      <c r="U851" s="19" t="str">
        <f>TEXT(Table1[[#This Row],[Date]],"YYYY")</f>
        <v>2025</v>
      </c>
    </row>
    <row r="852" spans="1:21" hidden="1">
      <c r="A852" s="19">
        <v>45931</v>
      </c>
      <c r="B852" s="19" t="s">
        <v>487</v>
      </c>
      <c r="C852" s="4" t="s">
        <v>217</v>
      </c>
      <c r="D852" s="4" t="s">
        <v>195</v>
      </c>
      <c r="E852" s="4" t="s">
        <v>125</v>
      </c>
      <c r="H852" s="4">
        <v>20000</v>
      </c>
      <c r="J852" s="31">
        <v>45931</v>
      </c>
      <c r="K852" s="19" t="s">
        <v>220</v>
      </c>
      <c r="L852" s="19" t="s">
        <v>16</v>
      </c>
      <c r="M852" s="19" t="s">
        <v>538</v>
      </c>
      <c r="N852" s="19"/>
      <c r="O852" s="19"/>
      <c r="P852" s="19"/>
      <c r="Q852" s="19"/>
      <c r="R852" s="19"/>
      <c r="S852" s="19" t="str">
        <f>TEXT(Table1[[#This Row],[Date]],"MMM-YY")</f>
        <v>Oct-25</v>
      </c>
      <c r="T852" s="4">
        <f>_xlfn.ISOWEEKNUM(Table1[[#This Row],[Date]])</f>
        <v>40</v>
      </c>
      <c r="U852" s="19" t="str">
        <f>TEXT(Table1[[#This Row],[Date]],"YYYY")</f>
        <v>2025</v>
      </c>
    </row>
    <row r="853" spans="1:21" hidden="1">
      <c r="A853" s="19">
        <v>45931</v>
      </c>
      <c r="B853" s="19" t="s">
        <v>455</v>
      </c>
      <c r="C853" s="4" t="s">
        <v>217</v>
      </c>
      <c r="D853" s="4" t="s">
        <v>195</v>
      </c>
      <c r="E853" s="4" t="s">
        <v>61</v>
      </c>
      <c r="H853" s="4">
        <v>20000</v>
      </c>
      <c r="J853" s="31">
        <v>45931</v>
      </c>
      <c r="K853" s="19" t="s">
        <v>220</v>
      </c>
      <c r="L853" s="19" t="s">
        <v>16</v>
      </c>
      <c r="M853" s="19" t="s">
        <v>538</v>
      </c>
      <c r="N853" s="19"/>
      <c r="O853" s="19"/>
      <c r="P853" s="19"/>
      <c r="Q853" s="19"/>
      <c r="R853" s="19"/>
      <c r="S853" s="19" t="str">
        <f>TEXT(Table1[[#This Row],[Date]],"MMM-YY")</f>
        <v>Oct-25</v>
      </c>
      <c r="T853" s="4">
        <f>_xlfn.ISOWEEKNUM(Table1[[#This Row],[Date]])</f>
        <v>40</v>
      </c>
      <c r="U853" s="19" t="str">
        <f>TEXT(Table1[[#This Row],[Date]],"YYYY")</f>
        <v>2025</v>
      </c>
    </row>
    <row r="854" spans="1:21" hidden="1">
      <c r="A854" s="19">
        <v>45931</v>
      </c>
      <c r="B854" s="19" t="s">
        <v>280</v>
      </c>
      <c r="C854" s="4" t="s">
        <v>217</v>
      </c>
      <c r="D854" s="4" t="s">
        <v>195</v>
      </c>
      <c r="E854" s="4" t="s">
        <v>47</v>
      </c>
      <c r="H854" s="4">
        <v>20000</v>
      </c>
      <c r="J854" s="31">
        <v>45931</v>
      </c>
      <c r="K854" s="19" t="s">
        <v>220</v>
      </c>
      <c r="L854" s="19" t="s">
        <v>16</v>
      </c>
      <c r="M854" s="19" t="s">
        <v>538</v>
      </c>
      <c r="N854" s="19"/>
      <c r="O854" s="19"/>
      <c r="P854" s="19"/>
      <c r="Q854" s="19"/>
      <c r="R854" s="19"/>
      <c r="S854" s="19" t="str">
        <f>TEXT(Table1[[#This Row],[Date]],"MMM-YY")</f>
        <v>Oct-25</v>
      </c>
      <c r="T854" s="4">
        <f>_xlfn.ISOWEEKNUM(Table1[[#This Row],[Date]])</f>
        <v>40</v>
      </c>
      <c r="U854" s="19" t="str">
        <f>TEXT(Table1[[#This Row],[Date]],"YYYY")</f>
        <v>2025</v>
      </c>
    </row>
    <row r="855" spans="1:21" hidden="1">
      <c r="A855" s="19">
        <v>45931</v>
      </c>
      <c r="B855" s="19" t="s">
        <v>378</v>
      </c>
      <c r="C855" s="4" t="s">
        <v>217</v>
      </c>
      <c r="D855" s="4" t="s">
        <v>195</v>
      </c>
      <c r="E855" s="4" t="s">
        <v>101</v>
      </c>
      <c r="H855" s="4">
        <v>20000</v>
      </c>
      <c r="J855" s="31">
        <v>45931</v>
      </c>
      <c r="K855" s="19" t="s">
        <v>220</v>
      </c>
      <c r="L855" s="19" t="s">
        <v>16</v>
      </c>
      <c r="M855" s="19" t="s">
        <v>538</v>
      </c>
      <c r="N855" s="19"/>
      <c r="O855" s="19"/>
      <c r="P855" s="19"/>
      <c r="Q855" s="19"/>
      <c r="R855" s="19"/>
      <c r="S855" s="19" t="str">
        <f>TEXT(Table1[[#This Row],[Date]],"MMM-YY")</f>
        <v>Oct-25</v>
      </c>
      <c r="T855" s="4">
        <f>_xlfn.ISOWEEKNUM(Table1[[#This Row],[Date]])</f>
        <v>40</v>
      </c>
      <c r="U855" s="19" t="str">
        <f>TEXT(Table1[[#This Row],[Date]],"YYYY")</f>
        <v>2025</v>
      </c>
    </row>
    <row r="856" spans="1:21" hidden="1">
      <c r="A856" s="19">
        <v>45931</v>
      </c>
      <c r="B856" s="19" t="s">
        <v>563</v>
      </c>
      <c r="C856" s="4" t="s">
        <v>217</v>
      </c>
      <c r="D856" s="4" t="s">
        <v>195</v>
      </c>
      <c r="E856" s="4" t="s">
        <v>143</v>
      </c>
      <c r="H856" s="4">
        <v>20000</v>
      </c>
      <c r="J856" s="31">
        <v>45931</v>
      </c>
      <c r="K856" s="19" t="s">
        <v>220</v>
      </c>
      <c r="L856" s="19" t="s">
        <v>16</v>
      </c>
      <c r="M856" s="19" t="s">
        <v>538</v>
      </c>
      <c r="N856" s="19"/>
      <c r="O856" s="19"/>
      <c r="P856" s="19"/>
      <c r="Q856" s="19"/>
      <c r="R856" s="19"/>
      <c r="S856" s="19" t="str">
        <f>TEXT(Table1[[#This Row],[Date]],"MMM-YY")</f>
        <v>Oct-25</v>
      </c>
      <c r="T856" s="4">
        <f>_xlfn.ISOWEEKNUM(Table1[[#This Row],[Date]])</f>
        <v>40</v>
      </c>
      <c r="U856" s="19" t="str">
        <f>TEXT(Table1[[#This Row],[Date]],"YYYY")</f>
        <v>2025</v>
      </c>
    </row>
    <row r="857" spans="1:21" hidden="1">
      <c r="A857" s="19">
        <v>45931</v>
      </c>
      <c r="B857" s="19" t="s">
        <v>400</v>
      </c>
      <c r="C857" s="4" t="s">
        <v>217</v>
      </c>
      <c r="D857" s="4" t="s">
        <v>195</v>
      </c>
      <c r="E857" s="4" t="s">
        <v>47</v>
      </c>
      <c r="H857" s="4">
        <v>20000</v>
      </c>
      <c r="J857" s="31">
        <v>45931</v>
      </c>
      <c r="K857" s="19" t="s">
        <v>220</v>
      </c>
      <c r="L857" s="19" t="s">
        <v>16</v>
      </c>
      <c r="M857" s="19" t="s">
        <v>538</v>
      </c>
      <c r="N857" s="19"/>
      <c r="O857" s="19"/>
      <c r="P857" s="19"/>
      <c r="Q857" s="19"/>
      <c r="R857" s="19"/>
      <c r="S857" s="19" t="str">
        <f>TEXT(Table1[[#This Row],[Date]],"MMM-YY")</f>
        <v>Oct-25</v>
      </c>
      <c r="T857" s="4">
        <f>_xlfn.ISOWEEKNUM(Table1[[#This Row],[Date]])</f>
        <v>40</v>
      </c>
      <c r="U857" s="19" t="str">
        <f>TEXT(Table1[[#This Row],[Date]],"YYYY")</f>
        <v>2025</v>
      </c>
    </row>
    <row r="858" spans="1:21" hidden="1">
      <c r="A858" s="19">
        <v>45931</v>
      </c>
      <c r="B858" s="19" t="s">
        <v>821</v>
      </c>
      <c r="C858" s="4" t="s">
        <v>217</v>
      </c>
      <c r="D858" s="4" t="s">
        <v>79</v>
      </c>
      <c r="E858" s="4" t="s">
        <v>79</v>
      </c>
      <c r="H858" s="4">
        <v>20000</v>
      </c>
      <c r="J858" s="31">
        <v>45931</v>
      </c>
      <c r="K858" s="19" t="s">
        <v>220</v>
      </c>
      <c r="L858" s="19" t="s">
        <v>29</v>
      </c>
      <c r="M858" s="19" t="s">
        <v>221</v>
      </c>
      <c r="N858" s="19"/>
      <c r="O858" s="19"/>
      <c r="P858" s="19"/>
      <c r="Q858" s="19"/>
      <c r="R858" s="19"/>
      <c r="S858" s="19" t="str">
        <f>TEXT(Table1[[#This Row],[Date]],"MMM-YY")</f>
        <v>Oct-25</v>
      </c>
      <c r="T858" s="4">
        <f>_xlfn.ISOWEEKNUM(Table1[[#This Row],[Date]])</f>
        <v>40</v>
      </c>
      <c r="U858" s="19" t="str">
        <f>TEXT(Table1[[#This Row],[Date]],"YYYY")</f>
        <v>2025</v>
      </c>
    </row>
    <row r="859" spans="1:21" hidden="1">
      <c r="A859" s="19">
        <v>45931</v>
      </c>
      <c r="B859" s="19" t="s">
        <v>365</v>
      </c>
      <c r="C859" s="4" t="s">
        <v>217</v>
      </c>
      <c r="D859" s="4" t="s">
        <v>195</v>
      </c>
      <c r="E859" s="4" t="s">
        <v>61</v>
      </c>
      <c r="H859" s="4">
        <v>25000</v>
      </c>
      <c r="J859" s="31">
        <v>45931</v>
      </c>
      <c r="K859" s="19" t="s">
        <v>220</v>
      </c>
      <c r="L859" s="19" t="s">
        <v>29</v>
      </c>
      <c r="M859" s="19" t="s">
        <v>221</v>
      </c>
      <c r="N859" s="19"/>
      <c r="O859" s="19"/>
      <c r="P859" s="19"/>
      <c r="Q859" s="19"/>
      <c r="R859" s="19"/>
      <c r="S859" s="19" t="str">
        <f>TEXT(Table1[[#This Row],[Date]],"MMM-YY")</f>
        <v>Oct-25</v>
      </c>
      <c r="T859" s="4">
        <f>_xlfn.ISOWEEKNUM(Table1[[#This Row],[Date]])</f>
        <v>40</v>
      </c>
      <c r="U859" s="19" t="str">
        <f>TEXT(Table1[[#This Row],[Date]],"YYYY")</f>
        <v>2025</v>
      </c>
    </row>
    <row r="860" spans="1:21" hidden="1">
      <c r="A860" s="19">
        <v>45931</v>
      </c>
      <c r="B860" s="19" t="s">
        <v>469</v>
      </c>
      <c r="C860" s="4" t="s">
        <v>217</v>
      </c>
      <c r="D860" s="4" t="s">
        <v>183</v>
      </c>
      <c r="E860" s="4" t="s">
        <v>21</v>
      </c>
      <c r="H860" s="4">
        <v>30000</v>
      </c>
      <c r="J860" s="31">
        <v>45931</v>
      </c>
      <c r="K860" s="19" t="s">
        <v>220</v>
      </c>
      <c r="L860" s="19" t="s">
        <v>29</v>
      </c>
      <c r="M860" s="19" t="s">
        <v>235</v>
      </c>
      <c r="N860" s="19"/>
      <c r="O860" s="19"/>
      <c r="P860" s="19"/>
      <c r="Q860" s="19"/>
      <c r="R860" s="19"/>
      <c r="S860" s="19" t="str">
        <f>TEXT(Table1[[#This Row],[Date]],"MMM-YY")</f>
        <v>Oct-25</v>
      </c>
      <c r="T860" s="4">
        <f>_xlfn.ISOWEEKNUM(Table1[[#This Row],[Date]])</f>
        <v>40</v>
      </c>
      <c r="U860" s="19" t="str">
        <f>TEXT(Table1[[#This Row],[Date]],"YYYY")</f>
        <v>2025</v>
      </c>
    </row>
    <row r="861" spans="1:21" hidden="1">
      <c r="A861" s="19">
        <v>45931</v>
      </c>
      <c r="B861" s="19" t="s">
        <v>439</v>
      </c>
      <c r="C861" s="4" t="s">
        <v>217</v>
      </c>
      <c r="D861" s="4" t="s">
        <v>183</v>
      </c>
      <c r="E861" s="4" t="s">
        <v>193</v>
      </c>
      <c r="H861" s="4">
        <v>30000</v>
      </c>
      <c r="J861" s="31">
        <v>45931</v>
      </c>
      <c r="K861" s="19" t="s">
        <v>220</v>
      </c>
      <c r="L861" s="19" t="s">
        <v>29</v>
      </c>
      <c r="M861" s="19" t="s">
        <v>235</v>
      </c>
      <c r="N861" s="19"/>
      <c r="O861" s="19"/>
      <c r="P861" s="19"/>
      <c r="Q861" s="19"/>
      <c r="R861" s="19"/>
      <c r="S861" s="19" t="str">
        <f>TEXT(Table1[[#This Row],[Date]],"MMM-YY")</f>
        <v>Oct-25</v>
      </c>
      <c r="T861" s="4">
        <f>_xlfn.ISOWEEKNUM(Table1[[#This Row],[Date]])</f>
        <v>40</v>
      </c>
      <c r="U861" s="19" t="str">
        <f>TEXT(Table1[[#This Row],[Date]],"YYYY")</f>
        <v>2025</v>
      </c>
    </row>
    <row r="862" spans="1:21" hidden="1">
      <c r="A862" s="19">
        <v>45931</v>
      </c>
      <c r="B862" s="19" t="s">
        <v>263</v>
      </c>
      <c r="C862" s="4" t="s">
        <v>217</v>
      </c>
      <c r="D862" s="4" t="s">
        <v>183</v>
      </c>
      <c r="E862" s="4" t="s">
        <v>193</v>
      </c>
      <c r="H862" s="4">
        <v>30000</v>
      </c>
      <c r="J862" s="31">
        <v>45931</v>
      </c>
      <c r="K862" s="19" t="s">
        <v>220</v>
      </c>
      <c r="L862" s="19" t="s">
        <v>29</v>
      </c>
      <c r="M862" s="19" t="s">
        <v>235</v>
      </c>
      <c r="N862" s="19"/>
      <c r="O862" s="19"/>
      <c r="P862" s="19"/>
      <c r="Q862" s="19"/>
      <c r="R862" s="19"/>
      <c r="S862" s="19" t="str">
        <f>TEXT(Table1[[#This Row],[Date]],"MMM-YY")</f>
        <v>Oct-25</v>
      </c>
      <c r="T862" s="4">
        <f>_xlfn.ISOWEEKNUM(Table1[[#This Row],[Date]])</f>
        <v>40</v>
      </c>
      <c r="U862" s="19" t="str">
        <f>TEXT(Table1[[#This Row],[Date]],"YYYY")</f>
        <v>2025</v>
      </c>
    </row>
    <row r="863" spans="1:21" hidden="1">
      <c r="A863" s="19">
        <v>45931</v>
      </c>
      <c r="B863" s="19" t="s">
        <v>802</v>
      </c>
      <c r="C863" s="4" t="s">
        <v>217</v>
      </c>
      <c r="D863" s="4" t="s">
        <v>183</v>
      </c>
      <c r="E863" s="4" t="s">
        <v>21</v>
      </c>
      <c r="H863" s="4">
        <v>30000</v>
      </c>
      <c r="J863" s="31">
        <v>45931</v>
      </c>
      <c r="K863" s="19" t="s">
        <v>220</v>
      </c>
      <c r="L863" s="19" t="s">
        <v>29</v>
      </c>
      <c r="M863" s="19" t="s">
        <v>221</v>
      </c>
      <c r="N863" s="19"/>
      <c r="O863" s="19"/>
      <c r="P863" s="19"/>
      <c r="Q863" s="19"/>
      <c r="R863" s="19"/>
      <c r="S863" s="19" t="str">
        <f>TEXT(Table1[[#This Row],[Date]],"MMM-YY")</f>
        <v>Oct-25</v>
      </c>
      <c r="T863" s="4">
        <f>_xlfn.ISOWEEKNUM(Table1[[#This Row],[Date]])</f>
        <v>40</v>
      </c>
      <c r="U863" s="19" t="str">
        <f>TEXT(Table1[[#This Row],[Date]],"YYYY")</f>
        <v>2025</v>
      </c>
    </row>
    <row r="864" spans="1:21" hidden="1">
      <c r="A864" s="19">
        <v>45931</v>
      </c>
      <c r="B864" s="19" t="s">
        <v>686</v>
      </c>
      <c r="C864" s="4" t="s">
        <v>217</v>
      </c>
      <c r="D864" s="4" t="s">
        <v>195</v>
      </c>
      <c r="E864" s="4" t="s">
        <v>26</v>
      </c>
      <c r="H864" s="4">
        <v>30000</v>
      </c>
      <c r="J864" s="31">
        <v>45931</v>
      </c>
      <c r="K864" s="19" t="s">
        <v>220</v>
      </c>
      <c r="L864" s="19" t="s">
        <v>16</v>
      </c>
      <c r="M864" s="19" t="s">
        <v>538</v>
      </c>
      <c r="N864" s="19"/>
      <c r="O864" s="19"/>
      <c r="P864" s="19"/>
      <c r="Q864" s="19"/>
      <c r="R864" s="19"/>
      <c r="S864" s="19" t="str">
        <f>TEXT(Table1[[#This Row],[Date]],"MMM-YY")</f>
        <v>Oct-25</v>
      </c>
      <c r="T864" s="4">
        <f>_xlfn.ISOWEEKNUM(Table1[[#This Row],[Date]])</f>
        <v>40</v>
      </c>
      <c r="U864" s="19" t="str">
        <f>TEXT(Table1[[#This Row],[Date]],"YYYY")</f>
        <v>2025</v>
      </c>
    </row>
    <row r="865" spans="1:21" hidden="1">
      <c r="A865" s="19">
        <v>45931</v>
      </c>
      <c r="B865" s="19" t="s">
        <v>282</v>
      </c>
      <c r="C865" s="4" t="s">
        <v>217</v>
      </c>
      <c r="D865" s="4" t="s">
        <v>195</v>
      </c>
      <c r="E865" s="4" t="s">
        <v>161</v>
      </c>
      <c r="H865" s="4">
        <v>30000</v>
      </c>
      <c r="J865" s="31">
        <v>45931</v>
      </c>
      <c r="K865" s="19" t="s">
        <v>220</v>
      </c>
      <c r="L865" s="19" t="s">
        <v>16</v>
      </c>
      <c r="M865" s="19" t="s">
        <v>538</v>
      </c>
      <c r="N865" s="19"/>
      <c r="O865" s="19"/>
      <c r="P865" s="19"/>
      <c r="Q865" s="19"/>
      <c r="R865" s="19"/>
      <c r="S865" s="19" t="str">
        <f>TEXT(Table1[[#This Row],[Date]],"MMM-YY")</f>
        <v>Oct-25</v>
      </c>
      <c r="T865" s="4">
        <f>_xlfn.ISOWEEKNUM(Table1[[#This Row],[Date]])</f>
        <v>40</v>
      </c>
      <c r="U865" s="19" t="str">
        <f>TEXT(Table1[[#This Row],[Date]],"YYYY")</f>
        <v>2025</v>
      </c>
    </row>
    <row r="866" spans="1:21" hidden="1">
      <c r="A866" s="19">
        <v>45931</v>
      </c>
      <c r="B866" s="19" t="s">
        <v>258</v>
      </c>
      <c r="C866" s="4" t="s">
        <v>217</v>
      </c>
      <c r="D866" s="4" t="s">
        <v>195</v>
      </c>
      <c r="E866" s="4" t="s">
        <v>47</v>
      </c>
      <c r="H866" s="4">
        <v>30000</v>
      </c>
      <c r="J866" s="31">
        <v>45931</v>
      </c>
      <c r="K866" s="19" t="s">
        <v>220</v>
      </c>
      <c r="L866" s="19" t="s">
        <v>16</v>
      </c>
      <c r="M866" s="19" t="s">
        <v>538</v>
      </c>
      <c r="N866" s="19"/>
      <c r="O866" s="19"/>
      <c r="P866" s="19"/>
      <c r="Q866" s="19"/>
      <c r="R866" s="19"/>
      <c r="S866" s="19" t="str">
        <f>TEXT(Table1[[#This Row],[Date]],"MMM-YY")</f>
        <v>Oct-25</v>
      </c>
      <c r="T866" s="4">
        <f>_xlfn.ISOWEEKNUM(Table1[[#This Row],[Date]])</f>
        <v>40</v>
      </c>
      <c r="U866" s="19" t="str">
        <f>TEXT(Table1[[#This Row],[Date]],"YYYY")</f>
        <v>2025</v>
      </c>
    </row>
    <row r="867" spans="1:21" hidden="1">
      <c r="A867" s="19">
        <v>45931</v>
      </c>
      <c r="B867" s="19" t="s">
        <v>464</v>
      </c>
      <c r="C867" s="19" t="s">
        <v>217</v>
      </c>
      <c r="D867" s="19" t="s">
        <v>195</v>
      </c>
      <c r="E867" s="19" t="s">
        <v>61</v>
      </c>
      <c r="F867" s="19"/>
      <c r="H867" s="4">
        <v>30000</v>
      </c>
      <c r="J867" s="31">
        <v>45931</v>
      </c>
      <c r="K867" s="19" t="s">
        <v>220</v>
      </c>
      <c r="L867" s="19" t="s">
        <v>16</v>
      </c>
      <c r="M867" s="19" t="s">
        <v>538</v>
      </c>
      <c r="N867" s="19"/>
      <c r="O867" s="19"/>
      <c r="P867" s="19"/>
      <c r="Q867" s="19"/>
      <c r="R867" s="19"/>
      <c r="S867" s="19" t="str">
        <f>TEXT(Table1[[#This Row],[Date]],"MMM-YY")</f>
        <v>Oct-25</v>
      </c>
      <c r="T867" s="4">
        <f>_xlfn.ISOWEEKNUM(Table1[[#This Row],[Date]])</f>
        <v>40</v>
      </c>
      <c r="U867" s="19" t="str">
        <f>TEXT(Table1[[#This Row],[Date]],"YYYY")</f>
        <v>2025</v>
      </c>
    </row>
    <row r="868" spans="1:21" hidden="1">
      <c r="A868" s="19">
        <v>45931</v>
      </c>
      <c r="B868" s="19" t="s">
        <v>276</v>
      </c>
      <c r="C868" s="19" t="s">
        <v>217</v>
      </c>
      <c r="D868" s="19" t="s">
        <v>195</v>
      </c>
      <c r="E868" s="19" t="s">
        <v>67</v>
      </c>
      <c r="F868" s="19"/>
      <c r="H868" s="4">
        <v>30000</v>
      </c>
      <c r="J868" s="31">
        <v>45931</v>
      </c>
      <c r="K868" s="19" t="s">
        <v>220</v>
      </c>
      <c r="L868" s="19" t="s">
        <v>29</v>
      </c>
      <c r="M868" s="19" t="s">
        <v>235</v>
      </c>
      <c r="N868" s="19"/>
      <c r="O868" s="19"/>
      <c r="P868" s="19"/>
      <c r="Q868" s="19"/>
      <c r="R868" s="19"/>
      <c r="S868" s="19" t="str">
        <f>TEXT(Table1[[#This Row],[Date]],"MMM-YY")</f>
        <v>Oct-25</v>
      </c>
      <c r="T868" s="4">
        <f>_xlfn.ISOWEEKNUM(Table1[[#This Row],[Date]])</f>
        <v>40</v>
      </c>
      <c r="U868" s="19" t="str">
        <f>TEXT(Table1[[#This Row],[Date]],"YYYY")</f>
        <v>2025</v>
      </c>
    </row>
    <row r="869" spans="1:21" hidden="1">
      <c r="A869" s="19">
        <v>45931</v>
      </c>
      <c r="B869" s="19" t="s">
        <v>256</v>
      </c>
      <c r="C869" s="19" t="s">
        <v>217</v>
      </c>
      <c r="D869" s="19" t="s">
        <v>195</v>
      </c>
      <c r="E869" s="19" t="s">
        <v>26</v>
      </c>
      <c r="F869" s="19"/>
      <c r="H869" s="4">
        <v>30000</v>
      </c>
      <c r="J869" s="31">
        <v>45931</v>
      </c>
      <c r="K869" s="19" t="s">
        <v>220</v>
      </c>
      <c r="L869" s="19" t="s">
        <v>29</v>
      </c>
      <c r="M869" s="19" t="s">
        <v>235</v>
      </c>
      <c r="N869" s="19"/>
      <c r="O869" s="19"/>
      <c r="P869" s="19"/>
      <c r="Q869" s="19"/>
      <c r="R869" s="19"/>
      <c r="S869" s="19" t="str">
        <f>TEXT(Table1[[#This Row],[Date]],"MMM-YY")</f>
        <v>Oct-25</v>
      </c>
      <c r="T869" s="4">
        <f>_xlfn.ISOWEEKNUM(Table1[[#This Row],[Date]])</f>
        <v>40</v>
      </c>
      <c r="U869" s="19" t="str">
        <f>TEXT(Table1[[#This Row],[Date]],"YYYY")</f>
        <v>2025</v>
      </c>
    </row>
    <row r="870" spans="1:21" hidden="1">
      <c r="A870" s="19">
        <v>45931</v>
      </c>
      <c r="B870" s="19" t="s">
        <v>267</v>
      </c>
      <c r="C870" s="19" t="s">
        <v>217</v>
      </c>
      <c r="D870" s="19" t="s">
        <v>195</v>
      </c>
      <c r="E870" s="19" t="s">
        <v>32</v>
      </c>
      <c r="F870" s="19"/>
      <c r="H870" s="4">
        <v>35000</v>
      </c>
      <c r="J870" s="31">
        <v>45931</v>
      </c>
      <c r="K870" s="19" t="s">
        <v>220</v>
      </c>
      <c r="L870" s="19" t="s">
        <v>16</v>
      </c>
      <c r="M870" s="19" t="s">
        <v>538</v>
      </c>
      <c r="N870" s="19"/>
      <c r="O870" s="19"/>
      <c r="P870" s="19"/>
      <c r="Q870" s="19"/>
      <c r="R870" s="19"/>
      <c r="S870" s="19" t="str">
        <f>TEXT(Table1[[#This Row],[Date]],"MMM-YY")</f>
        <v>Oct-25</v>
      </c>
      <c r="T870" s="4">
        <f>_xlfn.ISOWEEKNUM(Table1[[#This Row],[Date]])</f>
        <v>40</v>
      </c>
      <c r="U870" s="19" t="str">
        <f>TEXT(Table1[[#This Row],[Date]],"YYYY")</f>
        <v>2025</v>
      </c>
    </row>
    <row r="871" spans="1:21" hidden="1">
      <c r="A871" s="19">
        <v>45931</v>
      </c>
      <c r="B871" s="19" t="s">
        <v>782</v>
      </c>
      <c r="C871" s="19" t="s">
        <v>217</v>
      </c>
      <c r="D871" s="19" t="s">
        <v>195</v>
      </c>
      <c r="E871" s="19" t="s">
        <v>53</v>
      </c>
      <c r="F871" s="19"/>
      <c r="H871" s="4">
        <v>40000</v>
      </c>
      <c r="J871" s="31">
        <v>45931</v>
      </c>
      <c r="K871" s="19" t="s">
        <v>220</v>
      </c>
      <c r="L871" s="19" t="s">
        <v>16</v>
      </c>
      <c r="M871" s="19" t="s">
        <v>538</v>
      </c>
      <c r="N871" s="19"/>
      <c r="O871" s="19"/>
      <c r="P871" s="19"/>
      <c r="Q871" s="19"/>
      <c r="R871" s="19"/>
      <c r="S871" s="19" t="str">
        <f>TEXT(Table1[[#This Row],[Date]],"MMM-YY")</f>
        <v>Oct-25</v>
      </c>
      <c r="T871" s="4">
        <f>_xlfn.ISOWEEKNUM(Table1[[#This Row],[Date]])</f>
        <v>40</v>
      </c>
      <c r="U871" s="19" t="str">
        <f>TEXT(Table1[[#This Row],[Date]],"YYYY")</f>
        <v>2025</v>
      </c>
    </row>
    <row r="872" spans="1:21" hidden="1">
      <c r="A872" s="19">
        <v>45931</v>
      </c>
      <c r="B872" s="19" t="s">
        <v>819</v>
      </c>
      <c r="C872" s="19" t="s">
        <v>217</v>
      </c>
      <c r="D872" s="19" t="s">
        <v>19</v>
      </c>
      <c r="E872" s="19" t="s">
        <v>19</v>
      </c>
      <c r="F872" s="19"/>
      <c r="H872" s="4">
        <v>40000</v>
      </c>
      <c r="J872" s="31">
        <v>45931</v>
      </c>
      <c r="K872" s="19" t="s">
        <v>220</v>
      </c>
      <c r="L872" s="19" t="s">
        <v>16</v>
      </c>
      <c r="M872" s="19" t="s">
        <v>538</v>
      </c>
      <c r="N872" s="19"/>
      <c r="O872" s="19"/>
      <c r="P872" s="19"/>
      <c r="Q872" s="19"/>
      <c r="R872" s="19"/>
      <c r="S872" s="19" t="str">
        <f>TEXT(Table1[[#This Row],[Date]],"MMM-YY")</f>
        <v>Oct-25</v>
      </c>
      <c r="T872" s="4">
        <f>_xlfn.ISOWEEKNUM(Table1[[#This Row],[Date]])</f>
        <v>40</v>
      </c>
      <c r="U872" s="19" t="str">
        <f>TEXT(Table1[[#This Row],[Date]],"YYYY")</f>
        <v>2025</v>
      </c>
    </row>
    <row r="873" spans="1:21" hidden="1">
      <c r="A873" s="19">
        <v>45931</v>
      </c>
      <c r="B873" s="19" t="s">
        <v>338</v>
      </c>
      <c r="C873" s="19" t="s">
        <v>217</v>
      </c>
      <c r="D873" s="19" t="s">
        <v>183</v>
      </c>
      <c r="E873" s="19" t="s">
        <v>193</v>
      </c>
      <c r="F873" s="19"/>
      <c r="H873" s="4">
        <v>50000</v>
      </c>
      <c r="J873" s="31">
        <v>45931</v>
      </c>
      <c r="K873" s="19" t="s">
        <v>220</v>
      </c>
      <c r="L873" s="19" t="s">
        <v>27</v>
      </c>
      <c r="M873" s="19" t="s">
        <v>235</v>
      </c>
      <c r="N873" s="19"/>
      <c r="O873" s="19"/>
      <c r="P873" s="19"/>
      <c r="Q873" s="19"/>
      <c r="R873" s="19"/>
      <c r="S873" s="19" t="str">
        <f>TEXT(Table1[[#This Row],[Date]],"MMM-YY")</f>
        <v>Oct-25</v>
      </c>
      <c r="T873" s="4">
        <f>_xlfn.ISOWEEKNUM(Table1[[#This Row],[Date]])</f>
        <v>40</v>
      </c>
      <c r="U873" s="19" t="str">
        <f>TEXT(Table1[[#This Row],[Date]],"YYYY")</f>
        <v>2025</v>
      </c>
    </row>
    <row r="874" spans="1:21" hidden="1">
      <c r="A874" s="19">
        <v>45931</v>
      </c>
      <c r="B874" s="19" t="s">
        <v>354</v>
      </c>
      <c r="C874" s="19" t="s">
        <v>217</v>
      </c>
      <c r="D874" s="19" t="s">
        <v>195</v>
      </c>
      <c r="E874" s="19" t="s">
        <v>26</v>
      </c>
      <c r="F874" s="19"/>
      <c r="H874" s="4">
        <v>50000</v>
      </c>
      <c r="J874" s="31">
        <v>45931</v>
      </c>
      <c r="K874" s="19" t="s">
        <v>220</v>
      </c>
      <c r="L874" s="19" t="s">
        <v>16</v>
      </c>
      <c r="M874" s="19" t="s">
        <v>538</v>
      </c>
      <c r="N874" s="19"/>
      <c r="O874" s="19"/>
      <c r="P874" s="19"/>
      <c r="Q874" s="19"/>
      <c r="R874" s="19"/>
      <c r="S874" s="19" t="str">
        <f>TEXT(Table1[[#This Row],[Date]],"MMM-YY")</f>
        <v>Oct-25</v>
      </c>
      <c r="T874" s="4">
        <f>_xlfn.ISOWEEKNUM(Table1[[#This Row],[Date]])</f>
        <v>40</v>
      </c>
      <c r="U874" s="19" t="str">
        <f>TEXT(Table1[[#This Row],[Date]],"YYYY")</f>
        <v>2025</v>
      </c>
    </row>
    <row r="875" spans="1:21" hidden="1">
      <c r="A875" s="19">
        <v>45931</v>
      </c>
      <c r="B875" s="19" t="s">
        <v>272</v>
      </c>
      <c r="C875" s="19" t="s">
        <v>217</v>
      </c>
      <c r="D875" s="19" t="s">
        <v>195</v>
      </c>
      <c r="E875" s="19" t="s">
        <v>61</v>
      </c>
      <c r="F875" s="19"/>
      <c r="H875" s="4">
        <v>50000</v>
      </c>
      <c r="J875" s="31">
        <v>45931</v>
      </c>
      <c r="K875" s="19" t="s">
        <v>220</v>
      </c>
      <c r="L875" s="19" t="s">
        <v>16</v>
      </c>
      <c r="M875" s="19" t="s">
        <v>538</v>
      </c>
      <c r="N875" s="19"/>
      <c r="O875" s="19"/>
      <c r="P875" s="19"/>
      <c r="Q875" s="19"/>
      <c r="R875" s="19"/>
      <c r="S875" s="19" t="str">
        <f>TEXT(Table1[[#This Row],[Date]],"MMM-YY")</f>
        <v>Oct-25</v>
      </c>
      <c r="T875" s="4">
        <f>_xlfn.ISOWEEKNUM(Table1[[#This Row],[Date]])</f>
        <v>40</v>
      </c>
      <c r="U875" s="19" t="str">
        <f>TEXT(Table1[[#This Row],[Date]],"YYYY")</f>
        <v>2025</v>
      </c>
    </row>
    <row r="876" spans="1:21" hidden="1">
      <c r="A876" s="19">
        <v>45931</v>
      </c>
      <c r="B876" s="19" t="s">
        <v>284</v>
      </c>
      <c r="C876" s="19" t="s">
        <v>217</v>
      </c>
      <c r="D876" s="19" t="s">
        <v>195</v>
      </c>
      <c r="E876" s="19" t="s">
        <v>61</v>
      </c>
      <c r="F876" s="19"/>
      <c r="H876" s="4">
        <v>50000</v>
      </c>
      <c r="J876" s="31">
        <v>45931</v>
      </c>
      <c r="K876" s="19" t="s">
        <v>220</v>
      </c>
      <c r="L876" s="19" t="s">
        <v>16</v>
      </c>
      <c r="M876" s="19" t="s">
        <v>538</v>
      </c>
      <c r="N876" s="19"/>
      <c r="O876" s="19"/>
      <c r="P876" s="19"/>
      <c r="Q876" s="19"/>
      <c r="R876" s="19"/>
      <c r="S876" s="19" t="str">
        <f>TEXT(Table1[[#This Row],[Date]],"MMM-YY")</f>
        <v>Oct-25</v>
      </c>
      <c r="T876" s="4">
        <f>_xlfn.ISOWEEKNUM(Table1[[#This Row],[Date]])</f>
        <v>40</v>
      </c>
      <c r="U876" s="19" t="str">
        <f>TEXT(Table1[[#This Row],[Date]],"YYYY")</f>
        <v>2025</v>
      </c>
    </row>
    <row r="877" spans="1:21" hidden="1">
      <c r="A877" s="19">
        <v>45931</v>
      </c>
      <c r="B877" s="19" t="s">
        <v>506</v>
      </c>
      <c r="C877" s="19" t="s">
        <v>217</v>
      </c>
      <c r="D877" s="19" t="s">
        <v>195</v>
      </c>
      <c r="E877" s="19" t="s">
        <v>53</v>
      </c>
      <c r="F877" s="19"/>
      <c r="H877" s="4">
        <v>50000</v>
      </c>
      <c r="J877" s="31">
        <v>45931</v>
      </c>
      <c r="K877" s="19" t="s">
        <v>220</v>
      </c>
      <c r="L877" s="19" t="s">
        <v>16</v>
      </c>
      <c r="M877" s="19" t="s">
        <v>538</v>
      </c>
      <c r="N877" s="19"/>
      <c r="O877" s="19"/>
      <c r="P877" s="19"/>
      <c r="Q877" s="19"/>
      <c r="R877" s="19"/>
      <c r="S877" s="19" t="str">
        <f>TEXT(Table1[[#This Row],[Date]],"MMM-YY")</f>
        <v>Oct-25</v>
      </c>
      <c r="T877" s="4">
        <f>_xlfn.ISOWEEKNUM(Table1[[#This Row],[Date]])</f>
        <v>40</v>
      </c>
      <c r="U877" s="19" t="str">
        <f>TEXT(Table1[[#This Row],[Date]],"YYYY")</f>
        <v>2025</v>
      </c>
    </row>
    <row r="878" spans="1:21" hidden="1">
      <c r="A878" s="19">
        <v>45931</v>
      </c>
      <c r="B878" s="19" t="s">
        <v>384</v>
      </c>
      <c r="C878" s="19" t="s">
        <v>217</v>
      </c>
      <c r="D878" s="19" t="s">
        <v>195</v>
      </c>
      <c r="E878" s="19" t="s">
        <v>87</v>
      </c>
      <c r="F878" s="19"/>
      <c r="G878" s="42"/>
      <c r="H878" s="4">
        <v>50000</v>
      </c>
      <c r="J878" s="31">
        <v>45931</v>
      </c>
      <c r="K878" s="19" t="s">
        <v>220</v>
      </c>
      <c r="L878" s="19" t="s">
        <v>29</v>
      </c>
      <c r="M878" s="19" t="s">
        <v>221</v>
      </c>
      <c r="N878" s="19"/>
      <c r="O878" s="19"/>
      <c r="P878" s="19"/>
      <c r="Q878" s="19"/>
      <c r="R878" s="19"/>
      <c r="S878" s="19" t="str">
        <f>TEXT(Table1[[#This Row],[Date]],"MMM-YY")</f>
        <v>Oct-25</v>
      </c>
      <c r="T878" s="4">
        <f>_xlfn.ISOWEEKNUM(Table1[[#This Row],[Date]])</f>
        <v>40</v>
      </c>
      <c r="U878" s="19" t="str">
        <f>TEXT(Table1[[#This Row],[Date]],"YYYY")</f>
        <v>2025</v>
      </c>
    </row>
    <row r="879" spans="1:21" hidden="1">
      <c r="A879" s="19">
        <v>45931</v>
      </c>
      <c r="B879" s="19" t="s">
        <v>254</v>
      </c>
      <c r="C879" s="19" t="s">
        <v>217</v>
      </c>
      <c r="D879" s="19" t="s">
        <v>195</v>
      </c>
      <c r="E879" s="19" t="s">
        <v>47</v>
      </c>
      <c r="F879" s="19"/>
      <c r="G879" s="42"/>
      <c r="H879" s="4">
        <v>20000</v>
      </c>
      <c r="J879" s="31">
        <v>45931</v>
      </c>
      <c r="K879" s="19" t="s">
        <v>220</v>
      </c>
      <c r="L879" s="19" t="s">
        <v>29</v>
      </c>
      <c r="M879" s="19" t="s">
        <v>235</v>
      </c>
      <c r="N879" s="19"/>
      <c r="O879" s="19"/>
      <c r="P879" s="19"/>
      <c r="Q879" s="19"/>
      <c r="R879" s="19"/>
      <c r="S879" s="19" t="str">
        <f>TEXT(Table1[[#This Row],[Date]],"MMM-YY")</f>
        <v>Oct-25</v>
      </c>
      <c r="T879" s="4">
        <f>_xlfn.ISOWEEKNUM(Table1[[#This Row],[Date]])</f>
        <v>40</v>
      </c>
      <c r="U879" s="19" t="str">
        <f>TEXT(Table1[[#This Row],[Date]],"YYYY")</f>
        <v>2025</v>
      </c>
    </row>
    <row r="880" spans="1:21" hidden="1">
      <c r="A880" s="19">
        <v>45931</v>
      </c>
      <c r="B880" s="19" t="s">
        <v>222</v>
      </c>
      <c r="C880" s="19" t="s">
        <v>217</v>
      </c>
      <c r="D880" s="19" t="s">
        <v>195</v>
      </c>
      <c r="E880" s="19" t="s">
        <v>41</v>
      </c>
      <c r="F880" s="19"/>
      <c r="G880" s="42"/>
      <c r="H880" s="4">
        <v>100000</v>
      </c>
      <c r="J880" s="31">
        <v>45931</v>
      </c>
      <c r="K880" s="19" t="s">
        <v>220</v>
      </c>
      <c r="L880" s="19" t="s">
        <v>16</v>
      </c>
      <c r="M880" s="19" t="s">
        <v>538</v>
      </c>
      <c r="N880" s="19"/>
      <c r="O880" s="19"/>
      <c r="P880" s="19"/>
      <c r="Q880" s="19"/>
      <c r="R880" s="19"/>
      <c r="S880" s="19" t="str">
        <f>TEXT(Table1[[#This Row],[Date]],"MMM-YY")</f>
        <v>Oct-25</v>
      </c>
      <c r="T880" s="4">
        <f>_xlfn.ISOWEEKNUM(Table1[[#This Row],[Date]])</f>
        <v>40</v>
      </c>
      <c r="U880" s="19" t="str">
        <f>TEXT(Table1[[#This Row],[Date]],"YYYY")</f>
        <v>2025</v>
      </c>
    </row>
    <row r="881" spans="1:21" hidden="1">
      <c r="A881" s="19">
        <v>45931</v>
      </c>
      <c r="B881" s="19" t="s">
        <v>732</v>
      </c>
      <c r="C881" s="19" t="s">
        <v>217</v>
      </c>
      <c r="D881" s="19" t="s">
        <v>195</v>
      </c>
      <c r="E881" s="19" t="s">
        <v>61</v>
      </c>
      <c r="F881" s="19"/>
      <c r="G881" s="42"/>
      <c r="H881" s="4">
        <v>100000</v>
      </c>
      <c r="J881" s="31">
        <v>45931</v>
      </c>
      <c r="K881" s="19" t="s">
        <v>220</v>
      </c>
      <c r="L881" s="19" t="s">
        <v>16</v>
      </c>
      <c r="M881" s="19" t="s">
        <v>538</v>
      </c>
      <c r="N881" s="19"/>
      <c r="O881" s="19"/>
      <c r="P881" s="19"/>
      <c r="Q881" s="19"/>
      <c r="R881" s="19"/>
      <c r="S881" s="19" t="str">
        <f>TEXT(Table1[[#This Row],[Date]],"MMM-YY")</f>
        <v>Oct-25</v>
      </c>
      <c r="T881" s="4">
        <f>_xlfn.ISOWEEKNUM(Table1[[#This Row],[Date]])</f>
        <v>40</v>
      </c>
      <c r="U881" s="19" t="str">
        <f>TEXT(Table1[[#This Row],[Date]],"YYYY")</f>
        <v>2025</v>
      </c>
    </row>
    <row r="882" spans="1:21" hidden="1">
      <c r="A882" s="19">
        <v>45931</v>
      </c>
      <c r="B882" s="19" t="s">
        <v>790</v>
      </c>
      <c r="C882" s="19" t="s">
        <v>217</v>
      </c>
      <c r="D882" s="19" t="s">
        <v>195</v>
      </c>
      <c r="E882" s="19" t="s">
        <v>61</v>
      </c>
      <c r="F882" s="19"/>
      <c r="G882" s="42"/>
      <c r="H882" s="4">
        <v>100000</v>
      </c>
      <c r="J882" s="31">
        <v>45931</v>
      </c>
      <c r="K882" s="19" t="s">
        <v>220</v>
      </c>
      <c r="L882" s="19" t="s">
        <v>29</v>
      </c>
      <c r="M882" s="19" t="s">
        <v>221</v>
      </c>
      <c r="N882" s="19"/>
      <c r="O882" s="19"/>
      <c r="P882" s="19"/>
      <c r="Q882" s="19"/>
      <c r="R882" s="19"/>
      <c r="S882" s="19" t="str">
        <f>TEXT(Table1[[#This Row],[Date]],"MMM-YY")</f>
        <v>Oct-25</v>
      </c>
      <c r="T882" s="4">
        <f>_xlfn.ISOWEEKNUM(Table1[[#This Row],[Date]])</f>
        <v>40</v>
      </c>
      <c r="U882" s="19" t="str">
        <f>TEXT(Table1[[#This Row],[Date]],"YYYY")</f>
        <v>2025</v>
      </c>
    </row>
    <row r="883" spans="1:21" hidden="1">
      <c r="A883" s="19">
        <v>45931</v>
      </c>
      <c r="B883" s="19" t="s">
        <v>458</v>
      </c>
      <c r="C883" s="19" t="s">
        <v>217</v>
      </c>
      <c r="D883" s="19" t="s">
        <v>195</v>
      </c>
      <c r="E883" s="19" t="s">
        <v>145</v>
      </c>
      <c r="F883" s="19"/>
      <c r="G883" s="42"/>
      <c r="H883" s="4">
        <v>100000</v>
      </c>
      <c r="J883" s="31">
        <v>45931</v>
      </c>
      <c r="K883" s="19" t="s">
        <v>220</v>
      </c>
      <c r="L883" s="19" t="s">
        <v>16</v>
      </c>
      <c r="M883" s="19" t="s">
        <v>538</v>
      </c>
      <c r="N883" s="19"/>
      <c r="O883" s="19"/>
      <c r="P883" s="19"/>
      <c r="Q883" s="19"/>
      <c r="R883" s="19"/>
      <c r="S883" s="19" t="str">
        <f>TEXT(Table1[[#This Row],[Date]],"MMM-YY")</f>
        <v>Oct-25</v>
      </c>
      <c r="T883" s="4">
        <f>_xlfn.ISOWEEKNUM(Table1[[#This Row],[Date]])</f>
        <v>40</v>
      </c>
      <c r="U883" s="19" t="str">
        <f>TEXT(Table1[[#This Row],[Date]],"YYYY")</f>
        <v>2025</v>
      </c>
    </row>
    <row r="884" spans="1:21" hidden="1">
      <c r="A884" s="19">
        <v>45931</v>
      </c>
      <c r="B884" s="19" t="s">
        <v>641</v>
      </c>
      <c r="C884" s="19" t="s">
        <v>217</v>
      </c>
      <c r="D884" s="19" t="s">
        <v>163</v>
      </c>
      <c r="E884" s="19" t="s">
        <v>163</v>
      </c>
      <c r="F884" s="19"/>
      <c r="G884" s="42"/>
      <c r="H884" s="4">
        <v>100000</v>
      </c>
      <c r="J884" s="31">
        <v>45931</v>
      </c>
      <c r="K884" s="19" t="s">
        <v>220</v>
      </c>
      <c r="L884" s="19" t="s">
        <v>16</v>
      </c>
      <c r="M884" s="19" t="s">
        <v>221</v>
      </c>
      <c r="N884" s="19"/>
      <c r="O884" s="19"/>
      <c r="P884" s="19"/>
      <c r="Q884" s="19"/>
      <c r="R884" s="19"/>
      <c r="S884" s="19" t="str">
        <f>TEXT(Table1[[#This Row],[Date]],"MMM-YY")</f>
        <v>Oct-25</v>
      </c>
      <c r="T884" s="4">
        <f>_xlfn.ISOWEEKNUM(Table1[[#This Row],[Date]])</f>
        <v>40</v>
      </c>
      <c r="U884" s="19" t="str">
        <f>TEXT(Table1[[#This Row],[Date]],"YYYY")</f>
        <v>2025</v>
      </c>
    </row>
    <row r="885" spans="1:21" hidden="1">
      <c r="A885" s="19">
        <v>45931</v>
      </c>
      <c r="B885" s="19" t="s">
        <v>348</v>
      </c>
      <c r="C885" s="19" t="s">
        <v>217</v>
      </c>
      <c r="D885" s="19" t="s">
        <v>195</v>
      </c>
      <c r="E885" s="19" t="s">
        <v>87</v>
      </c>
      <c r="F885" s="19"/>
      <c r="G885" s="42"/>
      <c r="H885" s="4">
        <v>150000</v>
      </c>
      <c r="J885" s="31">
        <v>45931</v>
      </c>
      <c r="K885" s="19" t="s">
        <v>220</v>
      </c>
      <c r="L885" s="19" t="s">
        <v>29</v>
      </c>
      <c r="M885" s="19" t="s">
        <v>538</v>
      </c>
      <c r="N885" s="19"/>
      <c r="O885" s="19"/>
      <c r="P885" s="19"/>
      <c r="Q885" s="19"/>
      <c r="R885" s="19"/>
      <c r="S885" s="19" t="str">
        <f>TEXT(Table1[[#This Row],[Date]],"MMM-YY")</f>
        <v>Oct-25</v>
      </c>
      <c r="T885" s="4">
        <f>_xlfn.ISOWEEKNUM(Table1[[#This Row],[Date]])</f>
        <v>40</v>
      </c>
      <c r="U885" s="19" t="str">
        <f>TEXT(Table1[[#This Row],[Date]],"YYYY")</f>
        <v>2025</v>
      </c>
    </row>
    <row r="886" spans="1:21" hidden="1">
      <c r="A886" s="19">
        <v>45931</v>
      </c>
      <c r="B886" s="19" t="s">
        <v>880</v>
      </c>
      <c r="C886" s="19" t="s">
        <v>217</v>
      </c>
      <c r="D886" s="19" t="s">
        <v>183</v>
      </c>
      <c r="E886" s="19" t="s">
        <v>21</v>
      </c>
      <c r="F886" s="19" t="s">
        <v>753</v>
      </c>
      <c r="G886" s="42"/>
      <c r="H886" s="4">
        <v>200000</v>
      </c>
      <c r="J886" s="31">
        <v>45931</v>
      </c>
      <c r="K886" s="19" t="s">
        <v>220</v>
      </c>
      <c r="L886" s="19" t="s">
        <v>29</v>
      </c>
      <c r="M886" s="19" t="s">
        <v>235</v>
      </c>
      <c r="N886" s="19"/>
      <c r="O886" s="19"/>
      <c r="P886" s="19"/>
      <c r="Q886" s="19"/>
      <c r="R886" s="19"/>
      <c r="S886" s="19" t="str">
        <f>TEXT(Table1[[#This Row],[Date]],"MMM-YY")</f>
        <v>Oct-25</v>
      </c>
      <c r="T886" s="4">
        <f>_xlfn.ISOWEEKNUM(Table1[[#This Row],[Date]])</f>
        <v>40</v>
      </c>
      <c r="U886" s="19" t="str">
        <f>TEXT(Table1[[#This Row],[Date]],"YYYY")</f>
        <v>2025</v>
      </c>
    </row>
    <row r="887" spans="1:21" hidden="1">
      <c r="A887" s="19">
        <v>45931</v>
      </c>
      <c r="B887" s="19" t="s">
        <v>881</v>
      </c>
      <c r="C887" s="19" t="s">
        <v>217</v>
      </c>
      <c r="D887" s="19" t="s">
        <v>183</v>
      </c>
      <c r="E887" s="19" t="s">
        <v>21</v>
      </c>
      <c r="F887" s="19" t="s">
        <v>640</v>
      </c>
      <c r="G887" s="42"/>
      <c r="H887" s="4">
        <v>200000</v>
      </c>
      <c r="J887" s="31">
        <v>45931</v>
      </c>
      <c r="K887" s="19" t="s">
        <v>220</v>
      </c>
      <c r="L887" s="19" t="s">
        <v>27</v>
      </c>
      <c r="M887" s="19" t="s">
        <v>235</v>
      </c>
      <c r="N887" s="19"/>
      <c r="O887" s="19"/>
      <c r="P887" s="19"/>
      <c r="Q887" s="19"/>
      <c r="R887" s="19"/>
      <c r="S887" s="19" t="str">
        <f>TEXT(Table1[[#This Row],[Date]],"MMM-YY")</f>
        <v>Oct-25</v>
      </c>
      <c r="T887" s="4">
        <f>_xlfn.ISOWEEKNUM(Table1[[#This Row],[Date]])</f>
        <v>40</v>
      </c>
      <c r="U887" s="19" t="str">
        <f>TEXT(Table1[[#This Row],[Date]],"YYYY")</f>
        <v>2025</v>
      </c>
    </row>
    <row r="888" spans="1:21" hidden="1">
      <c r="A888" s="19">
        <v>45931</v>
      </c>
      <c r="B888" s="19" t="s">
        <v>230</v>
      </c>
      <c r="C888" s="19" t="s">
        <v>217</v>
      </c>
      <c r="D888" s="19" t="s">
        <v>183</v>
      </c>
      <c r="E888" s="19" t="s">
        <v>193</v>
      </c>
      <c r="F888" s="19" t="s">
        <v>437</v>
      </c>
      <c r="G888" s="42"/>
      <c r="H888" s="4">
        <v>300000</v>
      </c>
      <c r="J888" s="31">
        <v>45931</v>
      </c>
      <c r="K888" s="19" t="s">
        <v>220</v>
      </c>
      <c r="L888" s="19" t="s">
        <v>27</v>
      </c>
      <c r="M888" s="19" t="s">
        <v>235</v>
      </c>
      <c r="N888" s="19"/>
      <c r="O888" s="19"/>
      <c r="P888" s="19"/>
      <c r="Q888" s="19"/>
      <c r="R888" s="19"/>
      <c r="S888" s="19" t="str">
        <f>TEXT(Table1[[#This Row],[Date]],"MMM-YY")</f>
        <v>Oct-25</v>
      </c>
      <c r="T888" s="4">
        <f>_xlfn.ISOWEEKNUM(Table1[[#This Row],[Date]])</f>
        <v>40</v>
      </c>
      <c r="U888" s="19" t="str">
        <f>TEXT(Table1[[#This Row],[Date]],"YYYY")</f>
        <v>2025</v>
      </c>
    </row>
    <row r="889" spans="1:21" hidden="1">
      <c r="A889" s="19">
        <v>45931</v>
      </c>
      <c r="B889" s="19" t="s">
        <v>335</v>
      </c>
      <c r="C889" s="19" t="s">
        <v>217</v>
      </c>
      <c r="D889" s="19" t="s">
        <v>183</v>
      </c>
      <c r="E889" s="19" t="s">
        <v>193</v>
      </c>
      <c r="F889" s="19" t="s">
        <v>843</v>
      </c>
      <c r="G889" s="42"/>
      <c r="H889" s="4">
        <v>400000</v>
      </c>
      <c r="J889" s="31">
        <v>45931</v>
      </c>
      <c r="K889" s="19" t="s">
        <v>220</v>
      </c>
      <c r="L889" s="19" t="s">
        <v>29</v>
      </c>
      <c r="M889" s="19" t="s">
        <v>235</v>
      </c>
      <c r="N889" s="19"/>
      <c r="O889" s="19"/>
      <c r="P889" s="19"/>
      <c r="Q889" s="19"/>
      <c r="R889" s="19"/>
      <c r="S889" s="19" t="str">
        <f>TEXT(Table1[[#This Row],[Date]],"MMM-YY")</f>
        <v>Oct-25</v>
      </c>
      <c r="T889" s="4">
        <f>_xlfn.ISOWEEKNUM(Table1[[#This Row],[Date]])</f>
        <v>40</v>
      </c>
      <c r="U889" s="19" t="str">
        <f>TEXT(Table1[[#This Row],[Date]],"YYYY")</f>
        <v>2025</v>
      </c>
    </row>
    <row r="890" spans="1:21" hidden="1">
      <c r="A890" s="19">
        <v>45931</v>
      </c>
      <c r="B890" s="4" t="s">
        <v>818</v>
      </c>
      <c r="C890" s="4" t="s">
        <v>217</v>
      </c>
      <c r="D890" s="4" t="s">
        <v>195</v>
      </c>
      <c r="E890" s="4" t="s">
        <v>195</v>
      </c>
      <c r="F890" s="19" t="s">
        <v>257</v>
      </c>
      <c r="G890" s="42"/>
      <c r="H890" s="4">
        <v>15000</v>
      </c>
      <c r="J890" s="31">
        <v>45962</v>
      </c>
      <c r="K890" s="19" t="s">
        <v>220</v>
      </c>
      <c r="L890" s="19" t="s">
        <v>16</v>
      </c>
      <c r="M890" s="19" t="s">
        <v>538</v>
      </c>
      <c r="N890" s="19"/>
      <c r="O890" s="19"/>
      <c r="P890" s="19"/>
      <c r="Q890" s="19"/>
      <c r="R890" s="19"/>
      <c r="S890" s="19" t="str">
        <f>TEXT(Table1[[#This Row],[Date]],"MMM-YY")</f>
        <v>Oct-25</v>
      </c>
      <c r="T890" s="4">
        <f>_xlfn.ISOWEEKNUM(Table1[[#This Row],[Date]])</f>
        <v>40</v>
      </c>
      <c r="U890" s="19" t="str">
        <f>TEXT(Table1[[#This Row],[Date]],"YYYY")</f>
        <v>2025</v>
      </c>
    </row>
    <row r="891" spans="1:21" hidden="1">
      <c r="A891" s="19">
        <v>45931</v>
      </c>
      <c r="B891" s="4" t="s">
        <v>411</v>
      </c>
      <c r="C891" s="4" t="s">
        <v>217</v>
      </c>
      <c r="D891" s="4" t="s">
        <v>195</v>
      </c>
      <c r="E891" s="4" t="s">
        <v>195</v>
      </c>
      <c r="F891" s="19" t="s">
        <v>412</v>
      </c>
      <c r="G891" s="42"/>
      <c r="H891" s="4">
        <v>15000</v>
      </c>
      <c r="J891" s="31">
        <v>45962</v>
      </c>
      <c r="K891" s="19" t="s">
        <v>220</v>
      </c>
      <c r="L891" s="19" t="s">
        <v>16</v>
      </c>
      <c r="M891" s="19" t="s">
        <v>538</v>
      </c>
      <c r="N891" s="19"/>
      <c r="O891" s="19"/>
      <c r="P891" s="19"/>
      <c r="Q891" s="19"/>
      <c r="R891" s="19"/>
      <c r="S891" s="19" t="str">
        <f>TEXT(Table1[[#This Row],[Date]],"MMM-YY")</f>
        <v>Oct-25</v>
      </c>
      <c r="T891" s="4">
        <f>_xlfn.ISOWEEKNUM(Table1[[#This Row],[Date]])</f>
        <v>40</v>
      </c>
      <c r="U891" s="19" t="str">
        <f>TEXT(Table1[[#This Row],[Date]],"YYYY")</f>
        <v>2025</v>
      </c>
    </row>
    <row r="892" spans="1:21" hidden="1">
      <c r="A892" s="19">
        <v>45931</v>
      </c>
      <c r="B892" s="4" t="s">
        <v>455</v>
      </c>
      <c r="C892" s="4" t="s">
        <v>217</v>
      </c>
      <c r="D892" s="4" t="s">
        <v>195</v>
      </c>
      <c r="E892" s="4" t="s">
        <v>195</v>
      </c>
      <c r="F892" s="19" t="s">
        <v>882</v>
      </c>
      <c r="G892" s="42"/>
      <c r="H892" s="4">
        <v>20000</v>
      </c>
      <c r="J892" s="31">
        <v>45962</v>
      </c>
      <c r="K892" s="19" t="s">
        <v>220</v>
      </c>
      <c r="L892" s="19" t="s">
        <v>16</v>
      </c>
      <c r="M892" s="19" t="s">
        <v>538</v>
      </c>
      <c r="N892" s="19"/>
      <c r="O892" s="19"/>
      <c r="P892" s="19"/>
      <c r="Q892" s="19"/>
      <c r="R892" s="19"/>
      <c r="S892" s="19" t="str">
        <f>TEXT(Table1[[#This Row],[Date]],"MMM-YY")</f>
        <v>Oct-25</v>
      </c>
      <c r="T892" s="4">
        <f>_xlfn.ISOWEEKNUM(Table1[[#This Row],[Date]])</f>
        <v>40</v>
      </c>
      <c r="U892" s="19" t="str">
        <f>TEXT(Table1[[#This Row],[Date]],"YYYY")</f>
        <v>2025</v>
      </c>
    </row>
    <row r="893" spans="1:21" hidden="1">
      <c r="A893" s="19">
        <v>45931</v>
      </c>
      <c r="B893" s="4" t="s">
        <v>378</v>
      </c>
      <c r="C893" s="4" t="s">
        <v>217</v>
      </c>
      <c r="D893" s="4" t="s">
        <v>195</v>
      </c>
      <c r="E893" s="4" t="s">
        <v>195</v>
      </c>
      <c r="F893" s="19" t="s">
        <v>379</v>
      </c>
      <c r="G893" s="42"/>
      <c r="H893" s="4">
        <v>20000</v>
      </c>
      <c r="J893" s="31">
        <v>45962</v>
      </c>
      <c r="K893" s="19" t="s">
        <v>220</v>
      </c>
      <c r="L893" s="19" t="s">
        <v>16</v>
      </c>
      <c r="M893" s="19" t="s">
        <v>538</v>
      </c>
      <c r="N893" s="19"/>
      <c r="O893" s="19"/>
      <c r="P893" s="19"/>
      <c r="Q893" s="19"/>
      <c r="R893" s="19"/>
      <c r="S893" s="19" t="str">
        <f>TEXT(Table1[[#This Row],[Date]],"MMM-YY")</f>
        <v>Oct-25</v>
      </c>
      <c r="T893" s="4">
        <f>_xlfn.ISOWEEKNUM(Table1[[#This Row],[Date]])</f>
        <v>40</v>
      </c>
      <c r="U893" s="19" t="str">
        <f>TEXT(Table1[[#This Row],[Date]],"YYYY")</f>
        <v>2025</v>
      </c>
    </row>
    <row r="894" spans="1:21" hidden="1">
      <c r="A894" s="19">
        <v>45931</v>
      </c>
      <c r="B894" s="4" t="s">
        <v>821</v>
      </c>
      <c r="C894" s="4" t="s">
        <v>217</v>
      </c>
      <c r="D894" s="4" t="s">
        <v>195</v>
      </c>
      <c r="E894" s="4" t="s">
        <v>79</v>
      </c>
      <c r="F894" s="19" t="s">
        <v>680</v>
      </c>
      <c r="G894" s="42"/>
      <c r="H894" s="4">
        <v>20000</v>
      </c>
      <c r="J894" s="31">
        <v>45962</v>
      </c>
      <c r="K894" s="19" t="s">
        <v>220</v>
      </c>
      <c r="L894" s="19" t="s">
        <v>16</v>
      </c>
      <c r="M894" s="19" t="s">
        <v>538</v>
      </c>
      <c r="N894" s="19"/>
      <c r="O894" s="19"/>
      <c r="P894" s="19"/>
      <c r="Q894" s="19"/>
      <c r="R894" s="19"/>
      <c r="S894" s="19" t="str">
        <f>TEXT(Table1[[#This Row],[Date]],"MMM-YY")</f>
        <v>Oct-25</v>
      </c>
      <c r="T894" s="4">
        <f>_xlfn.ISOWEEKNUM(Table1[[#This Row],[Date]])</f>
        <v>40</v>
      </c>
      <c r="U894" s="19" t="str">
        <f>TEXT(Table1[[#This Row],[Date]],"YYYY")</f>
        <v>2025</v>
      </c>
    </row>
    <row r="895" spans="1:21" hidden="1">
      <c r="A895" s="19">
        <v>45931</v>
      </c>
      <c r="B895" s="4" t="s">
        <v>365</v>
      </c>
      <c r="C895" s="4" t="s">
        <v>217</v>
      </c>
      <c r="D895" s="4" t="s">
        <v>195</v>
      </c>
      <c r="E895" s="4" t="s">
        <v>195</v>
      </c>
      <c r="F895" s="19" t="s">
        <v>366</v>
      </c>
      <c r="G895" s="42"/>
      <c r="H895" s="4">
        <v>25000</v>
      </c>
      <c r="J895" s="31">
        <v>45962</v>
      </c>
      <c r="K895" s="19" t="s">
        <v>220</v>
      </c>
      <c r="L895" s="19" t="s">
        <v>16</v>
      </c>
      <c r="M895" s="19" t="s">
        <v>538</v>
      </c>
      <c r="N895" s="19"/>
      <c r="O895" s="19"/>
      <c r="P895" s="19"/>
      <c r="Q895" s="19"/>
      <c r="R895" s="19"/>
      <c r="S895" s="19" t="str">
        <f>TEXT(Table1[[#This Row],[Date]],"MMM-YY")</f>
        <v>Oct-25</v>
      </c>
      <c r="T895" s="4">
        <f>_xlfn.ISOWEEKNUM(Table1[[#This Row],[Date]])</f>
        <v>40</v>
      </c>
      <c r="U895" s="19" t="str">
        <f>TEXT(Table1[[#This Row],[Date]],"YYYY")</f>
        <v>2025</v>
      </c>
    </row>
    <row r="896" spans="1:21" hidden="1">
      <c r="A896" s="19">
        <v>45931</v>
      </c>
      <c r="B896" s="4" t="s">
        <v>469</v>
      </c>
      <c r="C896" s="4" t="s">
        <v>217</v>
      </c>
      <c r="D896" s="4" t="s">
        <v>195</v>
      </c>
      <c r="E896" s="4" t="s">
        <v>183</v>
      </c>
      <c r="F896" s="19" t="s">
        <v>470</v>
      </c>
      <c r="G896" s="42"/>
      <c r="H896" s="4">
        <v>30000</v>
      </c>
      <c r="J896" s="31">
        <v>45962</v>
      </c>
      <c r="K896" s="19" t="s">
        <v>220</v>
      </c>
      <c r="L896" s="19" t="s">
        <v>16</v>
      </c>
      <c r="M896" s="19" t="s">
        <v>538</v>
      </c>
      <c r="N896" s="19"/>
      <c r="O896" s="19"/>
      <c r="P896" s="19"/>
      <c r="Q896" s="19"/>
      <c r="R896" s="19"/>
      <c r="S896" s="19" t="str">
        <f>TEXT(Table1[[#This Row],[Date]],"MMM-YY")</f>
        <v>Oct-25</v>
      </c>
      <c r="T896" s="4">
        <f>_xlfn.ISOWEEKNUM(Table1[[#This Row],[Date]])</f>
        <v>40</v>
      </c>
      <c r="U896" s="19" t="str">
        <f>TEXT(Table1[[#This Row],[Date]],"YYYY")</f>
        <v>2025</v>
      </c>
    </row>
    <row r="897" spans="1:21" hidden="1">
      <c r="A897" s="19">
        <v>45931</v>
      </c>
      <c r="B897" s="4" t="s">
        <v>439</v>
      </c>
      <c r="C897" s="4" t="s">
        <v>217</v>
      </c>
      <c r="D897" s="4" t="s">
        <v>195</v>
      </c>
      <c r="E897" s="4" t="s">
        <v>183</v>
      </c>
      <c r="F897" s="19" t="s">
        <v>857</v>
      </c>
      <c r="G897" s="42"/>
      <c r="H897" s="4">
        <v>30000</v>
      </c>
      <c r="J897" s="31">
        <v>45962</v>
      </c>
      <c r="K897" s="19" t="s">
        <v>220</v>
      </c>
      <c r="L897" s="19" t="s">
        <v>16</v>
      </c>
      <c r="M897" s="19" t="s">
        <v>538</v>
      </c>
      <c r="N897" s="19"/>
      <c r="O897" s="19"/>
      <c r="P897" s="19"/>
      <c r="Q897" s="19"/>
      <c r="R897" s="19"/>
      <c r="S897" s="19" t="str">
        <f>TEXT(Table1[[#This Row],[Date]],"MMM-YY")</f>
        <v>Oct-25</v>
      </c>
      <c r="T897" s="4">
        <f>_xlfn.ISOWEEKNUM(Table1[[#This Row],[Date]])</f>
        <v>40</v>
      </c>
      <c r="U897" s="19" t="str">
        <f>TEXT(Table1[[#This Row],[Date]],"YYYY")</f>
        <v>2025</v>
      </c>
    </row>
    <row r="898" spans="1:21" hidden="1">
      <c r="A898" s="19">
        <v>45931</v>
      </c>
      <c r="B898" s="4" t="s">
        <v>263</v>
      </c>
      <c r="C898" s="4" t="s">
        <v>217</v>
      </c>
      <c r="D898" s="4" t="s">
        <v>195</v>
      </c>
      <c r="E898" s="4" t="s">
        <v>183</v>
      </c>
      <c r="F898" s="19" t="s">
        <v>883</v>
      </c>
      <c r="G898" s="42"/>
      <c r="H898" s="4">
        <v>50000</v>
      </c>
      <c r="J898" s="31">
        <v>45962</v>
      </c>
      <c r="K898" s="19" t="s">
        <v>220</v>
      </c>
      <c r="L898" s="19" t="s">
        <v>16</v>
      </c>
      <c r="M898" s="19" t="s">
        <v>538</v>
      </c>
      <c r="N898" s="19"/>
      <c r="O898" s="19"/>
      <c r="P898" s="19"/>
      <c r="Q898" s="19"/>
      <c r="R898" s="19"/>
      <c r="S898" s="19" t="str">
        <f>TEXT(Table1[[#This Row],[Date]],"MMM-YY")</f>
        <v>Oct-25</v>
      </c>
      <c r="T898" s="4">
        <f>_xlfn.ISOWEEKNUM(Table1[[#This Row],[Date]])</f>
        <v>40</v>
      </c>
      <c r="U898" s="19" t="str">
        <f>TEXT(Table1[[#This Row],[Date]],"YYYY")</f>
        <v>2025</v>
      </c>
    </row>
    <row r="899" spans="1:21" hidden="1">
      <c r="A899" s="19">
        <v>45931</v>
      </c>
      <c r="B899" s="4" t="s">
        <v>802</v>
      </c>
      <c r="C899" s="4" t="s">
        <v>217</v>
      </c>
      <c r="D899" s="4" t="s">
        <v>195</v>
      </c>
      <c r="E899" s="4" t="s">
        <v>183</v>
      </c>
      <c r="F899" s="19" t="s">
        <v>884</v>
      </c>
      <c r="G899" s="42"/>
      <c r="H899" s="4">
        <v>30000</v>
      </c>
      <c r="J899" s="31">
        <v>45962</v>
      </c>
      <c r="K899" s="19" t="s">
        <v>220</v>
      </c>
      <c r="L899" s="19" t="s">
        <v>16</v>
      </c>
      <c r="M899" s="19" t="s">
        <v>538</v>
      </c>
      <c r="N899" s="19"/>
      <c r="O899" s="19"/>
      <c r="P899" s="19"/>
      <c r="Q899" s="19"/>
      <c r="R899" s="19"/>
      <c r="S899" s="19" t="str">
        <f>TEXT(Table1[[#This Row],[Date]],"MMM-YY")</f>
        <v>Oct-25</v>
      </c>
      <c r="T899" s="4">
        <f>_xlfn.ISOWEEKNUM(Table1[[#This Row],[Date]])</f>
        <v>40</v>
      </c>
      <c r="U899" s="19" t="str">
        <f>TEXT(Table1[[#This Row],[Date]],"YYYY")</f>
        <v>2025</v>
      </c>
    </row>
    <row r="900" spans="1:21" hidden="1">
      <c r="A900" s="19">
        <v>45931</v>
      </c>
      <c r="B900" s="4" t="s">
        <v>282</v>
      </c>
      <c r="C900" s="4" t="s">
        <v>217</v>
      </c>
      <c r="D900" s="4" t="s">
        <v>195</v>
      </c>
      <c r="E900" s="4" t="s">
        <v>195</v>
      </c>
      <c r="F900" s="19" t="s">
        <v>283</v>
      </c>
      <c r="G900" s="42"/>
      <c r="H900" s="4">
        <v>30000</v>
      </c>
      <c r="J900" s="31">
        <v>45962</v>
      </c>
      <c r="K900" s="19" t="s">
        <v>220</v>
      </c>
      <c r="L900" s="19" t="s">
        <v>16</v>
      </c>
      <c r="M900" s="19" t="s">
        <v>538</v>
      </c>
      <c r="N900" s="19"/>
      <c r="O900" s="19"/>
      <c r="P900" s="19"/>
      <c r="Q900" s="19"/>
      <c r="R900" s="19"/>
      <c r="S900" s="19" t="str">
        <f>TEXT(Table1[[#This Row],[Date]],"MMM-YY")</f>
        <v>Oct-25</v>
      </c>
      <c r="T900" s="4">
        <f>_xlfn.ISOWEEKNUM(Table1[[#This Row],[Date]])</f>
        <v>40</v>
      </c>
      <c r="U900" s="19" t="str">
        <f>TEXT(Table1[[#This Row],[Date]],"YYYY")</f>
        <v>2025</v>
      </c>
    </row>
    <row r="901" spans="1:21" hidden="1">
      <c r="A901" s="19">
        <v>45931</v>
      </c>
      <c r="B901" s="4" t="s">
        <v>258</v>
      </c>
      <c r="C901" s="4" t="s">
        <v>217</v>
      </c>
      <c r="D901" s="4" t="s">
        <v>195</v>
      </c>
      <c r="E901" s="4" t="s">
        <v>195</v>
      </c>
      <c r="F901" s="19" t="s">
        <v>246</v>
      </c>
      <c r="G901" s="42"/>
      <c r="H901" s="4">
        <v>30000</v>
      </c>
      <c r="J901" s="31">
        <v>45962</v>
      </c>
      <c r="K901" s="19" t="s">
        <v>220</v>
      </c>
      <c r="L901" s="19" t="s">
        <v>16</v>
      </c>
      <c r="M901" s="19" t="s">
        <v>538</v>
      </c>
      <c r="N901" s="19"/>
      <c r="O901" s="19"/>
      <c r="P901" s="19"/>
      <c r="Q901" s="19"/>
      <c r="R901" s="19"/>
      <c r="S901" s="19" t="str">
        <f>TEXT(Table1[[#This Row],[Date]],"MMM-YY")</f>
        <v>Oct-25</v>
      </c>
      <c r="T901" s="4">
        <f>_xlfn.ISOWEEKNUM(Table1[[#This Row],[Date]])</f>
        <v>40</v>
      </c>
      <c r="U901" s="19" t="str">
        <f>TEXT(Table1[[#This Row],[Date]],"YYYY")</f>
        <v>2025</v>
      </c>
    </row>
    <row r="902" spans="1:21" hidden="1">
      <c r="A902" s="19">
        <v>45931</v>
      </c>
      <c r="B902" s="4" t="s">
        <v>276</v>
      </c>
      <c r="C902" s="4" t="s">
        <v>217</v>
      </c>
      <c r="D902" s="4" t="s">
        <v>195</v>
      </c>
      <c r="E902" s="4" t="s">
        <v>195</v>
      </c>
      <c r="F902" s="19" t="s">
        <v>885</v>
      </c>
      <c r="G902" s="42"/>
      <c r="H902" s="4">
        <v>30000</v>
      </c>
      <c r="J902" s="31">
        <v>45962</v>
      </c>
      <c r="K902" s="19" t="s">
        <v>220</v>
      </c>
      <c r="L902" s="19" t="s">
        <v>16</v>
      </c>
      <c r="M902" s="19" t="s">
        <v>538</v>
      </c>
      <c r="N902" s="19"/>
      <c r="O902" s="19"/>
      <c r="P902" s="19"/>
      <c r="Q902" s="19"/>
      <c r="R902" s="19"/>
      <c r="S902" s="19" t="str">
        <f>TEXT(Table1[[#This Row],[Date]],"MMM-YY")</f>
        <v>Oct-25</v>
      </c>
      <c r="T902" s="4">
        <f>_xlfn.ISOWEEKNUM(Table1[[#This Row],[Date]])</f>
        <v>40</v>
      </c>
      <c r="U902" s="19" t="str">
        <f>TEXT(Table1[[#This Row],[Date]],"YYYY")</f>
        <v>2025</v>
      </c>
    </row>
    <row r="903" spans="1:21" hidden="1">
      <c r="A903" s="19">
        <v>45931</v>
      </c>
      <c r="B903" s="4" t="s">
        <v>256</v>
      </c>
      <c r="C903" s="4" t="s">
        <v>217</v>
      </c>
      <c r="D903" s="4" t="s">
        <v>195</v>
      </c>
      <c r="E903" s="4" t="s">
        <v>195</v>
      </c>
      <c r="F903" s="19" t="s">
        <v>257</v>
      </c>
      <c r="G903" s="42"/>
      <c r="H903" s="4">
        <v>30000</v>
      </c>
      <c r="J903" s="31">
        <v>45962</v>
      </c>
      <c r="K903" s="19" t="s">
        <v>220</v>
      </c>
      <c r="L903" s="19" t="s">
        <v>16</v>
      </c>
      <c r="M903" s="19" t="s">
        <v>538</v>
      </c>
      <c r="N903" s="19"/>
      <c r="O903" s="19"/>
      <c r="P903" s="19"/>
      <c r="Q903" s="19"/>
      <c r="R903" s="19"/>
      <c r="S903" s="19" t="str">
        <f>TEXT(Table1[[#This Row],[Date]],"MMM-YY")</f>
        <v>Oct-25</v>
      </c>
      <c r="T903" s="4">
        <f>_xlfn.ISOWEEKNUM(Table1[[#This Row],[Date]])</f>
        <v>40</v>
      </c>
      <c r="U903" s="19" t="str">
        <f>TEXT(Table1[[#This Row],[Date]],"YYYY")</f>
        <v>2025</v>
      </c>
    </row>
    <row r="904" spans="1:21" hidden="1">
      <c r="A904" s="19">
        <v>45931</v>
      </c>
      <c r="B904" s="4" t="s">
        <v>338</v>
      </c>
      <c r="C904" s="4" t="s">
        <v>217</v>
      </c>
      <c r="D904" s="4" t="s">
        <v>195</v>
      </c>
      <c r="E904" s="4" t="s">
        <v>183</v>
      </c>
      <c r="F904" s="19" t="s">
        <v>317</v>
      </c>
      <c r="G904" s="42"/>
      <c r="H904" s="4">
        <v>50000</v>
      </c>
      <c r="J904" s="31">
        <v>45962</v>
      </c>
      <c r="K904" s="19" t="s">
        <v>220</v>
      </c>
      <c r="L904" s="19" t="s">
        <v>16</v>
      </c>
      <c r="M904" s="19" t="s">
        <v>538</v>
      </c>
      <c r="N904" s="19"/>
      <c r="O904" s="19"/>
      <c r="P904" s="19"/>
      <c r="Q904" s="19"/>
      <c r="R904" s="19"/>
      <c r="S904" s="19" t="str">
        <f>TEXT(Table1[[#This Row],[Date]],"MMM-YY")</f>
        <v>Oct-25</v>
      </c>
      <c r="T904" s="4">
        <f>_xlfn.ISOWEEKNUM(Table1[[#This Row],[Date]])</f>
        <v>40</v>
      </c>
      <c r="U904" s="19" t="str">
        <f>TEXT(Table1[[#This Row],[Date]],"YYYY")</f>
        <v>2025</v>
      </c>
    </row>
    <row r="905" spans="1:21" hidden="1">
      <c r="A905" s="19">
        <v>45931</v>
      </c>
      <c r="B905" s="4" t="s">
        <v>384</v>
      </c>
      <c r="C905" s="4" t="s">
        <v>217</v>
      </c>
      <c r="D905" s="4" t="s">
        <v>195</v>
      </c>
      <c r="E905" s="4" t="s">
        <v>195</v>
      </c>
      <c r="F905" s="19" t="s">
        <v>385</v>
      </c>
      <c r="G905" s="42"/>
      <c r="H905" s="4">
        <v>50000</v>
      </c>
      <c r="J905" s="31">
        <v>45962</v>
      </c>
      <c r="K905" s="19" t="s">
        <v>220</v>
      </c>
      <c r="L905" s="19" t="s">
        <v>16</v>
      </c>
      <c r="M905" s="19" t="s">
        <v>538</v>
      </c>
      <c r="N905" s="19"/>
      <c r="O905" s="19"/>
      <c r="P905" s="19"/>
      <c r="Q905" s="19"/>
      <c r="R905" s="19"/>
      <c r="S905" s="19" t="str">
        <f>TEXT(Table1[[#This Row],[Date]],"MMM-YY")</f>
        <v>Oct-25</v>
      </c>
      <c r="T905" s="4">
        <f>_xlfn.ISOWEEKNUM(Table1[[#This Row],[Date]])</f>
        <v>40</v>
      </c>
      <c r="U905" s="19" t="str">
        <f>TEXT(Table1[[#This Row],[Date]],"YYYY")</f>
        <v>2025</v>
      </c>
    </row>
    <row r="906" spans="1:21" hidden="1">
      <c r="A906" s="19">
        <v>45931</v>
      </c>
      <c r="B906" s="4" t="s">
        <v>254</v>
      </c>
      <c r="C906" s="4" t="s">
        <v>217</v>
      </c>
      <c r="D906" s="4" t="s">
        <v>195</v>
      </c>
      <c r="E906" s="4" t="s">
        <v>195</v>
      </c>
      <c r="F906" s="19" t="s">
        <v>257</v>
      </c>
      <c r="G906" s="42"/>
      <c r="H906" s="4">
        <v>100000</v>
      </c>
      <c r="J906" s="31">
        <v>45962</v>
      </c>
      <c r="K906" s="19" t="s">
        <v>220</v>
      </c>
      <c r="L906" s="19" t="s">
        <v>16</v>
      </c>
      <c r="M906" s="19" t="s">
        <v>538</v>
      </c>
      <c r="N906" s="19"/>
      <c r="O906" s="19"/>
      <c r="P906" s="19"/>
      <c r="Q906" s="19"/>
      <c r="R906" s="19"/>
      <c r="S906" s="19" t="str">
        <f>TEXT(Table1[[#This Row],[Date]],"MMM-YY")</f>
        <v>Oct-25</v>
      </c>
      <c r="T906" s="4">
        <f>_xlfn.ISOWEEKNUM(Table1[[#This Row],[Date]])</f>
        <v>40</v>
      </c>
      <c r="U906" s="19" t="str">
        <f>TEXT(Table1[[#This Row],[Date]],"YYYY")</f>
        <v>2025</v>
      </c>
    </row>
    <row r="907" spans="1:21" hidden="1">
      <c r="A907" s="19">
        <v>45931</v>
      </c>
      <c r="B907" s="4" t="s">
        <v>222</v>
      </c>
      <c r="C907" s="4" t="s">
        <v>217</v>
      </c>
      <c r="D907" s="4" t="s">
        <v>195</v>
      </c>
      <c r="E907" s="4" t="s">
        <v>195</v>
      </c>
      <c r="F907" s="19" t="s">
        <v>223</v>
      </c>
      <c r="G907" s="42"/>
      <c r="H907" s="4">
        <v>100000</v>
      </c>
      <c r="J907" s="31">
        <v>45962</v>
      </c>
      <c r="K907" s="19" t="s">
        <v>220</v>
      </c>
      <c r="L907" s="19" t="s">
        <v>16</v>
      </c>
      <c r="M907" s="19" t="s">
        <v>538</v>
      </c>
      <c r="N907" s="19"/>
      <c r="O907" s="19"/>
      <c r="P907" s="19"/>
      <c r="Q907" s="19"/>
      <c r="R907" s="19"/>
      <c r="S907" s="19" t="str">
        <f>TEXT(Table1[[#This Row],[Date]],"MMM-YY")</f>
        <v>Oct-25</v>
      </c>
      <c r="T907" s="4">
        <f>_xlfn.ISOWEEKNUM(Table1[[#This Row],[Date]])</f>
        <v>40</v>
      </c>
      <c r="U907" s="19" t="str">
        <f>TEXT(Table1[[#This Row],[Date]],"YYYY")</f>
        <v>2025</v>
      </c>
    </row>
    <row r="908" spans="1:21" hidden="1">
      <c r="A908" s="19">
        <v>45931</v>
      </c>
      <c r="B908" s="4" t="s">
        <v>790</v>
      </c>
      <c r="C908" s="4" t="s">
        <v>217</v>
      </c>
      <c r="D908" s="4" t="s">
        <v>195</v>
      </c>
      <c r="E908" s="4" t="s">
        <v>195</v>
      </c>
      <c r="F908" s="4" t="s">
        <v>791</v>
      </c>
      <c r="H908" s="4">
        <v>100000</v>
      </c>
      <c r="J908" s="31">
        <v>45962</v>
      </c>
      <c r="K908" s="19" t="s">
        <v>220</v>
      </c>
      <c r="L908" s="19" t="s">
        <v>16</v>
      </c>
      <c r="M908" s="19" t="s">
        <v>538</v>
      </c>
      <c r="S908" s="19" t="str">
        <f>TEXT(Table1[[#This Row],[Date]],"MMM-YY")</f>
        <v>Oct-25</v>
      </c>
      <c r="T908" s="4">
        <f>_xlfn.ISOWEEKNUM(Table1[[#This Row],[Date]])</f>
        <v>40</v>
      </c>
      <c r="U908" s="19" t="str">
        <f>TEXT(Table1[[#This Row],[Date]],"YYYY")</f>
        <v>2025</v>
      </c>
    </row>
    <row r="909" spans="1:21" hidden="1">
      <c r="A909" s="19">
        <v>45931</v>
      </c>
      <c r="B909" s="4" t="s">
        <v>641</v>
      </c>
      <c r="C909" s="4" t="s">
        <v>217</v>
      </c>
      <c r="D909" s="4" t="s">
        <v>195</v>
      </c>
      <c r="E909" s="4" t="s">
        <v>163</v>
      </c>
      <c r="H909" s="4">
        <v>100000</v>
      </c>
      <c r="J909" s="31">
        <v>45962</v>
      </c>
      <c r="K909" s="19" t="s">
        <v>220</v>
      </c>
      <c r="L909" s="19" t="s">
        <v>16</v>
      </c>
      <c r="M909" s="19" t="s">
        <v>538</v>
      </c>
      <c r="S909" s="19" t="str">
        <f>TEXT(Table1[[#This Row],[Date]],"MMM-YY")</f>
        <v>Oct-25</v>
      </c>
      <c r="T909" s="4">
        <f>_xlfn.ISOWEEKNUM(Table1[[#This Row],[Date]])</f>
        <v>40</v>
      </c>
      <c r="U909" s="19" t="str">
        <f>TEXT(Table1[[#This Row],[Date]],"YYYY")</f>
        <v>2025</v>
      </c>
    </row>
    <row r="910" spans="1:21" hidden="1">
      <c r="A910" s="19">
        <v>45931</v>
      </c>
      <c r="B910" s="4" t="s">
        <v>880</v>
      </c>
      <c r="C910" s="4" t="s">
        <v>217</v>
      </c>
      <c r="D910" s="4" t="s">
        <v>195</v>
      </c>
      <c r="E910" s="4" t="s">
        <v>183</v>
      </c>
      <c r="F910" s="4" t="s">
        <v>753</v>
      </c>
      <c r="H910" s="4">
        <v>300000</v>
      </c>
      <c r="J910" s="31">
        <v>45962</v>
      </c>
      <c r="K910" s="19" t="s">
        <v>220</v>
      </c>
      <c r="L910" s="19" t="s">
        <v>16</v>
      </c>
      <c r="M910" s="19" t="s">
        <v>538</v>
      </c>
      <c r="S910" s="19" t="str">
        <f>TEXT(Table1[[#This Row],[Date]],"MMM-YY")</f>
        <v>Oct-25</v>
      </c>
      <c r="T910" s="4">
        <f>_xlfn.ISOWEEKNUM(Table1[[#This Row],[Date]])</f>
        <v>40</v>
      </c>
      <c r="U910" s="19" t="str">
        <f>TEXT(Table1[[#This Row],[Date]],"YYYY")</f>
        <v>2025</v>
      </c>
    </row>
    <row r="911" spans="1:21" hidden="1">
      <c r="A911" s="19">
        <v>45931</v>
      </c>
      <c r="B911" s="4" t="s">
        <v>881</v>
      </c>
      <c r="C911" s="4" t="s">
        <v>217</v>
      </c>
      <c r="D911" s="4" t="s">
        <v>195</v>
      </c>
      <c r="E911" s="4" t="s">
        <v>183</v>
      </c>
      <c r="F911" s="4" t="s">
        <v>640</v>
      </c>
      <c r="H911" s="4">
        <v>300000</v>
      </c>
      <c r="J911" s="31">
        <v>45962</v>
      </c>
      <c r="K911" s="19" t="s">
        <v>220</v>
      </c>
      <c r="L911" s="19" t="s">
        <v>16</v>
      </c>
      <c r="M911" s="19" t="s">
        <v>538</v>
      </c>
      <c r="S911" s="19" t="str">
        <f>TEXT(Table1[[#This Row],[Date]],"MMM-YY")</f>
        <v>Oct-25</v>
      </c>
      <c r="T911" s="4">
        <f>_xlfn.ISOWEEKNUM(Table1[[#This Row],[Date]])</f>
        <v>40</v>
      </c>
      <c r="U911" s="19" t="str">
        <f>TEXT(Table1[[#This Row],[Date]],"YYYY")</f>
        <v>2025</v>
      </c>
    </row>
    <row r="912" spans="1:21" hidden="1">
      <c r="A912" s="19">
        <v>45931</v>
      </c>
      <c r="B912" s="4" t="s">
        <v>230</v>
      </c>
      <c r="C912" s="4" t="s">
        <v>217</v>
      </c>
      <c r="D912" s="4" t="s">
        <v>195</v>
      </c>
      <c r="E912" s="4" t="s">
        <v>183</v>
      </c>
      <c r="F912" s="4" t="s">
        <v>231</v>
      </c>
      <c r="H912" s="4">
        <v>300000</v>
      </c>
      <c r="J912" s="31">
        <v>45962</v>
      </c>
      <c r="K912" s="19" t="s">
        <v>220</v>
      </c>
      <c r="L912" s="19" t="s">
        <v>16</v>
      </c>
      <c r="M912" s="19" t="s">
        <v>538</v>
      </c>
      <c r="S912" s="19" t="str">
        <f>TEXT(Table1[[#This Row],[Date]],"MMM-YY")</f>
        <v>Oct-25</v>
      </c>
      <c r="T912" s="4">
        <f>_xlfn.ISOWEEKNUM(Table1[[#This Row],[Date]])</f>
        <v>40</v>
      </c>
      <c r="U912" s="19" t="str">
        <f>TEXT(Table1[[#This Row],[Date]],"YYYY")</f>
        <v>2025</v>
      </c>
    </row>
    <row r="913" spans="1:21" hidden="1">
      <c r="A913" s="19">
        <v>45931</v>
      </c>
      <c r="B913" s="4" t="s">
        <v>335</v>
      </c>
      <c r="C913" s="4" t="s">
        <v>217</v>
      </c>
      <c r="D913" s="4" t="s">
        <v>195</v>
      </c>
      <c r="E913" s="4" t="s">
        <v>183</v>
      </c>
      <c r="F913" s="4" t="s">
        <v>336</v>
      </c>
      <c r="H913" s="4">
        <v>400000</v>
      </c>
      <c r="J913" s="31">
        <v>45962</v>
      </c>
      <c r="K913" s="19" t="s">
        <v>220</v>
      </c>
      <c r="L913" s="19" t="s">
        <v>16</v>
      </c>
      <c r="M913" s="19" t="s">
        <v>538</v>
      </c>
      <c r="S913" s="19" t="str">
        <f>TEXT(Table1[[#This Row],[Date]],"MMM-YY")</f>
        <v>Oct-25</v>
      </c>
      <c r="T913" s="4">
        <f>_xlfn.ISOWEEKNUM(Table1[[#This Row],[Date]])</f>
        <v>40</v>
      </c>
      <c r="U913" s="19" t="str">
        <f>TEXT(Table1[[#This Row],[Date]],"YYYY")</f>
        <v>2025</v>
      </c>
    </row>
    <row r="914" spans="1:21">
      <c r="A914" s="19">
        <v>45937</v>
      </c>
      <c r="B914" s="4" t="s">
        <v>874</v>
      </c>
      <c r="C914" s="4" t="s">
        <v>217</v>
      </c>
      <c r="D914" s="4" t="s">
        <v>195</v>
      </c>
      <c r="E914" s="4" t="s">
        <v>61</v>
      </c>
      <c r="F914" s="4" t="s">
        <v>843</v>
      </c>
      <c r="G914" s="17" t="s">
        <v>2</v>
      </c>
      <c r="H914" s="4">
        <v>9044</v>
      </c>
      <c r="I914" s="4">
        <v>9044</v>
      </c>
      <c r="J914" s="31">
        <v>45931</v>
      </c>
      <c r="K914" s="19" t="s">
        <v>220</v>
      </c>
      <c r="L914" s="19" t="s">
        <v>17</v>
      </c>
      <c r="M914" s="19" t="s">
        <v>235</v>
      </c>
      <c r="N914" s="19"/>
      <c r="O914" s="19"/>
      <c r="P914" s="19"/>
      <c r="Q914" s="19"/>
      <c r="R914" s="19"/>
      <c r="S914" s="19" t="str">
        <f>TEXT(Table1[[#This Row],[Date]],"MMM-YY")</f>
        <v>Oct-25</v>
      </c>
      <c r="T914" s="4">
        <f>_xlfn.ISOWEEKNUM(Table1[[#This Row],[Date]])</f>
        <v>41</v>
      </c>
      <c r="U914" s="19" t="str">
        <f>TEXT(Table1[[#This Row],[Date]],"YYYY")</f>
        <v>2025</v>
      </c>
    </row>
    <row r="915" spans="1:21">
      <c r="A915" s="19">
        <v>45937</v>
      </c>
      <c r="B915" s="4" t="s">
        <v>839</v>
      </c>
      <c r="C915" s="4" t="s">
        <v>225</v>
      </c>
      <c r="D915" s="4" t="s">
        <v>195</v>
      </c>
      <c r="E915" s="4" t="s">
        <v>183</v>
      </c>
      <c r="F915" s="4" t="s">
        <v>688</v>
      </c>
      <c r="G915" s="17" t="s">
        <v>431</v>
      </c>
      <c r="H915" s="4">
        <v>24947</v>
      </c>
      <c r="I915" s="4">
        <v>24947</v>
      </c>
      <c r="J915" s="31">
        <v>45931</v>
      </c>
      <c r="K915" s="19" t="s">
        <v>234</v>
      </c>
      <c r="L915" s="19" t="s">
        <v>17</v>
      </c>
      <c r="M915" s="19" t="s">
        <v>221</v>
      </c>
      <c r="N915" s="19"/>
      <c r="O915" s="19"/>
      <c r="P915" s="19"/>
      <c r="Q915" s="19"/>
      <c r="R915" s="19"/>
      <c r="S915" s="19" t="str">
        <f>TEXT(Table1[[#This Row],[Date]],"MMM-YY")</f>
        <v>Oct-25</v>
      </c>
      <c r="T915" s="4">
        <f>_xlfn.ISOWEEKNUM(Table1[[#This Row],[Date]])</f>
        <v>41</v>
      </c>
      <c r="U915" s="19" t="str">
        <f>TEXT(Table1[[#This Row],[Date]],"YYYY")</f>
        <v>2025</v>
      </c>
    </row>
    <row r="916" spans="1:21">
      <c r="A916" s="19">
        <v>45938</v>
      </c>
      <c r="B916" s="4" t="s">
        <v>839</v>
      </c>
      <c r="C916" s="4" t="s">
        <v>225</v>
      </c>
      <c r="D916" s="4" t="s">
        <v>195</v>
      </c>
      <c r="E916" s="4" t="s">
        <v>183</v>
      </c>
      <c r="F916" s="4" t="s">
        <v>688</v>
      </c>
      <c r="G916" s="17" t="s">
        <v>431</v>
      </c>
      <c r="H916" s="4">
        <v>12634</v>
      </c>
      <c r="I916" s="4">
        <v>12634</v>
      </c>
      <c r="J916" s="31">
        <v>45931</v>
      </c>
      <c r="K916" s="19" t="s">
        <v>234</v>
      </c>
      <c r="L916" s="19" t="s">
        <v>17</v>
      </c>
      <c r="M916" s="19" t="s">
        <v>221</v>
      </c>
      <c r="N916" s="19"/>
      <c r="O916" s="19"/>
      <c r="P916" s="19"/>
      <c r="Q916" s="19"/>
      <c r="R916" s="19"/>
      <c r="S916" s="19" t="str">
        <f>TEXT(Table1[[#This Row],[Date]],"MMM-YY")</f>
        <v>Oct-25</v>
      </c>
      <c r="T916" s="4">
        <f>_xlfn.ISOWEEKNUM(Table1[[#This Row],[Date]])</f>
        <v>41</v>
      </c>
      <c r="U916" s="19" t="str">
        <f>TEXT(Table1[[#This Row],[Date]],"YYYY")</f>
        <v>2025</v>
      </c>
    </row>
    <row r="917" spans="1:21">
      <c r="A917" s="19">
        <v>45938</v>
      </c>
      <c r="B917" s="4" t="s">
        <v>855</v>
      </c>
      <c r="C917" s="4" t="s">
        <v>217</v>
      </c>
      <c r="D917" s="4" t="s">
        <v>195</v>
      </c>
      <c r="E917" s="4" t="s">
        <v>61</v>
      </c>
      <c r="F917" s="4" t="s">
        <v>843</v>
      </c>
      <c r="G917" s="17" t="s">
        <v>431</v>
      </c>
      <c r="H917" s="4">
        <v>12135</v>
      </c>
      <c r="I917" s="4">
        <v>12135</v>
      </c>
      <c r="J917" s="31">
        <v>45931</v>
      </c>
      <c r="K917" s="19" t="s">
        <v>220</v>
      </c>
      <c r="L917" s="19" t="s">
        <v>17</v>
      </c>
      <c r="M917" s="19" t="s">
        <v>221</v>
      </c>
      <c r="N917" s="19"/>
      <c r="O917" s="19"/>
      <c r="P917" s="19"/>
      <c r="Q917" s="19"/>
      <c r="R917" s="19"/>
      <c r="S917" s="19" t="str">
        <f>TEXT(Table1[[#This Row],[Date]],"MMM-YY")</f>
        <v>Oct-25</v>
      </c>
      <c r="T917" s="4">
        <f>_xlfn.ISOWEEKNUM(Table1[[#This Row],[Date]])</f>
        <v>41</v>
      </c>
      <c r="U917" s="19" t="str">
        <f>TEXT(Table1[[#This Row],[Date]],"YYYY")</f>
        <v>2025</v>
      </c>
    </row>
    <row r="918" spans="1:21">
      <c r="A918" s="19">
        <v>45939</v>
      </c>
      <c r="B918" s="4" t="s">
        <v>839</v>
      </c>
      <c r="C918" s="4" t="s">
        <v>225</v>
      </c>
      <c r="D918" s="4" t="s">
        <v>195</v>
      </c>
      <c r="E918" s="4" t="s">
        <v>183</v>
      </c>
      <c r="F918" s="4" t="s">
        <v>688</v>
      </c>
      <c r="G918" s="17" t="s">
        <v>431</v>
      </c>
      <c r="H918" s="4">
        <v>13242</v>
      </c>
      <c r="I918" s="4">
        <v>13242</v>
      </c>
      <c r="J918" s="31">
        <v>45931</v>
      </c>
      <c r="K918" s="19" t="s">
        <v>234</v>
      </c>
      <c r="L918" s="19" t="s">
        <v>17</v>
      </c>
      <c r="M918" s="19" t="s">
        <v>221</v>
      </c>
      <c r="N918" s="19"/>
      <c r="O918" s="19"/>
      <c r="P918" s="19"/>
      <c r="Q918" s="19"/>
      <c r="R918" s="19"/>
      <c r="S918" s="19" t="str">
        <f>TEXT(Table1[[#This Row],[Date]],"MMM-YY")</f>
        <v>Oct-25</v>
      </c>
      <c r="T918" s="4">
        <f>_xlfn.ISOWEEKNUM(Table1[[#This Row],[Date]])</f>
        <v>41</v>
      </c>
      <c r="U918" s="19" t="str">
        <f>TEXT(Table1[[#This Row],[Date]],"YYYY")</f>
        <v>2025</v>
      </c>
    </row>
    <row r="919" spans="1:21" hidden="1">
      <c r="A919" s="19">
        <v>45939</v>
      </c>
      <c r="B919" s="4" t="s">
        <v>886</v>
      </c>
      <c r="C919" s="4" t="s">
        <v>225</v>
      </c>
      <c r="D919" s="4" t="s">
        <v>195</v>
      </c>
      <c r="E919" s="4" t="s">
        <v>61</v>
      </c>
      <c r="F919" s="4" t="s">
        <v>636</v>
      </c>
      <c r="G919" s="17" t="s">
        <v>664</v>
      </c>
      <c r="H919" s="4">
        <v>60000</v>
      </c>
      <c r="J919" s="31">
        <v>45931</v>
      </c>
      <c r="K919" s="4" t="s">
        <v>887</v>
      </c>
      <c r="L919" s="4" t="s">
        <v>13</v>
      </c>
      <c r="M919" s="4" t="s">
        <v>221</v>
      </c>
      <c r="S919" s="19" t="str">
        <f>TEXT(Table1[[#This Row],[Date]],"MMM-YY")</f>
        <v>Oct-25</v>
      </c>
      <c r="T919" s="4">
        <f>_xlfn.ISOWEEKNUM(Table1[[#This Row],[Date]])</f>
        <v>41</v>
      </c>
      <c r="U919" s="19" t="str">
        <f>TEXT(Table1[[#This Row],[Date]],"YYYY")</f>
        <v>2025</v>
      </c>
    </row>
    <row r="920" spans="1:21" hidden="1">
      <c r="A920" s="19">
        <v>45939</v>
      </c>
      <c r="B920" s="4" t="s">
        <v>888</v>
      </c>
      <c r="C920" s="4" t="s">
        <v>217</v>
      </c>
      <c r="D920" s="4" t="s">
        <v>195</v>
      </c>
      <c r="E920" s="4" t="s">
        <v>103</v>
      </c>
      <c r="F920" s="4" t="s">
        <v>889</v>
      </c>
      <c r="G920" s="17" t="s">
        <v>664</v>
      </c>
      <c r="H920" s="4">
        <v>50000</v>
      </c>
      <c r="J920" s="31">
        <v>45931</v>
      </c>
      <c r="K920" s="4" t="s">
        <v>220</v>
      </c>
      <c r="L920" s="4" t="s">
        <v>13</v>
      </c>
      <c r="M920" s="4" t="s">
        <v>221</v>
      </c>
      <c r="S920" s="19" t="str">
        <f>TEXT(Table1[[#This Row],[Date]],"MMM-YY")</f>
        <v>Oct-25</v>
      </c>
      <c r="T920" s="4">
        <f>_xlfn.ISOWEEKNUM(Table1[[#This Row],[Date]])</f>
        <v>41</v>
      </c>
      <c r="U920" s="19" t="str">
        <f>TEXT(Table1[[#This Row],[Date]],"YYYY")</f>
        <v>2025</v>
      </c>
    </row>
    <row r="921" spans="1:21">
      <c r="A921" s="19">
        <v>45940</v>
      </c>
      <c r="B921" s="4" t="s">
        <v>839</v>
      </c>
      <c r="C921" s="4" t="s">
        <v>225</v>
      </c>
      <c r="D921" s="4" t="s">
        <v>195</v>
      </c>
      <c r="E921" s="4" t="s">
        <v>183</v>
      </c>
      <c r="F921" s="4" t="s">
        <v>688</v>
      </c>
      <c r="G921" s="17" t="s">
        <v>431</v>
      </c>
      <c r="H921" s="4">
        <v>13850</v>
      </c>
      <c r="I921" s="4">
        <v>13850</v>
      </c>
      <c r="J921" s="31">
        <v>45931</v>
      </c>
      <c r="K921" s="19" t="s">
        <v>234</v>
      </c>
      <c r="L921" s="19" t="s">
        <v>17</v>
      </c>
      <c r="M921" s="19" t="s">
        <v>221</v>
      </c>
      <c r="N921" s="19"/>
      <c r="O921" s="19"/>
      <c r="P921" s="19"/>
      <c r="Q921" s="19"/>
      <c r="R921" s="19"/>
      <c r="S921" s="19" t="str">
        <f>TEXT(Table1[[#This Row],[Date]],"MMM-YY")</f>
        <v>Oct-25</v>
      </c>
      <c r="T921" s="4">
        <f>_xlfn.ISOWEEKNUM(Table1[[#This Row],[Date]])</f>
        <v>41</v>
      </c>
      <c r="U921" s="19" t="str">
        <f>TEXT(Table1[[#This Row],[Date]],"YYYY")</f>
        <v>2025</v>
      </c>
    </row>
    <row r="922" spans="1:21">
      <c r="A922" s="19">
        <v>45943</v>
      </c>
      <c r="B922" s="4" t="s">
        <v>839</v>
      </c>
      <c r="C922" s="4" t="s">
        <v>225</v>
      </c>
      <c r="D922" s="4" t="s">
        <v>195</v>
      </c>
      <c r="E922" s="4" t="s">
        <v>183</v>
      </c>
      <c r="F922" s="4" t="s">
        <v>688</v>
      </c>
      <c r="G922" s="17" t="s">
        <v>431</v>
      </c>
      <c r="H922" s="4">
        <v>11830</v>
      </c>
      <c r="I922" s="4">
        <v>11830</v>
      </c>
      <c r="J922" s="31">
        <v>45931</v>
      </c>
      <c r="K922" s="19" t="s">
        <v>234</v>
      </c>
      <c r="L922" s="19" t="s">
        <v>17</v>
      </c>
      <c r="M922" s="19" t="s">
        <v>221</v>
      </c>
      <c r="N922" s="19"/>
      <c r="O922" s="19"/>
      <c r="P922" s="19"/>
      <c r="Q922" s="19"/>
      <c r="R922" s="19"/>
      <c r="S922" s="19" t="str">
        <f>TEXT(Table1[[#This Row],[Date]],"MMM-YY")</f>
        <v>Oct-25</v>
      </c>
      <c r="T922" s="4">
        <f>_xlfn.ISOWEEKNUM(Table1[[#This Row],[Date]])</f>
        <v>42</v>
      </c>
      <c r="U922" s="19" t="str">
        <f>TEXT(Table1[[#This Row],[Date]],"YYYY")</f>
        <v>2025</v>
      </c>
    </row>
    <row r="923" spans="1:21" hidden="1">
      <c r="A923" s="19">
        <v>45943</v>
      </c>
      <c r="B923" s="4" t="s">
        <v>872</v>
      </c>
      <c r="C923" s="4" t="s">
        <v>225</v>
      </c>
      <c r="D923" s="4" t="s">
        <v>195</v>
      </c>
      <c r="E923" s="4" t="s">
        <v>183</v>
      </c>
      <c r="F923" s="4" t="s">
        <v>866</v>
      </c>
      <c r="G923" s="17" t="s">
        <v>664</v>
      </c>
      <c r="H923" s="4">
        <v>100500</v>
      </c>
      <c r="J923" s="31">
        <v>45931</v>
      </c>
      <c r="K923" s="4" t="s">
        <v>596</v>
      </c>
      <c r="L923" s="4" t="s">
        <v>29</v>
      </c>
      <c r="M923" s="4" t="s">
        <v>221</v>
      </c>
      <c r="S923" s="19" t="str">
        <f>TEXT(Table1[[#This Row],[Date]],"MMM-YY")</f>
        <v>Oct-25</v>
      </c>
      <c r="T923" s="4">
        <f>_xlfn.ISOWEEKNUM(Table1[[#This Row],[Date]])</f>
        <v>42</v>
      </c>
      <c r="U923" s="19" t="str">
        <f>TEXT(Table1[[#This Row],[Date]],"YYYY")</f>
        <v>2025</v>
      </c>
    </row>
    <row r="924" spans="1:21" hidden="1">
      <c r="A924" s="19"/>
    </row>
    <row r="925" spans="1:21" hidden="1">
      <c r="A925" s="19"/>
    </row>
    <row r="926" spans="1:21" hidden="1">
      <c r="A926" s="19"/>
    </row>
    <row r="927" spans="1:21" hidden="1">
      <c r="A927" s="19"/>
    </row>
    <row r="928" spans="1:21" hidden="1">
      <c r="A928" s="19"/>
    </row>
    <row r="929" spans="1:1" hidden="1">
      <c r="A929" s="19"/>
    </row>
    <row r="930" spans="1:1" hidden="1">
      <c r="A930" s="19"/>
    </row>
    <row r="931" spans="1:1" hidden="1">
      <c r="A931" s="19"/>
    </row>
    <row r="932" spans="1:1" hidden="1">
      <c r="A932" s="19"/>
    </row>
    <row r="933" spans="1:1" hidden="1">
      <c r="A933" s="19"/>
    </row>
    <row r="934" spans="1:1" hidden="1">
      <c r="A934" s="19"/>
    </row>
    <row r="935" spans="1:1" hidden="1">
      <c r="A935" s="19"/>
    </row>
    <row r="936" spans="1:1" hidden="1">
      <c r="A936" s="19"/>
    </row>
    <row r="937" spans="1:1" hidden="1">
      <c r="A937" s="19"/>
    </row>
    <row r="938" spans="1:1" hidden="1">
      <c r="A938" s="19"/>
    </row>
    <row r="939" spans="1:1" hidden="1">
      <c r="A939" s="19"/>
    </row>
    <row r="940" spans="1:1" hidden="1">
      <c r="A940" s="19"/>
    </row>
    <row r="941" spans="1:1" hidden="1">
      <c r="A941" s="19"/>
    </row>
    <row r="942" spans="1:1" hidden="1">
      <c r="A942" s="19"/>
    </row>
    <row r="943" spans="1:1" hidden="1">
      <c r="A943" s="19"/>
    </row>
    <row r="944" spans="1:1" hidden="1">
      <c r="A944" s="19"/>
    </row>
    <row r="945" spans="1:1" hidden="1">
      <c r="A945" s="19"/>
    </row>
    <row r="946" spans="1:1" hidden="1">
      <c r="A946" s="19"/>
    </row>
    <row r="947" spans="1:1" hidden="1">
      <c r="A947" s="19"/>
    </row>
    <row r="948" spans="1:1" hidden="1">
      <c r="A948" s="19"/>
    </row>
    <row r="949" spans="1:1" hidden="1">
      <c r="A949" s="19"/>
    </row>
    <row r="950" spans="1:1" hidden="1">
      <c r="A950" s="19"/>
    </row>
    <row r="951" spans="1:1" hidden="1">
      <c r="A951" s="19"/>
    </row>
    <row r="952" spans="1:1" hidden="1">
      <c r="A952" s="19"/>
    </row>
    <row r="953" spans="1:1" hidden="1">
      <c r="A953" s="19"/>
    </row>
    <row r="954" spans="1:1" hidden="1">
      <c r="A954" s="19"/>
    </row>
    <row r="955" spans="1:1" hidden="1">
      <c r="A955" s="19"/>
    </row>
    <row r="956" spans="1:1" hidden="1">
      <c r="A956" s="19"/>
    </row>
    <row r="957" spans="1:1" hidden="1">
      <c r="A957" s="19"/>
    </row>
    <row r="958" spans="1:1" hidden="1">
      <c r="A958" s="19"/>
    </row>
    <row r="959" spans="1:1" hidden="1">
      <c r="A959" s="19"/>
    </row>
    <row r="960" spans="1:1" hidden="1">
      <c r="A960" s="19"/>
    </row>
    <row r="961" spans="1:1" hidden="1">
      <c r="A961" s="19"/>
    </row>
    <row r="962" spans="1:1" hidden="1">
      <c r="A962" s="19"/>
    </row>
    <row r="963" spans="1:1" hidden="1">
      <c r="A963" s="19"/>
    </row>
    <row r="964" spans="1:1" hidden="1">
      <c r="A964" s="19"/>
    </row>
    <row r="965" spans="1:1" hidden="1">
      <c r="A965" s="19"/>
    </row>
    <row r="966" spans="1:1" hidden="1">
      <c r="A966" s="19"/>
    </row>
    <row r="967" spans="1:1" hidden="1">
      <c r="A967" s="19"/>
    </row>
    <row r="968" spans="1:1" hidden="1">
      <c r="A968" s="19"/>
    </row>
    <row r="969" spans="1:1" hidden="1">
      <c r="A969" s="19"/>
    </row>
    <row r="970" spans="1:1" hidden="1">
      <c r="A970" s="19"/>
    </row>
    <row r="971" spans="1:1" hidden="1">
      <c r="A971" s="19"/>
    </row>
    <row r="972" spans="1:1" hidden="1">
      <c r="A972" s="19"/>
    </row>
    <row r="973" spans="1:1" hidden="1">
      <c r="A973" s="19"/>
    </row>
    <row r="974" spans="1:1" hidden="1">
      <c r="A974" s="19"/>
    </row>
    <row r="975" spans="1:1" hidden="1">
      <c r="A975" s="19"/>
    </row>
    <row r="976" spans="1:1" hidden="1">
      <c r="A976" s="19"/>
    </row>
    <row r="977" spans="1:1" hidden="1">
      <c r="A977" s="19"/>
    </row>
    <row r="978" spans="1:1" hidden="1">
      <c r="A978" s="19"/>
    </row>
  </sheetData>
  <phoneticPr fontId="3" type="noConversion"/>
  <dataValidations disablePrompts="1" count="1">
    <dataValidation type="list" allowBlank="1" showInputMessage="1" showErrorMessage="1" sqref="L2:L1048576" xr:uid="{6FA7EB4E-BB34-430A-8CAC-E5CD06D21D78}">
      <formula1>$X$2:$X$7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9AEE-4225-41F9-A1B2-0C86B06A979C}">
  <dimension ref="A1:AZ348"/>
  <sheetViews>
    <sheetView zoomScaleNormal="100" workbookViewId="0">
      <selection activeCell="G12" sqref="G12"/>
    </sheetView>
  </sheetViews>
  <sheetFormatPr defaultColWidth="8.5703125" defaultRowHeight="15"/>
  <cols>
    <col min="1" max="1" width="16.7109375" style="10" bestFit="1" customWidth="1"/>
    <col min="2" max="2" width="15.5703125" style="10" bestFit="1" customWidth="1"/>
    <col min="3" max="5" width="10.140625" style="10" bestFit="1" customWidth="1"/>
    <col min="6" max="6" width="10.42578125" style="10" bestFit="1" customWidth="1"/>
    <col min="7" max="7" width="10.140625" style="10" bestFit="1" customWidth="1"/>
    <col min="8" max="8" width="9.140625" style="10" bestFit="1" customWidth="1"/>
    <col min="9" max="9" width="6.7109375" style="10" bestFit="1" customWidth="1"/>
    <col min="10" max="10" width="55.42578125" style="10" bestFit="1" customWidth="1"/>
    <col min="11" max="11" width="13.7109375" style="10" bestFit="1" customWidth="1"/>
    <col min="12" max="12" width="22.85546875" style="10" bestFit="1" customWidth="1"/>
    <col min="13" max="13" width="6.5703125" style="10" bestFit="1" customWidth="1"/>
    <col min="14" max="14" width="6.42578125" style="10" bestFit="1" customWidth="1"/>
    <col min="15" max="15" width="6.5703125" style="10" bestFit="1" customWidth="1"/>
    <col min="16" max="16" width="13.7109375" style="10" bestFit="1" customWidth="1"/>
    <col min="17" max="17" width="11.140625" style="10" bestFit="1" customWidth="1"/>
    <col min="18" max="18" width="10.42578125" style="10" bestFit="1" customWidth="1"/>
    <col min="19" max="19" width="9.7109375" style="10" bestFit="1" customWidth="1"/>
    <col min="20" max="20" width="6.42578125" style="10" bestFit="1" customWidth="1"/>
    <col min="21" max="23" width="10.42578125" style="10" bestFit="1" customWidth="1"/>
    <col min="24" max="24" width="7.7109375" style="10" bestFit="1" customWidth="1"/>
    <col min="25" max="25" width="8.85546875" style="10" bestFit="1" customWidth="1"/>
    <col min="26" max="26" width="6.42578125" style="10" bestFit="1" customWidth="1"/>
    <col min="27" max="27" width="5.140625" style="10" bestFit="1" customWidth="1"/>
    <col min="28" max="28" width="4.42578125" style="10" bestFit="1" customWidth="1"/>
    <col min="29" max="29" width="12.140625" style="10" bestFit="1" customWidth="1"/>
    <col min="30" max="30" width="10.42578125" style="10" bestFit="1" customWidth="1"/>
    <col min="31" max="31" width="11" style="10" bestFit="1" customWidth="1"/>
    <col min="32" max="32" width="8.28515625" style="10" bestFit="1" customWidth="1"/>
    <col min="33" max="34" width="10.42578125" style="10" bestFit="1" customWidth="1"/>
    <col min="35" max="35" width="7.7109375" style="10" bestFit="1" customWidth="1"/>
    <col min="36" max="36" width="8.85546875" style="10" bestFit="1" customWidth="1"/>
    <col min="37" max="37" width="6.42578125" style="10" bestFit="1" customWidth="1"/>
    <col min="38" max="38" width="5.140625" style="10" bestFit="1" customWidth="1"/>
    <col min="39" max="39" width="4.42578125" style="10" bestFit="1" customWidth="1"/>
    <col min="40" max="40" width="13.42578125" style="10" bestFit="1" customWidth="1"/>
    <col min="41" max="41" width="10.42578125" style="10" bestFit="1" customWidth="1"/>
    <col min="42" max="42" width="11" style="10" bestFit="1" customWidth="1"/>
    <col min="43" max="43" width="8.28515625" style="10" bestFit="1" customWidth="1"/>
    <col min="44" max="45" width="10.42578125" style="10" bestFit="1" customWidth="1"/>
    <col min="46" max="46" width="7.7109375" style="10" bestFit="1" customWidth="1"/>
    <col min="47" max="47" width="8.85546875" style="10" bestFit="1" customWidth="1"/>
    <col min="48" max="48" width="6.42578125" style="10" bestFit="1" customWidth="1"/>
    <col min="49" max="49" width="5.140625" style="10" bestFit="1" customWidth="1"/>
    <col min="50" max="50" width="4.42578125" style="10" bestFit="1" customWidth="1"/>
    <col min="51" max="51" width="13.42578125" style="10" bestFit="1" customWidth="1"/>
    <col min="52" max="52" width="11.28515625" style="10" bestFit="1" customWidth="1"/>
    <col min="53" max="53" width="7.42578125" style="10" customWidth="1"/>
    <col min="54" max="55" width="9.42578125" style="10" customWidth="1"/>
    <col min="56" max="56" width="7.140625" style="10" customWidth="1"/>
    <col min="57" max="57" width="8.140625" style="10" customWidth="1"/>
    <col min="58" max="58" width="6" style="10" customWidth="1"/>
    <col min="59" max="59" width="4.7109375" style="10" customWidth="1"/>
    <col min="60" max="60" width="4.140625" style="10" customWidth="1"/>
    <col min="61" max="61" width="8.140625" style="10" customWidth="1"/>
    <col min="62" max="62" width="6" style="10" customWidth="1"/>
    <col min="63" max="63" width="4.7109375" style="10" customWidth="1"/>
    <col min="64" max="64" width="4.140625" style="10" customWidth="1"/>
    <col min="65" max="65" width="4.42578125" style="10" customWidth="1"/>
    <col min="66" max="66" width="12.28515625" style="10" customWidth="1"/>
    <col min="67" max="67" width="11.28515625" style="10" bestFit="1" customWidth="1"/>
    <col min="68" max="16384" width="8.5703125" style="10"/>
  </cols>
  <sheetData>
    <row r="1" spans="1:52">
      <c r="C1" s="38"/>
      <c r="D1" s="38"/>
      <c r="E1" s="38"/>
      <c r="F1" s="38"/>
    </row>
    <row r="2" spans="1:52">
      <c r="A2" s="43" t="s">
        <v>215</v>
      </c>
      <c r="B2" s="44" t="s">
        <v>800</v>
      </c>
      <c r="G2" s="38"/>
      <c r="H2" s="38"/>
      <c r="I2" s="38"/>
      <c r="L2" s="38"/>
      <c r="M2" s="38"/>
      <c r="N2" s="38"/>
      <c r="O2" s="38"/>
      <c r="R2" s="38"/>
      <c r="S2" s="38"/>
      <c r="T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</row>
    <row r="3" spans="1:52">
      <c r="G3" s="38"/>
      <c r="H3" s="38"/>
      <c r="I3" s="38"/>
      <c r="J3" s="1" t="s">
        <v>4</v>
      </c>
      <c r="K3" t="s">
        <v>890</v>
      </c>
      <c r="P3" s="39" t="s">
        <v>206</v>
      </c>
      <c r="Q3" s="10" t="s">
        <v>220</v>
      </c>
      <c r="R3" s="38"/>
      <c r="S3" s="38"/>
      <c r="T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</row>
    <row r="4" spans="1:52" ht="30">
      <c r="A4" s="43" t="s">
        <v>891</v>
      </c>
      <c r="B4" s="43" t="s">
        <v>213</v>
      </c>
      <c r="C4" s="44"/>
      <c r="D4" s="44"/>
      <c r="E4" s="44"/>
      <c r="F4" s="44"/>
      <c r="J4" s="7" t="s">
        <v>892</v>
      </c>
      <c r="P4" s="7" t="s">
        <v>893</v>
      </c>
    </row>
    <row r="5" spans="1:52">
      <c r="A5" s="43" t="s">
        <v>4</v>
      </c>
      <c r="B5" s="44" t="s">
        <v>894</v>
      </c>
      <c r="C5" s="44" t="s">
        <v>895</v>
      </c>
      <c r="D5" s="44" t="s">
        <v>896</v>
      </c>
      <c r="E5" s="44" t="s">
        <v>897</v>
      </c>
      <c r="F5" s="44" t="s">
        <v>14</v>
      </c>
      <c r="J5" s="1" t="s">
        <v>898</v>
      </c>
      <c r="K5" t="s">
        <v>899</v>
      </c>
      <c r="L5" t="s">
        <v>7</v>
      </c>
      <c r="Q5" s="39" t="s">
        <v>213</v>
      </c>
    </row>
    <row r="6" spans="1:52">
      <c r="A6" s="45" t="s">
        <v>220</v>
      </c>
      <c r="B6" s="46">
        <v>4972179</v>
      </c>
      <c r="C6" s="46">
        <v>1330322</v>
      </c>
      <c r="D6" s="46">
        <v>701835</v>
      </c>
      <c r="E6" s="46">
        <v>439224</v>
      </c>
      <c r="F6" s="46">
        <v>7443560</v>
      </c>
      <c r="J6" s="2" t="s">
        <v>230</v>
      </c>
      <c r="K6" s="3">
        <v>74</v>
      </c>
      <c r="L6" s="3">
        <v>1405327</v>
      </c>
      <c r="Q6" s="10" t="s">
        <v>11</v>
      </c>
      <c r="R6" s="10" t="s">
        <v>14</v>
      </c>
    </row>
    <row r="7" spans="1:52">
      <c r="A7" s="47" t="s">
        <v>13</v>
      </c>
      <c r="B7" s="46">
        <v>50000</v>
      </c>
      <c r="C7" s="46">
        <v>0</v>
      </c>
      <c r="D7" s="46">
        <v>225000</v>
      </c>
      <c r="E7" s="46">
        <v>0</v>
      </c>
      <c r="F7" s="46">
        <v>275000</v>
      </c>
      <c r="J7" s="2" t="s">
        <v>839</v>
      </c>
      <c r="K7" s="3">
        <v>24</v>
      </c>
      <c r="L7" s="3">
        <v>525465</v>
      </c>
      <c r="P7" s="10" t="s">
        <v>899</v>
      </c>
      <c r="Q7" s="38">
        <v>7</v>
      </c>
      <c r="R7" s="38">
        <v>7</v>
      </c>
    </row>
    <row r="8" spans="1:52">
      <c r="A8" s="47" t="s">
        <v>16</v>
      </c>
      <c r="B8" s="46">
        <v>3145000</v>
      </c>
      <c r="C8" s="46">
        <v>15000</v>
      </c>
      <c r="D8" s="46">
        <v>0</v>
      </c>
      <c r="E8" s="46">
        <v>0</v>
      </c>
      <c r="F8" s="46">
        <v>3160000</v>
      </c>
      <c r="J8" s="2" t="s">
        <v>677</v>
      </c>
      <c r="K8" s="3">
        <v>21</v>
      </c>
      <c r="L8" s="3">
        <v>816323</v>
      </c>
    </row>
    <row r="9" spans="1:52">
      <c r="A9" s="47" t="s">
        <v>29</v>
      </c>
      <c r="B9" s="46">
        <v>1175000</v>
      </c>
      <c r="C9" s="46">
        <v>0</v>
      </c>
      <c r="D9" s="46">
        <v>0</v>
      </c>
      <c r="E9" s="46">
        <v>0</v>
      </c>
      <c r="F9" s="46">
        <v>1175000</v>
      </c>
      <c r="J9" s="2" t="s">
        <v>716</v>
      </c>
      <c r="K9" s="3">
        <v>19</v>
      </c>
      <c r="L9" s="3">
        <v>248289</v>
      </c>
    </row>
    <row r="10" spans="1:52" s="41" customFormat="1">
      <c r="A10" s="47" t="s">
        <v>27</v>
      </c>
      <c r="B10" s="46">
        <v>581000</v>
      </c>
      <c r="C10" s="46">
        <v>0</v>
      </c>
      <c r="D10" s="46">
        <v>0</v>
      </c>
      <c r="E10" s="46">
        <v>0</v>
      </c>
      <c r="F10" s="46">
        <v>581000</v>
      </c>
      <c r="G10" s="10"/>
      <c r="H10" s="10"/>
      <c r="I10" s="10"/>
      <c r="J10" s="2" t="s">
        <v>613</v>
      </c>
      <c r="K10" s="3">
        <v>15</v>
      </c>
      <c r="L10" s="3">
        <v>220786</v>
      </c>
      <c r="M10" s="10"/>
      <c r="N10" s="10"/>
      <c r="O10" s="10"/>
      <c r="P10" s="10"/>
      <c r="Q10" s="10"/>
      <c r="R10" s="10"/>
      <c r="S10" s="10"/>
      <c r="T10" s="10"/>
    </row>
    <row r="11" spans="1:52">
      <c r="A11" s="49" t="s">
        <v>17</v>
      </c>
      <c r="B11" s="48">
        <v>21179</v>
      </c>
      <c r="C11" s="48">
        <v>1315322</v>
      </c>
      <c r="D11" s="48">
        <v>476835</v>
      </c>
      <c r="E11" s="48">
        <v>439224</v>
      </c>
      <c r="F11" s="48">
        <v>2252560</v>
      </c>
      <c r="J11" s="2" t="s">
        <v>238</v>
      </c>
      <c r="K11" s="3">
        <v>13</v>
      </c>
      <c r="L11" s="3">
        <v>60837</v>
      </c>
    </row>
    <row r="12" spans="1:52">
      <c r="A12" s="45" t="s">
        <v>596</v>
      </c>
      <c r="B12" s="46">
        <v>100500</v>
      </c>
      <c r="C12" s="46">
        <v>236110</v>
      </c>
      <c r="D12" s="46">
        <v>0</v>
      </c>
      <c r="E12" s="46">
        <v>0</v>
      </c>
      <c r="F12" s="46">
        <v>336610</v>
      </c>
      <c r="J12" s="2" t="s">
        <v>222</v>
      </c>
      <c r="K12" s="3">
        <v>12</v>
      </c>
      <c r="L12" s="3">
        <v>213047</v>
      </c>
    </row>
    <row r="13" spans="1:52">
      <c r="A13" s="47" t="s">
        <v>13</v>
      </c>
      <c r="B13" s="46">
        <v>0</v>
      </c>
      <c r="C13" s="46">
        <v>60000</v>
      </c>
      <c r="D13" s="46">
        <v>0</v>
      </c>
      <c r="E13" s="46">
        <v>0</v>
      </c>
      <c r="F13" s="46">
        <v>60000</v>
      </c>
      <c r="J13" s="2" t="s">
        <v>335</v>
      </c>
      <c r="K13" s="3">
        <v>12</v>
      </c>
      <c r="L13" s="3">
        <v>860000</v>
      </c>
    </row>
    <row r="14" spans="1:52">
      <c r="A14" s="47" t="s">
        <v>29</v>
      </c>
      <c r="B14" s="46">
        <v>100500</v>
      </c>
      <c r="C14" s="46">
        <v>0</v>
      </c>
      <c r="D14" s="46">
        <v>0</v>
      </c>
      <c r="E14" s="46">
        <v>0</v>
      </c>
      <c r="F14" s="46">
        <v>100500</v>
      </c>
      <c r="J14" s="2" t="s">
        <v>338</v>
      </c>
      <c r="K14" s="3">
        <v>12</v>
      </c>
      <c r="L14" s="3">
        <v>143500</v>
      </c>
    </row>
    <row r="15" spans="1:52">
      <c r="A15" s="47" t="s">
        <v>17</v>
      </c>
      <c r="B15" s="46">
        <v>0</v>
      </c>
      <c r="C15" s="46">
        <v>176110</v>
      </c>
      <c r="D15" s="46">
        <v>0</v>
      </c>
      <c r="E15" s="46">
        <v>0</v>
      </c>
      <c r="F15" s="46">
        <v>176110</v>
      </c>
      <c r="J15" s="2" t="s">
        <v>356</v>
      </c>
      <c r="K15" s="3">
        <v>11</v>
      </c>
      <c r="L15" s="3"/>
    </row>
    <row r="16" spans="1:52">
      <c r="A16" s="45" t="s">
        <v>234</v>
      </c>
      <c r="B16" s="46">
        <v>76503</v>
      </c>
      <c r="C16" s="46">
        <v>247366</v>
      </c>
      <c r="D16" s="46">
        <v>401596</v>
      </c>
      <c r="E16" s="46">
        <v>761799</v>
      </c>
      <c r="F16" s="46">
        <v>1487264</v>
      </c>
      <c r="J16" s="2" t="s">
        <v>744</v>
      </c>
      <c r="K16" s="3">
        <v>11</v>
      </c>
      <c r="L16" s="3">
        <v>222119</v>
      </c>
    </row>
    <row r="17" spans="1:15">
      <c r="A17" s="47" t="s">
        <v>11</v>
      </c>
      <c r="B17" s="46">
        <v>0</v>
      </c>
      <c r="C17" s="46">
        <v>0</v>
      </c>
      <c r="D17" s="46">
        <v>200000</v>
      </c>
      <c r="E17" s="46">
        <v>750000</v>
      </c>
      <c r="F17" s="46">
        <v>950000</v>
      </c>
      <c r="J17" s="2" t="s">
        <v>258</v>
      </c>
      <c r="K17" s="3">
        <v>10</v>
      </c>
      <c r="L17" s="3">
        <v>87000</v>
      </c>
    </row>
    <row r="18" spans="1:15">
      <c r="A18" s="49" t="s">
        <v>17</v>
      </c>
      <c r="B18" s="48">
        <v>76503</v>
      </c>
      <c r="C18" s="48">
        <v>247366</v>
      </c>
      <c r="D18" s="48">
        <v>201596</v>
      </c>
      <c r="E18" s="48">
        <v>11799</v>
      </c>
      <c r="F18" s="48">
        <v>537264</v>
      </c>
      <c r="J18" s="2" t="s">
        <v>384</v>
      </c>
      <c r="K18" s="3">
        <v>10</v>
      </c>
      <c r="L18" s="3">
        <v>100000</v>
      </c>
    </row>
    <row r="19" spans="1:15" s="41" customFormat="1">
      <c r="A19" s="45" t="s">
        <v>848</v>
      </c>
      <c r="B19" s="46">
        <v>0</v>
      </c>
      <c r="C19" s="46">
        <v>0</v>
      </c>
      <c r="D19" s="46">
        <v>69300</v>
      </c>
      <c r="E19" s="46">
        <v>0</v>
      </c>
      <c r="F19" s="46">
        <v>69300</v>
      </c>
      <c r="J19" s="2" t="s">
        <v>706</v>
      </c>
      <c r="K19" s="3">
        <v>10</v>
      </c>
      <c r="L19" s="3">
        <v>156304</v>
      </c>
      <c r="M19" s="10"/>
      <c r="N19" s="10"/>
      <c r="O19" s="10"/>
    </row>
    <row r="20" spans="1:15">
      <c r="A20" s="49" t="s">
        <v>17</v>
      </c>
      <c r="B20" s="46">
        <v>0</v>
      </c>
      <c r="C20" s="46">
        <v>0</v>
      </c>
      <c r="D20" s="48">
        <v>69300</v>
      </c>
      <c r="E20" s="48">
        <v>0</v>
      </c>
      <c r="F20" s="48">
        <v>69300</v>
      </c>
      <c r="J20" s="2" t="s">
        <v>263</v>
      </c>
      <c r="K20" s="3">
        <v>10</v>
      </c>
      <c r="L20" s="3">
        <v>168763</v>
      </c>
    </row>
    <row r="21" spans="1:15">
      <c r="A21" s="45" t="s">
        <v>887</v>
      </c>
      <c r="B21" s="46">
        <v>60000</v>
      </c>
      <c r="C21" s="46">
        <v>0</v>
      </c>
      <c r="D21" s="46">
        <v>0</v>
      </c>
      <c r="E21" s="46">
        <v>0</v>
      </c>
      <c r="F21" s="46">
        <v>60000</v>
      </c>
      <c r="G21" s="41"/>
      <c r="H21" s="41"/>
      <c r="I21" s="41"/>
      <c r="J21" s="2" t="s">
        <v>704</v>
      </c>
      <c r="K21" s="3">
        <v>9</v>
      </c>
      <c r="L21" s="3">
        <v>61321</v>
      </c>
    </row>
    <row r="22" spans="1:15">
      <c r="A22" s="47" t="s">
        <v>13</v>
      </c>
      <c r="B22" s="46">
        <v>60000</v>
      </c>
      <c r="C22" s="46">
        <v>0</v>
      </c>
      <c r="D22" s="46">
        <v>0</v>
      </c>
      <c r="E22" s="46">
        <v>0</v>
      </c>
      <c r="F22" s="46">
        <v>60000</v>
      </c>
      <c r="J22" s="2" t="s">
        <v>471</v>
      </c>
      <c r="K22" s="3">
        <v>9</v>
      </c>
      <c r="L22" s="3">
        <v>408110</v>
      </c>
    </row>
    <row r="23" spans="1:15">
      <c r="A23" s="45" t="s">
        <v>14</v>
      </c>
      <c r="B23" s="46">
        <v>5209182</v>
      </c>
      <c r="C23" s="46">
        <v>1813798</v>
      </c>
      <c r="D23" s="46">
        <v>1172731</v>
      </c>
      <c r="E23" s="46">
        <v>1201023</v>
      </c>
      <c r="F23" s="46">
        <v>9396734</v>
      </c>
      <c r="J23" s="2" t="s">
        <v>679</v>
      </c>
      <c r="K23" s="3">
        <v>9</v>
      </c>
      <c r="L23" s="3">
        <v>435192</v>
      </c>
    </row>
    <row r="24" spans="1:15">
      <c r="J24" s="2" t="s">
        <v>261</v>
      </c>
      <c r="K24" s="3">
        <v>9</v>
      </c>
      <c r="L24" s="3"/>
    </row>
    <row r="25" spans="1:15">
      <c r="A25" s="52" t="s">
        <v>215</v>
      </c>
      <c r="B25" s="53" t="s">
        <v>800</v>
      </c>
      <c r="J25" s="2" t="s">
        <v>236</v>
      </c>
      <c r="K25" s="3">
        <v>8</v>
      </c>
      <c r="L25" s="3">
        <v>60000</v>
      </c>
    </row>
    <row r="26" spans="1:15">
      <c r="A26" s="35" t="s">
        <v>900</v>
      </c>
      <c r="J26" s="2" t="s">
        <v>608</v>
      </c>
      <c r="K26" s="3">
        <v>8</v>
      </c>
      <c r="L26" s="3">
        <v>31483</v>
      </c>
    </row>
    <row r="27" spans="1:15">
      <c r="A27" s="43" t="s">
        <v>7</v>
      </c>
      <c r="B27" s="43" t="s">
        <v>901</v>
      </c>
      <c r="C27" s="44"/>
      <c r="D27" s="44"/>
      <c r="E27" s="44"/>
      <c r="F27" s="44"/>
      <c r="G27" s="55">
        <v>45931</v>
      </c>
      <c r="H27" s="55">
        <f ca="1">TODAY()-1</f>
        <v>46293</v>
      </c>
      <c r="I27" s="4"/>
      <c r="J27" s="2" t="s">
        <v>708</v>
      </c>
      <c r="K27" s="3">
        <v>8</v>
      </c>
      <c r="L27" s="3">
        <v>60977</v>
      </c>
    </row>
    <row r="28" spans="1:15">
      <c r="A28" s="43" t="s">
        <v>898</v>
      </c>
      <c r="B28" s="44" t="s">
        <v>894</v>
      </c>
      <c r="C28" s="44" t="s">
        <v>895</v>
      </c>
      <c r="D28" s="44" t="s">
        <v>896</v>
      </c>
      <c r="E28" s="44" t="s">
        <v>897</v>
      </c>
      <c r="F28" s="44" t="s">
        <v>14</v>
      </c>
      <c r="G28" s="4" t="s">
        <v>902</v>
      </c>
      <c r="H28" s="4" t="s">
        <v>903</v>
      </c>
      <c r="I28" s="4" t="s">
        <v>904</v>
      </c>
      <c r="J28" s="2" t="s">
        <v>243</v>
      </c>
      <c r="K28" s="3">
        <v>8</v>
      </c>
      <c r="L28" s="3">
        <v>352460</v>
      </c>
    </row>
    <row r="29" spans="1:15">
      <c r="A29" s="45" t="s">
        <v>11</v>
      </c>
      <c r="B29" s="50"/>
      <c r="C29" s="50"/>
      <c r="D29" s="50">
        <v>200000</v>
      </c>
      <c r="E29" s="50">
        <v>750000</v>
      </c>
      <c r="F29" s="50">
        <v>950000</v>
      </c>
      <c r="G29" s="4"/>
      <c r="H29" s="4"/>
      <c r="I29" s="4"/>
      <c r="J29" s="2" t="s">
        <v>284</v>
      </c>
      <c r="K29" s="3">
        <v>8</v>
      </c>
      <c r="L29" s="3">
        <v>50000</v>
      </c>
    </row>
    <row r="30" spans="1:15">
      <c r="A30" s="45" t="s">
        <v>13</v>
      </c>
      <c r="B30" s="50">
        <v>110000</v>
      </c>
      <c r="C30" s="50">
        <v>60000</v>
      </c>
      <c r="D30" s="50">
        <v>225000</v>
      </c>
      <c r="E30" s="50"/>
      <c r="F30" s="50">
        <v>395000</v>
      </c>
      <c r="G30" s="4"/>
      <c r="H30" s="4"/>
      <c r="I30" s="4"/>
      <c r="J30" s="2" t="s">
        <v>439</v>
      </c>
      <c r="K30" s="3">
        <v>7</v>
      </c>
      <c r="L30" s="3">
        <v>60000</v>
      </c>
    </row>
    <row r="31" spans="1:15">
      <c r="A31" s="45" t="s">
        <v>16</v>
      </c>
      <c r="B31" s="50">
        <v>3145000</v>
      </c>
      <c r="C31" s="50">
        <v>15000</v>
      </c>
      <c r="D31" s="50"/>
      <c r="E31" s="50"/>
      <c r="F31" s="50">
        <v>3160000</v>
      </c>
      <c r="G31" s="4"/>
      <c r="H31" s="4"/>
      <c r="I31" s="4"/>
      <c r="J31" s="2" t="s">
        <v>247</v>
      </c>
      <c r="K31" s="3">
        <v>7</v>
      </c>
      <c r="L31" s="3">
        <v>104000</v>
      </c>
    </row>
    <row r="32" spans="1:15">
      <c r="A32" s="45" t="s">
        <v>29</v>
      </c>
      <c r="B32" s="50">
        <v>1275500</v>
      </c>
      <c r="C32" s="50"/>
      <c r="D32" s="50"/>
      <c r="E32" s="50"/>
      <c r="F32" s="50">
        <v>1275500</v>
      </c>
      <c r="G32" s="4"/>
      <c r="H32" s="4"/>
      <c r="I32" s="4"/>
      <c r="J32" s="2" t="s">
        <v>276</v>
      </c>
      <c r="K32" s="3">
        <v>7</v>
      </c>
      <c r="L32" s="3">
        <v>85000</v>
      </c>
    </row>
    <row r="33" spans="1:12">
      <c r="A33" s="45" t="s">
        <v>27</v>
      </c>
      <c r="B33" s="50">
        <v>581000</v>
      </c>
      <c r="C33" s="50"/>
      <c r="D33" s="50"/>
      <c r="E33" s="50"/>
      <c r="F33" s="50">
        <v>581000</v>
      </c>
      <c r="G33" s="30">
        <f>2500000/31</f>
        <v>80645.161290322576</v>
      </c>
      <c r="H33" s="30">
        <f ca="1">GETPIVOTDATA("Expected Business",$A$27,"Status","Closed(C4)","Month","Oct-25")/(H27-G27)</f>
        <v>269.83977900552486</v>
      </c>
      <c r="I33" s="30">
        <f ca="1">G33+(G33-H33)</f>
        <v>161020.48280163962</v>
      </c>
      <c r="J33" s="2" t="s">
        <v>775</v>
      </c>
      <c r="K33" s="3">
        <v>7</v>
      </c>
      <c r="L33" s="3">
        <v>123416</v>
      </c>
    </row>
    <row r="34" spans="1:12">
      <c r="A34" s="54" t="s">
        <v>17</v>
      </c>
      <c r="B34" s="51">
        <v>97682</v>
      </c>
      <c r="C34" s="51">
        <v>1738798</v>
      </c>
      <c r="D34" s="51">
        <v>747731</v>
      </c>
      <c r="E34" s="51">
        <v>451023</v>
      </c>
      <c r="F34" s="51">
        <v>3035234</v>
      </c>
      <c r="H34" s="57">
        <f ca="1">H33/GETPIVOTDATA("Expected Business",$A$27,"Month","Oct-25")</f>
        <v>5.1800796940004181E-5</v>
      </c>
      <c r="J34" s="2" t="s">
        <v>855</v>
      </c>
      <c r="K34" s="3">
        <v>7</v>
      </c>
      <c r="L34" s="3">
        <v>82380</v>
      </c>
    </row>
    <row r="35" spans="1:12">
      <c r="A35" s="45" t="s">
        <v>14</v>
      </c>
      <c r="B35" s="50">
        <v>5209182</v>
      </c>
      <c r="C35" s="50">
        <v>1813798</v>
      </c>
      <c r="D35" s="50">
        <v>1172731</v>
      </c>
      <c r="E35" s="50">
        <v>1201023</v>
      </c>
      <c r="F35" s="50">
        <v>9396734</v>
      </c>
      <c r="J35" s="2" t="s">
        <v>778</v>
      </c>
      <c r="K35" s="3">
        <v>7</v>
      </c>
      <c r="L35" s="3">
        <v>91449</v>
      </c>
    </row>
    <row r="36" spans="1:12">
      <c r="J36" s="2" t="s">
        <v>254</v>
      </c>
      <c r="K36" s="3">
        <v>7</v>
      </c>
      <c r="L36" s="3">
        <v>120000</v>
      </c>
    </row>
    <row r="37" spans="1:12">
      <c r="J37" s="2" t="s">
        <v>821</v>
      </c>
      <c r="K37" s="3">
        <v>6</v>
      </c>
      <c r="L37" s="3">
        <v>40000</v>
      </c>
    </row>
    <row r="38" spans="1:12">
      <c r="A38" s="52" t="s">
        <v>215</v>
      </c>
      <c r="B38" s="53" t="s">
        <v>800</v>
      </c>
      <c r="J38" s="2" t="s">
        <v>360</v>
      </c>
      <c r="K38" s="3">
        <v>6</v>
      </c>
      <c r="L38" s="3"/>
    </row>
    <row r="39" spans="1:12">
      <c r="A39" s="35" t="s">
        <v>900</v>
      </c>
      <c r="J39" s="2" t="s">
        <v>367</v>
      </c>
      <c r="K39" s="3">
        <v>6</v>
      </c>
      <c r="L39" s="3">
        <v>19274</v>
      </c>
    </row>
    <row r="40" spans="1:12">
      <c r="A40" s="43" t="s">
        <v>905</v>
      </c>
      <c r="B40" s="43" t="s">
        <v>901</v>
      </c>
      <c r="C40" s="44"/>
      <c r="D40" s="44"/>
      <c r="E40" s="44"/>
      <c r="F40" s="44"/>
      <c r="J40" s="2" t="s">
        <v>282</v>
      </c>
      <c r="K40" s="3">
        <v>5</v>
      </c>
      <c r="L40" s="3">
        <v>460000</v>
      </c>
    </row>
    <row r="41" spans="1:12">
      <c r="A41" s="43" t="s">
        <v>898</v>
      </c>
      <c r="B41" s="44" t="s">
        <v>894</v>
      </c>
      <c r="C41" s="44" t="s">
        <v>895</v>
      </c>
      <c r="D41" s="44" t="s">
        <v>896</v>
      </c>
      <c r="E41" s="44" t="s">
        <v>897</v>
      </c>
      <c r="F41" s="44" t="s">
        <v>14</v>
      </c>
      <c r="J41" s="2" t="s">
        <v>818</v>
      </c>
      <c r="K41" s="3">
        <v>5</v>
      </c>
      <c r="L41" s="3">
        <v>30000</v>
      </c>
    </row>
    <row r="42" spans="1:12">
      <c r="A42" s="45" t="s">
        <v>11</v>
      </c>
      <c r="B42" s="50"/>
      <c r="C42" s="50"/>
      <c r="D42" s="50">
        <v>1</v>
      </c>
      <c r="E42" s="50">
        <v>1</v>
      </c>
      <c r="F42" s="50">
        <v>2</v>
      </c>
      <c r="J42" s="2" t="s">
        <v>256</v>
      </c>
      <c r="K42" s="3">
        <v>5</v>
      </c>
      <c r="L42" s="3">
        <v>60000</v>
      </c>
    </row>
    <row r="43" spans="1:12">
      <c r="A43" s="45" t="s">
        <v>13</v>
      </c>
      <c r="B43" s="50">
        <v>2</v>
      </c>
      <c r="C43" s="50">
        <v>1</v>
      </c>
      <c r="D43" s="50">
        <v>13</v>
      </c>
      <c r="E43" s="50">
        <v>7</v>
      </c>
      <c r="F43" s="50">
        <v>23</v>
      </c>
      <c r="J43" s="2" t="s">
        <v>570</v>
      </c>
      <c r="K43" s="3">
        <v>5</v>
      </c>
      <c r="L43" s="3">
        <v>15162</v>
      </c>
    </row>
    <row r="44" spans="1:12">
      <c r="A44" s="45" t="s">
        <v>16</v>
      </c>
      <c r="B44" s="50">
        <v>46</v>
      </c>
      <c r="C44" s="50">
        <v>24</v>
      </c>
      <c r="D44" s="50">
        <v>21</v>
      </c>
      <c r="E44" s="50">
        <v>30</v>
      </c>
      <c r="F44" s="50">
        <v>121</v>
      </c>
      <c r="J44" s="2" t="s">
        <v>872</v>
      </c>
      <c r="K44" s="3">
        <v>5</v>
      </c>
      <c r="L44" s="3">
        <v>276610</v>
      </c>
    </row>
    <row r="45" spans="1:12">
      <c r="A45" s="45" t="s">
        <v>29</v>
      </c>
      <c r="B45" s="50">
        <v>17</v>
      </c>
      <c r="C45" s="50"/>
      <c r="D45" s="50"/>
      <c r="E45" s="50"/>
      <c r="F45" s="50">
        <v>17</v>
      </c>
      <c r="J45" s="2" t="s">
        <v>352</v>
      </c>
      <c r="K45" s="3">
        <v>5</v>
      </c>
      <c r="L45" s="3">
        <v>134000</v>
      </c>
    </row>
    <row r="46" spans="1:12">
      <c r="A46" s="45" t="s">
        <v>27</v>
      </c>
      <c r="B46" s="50">
        <v>6</v>
      </c>
      <c r="C46" s="50">
        <v>14</v>
      </c>
      <c r="D46" s="50">
        <v>4</v>
      </c>
      <c r="E46" s="50">
        <v>2</v>
      </c>
      <c r="F46" s="50">
        <v>26</v>
      </c>
      <c r="J46" s="2" t="s">
        <v>765</v>
      </c>
      <c r="K46" s="3">
        <v>5</v>
      </c>
      <c r="L46" s="3">
        <v>45370</v>
      </c>
    </row>
    <row r="47" spans="1:12">
      <c r="A47" s="54" t="s">
        <v>17</v>
      </c>
      <c r="B47" s="51">
        <v>7</v>
      </c>
      <c r="C47" s="51">
        <v>48</v>
      </c>
      <c r="D47" s="51">
        <v>22</v>
      </c>
      <c r="E47" s="51">
        <v>27</v>
      </c>
      <c r="F47" s="51">
        <v>104</v>
      </c>
      <c r="J47" s="2" t="s">
        <v>760</v>
      </c>
      <c r="K47" s="3">
        <v>5</v>
      </c>
      <c r="L47" s="3">
        <v>88922</v>
      </c>
    </row>
    <row r="48" spans="1:12">
      <c r="A48" s="45" t="s">
        <v>14</v>
      </c>
      <c r="B48" s="50">
        <v>78</v>
      </c>
      <c r="C48" s="50">
        <v>87</v>
      </c>
      <c r="D48" s="50">
        <v>61</v>
      </c>
      <c r="E48" s="50">
        <v>67</v>
      </c>
      <c r="F48" s="50">
        <v>293</v>
      </c>
      <c r="J48" s="2" t="s">
        <v>650</v>
      </c>
      <c r="K48" s="3">
        <v>5</v>
      </c>
      <c r="L48" s="3">
        <v>576630</v>
      </c>
    </row>
    <row r="49" spans="10:12">
      <c r="J49" s="2" t="s">
        <v>700</v>
      </c>
      <c r="K49" s="3">
        <v>5</v>
      </c>
      <c r="L49" s="3">
        <v>112370</v>
      </c>
    </row>
    <row r="50" spans="10:12">
      <c r="J50" s="2" t="s">
        <v>378</v>
      </c>
      <c r="K50" s="3">
        <v>5</v>
      </c>
      <c r="L50" s="3">
        <v>40000</v>
      </c>
    </row>
    <row r="51" spans="10:12">
      <c r="J51" s="2" t="s">
        <v>354</v>
      </c>
      <c r="K51" s="3">
        <v>5</v>
      </c>
      <c r="L51" s="3">
        <v>50000</v>
      </c>
    </row>
    <row r="52" spans="10:12">
      <c r="J52" s="2" t="s">
        <v>449</v>
      </c>
      <c r="K52" s="3">
        <v>5</v>
      </c>
      <c r="L52" s="3"/>
    </row>
    <row r="53" spans="10:12">
      <c r="J53" s="2" t="s">
        <v>834</v>
      </c>
      <c r="K53" s="3">
        <v>5</v>
      </c>
      <c r="L53" s="3"/>
    </row>
    <row r="54" spans="10:12">
      <c r="J54" s="2" t="s">
        <v>732</v>
      </c>
      <c r="K54" s="3">
        <v>5</v>
      </c>
      <c r="L54" s="3">
        <v>302172</v>
      </c>
    </row>
    <row r="55" spans="10:12">
      <c r="J55" s="2" t="s">
        <v>278</v>
      </c>
      <c r="K55" s="3">
        <v>5</v>
      </c>
      <c r="L55" s="3">
        <v>34000</v>
      </c>
    </row>
    <row r="56" spans="10:12">
      <c r="J56" s="2" t="s">
        <v>648</v>
      </c>
      <c r="K56" s="3">
        <v>4</v>
      </c>
      <c r="L56" s="3">
        <v>34932</v>
      </c>
    </row>
    <row r="57" spans="10:12">
      <c r="J57" s="2" t="s">
        <v>865</v>
      </c>
      <c r="K57" s="3">
        <v>4</v>
      </c>
      <c r="L57" s="3">
        <v>545434</v>
      </c>
    </row>
    <row r="58" spans="10:12">
      <c r="J58" s="2" t="s">
        <v>272</v>
      </c>
      <c r="K58" s="3">
        <v>4</v>
      </c>
      <c r="L58" s="3">
        <v>50000</v>
      </c>
    </row>
    <row r="59" spans="10:12">
      <c r="J59" s="2" t="s">
        <v>267</v>
      </c>
      <c r="K59" s="3">
        <v>4</v>
      </c>
      <c r="L59" s="3">
        <v>35000</v>
      </c>
    </row>
    <row r="60" spans="10:12">
      <c r="J60" s="2" t="s">
        <v>856</v>
      </c>
      <c r="K60" s="3">
        <v>4</v>
      </c>
      <c r="L60" s="3">
        <v>32347</v>
      </c>
    </row>
    <row r="61" spans="10:12">
      <c r="J61" s="2" t="s">
        <v>455</v>
      </c>
      <c r="K61" s="3">
        <v>4</v>
      </c>
      <c r="L61" s="3">
        <v>40000</v>
      </c>
    </row>
    <row r="62" spans="10:12">
      <c r="J62" s="2" t="s">
        <v>812</v>
      </c>
      <c r="K62" s="3">
        <v>4</v>
      </c>
      <c r="L62" s="3">
        <v>37334</v>
      </c>
    </row>
    <row r="63" spans="10:12">
      <c r="J63" s="2" t="s">
        <v>458</v>
      </c>
      <c r="K63" s="3">
        <v>4</v>
      </c>
      <c r="L63" s="3">
        <v>100000</v>
      </c>
    </row>
    <row r="64" spans="10:12">
      <c r="J64" s="2" t="s">
        <v>864</v>
      </c>
      <c r="K64" s="3">
        <v>4</v>
      </c>
      <c r="L64" s="3">
        <v>188050</v>
      </c>
    </row>
    <row r="65" spans="10:12">
      <c r="J65" s="2" t="s">
        <v>274</v>
      </c>
      <c r="K65" s="3">
        <v>4</v>
      </c>
      <c r="L65" s="3"/>
    </row>
    <row r="66" spans="10:12">
      <c r="J66" s="2" t="s">
        <v>332</v>
      </c>
      <c r="K66" s="3">
        <v>4</v>
      </c>
      <c r="L66" s="3">
        <v>152858</v>
      </c>
    </row>
    <row r="67" spans="10:12">
      <c r="J67" s="2" t="s">
        <v>241</v>
      </c>
      <c r="K67" s="3">
        <v>4</v>
      </c>
      <c r="L67" s="3"/>
    </row>
    <row r="68" spans="10:12">
      <c r="J68" s="2" t="s">
        <v>701</v>
      </c>
      <c r="K68" s="3">
        <v>4</v>
      </c>
      <c r="L68" s="3">
        <v>372510</v>
      </c>
    </row>
    <row r="69" spans="10:12">
      <c r="J69" s="2" t="s">
        <v>450</v>
      </c>
      <c r="K69" s="3">
        <v>4</v>
      </c>
      <c r="L69" s="3"/>
    </row>
    <row r="70" spans="10:12">
      <c r="J70" s="2" t="s">
        <v>764</v>
      </c>
      <c r="K70" s="3">
        <v>4</v>
      </c>
      <c r="L70" s="3">
        <v>19895</v>
      </c>
    </row>
    <row r="71" spans="10:12">
      <c r="J71" s="2" t="s">
        <v>574</v>
      </c>
      <c r="K71" s="3">
        <v>3</v>
      </c>
      <c r="L71" s="3"/>
    </row>
    <row r="72" spans="10:12">
      <c r="J72" s="2" t="s">
        <v>805</v>
      </c>
      <c r="K72" s="3">
        <v>3</v>
      </c>
      <c r="L72" s="3"/>
    </row>
    <row r="73" spans="10:12">
      <c r="J73" s="2" t="s">
        <v>253</v>
      </c>
      <c r="K73" s="3">
        <v>3</v>
      </c>
      <c r="L73" s="3"/>
    </row>
    <row r="74" spans="10:12">
      <c r="J74" s="2" t="s">
        <v>298</v>
      </c>
      <c r="K74" s="3">
        <v>3</v>
      </c>
      <c r="L74" s="3"/>
    </row>
    <row r="75" spans="10:12">
      <c r="J75" s="2" t="s">
        <v>560</v>
      </c>
      <c r="K75" s="3">
        <v>3</v>
      </c>
      <c r="L75" s="3">
        <v>98091</v>
      </c>
    </row>
    <row r="76" spans="10:12">
      <c r="J76" s="2" t="s">
        <v>290</v>
      </c>
      <c r="K76" s="3">
        <v>3</v>
      </c>
      <c r="L76" s="3"/>
    </row>
    <row r="77" spans="10:12">
      <c r="J77" s="2" t="s">
        <v>375</v>
      </c>
      <c r="K77" s="3">
        <v>3</v>
      </c>
      <c r="L77" s="3"/>
    </row>
    <row r="78" spans="10:12">
      <c r="J78" s="2" t="s">
        <v>768</v>
      </c>
      <c r="K78" s="3">
        <v>3</v>
      </c>
      <c r="L78" s="3">
        <v>21434</v>
      </c>
    </row>
    <row r="79" spans="10:12">
      <c r="J79" s="2" t="s">
        <v>411</v>
      </c>
      <c r="K79" s="3">
        <v>3</v>
      </c>
      <c r="L79" s="3">
        <v>30000</v>
      </c>
    </row>
    <row r="80" spans="10:12">
      <c r="J80" s="2" t="s">
        <v>344</v>
      </c>
      <c r="K80" s="3">
        <v>3</v>
      </c>
      <c r="L80" s="3">
        <v>33400</v>
      </c>
    </row>
    <row r="81" spans="10:12">
      <c r="J81" s="2" t="s">
        <v>809</v>
      </c>
      <c r="K81" s="3">
        <v>3</v>
      </c>
      <c r="L81" s="3"/>
    </row>
    <row r="82" spans="10:12">
      <c r="J82" s="2" t="s">
        <v>761</v>
      </c>
      <c r="K82" s="3">
        <v>3</v>
      </c>
      <c r="L82" s="3">
        <v>12491</v>
      </c>
    </row>
    <row r="83" spans="10:12">
      <c r="J83" s="2" t="s">
        <v>854</v>
      </c>
      <c r="K83" s="3">
        <v>3</v>
      </c>
      <c r="L83" s="3">
        <v>26000</v>
      </c>
    </row>
    <row r="84" spans="10:12">
      <c r="J84" s="2" t="s">
        <v>641</v>
      </c>
      <c r="K84" s="3">
        <v>3</v>
      </c>
      <c r="L84" s="3">
        <v>200000</v>
      </c>
    </row>
    <row r="85" spans="10:12">
      <c r="J85" s="2" t="s">
        <v>790</v>
      </c>
      <c r="K85" s="3">
        <v>3</v>
      </c>
      <c r="L85" s="3">
        <v>200000</v>
      </c>
    </row>
    <row r="86" spans="10:12">
      <c r="J86" s="2" t="s">
        <v>626</v>
      </c>
      <c r="K86" s="3">
        <v>3</v>
      </c>
      <c r="L86" s="3"/>
    </row>
    <row r="87" spans="10:12">
      <c r="J87" s="2" t="s">
        <v>365</v>
      </c>
      <c r="K87" s="3">
        <v>3</v>
      </c>
      <c r="L87" s="3">
        <v>50000</v>
      </c>
    </row>
    <row r="88" spans="10:12">
      <c r="J88" s="2" t="s">
        <v>292</v>
      </c>
      <c r="K88" s="3">
        <v>3</v>
      </c>
      <c r="L88" s="3"/>
    </row>
    <row r="89" spans="10:12">
      <c r="J89" s="2" t="s">
        <v>622</v>
      </c>
      <c r="K89" s="3">
        <v>3</v>
      </c>
      <c r="L89" s="3"/>
    </row>
    <row r="90" spans="10:12">
      <c r="J90" s="2" t="s">
        <v>391</v>
      </c>
      <c r="K90" s="3">
        <v>3</v>
      </c>
      <c r="L90" s="3"/>
    </row>
    <row r="91" spans="10:12">
      <c r="J91" s="2" t="s">
        <v>802</v>
      </c>
      <c r="K91" s="3">
        <v>3</v>
      </c>
      <c r="L91" s="3">
        <v>60000</v>
      </c>
    </row>
    <row r="92" spans="10:12">
      <c r="J92" s="2" t="s">
        <v>270</v>
      </c>
      <c r="K92" s="3">
        <v>3</v>
      </c>
      <c r="L92" s="3"/>
    </row>
    <row r="93" spans="10:12">
      <c r="J93" s="2" t="s">
        <v>807</v>
      </c>
      <c r="K93" s="3">
        <v>3</v>
      </c>
      <c r="L93" s="3"/>
    </row>
    <row r="94" spans="10:12">
      <c r="J94" s="2" t="s">
        <v>748</v>
      </c>
      <c r="K94" s="3">
        <v>3</v>
      </c>
      <c r="L94" s="3">
        <v>83835</v>
      </c>
    </row>
    <row r="95" spans="10:12">
      <c r="J95" s="2" t="s">
        <v>836</v>
      </c>
      <c r="K95" s="3">
        <v>3</v>
      </c>
      <c r="L95" s="3"/>
    </row>
    <row r="96" spans="10:12">
      <c r="J96" s="2" t="s">
        <v>568</v>
      </c>
      <c r="K96" s="3">
        <v>3</v>
      </c>
      <c r="L96" s="3">
        <v>18500</v>
      </c>
    </row>
    <row r="97" spans="10:12">
      <c r="J97" s="2" t="s">
        <v>849</v>
      </c>
      <c r="K97" s="3">
        <v>3</v>
      </c>
      <c r="L97" s="3">
        <v>22260</v>
      </c>
    </row>
    <row r="98" spans="10:12">
      <c r="J98" s="2" t="s">
        <v>696</v>
      </c>
      <c r="K98" s="3">
        <v>3</v>
      </c>
      <c r="L98" s="3">
        <v>155652</v>
      </c>
    </row>
    <row r="99" spans="10:12">
      <c r="J99" s="2" t="s">
        <v>300</v>
      </c>
      <c r="K99" s="3">
        <v>3</v>
      </c>
      <c r="L99" s="3"/>
    </row>
    <row r="100" spans="10:12">
      <c r="J100" s="2" t="s">
        <v>665</v>
      </c>
      <c r="K100" s="3">
        <v>3</v>
      </c>
      <c r="L100" s="3">
        <v>42000</v>
      </c>
    </row>
    <row r="101" spans="10:12">
      <c r="J101" s="2" t="s">
        <v>611</v>
      </c>
      <c r="K101" s="3">
        <v>2</v>
      </c>
      <c r="L101" s="3"/>
    </row>
    <row r="102" spans="10:12">
      <c r="J102" s="2" t="s">
        <v>819</v>
      </c>
      <c r="K102" s="3">
        <v>2</v>
      </c>
      <c r="L102" s="3">
        <v>40000</v>
      </c>
    </row>
    <row r="103" spans="10:12">
      <c r="J103" s="2" t="s">
        <v>428</v>
      </c>
      <c r="K103" s="3">
        <v>2</v>
      </c>
      <c r="L103" s="3"/>
    </row>
    <row r="104" spans="10:12">
      <c r="J104" s="2" t="s">
        <v>575</v>
      </c>
      <c r="K104" s="3">
        <v>2</v>
      </c>
      <c r="L104" s="3"/>
    </row>
    <row r="105" spans="10:12">
      <c r="J105" s="2" t="s">
        <v>348</v>
      </c>
      <c r="K105" s="3">
        <v>2</v>
      </c>
      <c r="L105" s="3">
        <v>150000</v>
      </c>
    </row>
    <row r="106" spans="10:12">
      <c r="J106" s="2" t="s">
        <v>464</v>
      </c>
      <c r="K106" s="3">
        <v>2</v>
      </c>
      <c r="L106" s="3">
        <v>30000</v>
      </c>
    </row>
    <row r="107" spans="10:12">
      <c r="J107" s="2" t="s">
        <v>227</v>
      </c>
      <c r="K107" s="3">
        <v>2</v>
      </c>
      <c r="L107" s="3"/>
    </row>
    <row r="108" spans="10:12">
      <c r="J108" s="2" t="s">
        <v>643</v>
      </c>
      <c r="K108" s="3">
        <v>2</v>
      </c>
      <c r="L108" s="3"/>
    </row>
    <row r="109" spans="10:12">
      <c r="J109" s="2" t="s">
        <v>572</v>
      </c>
      <c r="K109" s="3">
        <v>2</v>
      </c>
      <c r="L109" s="3"/>
    </row>
    <row r="110" spans="10:12">
      <c r="J110" s="2" t="s">
        <v>874</v>
      </c>
      <c r="K110" s="3">
        <v>2</v>
      </c>
      <c r="L110" s="3">
        <v>18088</v>
      </c>
    </row>
    <row r="111" spans="10:12">
      <c r="J111" s="2" t="s">
        <v>845</v>
      </c>
      <c r="K111" s="3">
        <v>2</v>
      </c>
      <c r="L111" s="3">
        <v>15000</v>
      </c>
    </row>
    <row r="112" spans="10:12">
      <c r="J112" s="2" t="s">
        <v>557</v>
      </c>
      <c r="K112" s="3">
        <v>2</v>
      </c>
      <c r="L112" s="3"/>
    </row>
    <row r="113" spans="10:12">
      <c r="J113" s="2" t="s">
        <v>782</v>
      </c>
      <c r="K113" s="3">
        <v>2</v>
      </c>
      <c r="L113" s="3">
        <v>40000</v>
      </c>
    </row>
    <row r="114" spans="10:12">
      <c r="J114" s="2" t="s">
        <v>792</v>
      </c>
      <c r="K114" s="3">
        <v>2</v>
      </c>
      <c r="L114" s="3"/>
    </row>
    <row r="115" spans="10:12">
      <c r="J115" s="2" t="s">
        <v>280</v>
      </c>
      <c r="K115" s="3">
        <v>2</v>
      </c>
      <c r="L115" s="3">
        <v>20000</v>
      </c>
    </row>
    <row r="116" spans="10:12">
      <c r="J116" s="2" t="s">
        <v>396</v>
      </c>
      <c r="K116" s="3">
        <v>2</v>
      </c>
      <c r="L116" s="3"/>
    </row>
    <row r="117" spans="10:12">
      <c r="J117" s="2" t="s">
        <v>400</v>
      </c>
      <c r="K117" s="3">
        <v>2</v>
      </c>
      <c r="L117" s="3">
        <v>20000</v>
      </c>
    </row>
    <row r="118" spans="10:12">
      <c r="J118" s="2" t="s">
        <v>628</v>
      </c>
      <c r="K118" s="3">
        <v>2</v>
      </c>
      <c r="L118" s="3"/>
    </row>
    <row r="119" spans="10:12">
      <c r="J119" s="2" t="s">
        <v>597</v>
      </c>
      <c r="K119" s="3">
        <v>2</v>
      </c>
      <c r="L119" s="3">
        <v>33705</v>
      </c>
    </row>
    <row r="120" spans="10:12">
      <c r="J120" s="2" t="s">
        <v>318</v>
      </c>
      <c r="K120" s="3">
        <v>2</v>
      </c>
      <c r="L120" s="3"/>
    </row>
    <row r="121" spans="10:12">
      <c r="J121" s="2" t="s">
        <v>730</v>
      </c>
      <c r="K121" s="3">
        <v>2</v>
      </c>
      <c r="L121" s="3">
        <v>17247</v>
      </c>
    </row>
    <row r="122" spans="10:12">
      <c r="J122" s="2" t="s">
        <v>644</v>
      </c>
      <c r="K122" s="3">
        <v>2</v>
      </c>
      <c r="L122" s="3"/>
    </row>
    <row r="123" spans="10:12">
      <c r="J123" s="2" t="s">
        <v>794</v>
      </c>
      <c r="K123" s="3">
        <v>2</v>
      </c>
      <c r="L123" s="3"/>
    </row>
    <row r="124" spans="10:12">
      <c r="J124" s="2" t="s">
        <v>752</v>
      </c>
      <c r="K124" s="3">
        <v>2</v>
      </c>
      <c r="L124" s="3">
        <v>479220</v>
      </c>
    </row>
    <row r="125" spans="10:12">
      <c r="J125" s="2" t="s">
        <v>555</v>
      </c>
      <c r="K125" s="3">
        <v>2</v>
      </c>
      <c r="L125" s="3"/>
    </row>
    <row r="126" spans="10:12">
      <c r="J126" s="2" t="s">
        <v>657</v>
      </c>
      <c r="K126" s="3">
        <v>2</v>
      </c>
      <c r="L126" s="3"/>
    </row>
    <row r="127" spans="10:12">
      <c r="J127" s="2" t="s">
        <v>713</v>
      </c>
      <c r="K127" s="3">
        <v>2</v>
      </c>
      <c r="L127" s="3">
        <v>17450</v>
      </c>
    </row>
    <row r="128" spans="10:12">
      <c r="J128" s="2" t="s">
        <v>880</v>
      </c>
      <c r="K128" s="3">
        <v>2</v>
      </c>
      <c r="L128" s="3">
        <v>500000</v>
      </c>
    </row>
    <row r="129" spans="10:12">
      <c r="J129" s="2" t="s">
        <v>382</v>
      </c>
      <c r="K129" s="3">
        <v>2</v>
      </c>
      <c r="L129" s="3"/>
    </row>
    <row r="130" spans="10:12">
      <c r="J130" s="2" t="s">
        <v>232</v>
      </c>
      <c r="K130" s="3">
        <v>2</v>
      </c>
      <c r="L130" s="3"/>
    </row>
    <row r="131" spans="10:12">
      <c r="J131" s="2" t="s">
        <v>249</v>
      </c>
      <c r="K131" s="3">
        <v>2</v>
      </c>
      <c r="L131" s="3"/>
    </row>
    <row r="132" spans="10:12">
      <c r="J132" s="2" t="s">
        <v>546</v>
      </c>
      <c r="K132" s="3">
        <v>2</v>
      </c>
      <c r="L132" s="3"/>
    </row>
    <row r="133" spans="10:12">
      <c r="J133" s="2" t="s">
        <v>567</v>
      </c>
      <c r="K133" s="3">
        <v>2</v>
      </c>
      <c r="L133" s="3"/>
    </row>
    <row r="134" spans="10:12">
      <c r="J134" s="2" t="s">
        <v>755</v>
      </c>
      <c r="K134" s="3">
        <v>2</v>
      </c>
      <c r="L134" s="3">
        <v>121601</v>
      </c>
    </row>
    <row r="135" spans="10:12">
      <c r="J135" s="2" t="s">
        <v>721</v>
      </c>
      <c r="K135" s="3">
        <v>2</v>
      </c>
      <c r="L135" s="3">
        <v>43065</v>
      </c>
    </row>
    <row r="136" spans="10:12">
      <c r="J136" s="2" t="s">
        <v>325</v>
      </c>
      <c r="K136" s="3">
        <v>2</v>
      </c>
      <c r="L136" s="3">
        <v>8900</v>
      </c>
    </row>
    <row r="137" spans="10:12">
      <c r="J137" s="2" t="s">
        <v>265</v>
      </c>
      <c r="K137" s="3">
        <v>2</v>
      </c>
      <c r="L137" s="3"/>
    </row>
    <row r="138" spans="10:12">
      <c r="J138" s="2" t="s">
        <v>624</v>
      </c>
      <c r="K138" s="3">
        <v>2</v>
      </c>
      <c r="L138" s="3"/>
    </row>
    <row r="139" spans="10:12">
      <c r="J139" s="2" t="s">
        <v>487</v>
      </c>
      <c r="K139" s="3">
        <v>2</v>
      </c>
      <c r="L139" s="3">
        <v>20000</v>
      </c>
    </row>
    <row r="140" spans="10:12">
      <c r="J140" s="2" t="s">
        <v>563</v>
      </c>
      <c r="K140" s="3">
        <v>2</v>
      </c>
      <c r="L140" s="3">
        <v>20000</v>
      </c>
    </row>
    <row r="141" spans="10:12">
      <c r="J141" s="2" t="s">
        <v>718</v>
      </c>
      <c r="K141" s="3">
        <v>2</v>
      </c>
      <c r="L141" s="3">
        <v>315360</v>
      </c>
    </row>
    <row r="142" spans="10:12">
      <c r="J142" s="2" t="s">
        <v>647</v>
      </c>
      <c r="K142" s="3">
        <v>2</v>
      </c>
      <c r="L142" s="3">
        <v>54169</v>
      </c>
    </row>
    <row r="143" spans="10:12">
      <c r="J143" s="2" t="s">
        <v>536</v>
      </c>
      <c r="K143" s="3">
        <v>2</v>
      </c>
      <c r="L143" s="3"/>
    </row>
    <row r="144" spans="10:12">
      <c r="J144" s="2" t="s">
        <v>409</v>
      </c>
      <c r="K144" s="3">
        <v>2</v>
      </c>
      <c r="L144" s="3"/>
    </row>
    <row r="145" spans="10:12">
      <c r="J145" s="2" t="s">
        <v>734</v>
      </c>
      <c r="K145" s="3">
        <v>2</v>
      </c>
      <c r="L145" s="3">
        <v>67584</v>
      </c>
    </row>
    <row r="146" spans="10:12">
      <c r="J146" s="2" t="s">
        <v>619</v>
      </c>
      <c r="K146" s="3">
        <v>2</v>
      </c>
      <c r="L146" s="3"/>
    </row>
    <row r="147" spans="10:12">
      <c r="J147" s="2" t="s">
        <v>617</v>
      </c>
      <c r="K147" s="3">
        <v>2</v>
      </c>
      <c r="L147" s="3">
        <v>23902</v>
      </c>
    </row>
    <row r="148" spans="10:12">
      <c r="J148" s="2" t="s">
        <v>506</v>
      </c>
      <c r="K148" s="3">
        <v>2</v>
      </c>
      <c r="L148" s="3">
        <v>50000</v>
      </c>
    </row>
    <row r="149" spans="10:12">
      <c r="J149" s="2" t="s">
        <v>842</v>
      </c>
      <c r="K149" s="3">
        <v>2</v>
      </c>
      <c r="L149" s="3">
        <v>15000</v>
      </c>
    </row>
    <row r="150" spans="10:12">
      <c r="J150" s="2" t="s">
        <v>750</v>
      </c>
      <c r="K150" s="3">
        <v>2</v>
      </c>
      <c r="L150" s="3">
        <v>39316</v>
      </c>
    </row>
    <row r="151" spans="10:12">
      <c r="J151" s="2" t="s">
        <v>846</v>
      </c>
      <c r="K151" s="3">
        <v>2</v>
      </c>
      <c r="L151" s="3">
        <v>13000</v>
      </c>
    </row>
    <row r="152" spans="10:12">
      <c r="J152" s="2" t="s">
        <v>251</v>
      </c>
      <c r="K152" s="3">
        <v>2</v>
      </c>
      <c r="L152" s="3"/>
    </row>
    <row r="153" spans="10:12">
      <c r="J153" s="2" t="s">
        <v>850</v>
      </c>
      <c r="K153" s="3">
        <v>2</v>
      </c>
      <c r="L153" s="3">
        <v>15000</v>
      </c>
    </row>
    <row r="154" spans="10:12">
      <c r="J154" s="2" t="s">
        <v>684</v>
      </c>
      <c r="K154" s="3">
        <v>2</v>
      </c>
      <c r="L154" s="3"/>
    </row>
    <row r="155" spans="10:12">
      <c r="J155" s="2" t="s">
        <v>380</v>
      </c>
      <c r="K155" s="3">
        <v>2</v>
      </c>
      <c r="L155" s="3"/>
    </row>
    <row r="156" spans="10:12">
      <c r="J156" s="2" t="s">
        <v>686</v>
      </c>
      <c r="K156" s="3">
        <v>2</v>
      </c>
      <c r="L156" s="3">
        <v>30000</v>
      </c>
    </row>
    <row r="157" spans="10:12">
      <c r="J157" s="2" t="s">
        <v>323</v>
      </c>
      <c r="K157" s="3">
        <v>2</v>
      </c>
      <c r="L157" s="3"/>
    </row>
    <row r="158" spans="10:12">
      <c r="J158" s="2" t="s">
        <v>769</v>
      </c>
      <c r="K158" s="3">
        <v>2</v>
      </c>
      <c r="L158" s="3">
        <v>22015</v>
      </c>
    </row>
    <row r="159" spans="10:12">
      <c r="J159" s="2" t="s">
        <v>526</v>
      </c>
      <c r="K159" s="3">
        <v>2</v>
      </c>
      <c r="L159" s="3"/>
    </row>
    <row r="160" spans="10:12">
      <c r="J160" s="2" t="s">
        <v>881</v>
      </c>
      <c r="K160" s="3">
        <v>2</v>
      </c>
      <c r="L160" s="3">
        <v>500000</v>
      </c>
    </row>
    <row r="161" spans="10:12">
      <c r="J161" s="2" t="s">
        <v>781</v>
      </c>
      <c r="K161" s="3">
        <v>2</v>
      </c>
      <c r="L161" s="3">
        <v>11529</v>
      </c>
    </row>
    <row r="162" spans="10:12">
      <c r="J162" s="2" t="s">
        <v>766</v>
      </c>
      <c r="K162" s="3">
        <v>2</v>
      </c>
      <c r="L162" s="3">
        <v>18788</v>
      </c>
    </row>
    <row r="163" spans="10:12">
      <c r="J163" s="2" t="s">
        <v>393</v>
      </c>
      <c r="K163" s="3">
        <v>1</v>
      </c>
      <c r="L163" s="3"/>
    </row>
    <row r="164" spans="10:12">
      <c r="J164" s="2" t="s">
        <v>532</v>
      </c>
      <c r="K164" s="3">
        <v>1</v>
      </c>
      <c r="L164" s="3"/>
    </row>
    <row r="165" spans="10:12">
      <c r="J165" s="2" t="s">
        <v>888</v>
      </c>
      <c r="K165" s="3">
        <v>1</v>
      </c>
      <c r="L165" s="3">
        <v>50000</v>
      </c>
    </row>
    <row r="166" spans="10:12">
      <c r="J166" s="2" t="s">
        <v>672</v>
      </c>
      <c r="K166" s="3">
        <v>1</v>
      </c>
      <c r="L166" s="3"/>
    </row>
    <row r="167" spans="10:12">
      <c r="J167" s="2" t="s">
        <v>443</v>
      </c>
      <c r="K167" s="3">
        <v>1</v>
      </c>
      <c r="L167" s="3"/>
    </row>
    <row r="168" spans="10:12">
      <c r="J168" s="2" t="s">
        <v>767</v>
      </c>
      <c r="K168" s="3">
        <v>1</v>
      </c>
      <c r="L168" s="3">
        <v>6004</v>
      </c>
    </row>
    <row r="169" spans="10:12">
      <c r="J169" s="2" t="s">
        <v>328</v>
      </c>
      <c r="K169" s="3">
        <v>1</v>
      </c>
      <c r="L169" s="3"/>
    </row>
    <row r="170" spans="10:12">
      <c r="J170" s="2" t="s">
        <v>358</v>
      </c>
      <c r="K170" s="3">
        <v>1</v>
      </c>
      <c r="L170" s="3"/>
    </row>
    <row r="171" spans="10:12">
      <c r="J171" s="2" t="s">
        <v>435</v>
      </c>
      <c r="K171" s="3">
        <v>1</v>
      </c>
      <c r="L171" s="3">
        <v>62200</v>
      </c>
    </row>
    <row r="172" spans="10:12">
      <c r="J172" s="2" t="s">
        <v>373</v>
      </c>
      <c r="K172" s="3">
        <v>1</v>
      </c>
      <c r="L172" s="3"/>
    </row>
    <row r="173" spans="10:12">
      <c r="J173" s="2" t="s">
        <v>451</v>
      </c>
      <c r="K173" s="3">
        <v>1</v>
      </c>
      <c r="L173" s="3"/>
    </row>
    <row r="174" spans="10:12">
      <c r="J174" s="2" t="s">
        <v>635</v>
      </c>
      <c r="K174" s="3">
        <v>1</v>
      </c>
      <c r="L174" s="3">
        <v>22414</v>
      </c>
    </row>
    <row r="175" spans="10:12">
      <c r="J175" s="2" t="s">
        <v>804</v>
      </c>
      <c r="K175" s="3">
        <v>1</v>
      </c>
      <c r="L175" s="3"/>
    </row>
    <row r="176" spans="10:12">
      <c r="J176" s="2" t="s">
        <v>702</v>
      </c>
      <c r="K176" s="3">
        <v>1</v>
      </c>
      <c r="L176" s="3">
        <v>9000</v>
      </c>
    </row>
    <row r="177" spans="10:12">
      <c r="J177" s="2" t="s">
        <v>741</v>
      </c>
      <c r="K177" s="3">
        <v>1</v>
      </c>
      <c r="L177" s="3">
        <v>8884</v>
      </c>
    </row>
    <row r="178" spans="10:12">
      <c r="J178" s="2" t="s">
        <v>591</v>
      </c>
      <c r="K178" s="3">
        <v>1</v>
      </c>
      <c r="L178" s="3"/>
    </row>
    <row r="179" spans="10:12">
      <c r="J179" s="2" t="s">
        <v>875</v>
      </c>
      <c r="K179" s="3">
        <v>1</v>
      </c>
      <c r="L179" s="3">
        <v>1500</v>
      </c>
    </row>
    <row r="180" spans="10:12">
      <c r="J180" s="2" t="s">
        <v>520</v>
      </c>
      <c r="K180" s="3">
        <v>1</v>
      </c>
      <c r="L180" s="3"/>
    </row>
    <row r="181" spans="10:12">
      <c r="J181" s="2" t="s">
        <v>719</v>
      </c>
      <c r="K181" s="3">
        <v>1</v>
      </c>
      <c r="L181" s="3"/>
    </row>
    <row r="182" spans="10:12">
      <c r="J182" s="2" t="s">
        <v>421</v>
      </c>
      <c r="K182" s="3">
        <v>1</v>
      </c>
      <c r="L182" s="3"/>
    </row>
    <row r="183" spans="10:12">
      <c r="J183" s="2" t="s">
        <v>394</v>
      </c>
      <c r="K183" s="3">
        <v>1</v>
      </c>
      <c r="L183" s="3"/>
    </row>
    <row r="184" spans="10:12">
      <c r="J184" s="2" t="s">
        <v>489</v>
      </c>
      <c r="K184" s="3">
        <v>1</v>
      </c>
      <c r="L184" s="3"/>
    </row>
    <row r="185" spans="10:12">
      <c r="J185" s="2" t="s">
        <v>330</v>
      </c>
      <c r="K185" s="3">
        <v>1</v>
      </c>
      <c r="L185" s="3"/>
    </row>
    <row r="186" spans="10:12">
      <c r="J186" s="2" t="s">
        <v>309</v>
      </c>
      <c r="K186" s="3">
        <v>1</v>
      </c>
      <c r="L186" s="3"/>
    </row>
    <row r="187" spans="10:12">
      <c r="J187" s="2" t="s">
        <v>553</v>
      </c>
      <c r="K187" s="3">
        <v>1</v>
      </c>
      <c r="L187" s="3"/>
    </row>
    <row r="188" spans="10:12">
      <c r="J188" s="2" t="s">
        <v>416</v>
      </c>
      <c r="K188" s="3">
        <v>1</v>
      </c>
      <c r="L188" s="3"/>
    </row>
    <row r="189" spans="10:12">
      <c r="J189" s="2" t="s">
        <v>646</v>
      </c>
      <c r="K189" s="3">
        <v>1</v>
      </c>
      <c r="L189" s="3"/>
    </row>
    <row r="190" spans="10:12">
      <c r="J190" s="2" t="s">
        <v>689</v>
      </c>
      <c r="K190" s="3">
        <v>1</v>
      </c>
      <c r="L190" s="3"/>
    </row>
    <row r="191" spans="10:12">
      <c r="J191" s="2" t="s">
        <v>746</v>
      </c>
      <c r="K191" s="3">
        <v>1</v>
      </c>
      <c r="L191" s="3">
        <v>35863</v>
      </c>
    </row>
    <row r="192" spans="10:12">
      <c r="J192" s="2" t="s">
        <v>466</v>
      </c>
      <c r="K192" s="3">
        <v>1</v>
      </c>
      <c r="L192" s="3"/>
    </row>
    <row r="193" spans="10:12">
      <c r="J193" s="2" t="s">
        <v>862</v>
      </c>
      <c r="K193" s="3">
        <v>1</v>
      </c>
      <c r="L193" s="3">
        <v>23315</v>
      </c>
    </row>
    <row r="194" spans="10:12">
      <c r="J194" s="2" t="s">
        <v>762</v>
      </c>
      <c r="K194" s="3">
        <v>1</v>
      </c>
      <c r="L194" s="3">
        <v>6879</v>
      </c>
    </row>
    <row r="195" spans="10:12">
      <c r="J195" s="2" t="s">
        <v>870</v>
      </c>
      <c r="K195" s="3">
        <v>1</v>
      </c>
      <c r="L195" s="3"/>
    </row>
    <row r="196" spans="10:12">
      <c r="J196" s="2" t="s">
        <v>736</v>
      </c>
      <c r="K196" s="3">
        <v>1</v>
      </c>
      <c r="L196" s="3">
        <v>97300</v>
      </c>
    </row>
    <row r="197" spans="10:12">
      <c r="J197" s="2" t="s">
        <v>480</v>
      </c>
      <c r="K197" s="3">
        <v>1</v>
      </c>
      <c r="L197" s="3"/>
    </row>
    <row r="198" spans="10:12">
      <c r="J198" s="2" t="s">
        <v>577</v>
      </c>
      <c r="K198" s="3">
        <v>1</v>
      </c>
      <c r="L198" s="3">
        <v>47000</v>
      </c>
    </row>
    <row r="199" spans="10:12">
      <c r="J199" s="2" t="s">
        <v>879</v>
      </c>
      <c r="K199" s="3">
        <v>1</v>
      </c>
      <c r="L199" s="3">
        <v>81342</v>
      </c>
    </row>
    <row r="200" spans="10:12">
      <c r="J200" s="2" t="s">
        <v>637</v>
      </c>
      <c r="K200" s="3">
        <v>1</v>
      </c>
      <c r="L200" s="3">
        <v>84000</v>
      </c>
    </row>
    <row r="201" spans="10:12">
      <c r="J201" s="2" t="s">
        <v>738</v>
      </c>
      <c r="K201" s="3">
        <v>1</v>
      </c>
      <c r="L201" s="3">
        <v>29941</v>
      </c>
    </row>
    <row r="202" spans="10:12">
      <c r="J202" s="2" t="s">
        <v>413</v>
      </c>
      <c r="K202" s="3">
        <v>1</v>
      </c>
      <c r="L202" s="3"/>
    </row>
    <row r="203" spans="10:12">
      <c r="J203" s="2" t="s">
        <v>671</v>
      </c>
      <c r="K203" s="3">
        <v>1</v>
      </c>
      <c r="L203" s="3">
        <v>22500</v>
      </c>
    </row>
    <row r="204" spans="10:12">
      <c r="J204" s="2" t="s">
        <v>430</v>
      </c>
      <c r="K204" s="3">
        <v>1</v>
      </c>
      <c r="L204" s="3">
        <v>23230</v>
      </c>
    </row>
    <row r="205" spans="10:12">
      <c r="J205" s="2" t="s">
        <v>616</v>
      </c>
      <c r="K205" s="3">
        <v>1</v>
      </c>
      <c r="L205" s="3">
        <v>10291</v>
      </c>
    </row>
    <row r="206" spans="10:12">
      <c r="J206" s="2" t="s">
        <v>432</v>
      </c>
      <c r="K206" s="3">
        <v>1</v>
      </c>
      <c r="L206" s="3">
        <v>83080</v>
      </c>
    </row>
    <row r="207" spans="10:12">
      <c r="J207" s="2" t="s">
        <v>655</v>
      </c>
      <c r="K207" s="3">
        <v>1</v>
      </c>
      <c r="L207" s="3"/>
    </row>
    <row r="208" spans="10:12">
      <c r="J208" s="2" t="s">
        <v>224</v>
      </c>
      <c r="K208" s="3">
        <v>1</v>
      </c>
      <c r="L208" s="3"/>
    </row>
    <row r="209" spans="10:12">
      <c r="J209" s="2" t="s">
        <v>460</v>
      </c>
      <c r="K209" s="3">
        <v>1</v>
      </c>
      <c r="L209" s="3"/>
    </row>
    <row r="210" spans="10:12">
      <c r="J210" s="2" t="s">
        <v>245</v>
      </c>
      <c r="K210" s="3">
        <v>1</v>
      </c>
      <c r="L210" s="3"/>
    </row>
    <row r="211" spans="10:12">
      <c r="J211" s="2" t="s">
        <v>551</v>
      </c>
      <c r="K211" s="3">
        <v>1</v>
      </c>
      <c r="L211" s="3"/>
    </row>
    <row r="212" spans="10:12">
      <c r="J212" s="2" t="s">
        <v>516</v>
      </c>
      <c r="K212" s="3">
        <v>1</v>
      </c>
      <c r="L212" s="3">
        <v>3150</v>
      </c>
    </row>
    <row r="213" spans="10:12">
      <c r="J213" s="2" t="s">
        <v>585</v>
      </c>
      <c r="K213" s="3">
        <v>1</v>
      </c>
      <c r="L213" s="3">
        <v>6884</v>
      </c>
    </row>
    <row r="214" spans="10:12">
      <c r="J214" s="2" t="s">
        <v>758</v>
      </c>
      <c r="K214" s="3">
        <v>1</v>
      </c>
      <c r="L214" s="3">
        <v>48990</v>
      </c>
    </row>
    <row r="215" spans="10:12">
      <c r="J215" s="2" t="s">
        <v>388</v>
      </c>
      <c r="K215" s="3">
        <v>1</v>
      </c>
      <c r="L215" s="3"/>
    </row>
    <row r="216" spans="10:12">
      <c r="J216" s="2" t="s">
        <v>728</v>
      </c>
      <c r="K216" s="3">
        <v>1</v>
      </c>
      <c r="L216" s="3">
        <v>19397</v>
      </c>
    </row>
    <row r="217" spans="10:12">
      <c r="J217" s="2" t="s">
        <v>505</v>
      </c>
      <c r="K217" s="3">
        <v>1</v>
      </c>
      <c r="L217" s="3"/>
    </row>
    <row r="218" spans="10:12">
      <c r="J218" s="2" t="s">
        <v>482</v>
      </c>
      <c r="K218" s="3">
        <v>1</v>
      </c>
      <c r="L218" s="3"/>
    </row>
    <row r="219" spans="10:12">
      <c r="J219" s="2" t="s">
        <v>693</v>
      </c>
      <c r="K219" s="3">
        <v>1</v>
      </c>
      <c r="L219" s="3">
        <v>11395</v>
      </c>
    </row>
    <row r="220" spans="10:12">
      <c r="J220" s="2" t="s">
        <v>771</v>
      </c>
      <c r="K220" s="3">
        <v>1</v>
      </c>
      <c r="L220" s="3">
        <v>7430</v>
      </c>
    </row>
    <row r="221" spans="10:12">
      <c r="J221" s="2" t="s">
        <v>462</v>
      </c>
      <c r="K221" s="3">
        <v>1</v>
      </c>
      <c r="L221" s="3"/>
    </row>
    <row r="222" spans="10:12">
      <c r="J222" s="2" t="s">
        <v>316</v>
      </c>
      <c r="K222" s="3">
        <v>1</v>
      </c>
      <c r="L222" s="3"/>
    </row>
    <row r="223" spans="10:12">
      <c r="J223" s="2" t="s">
        <v>814</v>
      </c>
      <c r="K223" s="3">
        <v>1</v>
      </c>
      <c r="L223" s="3">
        <v>750000</v>
      </c>
    </row>
    <row r="224" spans="10:12">
      <c r="J224" s="2" t="s">
        <v>216</v>
      </c>
      <c r="K224" s="3">
        <v>1</v>
      </c>
      <c r="L224" s="3"/>
    </row>
    <row r="225" spans="10:12">
      <c r="J225" s="2" t="s">
        <v>847</v>
      </c>
      <c r="K225" s="3">
        <v>1</v>
      </c>
      <c r="L225" s="3">
        <v>69300</v>
      </c>
    </row>
    <row r="226" spans="10:12">
      <c r="J226" s="2" t="s">
        <v>603</v>
      </c>
      <c r="K226" s="3">
        <v>1</v>
      </c>
      <c r="L226" s="3"/>
    </row>
    <row r="227" spans="10:12">
      <c r="J227" s="2" t="s">
        <v>859</v>
      </c>
      <c r="K227" s="3">
        <v>1</v>
      </c>
      <c r="L227" s="3">
        <v>15000</v>
      </c>
    </row>
    <row r="228" spans="10:12">
      <c r="J228" s="2" t="s">
        <v>543</v>
      </c>
      <c r="K228" s="3">
        <v>1</v>
      </c>
      <c r="L228" s="3"/>
    </row>
    <row r="229" spans="10:12">
      <c r="J229" s="2" t="s">
        <v>867</v>
      </c>
      <c r="K229" s="3">
        <v>1</v>
      </c>
      <c r="L229" s="3">
        <v>4850</v>
      </c>
    </row>
    <row r="230" spans="10:12">
      <c r="J230" s="2" t="s">
        <v>453</v>
      </c>
      <c r="K230" s="3">
        <v>1</v>
      </c>
      <c r="L230" s="3"/>
    </row>
    <row r="231" spans="10:12">
      <c r="J231" s="2" t="s">
        <v>593</v>
      </c>
      <c r="K231" s="3">
        <v>1</v>
      </c>
      <c r="L231" s="3"/>
    </row>
    <row r="232" spans="10:12">
      <c r="J232" s="2" t="s">
        <v>423</v>
      </c>
      <c r="K232" s="3">
        <v>1</v>
      </c>
      <c r="L232" s="3"/>
    </row>
    <row r="233" spans="10:12">
      <c r="J233" s="2" t="s">
        <v>698</v>
      </c>
      <c r="K233" s="3">
        <v>1</v>
      </c>
      <c r="L233" s="3">
        <v>150000</v>
      </c>
    </row>
    <row r="234" spans="10:12">
      <c r="J234" s="2" t="s">
        <v>757</v>
      </c>
      <c r="K234" s="3">
        <v>1</v>
      </c>
      <c r="L234" s="3">
        <v>9354</v>
      </c>
    </row>
    <row r="235" spans="10:12">
      <c r="J235" s="2" t="s">
        <v>873</v>
      </c>
      <c r="K235" s="3">
        <v>1</v>
      </c>
      <c r="L235" s="3">
        <v>6790</v>
      </c>
    </row>
    <row r="236" spans="10:12">
      <c r="J236" s="2" t="s">
        <v>369</v>
      </c>
      <c r="K236" s="3">
        <v>1</v>
      </c>
      <c r="L236" s="3"/>
    </row>
    <row r="237" spans="10:12">
      <c r="J237" s="2" t="s">
        <v>877</v>
      </c>
      <c r="K237" s="3">
        <v>1</v>
      </c>
      <c r="L237" s="3">
        <v>15718</v>
      </c>
    </row>
    <row r="238" spans="10:12">
      <c r="J238" s="2" t="s">
        <v>787</v>
      </c>
      <c r="K238" s="3">
        <v>1</v>
      </c>
      <c r="L238" s="3">
        <v>9702</v>
      </c>
    </row>
    <row r="239" spans="10:12">
      <c r="J239" s="2" t="s">
        <v>302</v>
      </c>
      <c r="K239" s="3">
        <v>1</v>
      </c>
      <c r="L239" s="3"/>
    </row>
    <row r="240" spans="10:12">
      <c r="J240" s="2" t="s">
        <v>605</v>
      </c>
      <c r="K240" s="3">
        <v>1</v>
      </c>
      <c r="L240" s="3">
        <v>40500</v>
      </c>
    </row>
    <row r="241" spans="10:12">
      <c r="J241" s="2" t="s">
        <v>711</v>
      </c>
      <c r="K241" s="3">
        <v>1</v>
      </c>
      <c r="L241" s="3">
        <v>15028</v>
      </c>
    </row>
    <row r="242" spans="10:12">
      <c r="J242" s="2" t="s">
        <v>512</v>
      </c>
      <c r="K242" s="3">
        <v>1</v>
      </c>
      <c r="L242" s="3"/>
    </row>
    <row r="243" spans="10:12">
      <c r="J243" s="2" t="s">
        <v>723</v>
      </c>
      <c r="K243" s="3">
        <v>1</v>
      </c>
      <c r="L243" s="3">
        <v>10990</v>
      </c>
    </row>
    <row r="244" spans="10:12">
      <c r="J244" s="2" t="s">
        <v>491</v>
      </c>
      <c r="K244" s="3">
        <v>1</v>
      </c>
      <c r="L244" s="3"/>
    </row>
    <row r="245" spans="10:12">
      <c r="J245" s="2" t="s">
        <v>497</v>
      </c>
      <c r="K245" s="3">
        <v>1</v>
      </c>
      <c r="L245" s="3"/>
    </row>
    <row r="246" spans="10:12">
      <c r="J246" s="2" t="s">
        <v>589</v>
      </c>
      <c r="K246" s="3">
        <v>1</v>
      </c>
      <c r="L246" s="3"/>
    </row>
    <row r="247" spans="10:12">
      <c r="J247" s="2" t="s">
        <v>602</v>
      </c>
      <c r="K247" s="3">
        <v>1</v>
      </c>
      <c r="L247" s="3"/>
    </row>
    <row r="248" spans="10:12">
      <c r="J248" s="2" t="s">
        <v>678</v>
      </c>
      <c r="K248" s="3">
        <v>1</v>
      </c>
      <c r="L248" s="3">
        <v>12000</v>
      </c>
    </row>
    <row r="249" spans="10:12">
      <c r="J249" s="2" t="s">
        <v>474</v>
      </c>
      <c r="K249" s="3">
        <v>1</v>
      </c>
      <c r="L249" s="3"/>
    </row>
    <row r="250" spans="10:12">
      <c r="J250" s="2" t="s">
        <v>669</v>
      </c>
      <c r="K250" s="3">
        <v>1</v>
      </c>
      <c r="L250" s="3">
        <v>9986</v>
      </c>
    </row>
    <row r="251" spans="10:12">
      <c r="J251" s="2" t="s">
        <v>674</v>
      </c>
      <c r="K251" s="3">
        <v>1</v>
      </c>
      <c r="L251" s="3">
        <v>15000</v>
      </c>
    </row>
    <row r="252" spans="10:12">
      <c r="J252" s="2" t="s">
        <v>683</v>
      </c>
      <c r="K252" s="3">
        <v>1</v>
      </c>
      <c r="L252" s="3"/>
    </row>
    <row r="253" spans="10:12">
      <c r="J253" s="2" t="s">
        <v>549</v>
      </c>
      <c r="K253" s="3">
        <v>1</v>
      </c>
      <c r="L253" s="3"/>
    </row>
    <row r="254" spans="10:12">
      <c r="J254" s="2" t="s">
        <v>735</v>
      </c>
      <c r="K254" s="3">
        <v>1</v>
      </c>
      <c r="L254" s="3">
        <v>9810</v>
      </c>
    </row>
    <row r="255" spans="10:12">
      <c r="J255" s="2" t="s">
        <v>580</v>
      </c>
      <c r="K255" s="3">
        <v>1</v>
      </c>
      <c r="L255" s="3">
        <v>44098</v>
      </c>
    </row>
    <row r="256" spans="10:12">
      <c r="J256" s="2" t="s">
        <v>662</v>
      </c>
      <c r="K256" s="3">
        <v>1</v>
      </c>
      <c r="L256" s="3">
        <v>15400</v>
      </c>
    </row>
    <row r="257" spans="10:12">
      <c r="J257" s="2" t="s">
        <v>484</v>
      </c>
      <c r="K257" s="3">
        <v>1</v>
      </c>
      <c r="L257" s="3"/>
    </row>
    <row r="258" spans="10:12">
      <c r="J258" s="2" t="s">
        <v>587</v>
      </c>
      <c r="K258" s="3">
        <v>1</v>
      </c>
      <c r="L258" s="3"/>
    </row>
    <row r="259" spans="10:12">
      <c r="J259" s="2" t="s">
        <v>321</v>
      </c>
      <c r="K259" s="3">
        <v>1</v>
      </c>
      <c r="L259" s="3"/>
    </row>
    <row r="260" spans="10:12">
      <c r="J260" s="2" t="s">
        <v>522</v>
      </c>
      <c r="K260" s="3">
        <v>1</v>
      </c>
      <c r="L260" s="3"/>
    </row>
    <row r="261" spans="10:12">
      <c r="J261" s="2" t="s">
        <v>371</v>
      </c>
      <c r="K261" s="3">
        <v>1</v>
      </c>
      <c r="L261" s="3"/>
    </row>
    <row r="262" spans="10:12">
      <c r="J262" s="2" t="s">
        <v>530</v>
      </c>
      <c r="K262" s="3">
        <v>1</v>
      </c>
      <c r="L262" s="3"/>
    </row>
    <row r="263" spans="10:12">
      <c r="J263" s="2" t="s">
        <v>639</v>
      </c>
      <c r="K263" s="3">
        <v>1</v>
      </c>
      <c r="L263" s="3">
        <v>71000</v>
      </c>
    </row>
    <row r="264" spans="10:12">
      <c r="J264" s="2" t="s">
        <v>503</v>
      </c>
      <c r="K264" s="3">
        <v>1</v>
      </c>
      <c r="L264" s="3"/>
    </row>
    <row r="265" spans="10:12">
      <c r="J265" s="2" t="s">
        <v>294</v>
      </c>
      <c r="K265" s="3">
        <v>1</v>
      </c>
      <c r="L265" s="3"/>
    </row>
    <row r="266" spans="10:12">
      <c r="J266" s="2" t="s">
        <v>715</v>
      </c>
      <c r="K266" s="3">
        <v>1</v>
      </c>
      <c r="L266" s="3">
        <v>2453</v>
      </c>
    </row>
    <row r="267" spans="10:12">
      <c r="J267" s="2" t="s">
        <v>565</v>
      </c>
      <c r="K267" s="3">
        <v>1</v>
      </c>
      <c r="L267" s="3"/>
    </row>
    <row r="268" spans="10:12">
      <c r="J268" s="2" t="s">
        <v>189</v>
      </c>
      <c r="K268" s="3">
        <v>1</v>
      </c>
      <c r="L268" s="3">
        <v>9354</v>
      </c>
    </row>
    <row r="269" spans="10:12">
      <c r="J269" s="2" t="s">
        <v>737</v>
      </c>
      <c r="K269" s="3">
        <v>1</v>
      </c>
      <c r="L269" s="3">
        <v>91810</v>
      </c>
    </row>
    <row r="270" spans="10:12">
      <c r="J270" s="2" t="s">
        <v>407</v>
      </c>
      <c r="K270" s="3">
        <v>1</v>
      </c>
      <c r="L270" s="3"/>
    </row>
    <row r="271" spans="10:12">
      <c r="J271" s="2" t="s">
        <v>418</v>
      </c>
      <c r="K271" s="3">
        <v>1</v>
      </c>
      <c r="L271" s="3"/>
    </row>
    <row r="272" spans="10:12">
      <c r="J272" s="2" t="s">
        <v>544</v>
      </c>
      <c r="K272" s="3">
        <v>1</v>
      </c>
      <c r="L272" s="3"/>
    </row>
    <row r="273" spans="10:12">
      <c r="J273" s="2" t="s">
        <v>425</v>
      </c>
      <c r="K273" s="3">
        <v>1</v>
      </c>
      <c r="L273" s="3"/>
    </row>
    <row r="274" spans="10:12">
      <c r="J274" s="2" t="s">
        <v>476</v>
      </c>
      <c r="K274" s="3">
        <v>1</v>
      </c>
      <c r="L274" s="3"/>
    </row>
    <row r="275" spans="10:12">
      <c r="J275" s="2" t="s">
        <v>493</v>
      </c>
      <c r="K275" s="3">
        <v>1</v>
      </c>
      <c r="L275" s="3"/>
    </row>
    <row r="276" spans="10:12">
      <c r="J276" s="2" t="s">
        <v>362</v>
      </c>
      <c r="K276" s="3">
        <v>1</v>
      </c>
      <c r="L276" s="3"/>
    </row>
    <row r="277" spans="10:12">
      <c r="J277" s="2" t="s">
        <v>508</v>
      </c>
      <c r="K277" s="3">
        <v>1</v>
      </c>
      <c r="L277" s="3"/>
    </row>
    <row r="278" spans="10:12">
      <c r="J278" s="2" t="s">
        <v>403</v>
      </c>
      <c r="K278" s="3">
        <v>1</v>
      </c>
      <c r="L278" s="3"/>
    </row>
    <row r="279" spans="10:12">
      <c r="J279" s="2" t="s">
        <v>826</v>
      </c>
      <c r="K279" s="3">
        <v>1</v>
      </c>
      <c r="L279" s="3"/>
    </row>
    <row r="280" spans="10:12">
      <c r="J280" s="2" t="s">
        <v>433</v>
      </c>
      <c r="K280" s="3">
        <v>1</v>
      </c>
      <c r="L280" s="3">
        <v>26430</v>
      </c>
    </row>
    <row r="281" spans="10:12">
      <c r="J281" s="2" t="s">
        <v>314</v>
      </c>
      <c r="K281" s="3">
        <v>1</v>
      </c>
      <c r="L281" s="3"/>
    </row>
    <row r="282" spans="10:12">
      <c r="J282" s="2" t="s">
        <v>346</v>
      </c>
      <c r="K282" s="3">
        <v>1</v>
      </c>
      <c r="L282" s="3"/>
    </row>
    <row r="283" spans="10:12">
      <c r="J283" s="2" t="s">
        <v>582</v>
      </c>
      <c r="K283" s="3">
        <v>1</v>
      </c>
      <c r="L283" s="3"/>
    </row>
    <row r="284" spans="10:12">
      <c r="J284" s="2" t="s">
        <v>579</v>
      </c>
      <c r="K284" s="3">
        <v>1</v>
      </c>
      <c r="L284" s="3">
        <v>35476</v>
      </c>
    </row>
    <row r="285" spans="10:12">
      <c r="J285" s="2" t="s">
        <v>830</v>
      </c>
      <c r="K285" s="3">
        <v>1</v>
      </c>
      <c r="L285" s="3">
        <v>8036</v>
      </c>
    </row>
    <row r="286" spans="10:12">
      <c r="J286" s="2" t="s">
        <v>681</v>
      </c>
      <c r="K286" s="3">
        <v>1</v>
      </c>
      <c r="L286" s="3"/>
    </row>
    <row r="287" spans="10:12">
      <c r="J287" s="2" t="s">
        <v>660</v>
      </c>
      <c r="K287" s="3">
        <v>1</v>
      </c>
      <c r="L287" s="3">
        <v>7917</v>
      </c>
    </row>
    <row r="288" spans="10:12">
      <c r="J288" s="2" t="s">
        <v>524</v>
      </c>
      <c r="K288" s="3">
        <v>1</v>
      </c>
      <c r="L288" s="3"/>
    </row>
    <row r="289" spans="10:12">
      <c r="J289" s="2" t="s">
        <v>540</v>
      </c>
      <c r="K289" s="3">
        <v>1</v>
      </c>
      <c r="L289" s="3"/>
    </row>
    <row r="290" spans="10:12">
      <c r="J290" s="2" t="s">
        <v>501</v>
      </c>
      <c r="K290" s="3">
        <v>1</v>
      </c>
      <c r="L290" s="3"/>
    </row>
    <row r="291" spans="10:12">
      <c r="J291" s="2" t="s">
        <v>853</v>
      </c>
      <c r="K291" s="3">
        <v>1</v>
      </c>
      <c r="L291" s="3">
        <v>25000</v>
      </c>
    </row>
    <row r="292" spans="10:12">
      <c r="J292" s="2" t="s">
        <v>341</v>
      </c>
      <c r="K292" s="3">
        <v>1</v>
      </c>
      <c r="L292" s="3"/>
    </row>
    <row r="293" spans="10:12">
      <c r="J293" s="2" t="s">
        <v>858</v>
      </c>
      <c r="K293" s="3">
        <v>1</v>
      </c>
      <c r="L293" s="3">
        <v>15000</v>
      </c>
    </row>
    <row r="294" spans="10:12">
      <c r="J294" s="2" t="s">
        <v>434</v>
      </c>
      <c r="K294" s="3">
        <v>1</v>
      </c>
      <c r="L294" s="3">
        <v>12490</v>
      </c>
    </row>
    <row r="295" spans="10:12">
      <c r="J295" s="2" t="s">
        <v>861</v>
      </c>
      <c r="K295" s="3">
        <v>1</v>
      </c>
      <c r="L295" s="3">
        <v>29475</v>
      </c>
    </row>
    <row r="296" spans="10:12">
      <c r="J296" s="2" t="s">
        <v>742</v>
      </c>
      <c r="K296" s="3">
        <v>1</v>
      </c>
      <c r="L296" s="3">
        <v>63225</v>
      </c>
    </row>
    <row r="297" spans="10:12">
      <c r="J297" s="2" t="s">
        <v>773</v>
      </c>
      <c r="K297" s="3">
        <v>1</v>
      </c>
      <c r="L297" s="3"/>
    </row>
    <row r="298" spans="10:12">
      <c r="J298" s="2" t="s">
        <v>691</v>
      </c>
      <c r="K298" s="3">
        <v>1</v>
      </c>
      <c r="L298" s="3"/>
    </row>
    <row r="299" spans="10:12">
      <c r="J299" s="2" t="s">
        <v>869</v>
      </c>
      <c r="K299" s="3">
        <v>1</v>
      </c>
      <c r="L299" s="3">
        <v>20310</v>
      </c>
    </row>
    <row r="300" spans="10:12">
      <c r="J300" s="2" t="s">
        <v>398</v>
      </c>
      <c r="K300" s="3">
        <v>1</v>
      </c>
      <c r="L300" s="3"/>
    </row>
    <row r="301" spans="10:12">
      <c r="J301" s="2" t="s">
        <v>286</v>
      </c>
      <c r="K301" s="3">
        <v>1</v>
      </c>
      <c r="L301" s="3"/>
    </row>
    <row r="302" spans="10:12">
      <c r="J302" s="2" t="s">
        <v>495</v>
      </c>
      <c r="K302" s="3">
        <v>1</v>
      </c>
      <c r="L302" s="3"/>
    </row>
    <row r="303" spans="10:12">
      <c r="J303" s="2" t="s">
        <v>779</v>
      </c>
      <c r="K303" s="3">
        <v>1</v>
      </c>
      <c r="L303" s="3"/>
    </row>
    <row r="304" spans="10:12">
      <c r="J304" s="2" t="s">
        <v>703</v>
      </c>
      <c r="K304" s="3">
        <v>1</v>
      </c>
      <c r="L304" s="3">
        <v>58882</v>
      </c>
    </row>
    <row r="305" spans="10:12">
      <c r="J305" s="2" t="s">
        <v>710</v>
      </c>
      <c r="K305" s="3">
        <v>1</v>
      </c>
      <c r="L305" s="3">
        <v>400000</v>
      </c>
    </row>
    <row r="306" spans="10:12">
      <c r="J306" s="2" t="s">
        <v>776</v>
      </c>
      <c r="K306" s="3">
        <v>1</v>
      </c>
      <c r="L306" s="3"/>
    </row>
    <row r="307" spans="10:12">
      <c r="J307" s="2" t="s">
        <v>288</v>
      </c>
      <c r="K307" s="3">
        <v>1</v>
      </c>
      <c r="L307" s="3"/>
    </row>
    <row r="308" spans="10:12">
      <c r="J308" s="2" t="s">
        <v>726</v>
      </c>
      <c r="K308" s="3">
        <v>1</v>
      </c>
      <c r="L308" s="3">
        <v>90000</v>
      </c>
    </row>
    <row r="309" spans="10:12">
      <c r="J309" s="2" t="s">
        <v>305</v>
      </c>
      <c r="K309" s="3">
        <v>1</v>
      </c>
      <c r="L309" s="3"/>
    </row>
    <row r="310" spans="10:12">
      <c r="J310" s="2" t="s">
        <v>296</v>
      </c>
      <c r="K310" s="3">
        <v>1</v>
      </c>
      <c r="L310" s="3"/>
    </row>
    <row r="311" spans="10:12">
      <c r="J311" s="2" t="s">
        <v>652</v>
      </c>
      <c r="K311" s="3">
        <v>1</v>
      </c>
      <c r="L311" s="3">
        <v>26000</v>
      </c>
    </row>
    <row r="312" spans="10:12">
      <c r="J312" s="2" t="s">
        <v>468</v>
      </c>
      <c r="K312" s="3">
        <v>1</v>
      </c>
      <c r="L312" s="3"/>
    </row>
    <row r="313" spans="10:12">
      <c r="J313" s="2" t="s">
        <v>876</v>
      </c>
      <c r="K313" s="3">
        <v>1</v>
      </c>
      <c r="L313" s="3">
        <v>22924</v>
      </c>
    </row>
    <row r="314" spans="10:12">
      <c r="J314" s="2" t="s">
        <v>514</v>
      </c>
      <c r="K314" s="3">
        <v>1</v>
      </c>
      <c r="L314" s="3"/>
    </row>
    <row r="315" spans="10:12">
      <c r="J315" s="2" t="s">
        <v>878</v>
      </c>
      <c r="K315" s="3">
        <v>1</v>
      </c>
      <c r="L315" s="3">
        <v>12444</v>
      </c>
    </row>
    <row r="316" spans="10:12">
      <c r="J316" s="2" t="s">
        <v>788</v>
      </c>
      <c r="K316" s="3">
        <v>1</v>
      </c>
      <c r="L316" s="3">
        <v>7305</v>
      </c>
    </row>
    <row r="317" spans="10:12">
      <c r="J317" s="2" t="s">
        <v>621</v>
      </c>
      <c r="K317" s="3">
        <v>1</v>
      </c>
      <c r="L317" s="3"/>
    </row>
    <row r="318" spans="10:12">
      <c r="J318" s="2" t="s">
        <v>401</v>
      </c>
      <c r="K318" s="3">
        <v>1</v>
      </c>
      <c r="L318" s="3"/>
    </row>
    <row r="319" spans="10:12">
      <c r="J319" s="2" t="s">
        <v>886</v>
      </c>
      <c r="K319" s="3">
        <v>1</v>
      </c>
      <c r="L319" s="3">
        <v>60000</v>
      </c>
    </row>
    <row r="320" spans="10:12">
      <c r="J320" s="2" t="s">
        <v>720</v>
      </c>
      <c r="K320" s="3">
        <v>1</v>
      </c>
      <c r="L320" s="3"/>
    </row>
    <row r="321" spans="1:12">
      <c r="J321" s="2" t="s">
        <v>327</v>
      </c>
      <c r="K321" s="3">
        <v>1</v>
      </c>
      <c r="L321" s="3"/>
    </row>
    <row r="322" spans="1:12">
      <c r="J322" s="2" t="s">
        <v>427</v>
      </c>
      <c r="K322" s="3">
        <v>1</v>
      </c>
      <c r="L322" s="3"/>
    </row>
    <row r="323" spans="1:12">
      <c r="J323" s="2" t="s">
        <v>22</v>
      </c>
      <c r="K323" s="3"/>
      <c r="L323" s="3"/>
    </row>
    <row r="324" spans="1:12">
      <c r="J324" s="2" t="s">
        <v>14</v>
      </c>
      <c r="K324" s="3">
        <v>921</v>
      </c>
      <c r="L324" s="3">
        <v>18171066</v>
      </c>
    </row>
    <row r="336" spans="1:12">
      <c r="A336" s="52" t="s">
        <v>215</v>
      </c>
      <c r="B336" s="53" t="s">
        <v>800</v>
      </c>
    </row>
    <row r="337" spans="1:18">
      <c r="A337" s="35" t="s">
        <v>900</v>
      </c>
    </row>
    <row r="338" spans="1:18">
      <c r="A338" s="43" t="s">
        <v>7</v>
      </c>
      <c r="B338" s="43" t="s">
        <v>901</v>
      </c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</row>
    <row r="339" spans="1:18">
      <c r="A339" s="43" t="s">
        <v>898</v>
      </c>
      <c r="B339" s="44" t="s">
        <v>894</v>
      </c>
      <c r="C339" s="44" t="s">
        <v>895</v>
      </c>
      <c r="D339" s="44" t="s">
        <v>896</v>
      </c>
      <c r="E339" s="44" t="s">
        <v>897</v>
      </c>
      <c r="F339" s="44" t="s">
        <v>906</v>
      </c>
      <c r="G339" s="44" t="s">
        <v>907</v>
      </c>
      <c r="H339" s="44" t="s">
        <v>908</v>
      </c>
      <c r="I339" s="44" t="s">
        <v>909</v>
      </c>
      <c r="J339" s="44" t="s">
        <v>910</v>
      </c>
      <c r="K339" s="44" t="s">
        <v>911</v>
      </c>
      <c r="L339" s="44" t="s">
        <v>912</v>
      </c>
      <c r="M339" s="44" t="s">
        <v>913</v>
      </c>
      <c r="N339" s="44" t="s">
        <v>914</v>
      </c>
      <c r="O339" s="44" t="s">
        <v>915</v>
      </c>
      <c r="P339" s="44" t="s">
        <v>14</v>
      </c>
    </row>
    <row r="340" spans="1:18">
      <c r="A340" s="45" t="s">
        <v>11</v>
      </c>
      <c r="B340" s="50"/>
      <c r="C340" s="50"/>
      <c r="D340" s="50">
        <v>200000</v>
      </c>
      <c r="E340" s="50">
        <v>750000</v>
      </c>
      <c r="F340" s="50"/>
      <c r="G340" s="50"/>
      <c r="H340" s="50"/>
      <c r="I340" s="50"/>
      <c r="J340" s="50">
        <v>400000</v>
      </c>
      <c r="K340" s="50">
        <v>150000</v>
      </c>
      <c r="L340" s="50">
        <v>90000</v>
      </c>
      <c r="M340" s="50"/>
      <c r="N340" s="50"/>
      <c r="O340" s="50"/>
      <c r="P340" s="50">
        <v>1590000</v>
      </c>
    </row>
    <row r="341" spans="1:18">
      <c r="A341" s="45" t="s">
        <v>22</v>
      </c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</row>
    <row r="342" spans="1:18">
      <c r="A342" s="45" t="s">
        <v>13</v>
      </c>
      <c r="B342" s="50">
        <v>110000</v>
      </c>
      <c r="C342" s="50">
        <v>60000</v>
      </c>
      <c r="D342" s="50">
        <v>225000</v>
      </c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>
        <v>395000</v>
      </c>
    </row>
    <row r="343" spans="1:18">
      <c r="A343" s="45" t="s">
        <v>16</v>
      </c>
      <c r="B343" s="50">
        <v>3145000</v>
      </c>
      <c r="C343" s="50">
        <v>15000</v>
      </c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>
        <v>3160000</v>
      </c>
    </row>
    <row r="344" spans="1:18">
      <c r="A344" s="45" t="s">
        <v>29</v>
      </c>
      <c r="B344" s="50">
        <v>1275500</v>
      </c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>
        <v>1275500</v>
      </c>
    </row>
    <row r="345" spans="1:18">
      <c r="A345" s="45" t="s">
        <v>27</v>
      </c>
      <c r="B345" s="50">
        <v>581000</v>
      </c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>
        <v>581000</v>
      </c>
    </row>
    <row r="346" spans="1:18">
      <c r="A346" s="54" t="s">
        <v>17</v>
      </c>
      <c r="B346" s="51">
        <v>97682</v>
      </c>
      <c r="C346" s="51">
        <v>1738798</v>
      </c>
      <c r="D346" s="51">
        <v>747731</v>
      </c>
      <c r="E346" s="51">
        <v>451023</v>
      </c>
      <c r="F346" s="51">
        <v>590868</v>
      </c>
      <c r="G346" s="51">
        <v>1035977</v>
      </c>
      <c r="H346" s="51">
        <v>893169</v>
      </c>
      <c r="I346" s="51"/>
      <c r="J346" s="51">
        <v>1115270</v>
      </c>
      <c r="K346" s="51">
        <v>1477823</v>
      </c>
      <c r="L346" s="51">
        <v>1366792</v>
      </c>
      <c r="M346" s="51"/>
      <c r="N346" s="51"/>
      <c r="O346" s="51"/>
      <c r="P346" s="51">
        <v>9515133</v>
      </c>
      <c r="Q346" s="56">
        <f>P346*60%</f>
        <v>5709079.7999999998</v>
      </c>
      <c r="R346" s="56"/>
    </row>
    <row r="347" spans="1:18">
      <c r="A347" s="45" t="s">
        <v>14</v>
      </c>
      <c r="B347" s="50">
        <v>5209182</v>
      </c>
      <c r="C347" s="50">
        <v>1813798</v>
      </c>
      <c r="D347" s="50">
        <v>1172731</v>
      </c>
      <c r="E347" s="50">
        <v>1201023</v>
      </c>
      <c r="F347" s="50">
        <v>590868</v>
      </c>
      <c r="G347" s="50">
        <v>1035977</v>
      </c>
      <c r="H347" s="50">
        <v>893169</v>
      </c>
      <c r="I347" s="50"/>
      <c r="J347" s="50">
        <v>1515270</v>
      </c>
      <c r="K347" s="50">
        <v>1627823</v>
      </c>
      <c r="L347" s="50">
        <v>1456792</v>
      </c>
      <c r="M347" s="50"/>
      <c r="N347" s="50"/>
      <c r="O347" s="50"/>
      <c r="P347" s="50">
        <v>16516633</v>
      </c>
      <c r="Q347" s="56">
        <f>P346*12%</f>
        <v>1141815.96</v>
      </c>
    </row>
    <row r="348" spans="1:18">
      <c r="Q348" s="56">
        <f>SUM(Q346:Q347)</f>
        <v>6850895.7599999998</v>
      </c>
      <c r="R348" s="40">
        <f>P346-Q348</f>
        <v>2664237.2400000002</v>
      </c>
    </row>
  </sheetData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F0BF-8543-445B-A371-ED8A169FFB62}">
  <dimension ref="A1"/>
  <sheetViews>
    <sheetView workbookViewId="0">
      <selection activeCell="H12" sqref="H12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ACAA-4096-456A-9685-DBAA9C66C94B}">
  <dimension ref="B1:F12"/>
  <sheetViews>
    <sheetView workbookViewId="0">
      <selection activeCell="B1" sqref="B1:F12"/>
    </sheetView>
  </sheetViews>
  <sheetFormatPr defaultRowHeight="15"/>
  <cols>
    <col min="2" max="2" width="17.140625" bestFit="1" customWidth="1"/>
    <col min="3" max="3" width="20.42578125" bestFit="1" customWidth="1"/>
    <col min="4" max="4" width="13" bestFit="1" customWidth="1"/>
    <col min="5" max="5" width="15.42578125" bestFit="1" customWidth="1"/>
    <col min="6" max="6" width="71.7109375" bestFit="1" customWidth="1"/>
  </cols>
  <sheetData>
    <row r="1" spans="2:6" ht="15.75" thickBot="1">
      <c r="B1" s="58" t="s">
        <v>916</v>
      </c>
      <c r="C1" s="59"/>
      <c r="D1" s="59"/>
      <c r="E1" s="60"/>
      <c r="F1" s="29" t="s">
        <v>917</v>
      </c>
    </row>
    <row r="2" spans="2:6">
      <c r="B2" s="22" t="s">
        <v>230</v>
      </c>
      <c r="C2" s="25" t="s">
        <v>918</v>
      </c>
      <c r="D2" s="25" t="s">
        <v>919</v>
      </c>
      <c r="E2" s="25"/>
      <c r="F2" s="28" t="s">
        <v>920</v>
      </c>
    </row>
    <row r="3" spans="2:6">
      <c r="B3" s="23" t="s">
        <v>335</v>
      </c>
      <c r="C3" s="26" t="s">
        <v>918</v>
      </c>
      <c r="D3" s="26" t="s">
        <v>919</v>
      </c>
      <c r="E3" s="26"/>
      <c r="F3" s="26" t="s">
        <v>921</v>
      </c>
    </row>
    <row r="4" spans="2:6">
      <c r="B4" s="23" t="s">
        <v>922</v>
      </c>
      <c r="C4" s="26" t="s">
        <v>918</v>
      </c>
      <c r="D4" s="26" t="s">
        <v>919</v>
      </c>
      <c r="E4" s="26"/>
      <c r="F4" s="28" t="s">
        <v>920</v>
      </c>
    </row>
    <row r="5" spans="2:6">
      <c r="B5" s="23" t="s">
        <v>338</v>
      </c>
      <c r="C5" s="26" t="s">
        <v>918</v>
      </c>
      <c r="D5" s="26" t="s">
        <v>919</v>
      </c>
      <c r="E5" s="26"/>
      <c r="F5" s="26" t="s">
        <v>921</v>
      </c>
    </row>
    <row r="6" spans="2:6">
      <c r="B6" s="23" t="s">
        <v>710</v>
      </c>
      <c r="C6" s="26" t="s">
        <v>918</v>
      </c>
      <c r="D6" s="26" t="s">
        <v>919</v>
      </c>
      <c r="E6" s="26"/>
      <c r="F6" s="26" t="s">
        <v>921</v>
      </c>
    </row>
    <row r="7" spans="2:6">
      <c r="B7" s="23" t="s">
        <v>323</v>
      </c>
      <c r="C7" s="26" t="s">
        <v>923</v>
      </c>
      <c r="D7" s="26" t="s">
        <v>924</v>
      </c>
      <c r="E7" s="26" t="s">
        <v>925</v>
      </c>
      <c r="F7" s="28" t="s">
        <v>926</v>
      </c>
    </row>
    <row r="8" spans="2:6">
      <c r="B8" s="23" t="s">
        <v>327</v>
      </c>
      <c r="C8" s="26" t="s">
        <v>923</v>
      </c>
      <c r="D8" s="26" t="s">
        <v>924</v>
      </c>
      <c r="E8" s="26" t="s">
        <v>925</v>
      </c>
      <c r="F8" s="28" t="s">
        <v>926</v>
      </c>
    </row>
    <row r="9" spans="2:6">
      <c r="B9" s="23" t="s">
        <v>927</v>
      </c>
      <c r="C9" s="26" t="s">
        <v>923</v>
      </c>
      <c r="D9" s="26" t="s">
        <v>924</v>
      </c>
      <c r="E9" s="26" t="s">
        <v>925</v>
      </c>
      <c r="F9" s="28" t="s">
        <v>926</v>
      </c>
    </row>
    <row r="10" spans="2:6">
      <c r="B10" s="23" t="s">
        <v>928</v>
      </c>
      <c r="C10" s="26" t="s">
        <v>929</v>
      </c>
      <c r="D10" s="26"/>
      <c r="E10" s="26"/>
      <c r="F10" s="28" t="s">
        <v>930</v>
      </c>
    </row>
    <row r="11" spans="2:6">
      <c r="B11" s="23" t="s">
        <v>931</v>
      </c>
      <c r="C11" s="26" t="s">
        <v>932</v>
      </c>
      <c r="D11" s="26"/>
      <c r="E11" s="26"/>
      <c r="F11" s="26" t="s">
        <v>933</v>
      </c>
    </row>
    <row r="12" spans="2:6" ht="15.75" thickBot="1">
      <c r="B12" s="24" t="s">
        <v>934</v>
      </c>
      <c r="C12" s="27" t="s">
        <v>935</v>
      </c>
      <c r="D12" s="27"/>
      <c r="E12" s="27"/>
      <c r="F12" s="27" t="s">
        <v>936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B210-441E-4CA8-91E2-ACA0B8530D67}">
  <dimension ref="A2:G13"/>
  <sheetViews>
    <sheetView topLeftCell="C1" workbookViewId="0">
      <selection activeCell="H8" sqref="H8"/>
    </sheetView>
  </sheetViews>
  <sheetFormatPr defaultColWidth="8.7109375" defaultRowHeight="15"/>
  <cols>
    <col min="1" max="1" width="31.42578125" style="17" hidden="1" customWidth="1"/>
    <col min="2" max="2" width="32.42578125" style="17" hidden="1" customWidth="1"/>
    <col min="3" max="3" width="21.42578125" style="10" customWidth="1"/>
    <col min="4" max="4" width="26.42578125" style="10" customWidth="1"/>
    <col min="5" max="7" width="21.42578125" style="10" customWidth="1"/>
    <col min="8" max="16384" width="8.7109375" style="10"/>
  </cols>
  <sheetData>
    <row r="2" spans="1:7" s="11" customFormat="1">
      <c r="A2" s="12" t="s">
        <v>937</v>
      </c>
      <c r="B2" s="12" t="s">
        <v>937</v>
      </c>
      <c r="C2" s="12" t="s">
        <v>938</v>
      </c>
      <c r="D2" s="12" t="s">
        <v>939</v>
      </c>
      <c r="E2" s="12" t="s">
        <v>197</v>
      </c>
      <c r="F2" s="12" t="s">
        <v>940</v>
      </c>
      <c r="G2" s="12" t="s">
        <v>941</v>
      </c>
    </row>
    <row r="3" spans="1:7" s="4" customFormat="1" ht="30">
      <c r="A3" s="16" t="s">
        <v>942</v>
      </c>
      <c r="B3" s="16" t="s">
        <v>943</v>
      </c>
      <c r="C3" s="8" t="s">
        <v>230</v>
      </c>
      <c r="D3" s="15" t="s">
        <v>944</v>
      </c>
      <c r="E3" s="13">
        <v>45454</v>
      </c>
      <c r="F3" s="8" t="s">
        <v>945</v>
      </c>
      <c r="G3" s="9">
        <v>14438</v>
      </c>
    </row>
    <row r="4" spans="1:7" s="4" customFormat="1" ht="30">
      <c r="A4" s="16" t="s">
        <v>946</v>
      </c>
      <c r="B4" s="16" t="s">
        <v>947</v>
      </c>
      <c r="C4" s="8" t="s">
        <v>230</v>
      </c>
      <c r="D4" s="15" t="s">
        <v>948</v>
      </c>
      <c r="E4" s="13">
        <v>45454</v>
      </c>
      <c r="F4" s="8" t="s">
        <v>949</v>
      </c>
      <c r="G4" s="9">
        <v>8429</v>
      </c>
    </row>
    <row r="5" spans="1:7" s="4" customFormat="1" ht="60">
      <c r="A5" s="16" t="s">
        <v>950</v>
      </c>
      <c r="B5" s="16" t="s">
        <v>951</v>
      </c>
      <c r="C5" s="8" t="s">
        <v>230</v>
      </c>
      <c r="D5" s="15" t="s">
        <v>952</v>
      </c>
      <c r="E5" s="13">
        <v>45484</v>
      </c>
      <c r="F5" s="8" t="s">
        <v>949</v>
      </c>
      <c r="G5" s="9">
        <v>2210</v>
      </c>
    </row>
    <row r="6" spans="1:7" s="4" customFormat="1" ht="30">
      <c r="A6" s="16" t="s">
        <v>953</v>
      </c>
      <c r="B6" s="16" t="s">
        <v>954</v>
      </c>
      <c r="C6" s="8" t="s">
        <v>230</v>
      </c>
      <c r="D6" s="15" t="s">
        <v>955</v>
      </c>
      <c r="E6" s="13">
        <v>45484</v>
      </c>
      <c r="F6" s="8" t="s">
        <v>949</v>
      </c>
      <c r="G6" s="9">
        <v>3790</v>
      </c>
    </row>
    <row r="7" spans="1:7" s="4" customFormat="1" ht="30">
      <c r="A7" s="16" t="s">
        <v>956</v>
      </c>
      <c r="B7" s="16" t="s">
        <v>957</v>
      </c>
      <c r="C7" s="8" t="s">
        <v>230</v>
      </c>
      <c r="D7" s="15" t="s">
        <v>958</v>
      </c>
      <c r="E7" s="13">
        <v>45484</v>
      </c>
      <c r="F7" s="8" t="s">
        <v>945</v>
      </c>
      <c r="G7" s="9">
        <v>6006</v>
      </c>
    </row>
    <row r="8" spans="1:7" s="4" customFormat="1">
      <c r="A8" s="16"/>
      <c r="B8" s="16"/>
      <c r="C8" s="8" t="s">
        <v>230</v>
      </c>
      <c r="D8" s="15" t="s">
        <v>959</v>
      </c>
      <c r="E8" s="13" t="s">
        <v>960</v>
      </c>
      <c r="F8" s="8" t="s">
        <v>961</v>
      </c>
      <c r="G8" s="9">
        <v>9225</v>
      </c>
    </row>
    <row r="9" spans="1:7" s="4" customFormat="1">
      <c r="A9" s="16"/>
      <c r="B9" s="16"/>
      <c r="C9" s="8"/>
      <c r="D9" s="15"/>
      <c r="E9" s="13"/>
      <c r="F9" s="8"/>
      <c r="G9" s="9"/>
    </row>
    <row r="10" spans="1:7" s="4" customFormat="1">
      <c r="A10" s="16"/>
      <c r="B10" s="16"/>
      <c r="C10" s="8"/>
      <c r="D10" s="15"/>
      <c r="E10" s="13"/>
      <c r="F10" s="8"/>
      <c r="G10" s="9"/>
    </row>
    <row r="11" spans="1:7" s="4" customFormat="1">
      <c r="A11" s="16"/>
      <c r="B11" s="16"/>
      <c r="C11" s="8"/>
      <c r="D11" s="15"/>
      <c r="E11" s="13"/>
      <c r="F11" s="8"/>
      <c r="G11" s="9"/>
    </row>
    <row r="12" spans="1:7" s="4" customFormat="1">
      <c r="A12" s="15"/>
      <c r="B12" s="15"/>
      <c r="C12" s="8"/>
      <c r="D12" s="8"/>
      <c r="E12" s="8"/>
      <c r="F12" s="8"/>
      <c r="G12" s="9"/>
    </row>
    <row r="13" spans="1:7" s="4" customFormat="1">
      <c r="A13" s="18"/>
      <c r="B13" s="18"/>
      <c r="C13" s="61" t="s">
        <v>962</v>
      </c>
      <c r="D13" s="62"/>
      <c r="E13" s="62"/>
      <c r="F13" s="63"/>
      <c r="G13" s="14">
        <f>SUM(G3:G12)</f>
        <v>44098</v>
      </c>
    </row>
  </sheetData>
  <mergeCells count="1">
    <mergeCell ref="C13:F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/>
  <cp:revision/>
  <dcterms:created xsi:type="dcterms:W3CDTF">2024-05-07T12:29:32Z</dcterms:created>
  <dcterms:modified xsi:type="dcterms:W3CDTF">2026-09-29T07:07:11Z</dcterms:modified>
  <cp:category/>
  <cp:contentStatus/>
</cp:coreProperties>
</file>